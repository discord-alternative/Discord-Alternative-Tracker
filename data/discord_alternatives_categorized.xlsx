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87b08da08145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 Directory" sheetId="1" r:id="R46e920717df94b5b"/>
    <x:sheet xmlns:r="http://schemas.openxmlformats.org/officeDocument/2006/relationships" name="At a Glance" sheetId="2" r:id="R87a16dc357d8458c"/>
    <x:sheet xmlns:r="http://schemas.openxmlformats.org/officeDocument/2006/relationships" name="Comparison Guide" sheetId="3" r:id="R482d997f74204373"/>
    <x:sheet xmlns:r="http://schemas.openxmlformats.org/officeDocument/2006/relationships" name="Core Features" sheetId="4" r:id="R9516f0eaeda94712"/>
    <x:sheet xmlns:r="http://schemas.openxmlformats.org/officeDocument/2006/relationships" name="Basic Features" sheetId="5" r:id="R146296d329094d0c"/>
    <x:sheet xmlns:r="http://schemas.openxmlformats.org/officeDocument/2006/relationships" name="Advanced Features" sheetId="6" r:id="R919c7369ad7a497e"/>
    <x:sheet xmlns:r="http://schemas.openxmlformats.org/officeDocument/2006/relationships" name="Channel Types" sheetId="7" r:id="R560e9ebfd2884dc7"/>
    <x:sheet xmlns:r="http://schemas.openxmlformats.org/officeDocument/2006/relationships" name="Extra Features" sheetId="8" r:id="R8bfd948f2dcc453f"/>
    <x:sheet xmlns:r="http://schemas.openxmlformats.org/officeDocument/2006/relationships" name="Embedded Apps" sheetId="9" r:id="Rb0ee9d92b8654832"/>
    <x:sheet xmlns:r="http://schemas.openxmlformats.org/officeDocument/2006/relationships" name="Community Limits" sheetId="10" r:id="R0ec539f09e1f4ad4"/>
    <x:sheet xmlns:r="http://schemas.openxmlformats.org/officeDocument/2006/relationships" name="Voice &amp; Audio" sheetId="11" r:id="R9ca65a70fc054bc3"/>
    <x:sheet xmlns:r="http://schemas.openxmlformats.org/officeDocument/2006/relationships" name="Voice Quality Detail" sheetId="12" r:id="Re49b237c5cdf4af8"/>
    <x:sheet xmlns:r="http://schemas.openxmlformats.org/officeDocument/2006/relationships" name="Video &amp; Screen Sharing" sheetId="13" r:id="R1907903218c14ee9"/>
    <x:sheet xmlns:r="http://schemas.openxmlformats.org/officeDocument/2006/relationships" name="Screen Share Detail" sheetId="14" r:id="R78b5f9678bbb46f7"/>
    <x:sheet xmlns:r="http://schemas.openxmlformats.org/officeDocument/2006/relationships" name="Media &amp; Limits" sheetId="15" r:id="R202269a2d42b4160"/>
    <x:sheet xmlns:r="http://schemas.openxmlformats.org/officeDocument/2006/relationships" name="Files &amp; Storage" sheetId="16" r:id="Rab51093e0b9c45a0"/>
    <x:sheet xmlns:r="http://schemas.openxmlformats.org/officeDocument/2006/relationships" name="Platform Model &amp; Ecosystem" sheetId="17" r:id="R9798543ed2a041e0"/>
    <x:sheet xmlns:r="http://schemas.openxmlformats.org/officeDocument/2006/relationships" name="Architecture &amp; Licensing" sheetId="18" r:id="R0f99f1ba326f4e2b"/>
    <x:sheet xmlns:r="http://schemas.openxmlformats.org/officeDocument/2006/relationships" name="Deployment Detail" sheetId="19" r:id="Ra7305dda3b8e4706"/>
    <x:sheet xmlns:r="http://schemas.openxmlformats.org/officeDocument/2006/relationships" name="Client &amp; Distribution" sheetId="20" r:id="R5cf32ed123ee4ed0"/>
    <x:sheet xmlns:r="http://schemas.openxmlformats.org/officeDocument/2006/relationships" name="Performance &amp; Client Stack" sheetId="21" r:id="R3f2d85e50e8940ec"/>
    <x:sheet xmlns:r="http://schemas.openxmlformats.org/officeDocument/2006/relationships" name="Accounts &amp; Identity" sheetId="22" r:id="Rc96ebda874634778"/>
    <x:sheet xmlns:r="http://schemas.openxmlformats.org/officeDocument/2006/relationships" name="Portability &amp; Bridging" sheetId="23" r:id="R7b44f0d61ad14a12"/>
    <x:sheet xmlns:r="http://schemas.openxmlformats.org/officeDocument/2006/relationships" name="Interop &amp; Portability Details" sheetId="24" r:id="R860e3745931e4d56"/>
    <x:sheet xmlns:r="http://schemas.openxmlformats.org/officeDocument/2006/relationships" name="Security &amp; Privacy" sheetId="25" r:id="Rf71ce27df02b476d"/>
    <x:sheet xmlns:r="http://schemas.openxmlformats.org/officeDocument/2006/relationships" name="Encryption Details" sheetId="26" r:id="Rc262a8b80dba4a6d"/>
    <x:sheet xmlns:r="http://schemas.openxmlformats.org/officeDocument/2006/relationships" name="Security Matrix" sheetId="27" r:id="R4c98babb9f2a45cc"/>
    <x:sheet xmlns:r="http://schemas.openxmlformats.org/officeDocument/2006/relationships" name="Security History &amp; Audits" sheetId="28" r:id="R556c31ffb75b49c8"/>
    <x:sheet xmlns:r="http://schemas.openxmlformats.org/officeDocument/2006/relationships" name="Moderation &amp; Safety" sheetId="29" r:id="Rd597fa3c14e6488c"/>
    <x:sheet xmlns:r="http://schemas.openxmlformats.org/officeDocument/2006/relationships" name="Moderation Detail" sheetId="30" r:id="Rb298b79a6bea4bab"/>
    <x:sheet xmlns:r="http://schemas.openxmlformats.org/officeDocument/2006/relationships" name="Project Origin &amp; Longevity" sheetId="31" r:id="Ra65e84b9c0834cd5"/>
    <x:sheet xmlns:r="http://schemas.openxmlformats.org/officeDocument/2006/relationships" name="Project &amp; Maintenance" sheetId="32" r:id="R974151c04bc24e43"/>
    <x:sheet xmlns:r="http://schemas.openxmlformats.org/officeDocument/2006/relationships" name="Maintenance &amp; Updates" sheetId="33" r:id="R481a38506f1a42e9"/>
    <x:sheet xmlns:r="http://schemas.openxmlformats.org/officeDocument/2006/relationships" name="Developer Extensibility" sheetId="34" r:id="Ra374637f0ffe4907"/>
    <x:sheet xmlns:r="http://schemas.openxmlformats.org/officeDocument/2006/relationships" name="Developer API Detail" sheetId="35" r:id="R0fb6305d40574326"/>
    <x:sheet xmlns:r="http://schemas.openxmlformats.org/officeDocument/2006/relationships" name="AI Policy &amp; Transparency" sheetId="36" r:id="R382827d3f23d40a4"/>
    <x:sheet xmlns:r="http://schemas.openxmlformats.org/officeDocument/2006/relationships" name="AI &amp; Data Use Detail" sheetId="37" r:id="R9125f296c7384ed6"/>
    <x:sheet xmlns:r="http://schemas.openxmlformats.org/officeDocument/2006/relationships" name="Business Model &amp; Sustainability" sheetId="38" r:id="R9cd2de5a578145d1"/>
    <x:sheet xmlns:r="http://schemas.openxmlformats.org/officeDocument/2006/relationships" name="Pricing Summary" sheetId="39" r:id="R53fb3c52ebc7458f"/>
    <x:sheet xmlns:r="http://schemas.openxmlformats.org/officeDocument/2006/relationships" name="Pricing &amp; Tiers" sheetId="40" r:id="R66bbacb6e38b42da"/>
    <x:sheet xmlns:r="http://schemas.openxmlformats.org/officeDocument/2006/relationships" name="Feature Entitlements" sheetId="41" r:id="R142896bdb6a54ce3"/>
    <x:sheet xmlns:r="http://schemas.openxmlformats.org/officeDocument/2006/relationships" name="Monetization Detail" sheetId="42" r:id="R2d941625d2e74ca5"/>
    <x:sheet xmlns:r="http://schemas.openxmlformats.org/officeDocument/2006/relationships" name="Terms &amp; Privacy" sheetId="43" r:id="Rca51e6a962e14e3d"/>
    <x:sheet xmlns:r="http://schemas.openxmlformats.org/officeDocument/2006/relationships" name="Discord Sources" sheetId="44" r:id="R613e8e01e26049f4"/>
    <x:sheet xmlns:r="http://schemas.openxmlformats.org/officeDocument/2006/relationships" name="Research Sources" sheetId="45" r:id="Rb3692254932e4dad"/>
    <x:sheet xmlns:r="http://schemas.openxmlformats.org/officeDocument/2006/relationships" name="Website Links" sheetId="46" r:id="Rbcf1b036a85b49c3"/>
    <x:sheet xmlns:r="http://schemas.openxmlformats.org/officeDocument/2006/relationships" name="Verification Coverage" sheetId="47" r:id="R69c7b7922aeb4093"/>
    <x:sheet xmlns:r="http://schemas.openxmlformats.org/officeDocument/2006/relationships" name="Subreddit Discovery" sheetId="48" r:id="R53fcd0b7c9ef4f15"/>
    <x:sheet xmlns:r="http://schemas.openxmlformats.org/officeDocument/2006/relationships" name="Master" sheetId="49" r:id="R7146af3c14f844da"/>
    <x:sheet xmlns:r="http://schemas.openxmlformats.org/officeDocument/2006/relationships" name="Language Support" sheetId="50" r:id="R32c3429b40dc4c61"/>
  </x:sheets>
</x:workbook>
</file>

<file path=xl/sharedStrings.xml><?xml version="1.0" encoding="utf-8"?>
<x:sst xmlns:x="http://schemas.openxmlformats.org/spreadsheetml/2006/main">
  <x:si>
    <x:t xml:space="preserve">Workbook Sheet Directory</x:t>
  </x:si>
  <x:si>
    <x:t xml:space="preserve">Category</x:t>
  </x:si>
  <x:si>
    <x:t xml:space="preserve">Sheet</x:t>
  </x:si>
  <x:si>
    <x:t xml:space="preserve">Purpose</x:t>
  </x:si>
  <x:si>
    <x:t xml:space="preserve">Tab Position</x:t>
  </x:si>
  <x:si>
    <x:t xml:space="preserve">Quick Jump</x:t>
  </x:si>
  <x:si>
    <x:t xml:space="preserve">Sheet Directory</x:t>
  </x:si>
  <x:si>
    <x:t xml:space="preserve">Categorical navigation map for the workbook.</x:t>
  </x:si>
  <x:si>
    <x:t xml:space="preserve">At a Glance</x:t>
  </x:si>
  <x:si>
    <x:t xml:space="preserve">Executive snapshot of major platform differences.</x:t>
  </x:si>
  <x:si>
    <x:t xml:space="preserve">Comparison Guide</x:t>
  </x:si>
  <x:si>
    <x:t xml:space="preserve">Definitions, evidence rules and comparison conventions.</x:t>
  </x:si>
  <x:si>
    <x:t xml:space="preserve">Core Features</x:t>
  </x:si>
  <x:si>
    <x:t xml:space="preserve">Comparison/detail sheet.</x:t>
  </x:si>
  <x:si>
    <x:t xml:space="preserve">Basic Features</x:t>
  </x:si>
  <x:si>
    <x:t xml:space="preserve">Advanced Features</x:t>
  </x:si>
  <x:si>
    <x:t xml:space="preserve">Channel Types</x:t>
  </x:si>
  <x:si>
    <x:t xml:space="preserve">Extra Features</x:t>
  </x:si>
  <x:si>
    <x:t xml:space="preserve">Embedded Apps</x:t>
  </x:si>
  <x:si>
    <x:t xml:space="preserve">Community Limits</x:t>
  </x:si>
  <x:si>
    <x:t xml:space="preserve">Voice &amp; Audio</x:t>
  </x:si>
  <x:si>
    <x:t xml:space="preserve">Voice Quality Detail</x:t>
  </x:si>
  <x:si>
    <x:t xml:space="preserve">Video &amp; Screen Sharing</x:t>
  </x:si>
  <x:si>
    <x:t xml:space="preserve">Screen Share Detail</x:t>
  </x:si>
  <x:si>
    <x:t xml:space="preserve">Media &amp; Limits</x:t>
  </x:si>
  <x:si>
    <x:t xml:space="preserve">Files &amp; Storage</x:t>
  </x:si>
  <x:si>
    <x:t xml:space="preserve">Platform Model &amp; Ecosystem</x:t>
  </x:si>
  <x:si>
    <x:t xml:space="preserve">Architecture &amp; Licensing</x:t>
  </x:si>
  <x:si>
    <x:t xml:space="preserve">Deployment Detail</x:t>
  </x:si>
  <x:si>
    <x:t xml:space="preserve">Client &amp; Distribution</x:t>
  </x:si>
  <x:si>
    <x:t xml:space="preserve">Performance &amp; Client Stack</x:t>
  </x:si>
  <x:si>
    <x:t xml:space="preserve">Accounts &amp; Identity</x:t>
  </x:si>
  <x:si>
    <x:t xml:space="preserve">Portability &amp; Bridging</x:t>
  </x:si>
  <x:si>
    <x:t xml:space="preserve">Interop &amp; Portability Details</x:t>
  </x:si>
  <x:si>
    <x:t xml:space="preserve">Security &amp; Privacy</x:t>
  </x:si>
  <x:si>
    <x:t xml:space="preserve">Encryption Details</x:t>
  </x:si>
  <x:si>
    <x:t xml:space="preserve">Security Matrix</x:t>
  </x:si>
  <x:si>
    <x:t xml:space="preserve">Security History &amp; Audits</x:t>
  </x:si>
  <x:si>
    <x:t xml:space="preserve">Moderation &amp; Safety</x:t>
  </x:si>
  <x:si>
    <x:t xml:space="preserve">Moderation Detail</x:t>
  </x:si>
  <x:si>
    <x:t xml:space="preserve">Project Origin &amp; Longevity</x:t>
  </x:si>
  <x:si>
    <x:t xml:space="preserve">Project &amp; Maintenance</x:t>
  </x:si>
  <x:si>
    <x:t xml:space="preserve">Maintenance &amp; Updates</x:t>
  </x:si>
  <x:si>
    <x:t xml:space="preserve">Developer Extensibility</x:t>
  </x:si>
  <x:si>
    <x:t xml:space="preserve">Developer API Detail</x:t>
  </x:si>
  <x:si>
    <x:t xml:space="preserve">AI Policy &amp; Transparency</x:t>
  </x:si>
  <x:si>
    <x:t xml:space="preserve">AI &amp; Data Use Detail</x:t>
  </x:si>
  <x:si>
    <x:t xml:space="preserve">Business Model &amp; Sustainability</x:t>
  </x:si>
  <x:si>
    <x:t xml:space="preserve">Pricing Summary</x:t>
  </x:si>
  <x:si>
    <x:t xml:space="preserve">Pricing &amp; Tiers</x:t>
  </x:si>
  <x:si>
    <x:t xml:space="preserve">Feature Entitlements</x:t>
  </x:si>
  <x:si>
    <x:t xml:space="preserve">Monetization Detail</x:t>
  </x:si>
  <x:si>
    <x:t xml:space="preserve">Terms &amp; Privacy</x:t>
  </x:si>
  <x:si>
    <x:t xml:space="preserve">Discord Sources</x:t>
  </x:si>
  <x:si>
    <x:t xml:space="preserve">Discord-specific first-party evidence.</x:t>
  </x:si>
  <x:si>
    <x:t xml:space="preserve">Research Sources</x:t>
  </x:si>
  <x:si>
    <x:t xml:space="preserve">Detailed first-party/project evidence used across comparison rows.</x:t>
  </x:si>
  <x:si>
    <x:t xml:space="preserve">Website Links</x:t>
  </x:si>
  <x:si>
    <x:t xml:space="preserve">Official/project links grouped by source-page language; English default.</x:t>
  </x:si>
  <x:si>
    <x:t xml:space="preserve">Verification Coverage</x:t>
  </x:si>
  <x:si>
    <x:t xml:space="preserve">Before/after unknown counts for this first-party verification pass.</x:t>
  </x:si>
  <x:si>
    <x:t xml:space="preserve">Subreddit Discovery</x:t>
  </x:si>
  <x:si>
    <x:t xml:space="preserve">Master</x:t>
  </x:si>
  <x:si>
    <x:t xml:space="preserve">Canonical source-of-truth responses used by the comparison sheets.</x:t>
  </x:si>
  <x:si>
    <x:t xml:space="preserve">Discord</x:t>
  </x:si>
  <x:si>
    <x:t xml:space="preserve">Armada</x:t>
  </x:si>
  <x:si>
    <x:t xml:space="preserve">DCTS</x:t>
  </x:si>
  <x:si>
    <x:t xml:space="preserve">Echon</x:t>
  </x:si>
  <x:si>
    <x:t xml:space="preserve">Fenrid</x:t>
  </x:si>
  <x:si>
    <x:t xml:space="preserve">Fluxer</x:t>
  </x:si>
  <x:si>
    <x:t xml:space="preserve">GameVox</x:t>
  </x:si>
  <x:si>
    <x:t xml:space="preserve">Harmony</x:t>
  </x:si>
  <x:si>
    <x:t xml:space="preserve">Hollow</x:t>
  </x:si>
  <x:si>
    <x:t xml:space="preserve">Kaede Chat</x:t>
  </x:si>
  <x:si>
    <x:t xml:space="preserve">Kloak</x:t>
  </x:si>
  <x:si>
    <x:t xml:space="preserve">Loqa</x:t>
  </x:si>
  <x:si>
    <x:t xml:space="preserve">Matrix</x:t>
  </x:si>
  <x:si>
    <x:t xml:space="preserve">Mattermost</x:t>
  </x:si>
  <x:si>
    <x:t xml:space="preserve">Mezon</x:t>
  </x:si>
  <x:si>
    <x:t xml:space="preserve">Mumble</x:t>
  </x:si>
  <x:si>
    <x:t xml:space="preserve">Nerimity</x:t>
  </x:si>
  <x:si>
    <x:t xml:space="preserve">Osmium</x:t>
  </x:si>
  <x:si>
    <x:t xml:space="preserve">pqp.gg</x:t>
  </x:si>
  <x:si>
    <x:t xml:space="preserve">Rift</x:t>
  </x:si>
  <x:si>
    <x:t xml:space="preserve">Rocket.Chat</x:t>
  </x:si>
  <x:si>
    <x:t xml:space="preserve">Roomy</x:t>
  </x:si>
  <x:si>
    <x:t xml:space="preserve">Root</x:t>
  </x:si>
  <x:si>
    <x:t xml:space="preserve">Spacebar</x:t>
  </x:si>
  <x:si>
    <x:t xml:space="preserve">Stoat</x:t>
  </x:si>
  <x:si>
    <x:t xml:space="preserve">TeamSpeak</x:t>
  </x:si>
  <x:si>
    <x:t xml:space="preserve">Valour</x:t>
  </x:si>
  <x:si>
    <x:t xml:space="preserve">Venta</x:t>
  </x:si>
  <x:si>
    <x:t xml:space="preserve">Weered</x:t>
  </x:si>
  <x:si>
    <x:t xml:space="preserve">Yapper</x:t>
  </x:si>
  <x:si>
    <x:t xml:space="preserve">Zulip</x:t>
  </x:si>
  <x:si>
    <x:t xml:space="preserve">Executive Summary</x:t>
  </x:si>
  <x:si>
    <x:t xml:space="preserve">Inception Date</x:t>
  </x:si>
  <x:si>
    <x:t xml:space="preserve">Current State (α / β / Stable)</x:t>
  </x:si>
  <x:si>
    <x:t xml:space="preserve">Hosting Architecture</x:t>
  </x:si>
  <x:si>
    <x:t xml:space="preserve">Client / Server License</x:t>
  </x:si>
  <x:si>
    <x:t xml:space="preserve">Default E2EE (DMs)</x:t>
  </x:si>
  <x:si>
    <x:t xml:space="preserve">Default E2EE (Channels)</x:t>
  </x:si>
  <x:si>
    <x:t xml:space="preserve">Max Screen Share (Free Res/FPS)</x:t>
  </x:si>
  <x:si>
    <x:t xml:space="preserve">Max Free File Upload Size (MB unless noted)</x:t>
  </x:si>
  <x:si>
    <x:t xml:space="preserve">Persistent Voice Rooms</x:t>
  </x:si>
  <x:si>
    <x:t xml:space="preserve">Native AI Features</x:t>
  </x:si>
  <x:si>
    <x:t xml:space="preserve">User Data Scraped for AI Training?</x:t>
  </x:si>
  <x:si>
    <x:t xml:space="preserve">Primary Business Model</x:t>
  </x:si>
  <x:si>
    <x:t xml:space="preserve">Discord Server Importer</x:t>
  </x:si>
  <x:si>
    <x:t xml:space="preserve">Standout Advantage vs. Discord</x:t>
  </x:si>
  <x:si>
    <x:t xml:space="preserve">Biggest Current Limitation</x:t>
  </x:si>
  <x:si>
    <x:t xml:space="preserve">Platform Model Snapshot</x:t>
  </x:si>
  <x:si>
    <x:t xml:space="preserve">Product Type</x:t>
  </x:si>
  <x:si>
    <x:t xml:space="preserve">Reference / First-Party Client(s)</x:t>
  </x:si>
  <x:si>
    <x:t xml:space="preserve">Client Interchangeability</x:t>
  </x:si>
  <x:si>
    <x:t xml:space="preserve">Self-Hosting Supported</x:t>
  </x:si>
  <x:si>
    <x:t xml:space="preserve">Federation Between Independent Instances</x:t>
  </x:si>
  <x:si>
    <x:t xml:space="preserve">Public Protocol / Standard</x:t>
  </x:si>
  <x:si>
    <x:t xml:space="preserve">Open-Source Scope</x:t>
  </x:si>
  <x:si>
    <x:t xml:space="preserve">Important Model Distinction</x:t>
  </x:si>
  <x:si>
    <x:t xml:space="preserve">Commercial / Granular Snapshot</x:t>
  </x:si>
  <x:si>
    <x:t xml:space="preserve">Free Plan?</x:t>
  </x:si>
  <x:si>
    <x:t xml:space="preserve"># Public Paid Options</x:t>
  </x:si>
  <x:si>
    <x:t xml:space="preserve">Paid Options / Tiers</x:t>
  </x:si>
  <x:si>
    <x:t xml:space="preserve">Self-Hosting?</x:t>
  </x:si>
  <x:si>
    <x:t xml:space="preserve">Federated?</x:t>
  </x:si>
  <x:si>
    <x:t xml:space="preserve">DM Text E2EE?</x:t>
  </x:si>
  <x:si>
    <x:t xml:space="preserve">Free Max Upload</x:t>
  </x:si>
  <x:si>
    <x:t xml:space="preserve">Free Max Screen Share</x:t>
  </x:si>
  <x:si>
    <x:t xml:space="preserve">1080p Access</x:t>
  </x:si>
  <x:si>
    <x:t xml:space="preserve">1440p Access</x:t>
  </x:si>
  <x:si>
    <x:t xml:space="preserve">4K Access</x:t>
  </x:si>
  <x:si>
    <x:t xml:space="preserve">Voice Bitrate: Base → Max</x:t>
  </x:si>
  <x:si>
    <x:t xml:space="preserve">Primary Pricing Model</x:t>
  </x:si>
  <x:si>
    <x:t xml:space="preserve">Monetization &amp; Legal Snapshot</x:t>
  </x:si>
  <x:si>
    <x:t xml:space="preserve">Current Monetization</x:t>
  </x:si>
  <x:si>
    <x:t xml:space="preserve">Intended Monetization</x:t>
  </x:si>
  <x:si>
    <x:t xml:space="preserve">Server / Community Upgrade Model</x:t>
  </x:si>
  <x:si>
    <x:t xml:space="preserve">User-Level Paid Model</x:t>
  </x:si>
  <x:si>
    <x:t xml:space="preserve">Terms / Legal URL</x:t>
  </x:si>
  <x:si>
    <x:t xml:space="preserve">Privacy Policy URL</x:t>
  </x:si>
  <x:si>
    <x:t xml:space="preserve">Policy Scope / Notes</x:t>
  </x:si>
  <x:si>
    <x:t xml:space="preserve">Modern Feature Snapshot</x:t>
  </x:si>
  <x:si>
    <x:t xml:space="preserve">Native Forum / Threaded Knowledge Space</x:t>
  </x:si>
  <x:si>
    <x:t xml:space="preserve">Native Gallery / Media-First Space</x:t>
  </x:si>
  <x:si>
    <x:t xml:space="preserve">Native Ticket / Support Workflow</x:t>
  </x:si>
  <x:si>
    <x:t xml:space="preserve">Embedded App / Widget Framework</x:t>
  </x:si>
  <x:si>
    <x:t xml:space="preserve">Saved Multi-Panel Layouts / Workspaces</x:t>
  </x:si>
  <x:si>
    <x:t xml:space="preserve">Term / Rule</x:t>
  </x:si>
  <x:si>
    <x:t xml:space="preserve">Meaning</x:t>
  </x:si>
  <x:si>
    <x:t xml:space="preserve">How it is used in this workbook</x:t>
  </x:si>
  <x:si>
    <x:t xml:space="preserve">U/K</x:t>
  </x:si>
  <x:si>
    <x:t xml:space="preserve">Unknown / not sufficiently publicly verifiable</x:t>
  </x:si>
  <x:si>
    <x:t xml:space="preserve">Used instead of guessing. A project may support the feature, but there was not enough reliable public evidence to state it.</x:t>
  </x:si>
  <x:si>
    <x:t xml:space="preserve">N/A</x:t>
  </x:si>
  <x:si>
    <x:t xml:space="preserve">Not applicable / feature or tier does not exist</x:t>
  </x:si>
  <x:si>
    <x:t xml:space="preserve">Yes</x:t>
  </x:si>
  <x:si>
    <x:t xml:space="preserve">Verified available</x:t>
  </x:si>
  <x:si>
    <x:t xml:space="preserve">May still have plan, client, deployment, or implementation qualifiers in adjacent rows.</x:t>
  </x:si>
  <x:si>
    <x:t xml:space="preserve">No</x:t>
  </x:si>
  <x:si>
    <x:t xml:space="preserve">Verified unavailable / not supported</x:t>
  </x:si>
  <x:si>
    <x:t xml:space="preserve">Different from U/K.</x:t>
  </x:si>
  <x:si>
    <x:t xml:space="preserve">Free</x:t>
  </x:si>
  <x:si>
    <x:t xml:space="preserve">Available without a paid subscription</x:t>
  </x:si>
  <x:si>
    <x:t xml:space="preserve">Self-host infrastructure costs are separate from software subscription price.</x:t>
  </x:si>
  <x:si>
    <x:t xml:space="preserve">Paid</x:t>
  </x:si>
  <x:si>
    <x:t xml:space="preserve">Requires a named paid entitlement</x:t>
  </x:si>
  <x:si>
    <x:t xml:space="preserve">The corresponding tier name and price should be listed in Pricing &amp; Tiers when public.</x:t>
  </x:si>
  <x:si>
    <x:t xml:space="preserve">Configurable</x:t>
  </x:si>
  <x:si>
    <x:t xml:space="preserve">Operator/server/provider controls the value</x:t>
  </x:si>
  <x:si>
    <x:t xml:space="preserve">Common for self-hosted platforms.</x:t>
  </x:si>
  <x:si>
    <x:t xml:space="preserve">Provider-dependent / Client-dependent</x:t>
  </x:si>
  <x:si>
    <x:t xml:space="preserve">No single platform-wide answer</x:t>
  </x:si>
  <x:si>
    <x:t xml:space="preserve">Especially important for Matrix and other ecosystems with multiple clients/providers.</x:t>
  </x:si>
  <x:si>
    <x:t xml:space="preserve">Matrix is the protocol/ecosystem, not Element</x:t>
  </x:si>
  <x:si>
    <x:t xml:space="preserve">Element/Element X are example clients. Client limits and provider pricing are not attributed to Matrix itself.</x:t>
  </x:si>
  <x:si>
    <x:t xml:space="preserve">Harmony / Fermi</x:t>
  </x:si>
  <x:si>
    <x:t xml:space="preserve">Harmony is the platform/server; Fermi is a client</x:t>
  </x:si>
  <x:si>
    <x:t xml:space="preserve">The workbook keeps platform and client identities separate.</x:t>
  </x:si>
  <x:si>
    <x:t xml:space="preserve">Self-hosting vs Federation</x:t>
  </x:si>
  <x:si>
    <x:t xml:space="preserve">Independent self-hosted copies do not automatically interoperate</x:t>
  </x:si>
  <x:si>
    <x:t xml:space="preserve">A platform can be self-hostable and still be non-federated.</x:t>
  </x:si>
  <x:si>
    <x:t xml:space="preserve">Open Source vs Federation</x:t>
  </x:si>
  <x:si>
    <x:t xml:space="preserve">Open source does not imply a shared network</x:t>
  </x:si>
  <x:si>
    <x:t xml:space="preserve">Licensing and network topology are tracked separately.</x:t>
  </x:si>
  <x:si>
    <x:t xml:space="preserve">Paid Tier Count</x:t>
  </x:si>
  <x:si>
    <x:t xml:space="preserve">Counts public fixed-price subscription/service tiers</x:t>
  </x:si>
  <x:si>
    <x:t xml:space="preserve">Enterprise/custom-quote tiers are tracked separately and not silently counted as a fixed-price tier.</x:t>
  </x:si>
  <x:si>
    <x:t xml:space="preserve">Contact Sales</x:t>
  </x:si>
  <x:si>
    <x:t xml:space="preserve">A paid tier exists but no public fixed price is published</x:t>
  </x:si>
  <x:si>
    <x:t xml:space="preserve">This is not U/K: the pricing model itself is known to be quote-based.</x:t>
  </x:si>
  <x:si>
    <x:t xml:space="preserve">Monthly vs Annual</x:t>
  </x:si>
  <x:si>
    <x:t xml:space="preserve">Monthly and annual prices are separate fields</x:t>
  </x:si>
  <x:si>
    <x:t xml:space="preserve">Annual price is not guessed from monthly price unless the provider publishes it.</x:t>
  </x:si>
  <x:si>
    <x:t xml:space="preserve">Server-Wide vs Per-User</x:t>
  </x:si>
  <x:si>
    <x:t xml:space="preserve">Who pays and who receives the entitlement</x:t>
  </x:si>
  <x:si>
    <x:t xml:space="preserve">Examples: Discord Nitro is personal; Server Boosts are server-wide. GameVox paid tiers are server-wide.</x:t>
  </x:si>
  <x:si>
    <x:t xml:space="preserve">Primary Sources</x:t>
  </x:si>
  <x:si>
    <x:t xml:space="preserve">Primary sources are preferred for facts and current limits.</x:t>
  </x:si>
  <x:si>
    <x:t xml:space="preserve">Subreddit Use</x:t>
  </x:si>
  <x:si>
    <x:t xml:space="preserve">r/discordalternatives is used for discovery and community context</x:t>
  </x:si>
  <x:si>
    <x:t xml:space="preserve">Subreddit claims are not treated as technical facts unless independently verified.</x:t>
  </x:si>
  <x:si>
    <x:t xml:space="preserve">Unknown Handling</x:t>
  </x:si>
  <x:si>
    <x:t xml:space="preserve">No unsupported inference</x:t>
  </x:si>
  <x:si>
    <x:t xml:space="preserve">If a technical limit, price, audit, or policy is not verifiable, the cell remains U/K.</x:t>
  </x:si>
  <x:si>
    <x:t xml:space="preserve">As-of Date</x:t>
  </x:si>
  <x:si>
    <x:t xml:space="preserve">Pricing, product status, and limits are time-sensitive and should be rechecked when used later.</x:t>
  </x:si>
  <x:si>
    <x:t xml:space="preserve">Partial</x:t>
  </x:si>
  <x:si>
    <x:t xml:space="preserve">The feature exists but does not match the full comparison concept</x:t>
  </x:si>
  <x:si>
    <x:t xml:space="preserve">Experimental</x:t>
  </x:si>
  <x:si>
    <x:t xml:space="preserve">Feature is publicly available or documented as experimental/testing</x:t>
  </x:si>
  <x:si>
    <x:t xml:space="preserve">Kept distinct from stable Yes so maturity is not overstated.</x:t>
  </x:si>
  <x:si>
    <x:t xml:space="preserve">Planned / Soon</x:t>
  </x:si>
  <x:si>
    <x:t xml:space="preserve">Provider publicly documents the feature but it is not generally available yet</x:t>
  </x:si>
  <x:si>
    <x:t xml:space="preserve">Not counted as currently available.</x:t>
  </x:si>
  <x:si>
    <x:t xml:space="preserve">Native / Built-in</x:t>
  </x:si>
  <x:si>
    <x:t xml:space="preserve">Implemented by the platform itself without requiring an external bot or integration</x:t>
  </x:si>
  <x:si>
    <x:t xml:space="preserve">Used heavily in Channel Types and Extra Features.</x:t>
  </x:si>
  <x:si>
    <x:t xml:space="preserve">App / Bot / Integration</x:t>
  </x:si>
  <x:si>
    <x:t xml:space="preserve">Capability can be added through an extension rather than being native</x:t>
  </x:si>
  <x:si>
    <x:t xml:space="preserve">Not treated as equivalent to a native channel type unless explicitly stated.</x:t>
  </x:si>
  <x:si>
    <x:t xml:space="preserve">Embedded App</x:t>
  </x:si>
  <x:si>
    <x:t xml:space="preserve">An interactive UI/app that runs inside or alongside the chat client</x:t>
  </x:si>
  <x:si>
    <x:t xml:space="preserve">Separated into its own Embedded Apps sheet; distinct from message-only bots/webhooks.</x:t>
  </x:si>
  <x:si>
    <x:t xml:space="preserve">Channel Type vs Feature</x:t>
  </x:si>
  <x:si>
    <x:t xml:space="preserve">A channel type is a persistent structured space represented in the channel/navigation model</x:t>
  </x:si>
  <x:si>
    <x:t xml:space="preserve">Poll messages, scheduled events, widgets, or bot workflows are not automatically counted as channel types.</x:t>
  </x:si>
  <x:si>
    <x:t xml:space="preserve">Client-dependent</x:t>
  </x:si>
  <x:si>
    <x:t xml:space="preserve">Feature is implemented by particular clients rather than guaranteed by the protocol/platform</x:t>
  </x:si>
  <x:si>
    <x:t xml:space="preserve">Especially important for Matrix widgets, media capabilities, and UI features.</x:t>
  </x:si>
  <x:si>
    <x:t xml:space="preserve">Provider-dependent</x:t>
  </x:si>
  <x:si>
    <x:t xml:space="preserve">Feature varies by hosted provider or self-host operator</x:t>
  </x:si>
  <x:si>
    <x:t xml:space="preserve">Used for federated/self-host ecosystems where no single platform-wide value exists.</x:t>
  </x:si>
  <x:si>
    <x:t xml:space="preserve">Blank / unresolved</x:t>
  </x:si>
  <x:si>
    <x:t xml:space="preserve">Reviewed but not safely resolved from first-party sources</x:t>
  </x:si>
  <x:si>
    <x:t xml:space="preserve">Source Language</x:t>
  </x:si>
  <x:si>
    <x:t xml:space="preserve">Language of the cited webpage, not the product UI</x:t>
  </x:si>
  <x:si>
    <x:t xml:space="preserve">English is the default. Localized pages are tagged separately in Website Links and the source sheets.</x:t>
  </x:si>
  <x:si>
    <x:t xml:space="preserve">Developer-Provided First-Party Statement</x:t>
  </x:si>
  <x:si>
    <x:t xml:space="preserve">Direct statement from a project developer/maintainer supplied for this comparison</x:t>
  </x:si>
  <x:si>
    <x:t xml:space="preserve">Messaging &amp; Community Basics</x:t>
  </x:si>
  <x:si>
    <x:t xml:space="preserve">1:1 DMs</x:t>
  </x:si>
  <x:si>
    <x:t xml:space="preserve">Group DMs</x:t>
  </x:si>
  <x:si>
    <x:t xml:space="preserve">Communities / Servers / Workspaces</x:t>
  </x:si>
  <x:si>
    <x:t xml:space="preserve">Text Channels / Rooms</x:t>
  </x:si>
  <x:si>
    <x:t xml:space="preserve">Voice Channels / Rooms</x:t>
  </x:si>
  <x:si>
    <x:t xml:space="preserve">Categories / Channel Organization</x:t>
  </x:si>
  <x:si>
    <x:t xml:space="preserve">Markdown Text</x:t>
  </x:si>
  <x:si>
    <x:t xml:space="preserve">Core Notifications</x:t>
  </x:si>
  <x:si>
    <x:t xml:space="preserve">Messages &amp; Content</x:t>
  </x:si>
  <x:si>
    <x:t xml:space="preserve">File Uploads</x:t>
  </x:si>
  <x:si>
    <x:t xml:space="preserve">Free / Base File Upload Limit</x:t>
  </x:si>
  <x:si>
    <x:t xml:space="preserve">Message Reactions</x:t>
  </x:si>
  <x:si>
    <x:t xml:space="preserve">Message Editing</x:t>
  </x:si>
  <x:si>
    <x:t xml:space="preserve">Message Deletion</x:t>
  </x:si>
  <x:si>
    <x:t xml:space="preserve">Inline Replies</x:t>
  </x:si>
  <x:si>
    <x:t xml:space="preserve">Pinned Messages</x:t>
  </x:si>
  <x:si>
    <x:t xml:space="preserve">Search</x:t>
  </x:si>
  <x:si>
    <x:t xml:space="preserve">Invites</x:t>
  </x:si>
  <x:si>
    <x:t xml:space="preserve">Project Snapshot</x:t>
  </x:si>
  <x:si>
    <x:t xml:space="preserve">Public Release Date</x:t>
  </x:si>
  <x:si>
    <x:t xml:space="preserve">Current State (α / β / final)</x:t>
  </x:si>
  <x:si>
    <x:t xml:space="preserve">Development State</x:t>
  </x:si>
  <x:si>
    <x:t xml:space="preserve">Developer Team Size</x:t>
  </x:si>
  <x:si>
    <x:t xml:space="preserve">Discovery &amp; Search</x:t>
  </x:si>
  <x:si>
    <x:t xml:space="preserve">Server Search</x:t>
  </x:si>
  <x:si>
    <x:t xml:space="preserve">DM Search</x:t>
  </x:si>
  <x:si>
    <x:t xml:space="preserve">Channel / Room Search</x:t>
  </x:si>
  <x:si>
    <x:t xml:space="preserve">Messages &amp; Rich Content</x:t>
  </x:si>
  <x:si>
    <x:t xml:space="preserve">Spoiler Formatting</x:t>
  </x:si>
  <x:si>
    <x:t xml:space="preserve">Code Blocks</x:t>
  </x:si>
  <x:si>
    <x:t xml:space="preserve">Voice Messages</x:t>
  </x:si>
  <x:si>
    <x:t xml:space="preserve">Emoji, Stickers &amp; Pins</x:t>
  </x:si>
  <x:si>
    <x:t xml:space="preserve">Integrated Emoji</x:t>
  </x:si>
  <x:si>
    <x:t xml:space="preserve">Custom Emoji</x:t>
  </x:si>
  <x:si>
    <x:t xml:space="preserve">Custom Stickers</x:t>
  </x:si>
  <x:si>
    <x:t xml:space="preserve">Pinned Server Messages</x:t>
  </x:si>
  <x:si>
    <x:t xml:space="preserve">Pinned DM Messages</x:t>
  </x:si>
  <x:si>
    <x:t xml:space="preserve">Identity &amp; Membership</x:t>
  </x:si>
  <x:si>
    <x:t xml:space="preserve">User Profiles</x:t>
  </x:si>
  <x:si>
    <x:t xml:space="preserve">Per-Community Profiles</x:t>
  </x:si>
  <x:si>
    <x:t xml:space="preserve">Member Lists</x:t>
  </x:si>
  <x:si>
    <x:t xml:space="preserve">Presence / Status</x:t>
  </x:si>
  <x:si>
    <x:t xml:space="preserve">Block / Mute Users</x:t>
  </x:si>
  <x:si>
    <x:t xml:space="preserve">Permissions &amp; Structure</x:t>
  </x:si>
  <x:si>
    <x:t xml:space="preserve">Granular Role Permissions</x:t>
  </x:si>
  <x:si>
    <x:t xml:space="preserve">Hierarchies</x:t>
  </x:si>
  <x:si>
    <x:t xml:space="preserve">Channel Overrides</x:t>
  </x:si>
  <x:si>
    <x:t xml:space="preserve">Three-State Allow / Deny / Inherit</x:t>
  </x:si>
  <x:si>
    <x:t xml:space="preserve">Structured Conversation</x:t>
  </x:si>
  <x:si>
    <x:t xml:space="preserve">Forum Channels / Boards</x:t>
  </x:si>
  <x:si>
    <x:t xml:space="preserve">Threads</x:t>
  </x:si>
  <x:si>
    <x:t xml:space="preserve">Private Threads</x:t>
  </x:si>
  <x:si>
    <x:t xml:space="preserve">Forum Tags / Flair</x:t>
  </x:si>
  <x:si>
    <x:t xml:space="preserve">Polls</x:t>
  </x:si>
  <x:si>
    <x:t xml:space="preserve">Scheduled Community Events</x:t>
  </x:si>
  <x:si>
    <x:t xml:space="preserve">Forms / Structured Responses</x:t>
  </x:si>
  <x:si>
    <x:t xml:space="preserve">Message Automation</x:t>
  </x:si>
  <x:si>
    <x:t xml:space="preserve">Scheduled Messages</x:t>
  </x:si>
  <x:si>
    <x:t xml:space="preserve">Disappearing / Auto-Delete Messages</x:t>
  </x:si>
  <x:si>
    <x:t xml:space="preserve">Message Forwarding Controls</x:t>
  </x:si>
  <x:si>
    <x:t xml:space="preserve">Reply to Multiple Messages</x:t>
  </x:si>
  <x:si>
    <x:t xml:space="preserve">Conversation Channels</x:t>
  </x:si>
  <x:si>
    <x:t xml:space="preserve">Text</x:t>
  </x:si>
  <x:si>
    <x:t xml:space="preserve">Voice</x:t>
  </x:si>
  <x:si>
    <x:t xml:space="preserve">Voice Room Launcher / Temporary Voice</x:t>
  </x:si>
  <x:si>
    <x:t xml:space="preserve">Forum</x:t>
  </x:si>
  <x:si>
    <x:t xml:space="preserve">Gallery / Media Grid</x:t>
  </x:si>
  <x:si>
    <x:t xml:space="preserve">Announcement / Read-Only Broadcast</x:t>
  </x:si>
  <x:si>
    <x:t xml:space="preserve">Stage / Broadcast Voice</x:t>
  </x:si>
  <x:si>
    <x:t xml:space="preserve">Interactive &amp; Support Channels</x:t>
  </x:si>
  <x:si>
    <x:t xml:space="preserve">Tickets</x:t>
  </x:si>
  <x:si>
    <x:t xml:space="preserve">Counting</x:t>
  </x:si>
  <x:si>
    <x:t xml:space="preserve">Highlights</x:t>
  </x:si>
  <x:si>
    <x:t xml:space="preserve">Arrivals / Welcome</x:t>
  </x:si>
  <x:si>
    <x:t xml:space="preserve">Forms / Applications</x:t>
  </x:si>
  <x:si>
    <x:t xml:space="preserve">Persistent Knowledge &amp; Work</x:t>
  </x:si>
  <x:si>
    <x:t xml:space="preserve">Wiki</x:t>
  </x:si>
  <x:si>
    <x:t xml:space="preserve">Document</x:t>
  </x:si>
  <x:si>
    <x:t xml:space="preserve">Tasks / Kanban</x:t>
  </x:si>
  <x:si>
    <x:t xml:space="preserve">Live Board / Status Board</x:t>
  </x:si>
  <x:si>
    <x:t xml:space="preserve">Roster / Team List</x:t>
  </x:si>
  <x:si>
    <x:t xml:space="preserve">Web Link / Shortcut</x:t>
  </x:si>
  <x:si>
    <x:t xml:space="preserve">Calendar / Events</x:t>
  </x:si>
  <x:si>
    <x:t xml:space="preserve">RSS / Feed</x:t>
  </x:si>
  <x:si>
    <x:t xml:space="preserve">Whiteboard</x:t>
  </x:si>
  <x:si>
    <x:t xml:space="preserve">Tabletop</x:t>
  </x:si>
  <x:si>
    <x:t xml:space="preserve">Presence, Audio &amp; Desktop</x:t>
  </x:si>
  <x:si>
    <x:t xml:space="preserve">Rich Presence</x:t>
  </x:si>
  <x:si>
    <x:t xml:space="preserve">Voice Overlay</x:t>
  </x:si>
  <x:si>
    <x:t xml:space="preserve">Server / Community Soundboards</x:t>
  </x:si>
  <x:si>
    <x:t xml:space="preserve">Personal Soundboard</x:t>
  </x:si>
  <x:si>
    <x:t xml:space="preserve">Voice Changer</x:t>
  </x:si>
  <x:si>
    <x:t xml:space="preserve">Community Engagement</x:t>
  </x:si>
  <x:si>
    <x:t xml:space="preserve">Leveling / XP</x:t>
  </x:si>
  <x:si>
    <x:t xml:space="preserve">Giveaways / Raffles</x:t>
  </x:si>
  <x:si>
    <x:t xml:space="preserve">Reaction Roles</x:t>
  </x:si>
  <x:si>
    <x:t xml:space="preserve">Live Stream Alerts</x:t>
  </x:si>
  <x:si>
    <x:t xml:space="preserve">Shared Availability</x:t>
  </x:si>
  <x:si>
    <x:t xml:space="preserve">Text Macros</x:t>
  </x:si>
  <x:si>
    <x:t xml:space="preserve">Dice Rolls</x:t>
  </x:si>
  <x:si>
    <x:t xml:space="preserve">Make &amp; Play</x:t>
  </x:si>
  <x:si>
    <x:t xml:space="preserve">Arcade / Mini Games</x:t>
  </x:si>
  <x:si>
    <x:t xml:space="preserve">Music Creation / Studio</x:t>
  </x:si>
  <x:si>
    <x:t xml:space="preserve">Watch Parties</x:t>
  </x:si>
  <x:si>
    <x:t xml:space="preserve">Platform &amp; Runtime</x:t>
  </x:si>
  <x:si>
    <x:t xml:space="preserve">Third-Party App Development SDK / Framework</x:t>
  </x:si>
  <x:si>
    <x:t xml:space="preserve">App Directory / Marketplace</x:t>
  </x:si>
  <x:si>
    <x:t xml:space="preserve">Runs Inside Chat Client</x:t>
  </x:si>
  <x:si>
    <x:t xml:space="preserve">Shared / Synchronized Multi-User Sessions</x:t>
  </x:si>
  <x:si>
    <x:t xml:space="preserve">Launch from Channel / Conversation</x:t>
  </x:si>
  <x:si>
    <x:t xml:space="preserve">Mobile Embedded App Support</x:t>
  </x:si>
  <x:si>
    <x:t xml:space="preserve">Workspace &amp; Layout</x:t>
  </x:si>
  <x:si>
    <x:t xml:space="preserve">Drag / Resize Embedded Apps</x:t>
  </x:si>
  <x:si>
    <x:t xml:space="preserve">Multiple Apps Visible Beside Chat</x:t>
  </x:si>
  <x:si>
    <x:t xml:space="preserve">Save Named App Layouts / Workspaces</x:t>
  </x:si>
  <x:si>
    <x:t xml:space="preserve">Pop App / Chat into Separate Window</x:t>
  </x:si>
  <x:si>
    <x:t xml:space="preserve">Per-User Personal Apps / Widgets</x:t>
  </x:si>
  <x:si>
    <x:t xml:space="preserve">Per-Community / Shared Apps</x:t>
  </x:si>
  <x:si>
    <x:t xml:space="preserve">Media &amp; Entertainment Apps</x:t>
  </x:si>
  <x:si>
    <x:t xml:space="preserve">YouTube Viewer</x:t>
  </x:si>
  <x:si>
    <x:t xml:space="preserve">Twitch Viewer</x:t>
  </x:si>
  <x:si>
    <x:t xml:space="preserve">Synchronized Watch Party</x:t>
  </x:si>
  <x:si>
    <x:t xml:space="preserve">Internet Radio</x:t>
  </x:si>
  <x:si>
    <x:t xml:space="preserve">Soundboard App</x:t>
  </x:si>
  <x:si>
    <x:t xml:space="preserve">Game Library / Game Night Tool</x:t>
  </x:si>
  <x:si>
    <x:t xml:space="preserve">Tabletop / Virtual Tabletop</x:t>
  </x:si>
  <x:si>
    <x:t xml:space="preserve">Music Creation / DAW</x:t>
  </x:si>
  <x:si>
    <x:t xml:space="preserve">Productivity &amp; Information Apps</x:t>
  </x:si>
  <x:si>
    <x:t xml:space="preserve">Weather</x:t>
  </x:si>
  <x:si>
    <x:t xml:space="preserve">Calendar</x:t>
  </x:si>
  <x:si>
    <x:t xml:space="preserve">To-Do List</x:t>
  </x:si>
  <x:si>
    <x:t xml:space="preserve">RSS / Feed Reader</x:t>
  </x:si>
  <x:si>
    <x:t xml:space="preserve">Stocks / Crypto Watchlist</x:t>
  </x:si>
  <x:si>
    <x:t xml:space="preserve">Sports / Fantasy</x:t>
  </x:si>
  <x:si>
    <x:t xml:space="preserve">Mini Browser / Embedded Web</x:t>
  </x:si>
  <x:si>
    <x:t xml:space="preserve">Post-It / Sticky Notes</x:t>
  </x:si>
  <x:si>
    <x:t xml:space="preserve">World Clock</x:t>
  </x:si>
  <x:si>
    <x:t xml:space="preserve">System Monitor</x:t>
  </x:si>
  <x:si>
    <x:t xml:space="preserve">Developer &amp; Governance</x:t>
  </x:si>
  <x:si>
    <x:t xml:space="preserve">App Permissions / Scopes</x:t>
  </x:si>
  <x:si>
    <x:t xml:space="preserve">Private / Sideloaded Apps</x:t>
  </x:si>
  <x:si>
    <x:t xml:space="preserve">Paid Apps / In-App Purchases</x:t>
  </x:si>
  <x:si>
    <x:t xml:space="preserve">Embedded App Notes</x:t>
  </x:si>
  <x:si>
    <x:t xml:space="preserve">Membership &amp; Communities</x:t>
  </x:si>
  <x:si>
    <x:t xml:space="preserve">Max Communities / Servers Joined (Free)</x:t>
  </x:si>
  <x:si>
    <x:t xml:space="preserve">Max Communities / Servers Joined (Paid)</x:t>
  </x:si>
  <x:si>
    <x:t xml:space="preserve">Max Members per Community (Free)</x:t>
  </x:si>
  <x:si>
    <x:t xml:space="preserve">Max Members per Community (Paid)</x:t>
  </x:si>
  <x:si>
    <x:t xml:space="preserve">Unlimited Members Available?</x:t>
  </x:si>
  <x:si>
    <x:t xml:space="preserve">Channels &amp; Roles</x:t>
  </x:si>
  <x:si>
    <x:t xml:space="preserve">Max Text Channels</x:t>
  </x:si>
  <x:si>
    <x:t xml:space="preserve">Max Voice Channels</x:t>
  </x:si>
  <x:si>
    <x:t xml:space="preserve">Max Total Channels</x:t>
  </x:si>
  <x:si>
    <x:t xml:space="preserve">Max Roles</x:t>
  </x:si>
  <x:si>
    <x:t xml:space="preserve">Max Categories / Channel Groups</x:t>
  </x:si>
  <x:si>
    <x:t xml:space="preserve">Customization Limits</x:t>
  </x:si>
  <x:si>
    <x:t xml:space="preserve">Custom Emoji Slots (Free)</x:t>
  </x:si>
  <x:si>
    <x:t xml:space="preserve">Custom Emoji Slots (Paid Max)</x:t>
  </x:si>
  <x:si>
    <x:t xml:space="preserve">Soundboard Slots (Free)</x:t>
  </x:si>
  <x:si>
    <x:t xml:space="preserve">Soundboard Slots (Paid Max)</x:t>
  </x:si>
  <x:si>
    <x:t xml:space="preserve">Sticker Slots (Free)</x:t>
  </x:si>
  <x:si>
    <x:t xml:space="preserve">Sticker Slots (Paid Max)</x:t>
  </x:si>
  <x:si>
    <x:t xml:space="preserve">Messaging &amp; Media Limits</x:t>
  </x:si>
  <x:si>
    <x:t xml:space="preserve">Message Length (Free)</x:t>
  </x:si>
  <x:si>
    <x:t xml:space="preserve">Message Length (Paid Max)</x:t>
  </x:si>
  <x:si>
    <x:t xml:space="preserve">Group DM Member Limit</x:t>
  </x:si>
  <x:si>
    <x:t xml:space="preserve">Webcam Participant Limit</x:t>
  </x:si>
  <x:si>
    <x:t xml:space="preserve">Concurrent Screen Share Limit</x:t>
  </x:si>
  <x:si>
    <x:t xml:space="preserve">Apps &amp; Automation</x:t>
  </x:si>
  <x:si>
    <x:t xml:space="preserve">Max Bots / Apps</x:t>
  </x:si>
  <x:si>
    <x:t xml:space="preserve">Max Incoming Webhooks</x:t>
  </x:si>
  <x:si>
    <x:t xml:space="preserve">Max Saved Layouts / Workspaces</x:t>
  </x:si>
  <x:si>
    <x:t xml:space="preserve">Source &amp; Notes</x:t>
  </x:si>
  <x:si>
    <x:t xml:space="preserve">Limits Source URL</x:t>
  </x:si>
  <x:si>
    <x:t xml:space="preserve">Limits Notes</x:t>
  </x:si>
  <x:si>
    <x:t xml:space="preserve">Additional Capacity Limits</x:t>
  </x:si>
  <x:si>
    <x:t xml:space="preserve">Max Forum Tags per Forum</x:t>
  </x:si>
  <x:si>
    <x:t xml:space="preserve">Max Scheduled Events</x:t>
  </x:si>
  <x:si>
    <x:t xml:space="preserve">Max Concurrent Voice Rooms</x:t>
  </x:si>
  <x:si>
    <x:t xml:space="preserve">Max Portals / Embedded Panels</x:t>
  </x:si>
  <x:si>
    <x:t xml:space="preserve">Voice Architecture (Persistent Rooms vs Ad-Hoc Calls)</x:t>
  </x:si>
  <x:si>
    <x:t xml:space="preserve">Audio Codec</x:t>
  </x:si>
  <x:si>
    <x:t xml:space="preserve">Max Audio Bitrate (kbps)</x:t>
  </x:si>
  <x:si>
    <x:t xml:space="preserve">Noise Suppression Engine (Krisp / RNNoise / WebRTC)</x:t>
  </x:si>
  <x:si>
    <x:t xml:space="preserve">Push-to-Talk Support</x:t>
  </x:si>
  <x:si>
    <x:t xml:space="preserve">Individual User Volume Control</x:t>
  </x:si>
  <x:si>
    <x:t xml:space="preserve">Spatial / Proximity Audio Support</x:t>
  </x:si>
  <x:si>
    <x:t xml:space="preserve">Stage Channels (Speaker vs Audience)</x:t>
  </x:si>
  <x:si>
    <x:t xml:space="preserve">Raise Hand / Speaking Requests</x:t>
  </x:si>
  <x:si>
    <x:t xml:space="preserve">Advanced Voice Controls</x:t>
  </x:si>
  <x:si>
    <x:t xml:space="preserve">DM Voice Calls?</x:t>
  </x:si>
  <x:si>
    <x:t xml:space="preserve">Group DM Voice Calls?</x:t>
  </x:si>
  <x:si>
    <x:t xml:space="preserve">Voice Activity?</x:t>
  </x:si>
  <x:si>
    <x:t xml:space="preserve">Echo Cancellation?</x:t>
  </x:si>
  <x:si>
    <x:t xml:space="preserve">Automatic Gain Control?</x:t>
  </x:si>
  <x:si>
    <x:t xml:space="preserve">Voice Recording Native?</x:t>
  </x:si>
  <x:si>
    <x:t xml:space="preserve">Voice Transcription Native?</x:t>
  </x:si>
  <x:si>
    <x:t xml:space="preserve">Temporary / Launcher Voice Rooms</x:t>
  </x:si>
  <x:si>
    <x:t xml:space="preserve">Voice Modes</x:t>
  </x:si>
  <x:si>
    <x:t xml:space="preserve">Persistent Voice Channels?</x:t>
  </x:si>
  <x:si>
    <x:t xml:space="preserve">Stage / Broadcast Voice?</x:t>
  </x:si>
  <x:si>
    <x:t xml:space="preserve">Speaker / Audience Roles?</x:t>
  </x:si>
  <x:si>
    <x:t xml:space="preserve">Raise Hand?</x:t>
  </x:si>
  <x:si>
    <x:t xml:space="preserve">Audio Quality</x:t>
  </x:si>
  <x:si>
    <x:t xml:space="preserve">Free / Base Voice Bitrate (kbps)</x:t>
  </x:si>
  <x:si>
    <x:t xml:space="preserve">Paid / Boost Max Voice Bitrate (kbps)</x:t>
  </x:si>
  <x:si>
    <x:t xml:space="preserve">Voice Bitrate User-Selectable?</x:t>
  </x:si>
  <x:si>
    <x:t xml:space="preserve">Controls</x:t>
  </x:si>
  <x:si>
    <x:t xml:space="preserve">Push-to-Talk?</x:t>
  </x:si>
  <x:si>
    <x:t xml:space="preserve">Per-User Volume?</x:t>
  </x:si>
  <x:si>
    <x:t xml:space="preserve">Input Gain Control?</x:t>
  </x:si>
  <x:si>
    <x:t xml:space="preserve">Processing</x:t>
  </x:si>
  <x:si>
    <x:t xml:space="preserve">Noise Suppression?</x:t>
  </x:si>
  <x:si>
    <x:t xml:space="preserve">Noise Suppression Engine</x:t>
  </x:si>
  <x:si>
    <x:t xml:space="preserve">Special Audio</x:t>
  </x:si>
  <x:si>
    <x:t xml:space="preserve">Spatial Audio?</x:t>
  </x:si>
  <x:si>
    <x:t xml:space="preserve">Proximity Audio?</x:t>
  </x:si>
  <x:si>
    <x:t xml:space="preserve">Voice Source URL</x:t>
  </x:si>
  <x:si>
    <x:t xml:space="preserve">Voice Notes</x:t>
  </x:si>
  <x:si>
    <x:t xml:space="preserve">Voice Experience Extras</x:t>
  </x:si>
  <x:si>
    <x:t xml:space="preserve">Voice Overlay?</x:t>
  </x:si>
  <x:si>
    <x:t xml:space="preserve">Temporary / Launcher Voice Rooms?</x:t>
  </x:si>
  <x:si>
    <x:t xml:space="preserve">Music / High-Fidelity Mode?</x:t>
  </x:si>
  <x:si>
    <x:t xml:space="preserve">Voice Changer Native?</x:t>
  </x:si>
  <x:si>
    <x:t xml:space="preserve">Free Screen Share Max Resolution</x:t>
  </x:si>
  <x:si>
    <x:t xml:space="preserve">Free Screen Share Max FPS</x:t>
  </x:si>
  <x:si>
    <x:t xml:space="preserve">Paid / Boost Screen Share Max</x:t>
  </x:si>
  <x:si>
    <x:t xml:space="preserve">Application Audio Capture</x:t>
  </x:si>
  <x:si>
    <x:t xml:space="preserve">System Audio Capture</x:t>
  </x:si>
  <x:si>
    <x:t xml:space="preserve">Simultaneous Multi-Stream Viewing</x:t>
  </x:si>
  <x:si>
    <x:t xml:space="preserve">Webcam Grid Limit</x:t>
  </x:si>
  <x:si>
    <x:t xml:space="preserve">Stage Presentation Mode</x:t>
  </x:si>
  <x:si>
    <x:t xml:space="preserve">Capture, Mobile &amp; Multi-Stream</x:t>
  </x:si>
  <x:si>
    <x:t xml:space="preserve">Application Audio Capture?</x:t>
  </x:si>
  <x:si>
    <x:t xml:space="preserve">System Audio Capture?</x:t>
  </x:si>
  <x:si>
    <x:t xml:space="preserve">Linux Screen Audio?</x:t>
  </x:si>
  <x:si>
    <x:t xml:space="preserve">Mobile Screen Share?</x:t>
  </x:si>
  <x:si>
    <x:t xml:space="preserve">Multiple Concurrent Screen Shares?</x:t>
  </x:si>
  <x:si>
    <x:t xml:space="preserve">Simultaneous Multi-Stream Viewing?</x:t>
  </x:si>
  <x:si>
    <x:t xml:space="preserve">Stage / Presentation Mode?</x:t>
  </x:si>
  <x:si>
    <x:t xml:space="preserve">Core Availability</x:t>
  </x:si>
  <x:si>
    <x:t xml:space="preserve">Webcam Video Available?</x:t>
  </x:si>
  <x:si>
    <x:t xml:space="preserve">Screen Share Available?</x:t>
  </x:si>
  <x:si>
    <x:t xml:space="preserve">Screen Share Available on Free Plan?</x:t>
  </x:si>
  <x:si>
    <x:t xml:space="preserve">Resolution Entitlements</x:t>
  </x:si>
  <x:si>
    <x:t xml:space="preserve">480p Available?</x:t>
  </x:si>
  <x:si>
    <x:t xml:space="preserve">480p Access (Free / Paid / Configurable)</x:t>
  </x:si>
  <x:si>
    <x:t xml:space="preserve">720p Available?</x:t>
  </x:si>
  <x:si>
    <x:t xml:space="preserve">720p Access (Free / Paid / Configurable)</x:t>
  </x:si>
  <x:si>
    <x:t xml:space="preserve">720p Max FPS</x:t>
  </x:si>
  <x:si>
    <x:t xml:space="preserve">1080p Available?</x:t>
  </x:si>
  <x:si>
    <x:t xml:space="preserve">1080p Access (Free / Paid / Configurable)</x:t>
  </x:si>
  <x:si>
    <x:t xml:space="preserve">1080p Max FPS</x:t>
  </x:si>
  <x:si>
    <x:t xml:space="preserve">1440p Available?</x:t>
  </x:si>
  <x:si>
    <x:t xml:space="preserve">1440p Access (Free / Paid / Configurable)</x:t>
  </x:si>
  <x:si>
    <x:t xml:space="preserve">1440p Max FPS</x:t>
  </x:si>
  <x:si>
    <x:t xml:space="preserve">4K Available?</x:t>
  </x:si>
  <x:si>
    <x:t xml:space="preserve">4K Access (Free / Paid / Configurable)</x:t>
  </x:si>
  <x:si>
    <x:t xml:space="preserve">4K Max FPS</x:t>
  </x:si>
  <x:si>
    <x:t xml:space="preserve">Frame Rate Entitlements</x:t>
  </x:si>
  <x:si>
    <x:t xml:space="preserve">30 FPS Available?</x:t>
  </x:si>
  <x:si>
    <x:t xml:space="preserve">30 FPS Access</x:t>
  </x:si>
  <x:si>
    <x:t xml:space="preserve">60 FPS Available?</x:t>
  </x:si>
  <x:si>
    <x:t xml:space="preserve">60 FPS Access</x:t>
  </x:si>
  <x:si>
    <x:t xml:space="preserve">120 FPS Available?</x:t>
  </x:si>
  <x:si>
    <x:t xml:space="preserve">120 FPS Access</x:t>
  </x:si>
  <x:si>
    <x:t xml:space="preserve">Maximums</x:t>
  </x:si>
  <x:si>
    <x:t xml:space="preserve">Free Max Resolution</x:t>
  </x:si>
  <x:si>
    <x:t xml:space="preserve">Free Max FPS</x:t>
  </x:si>
  <x:si>
    <x:t xml:space="preserve">Absolute Max Resolution</x:t>
  </x:si>
  <x:si>
    <x:t xml:space="preserve">Absolute Max FPS</x:t>
  </x:si>
  <x:si>
    <x:t xml:space="preserve">Paid Tier Needed for Absolute Max</x:t>
  </x:si>
  <x:si>
    <x:t xml:space="preserve">Capture &amp; Viewing</x:t>
  </x:si>
  <x:si>
    <x:t xml:space="preserve">Max Concurrent Screen Shares</x:t>
  </x:si>
  <x:si>
    <x:t xml:space="preserve">Screen Share Source URL</x:t>
  </x:si>
  <x:si>
    <x:t xml:space="preserve">Screen Share Notes</x:t>
  </x:si>
  <x:si>
    <x:t xml:space="preserve">Delivery &amp; Experience</x:t>
  </x:si>
  <x:si>
    <x:t xml:space="preserve">Picture-in-Picture / Pop-Out Viewing?</x:t>
  </x:si>
  <x:si>
    <x:t xml:space="preserve">Adaptive Quality / Congestion Control?</x:t>
  </x:si>
  <x:si>
    <x:t xml:space="preserve">Hardware-Accelerated Encoding?</x:t>
  </x:si>
  <x:si>
    <x:t xml:space="preserve">Synchronized Watch Party?</x:t>
  </x:si>
  <x:si>
    <x:t xml:space="preserve">DM Calls</x:t>
  </x:si>
  <x:si>
    <x:t xml:space="preserve">Group Calls</x:t>
  </x:si>
  <x:si>
    <x:t xml:space="preserve">Media Backend / SFU</x:t>
  </x:si>
  <x:si>
    <x:t xml:space="preserve">Free / Base Audio Bitrate</x:t>
  </x:si>
  <x:si>
    <x:t xml:space="preserve">Maximum Audio Bitrate</x:t>
  </x:si>
  <x:si>
    <x:t xml:space="preserve">Push-to-Talk</x:t>
  </x:si>
  <x:si>
    <x:t xml:space="preserve">Per-User Volume</x:t>
  </x:si>
  <x:si>
    <x:t xml:space="preserve">Noise Suppression</x:t>
  </x:si>
  <x:si>
    <x:t xml:space="preserve">Spatial / Proximity Audio</x:t>
  </x:si>
  <x:si>
    <x:t xml:space="preserve">Stage / Broadcast Mode</x:t>
  </x:si>
  <x:si>
    <x:t xml:space="preserve">Raise Hand / Speaker Requests</x:t>
  </x:si>
  <x:si>
    <x:t xml:space="preserve">Webcam Video</x:t>
  </x:si>
  <x:si>
    <x:t xml:space="preserve">Screen Sharing</x:t>
  </x:si>
  <x:si>
    <x:t xml:space="preserve">Free Screen Share Resolution</x:t>
  </x:si>
  <x:si>
    <x:t xml:space="preserve">Free Screen Share FPS</x:t>
  </x:si>
  <x:si>
    <x:t xml:space="preserve">Linux Screen Audio</x:t>
  </x:si>
  <x:si>
    <x:t xml:space="preserve">Mobile Screen Share</x:t>
  </x:si>
  <x:si>
    <x:t xml:space="preserve">Multiple Concurrent Screen Shares</x:t>
  </x:si>
  <x:si>
    <x:t xml:space="preserve">Multi-Stream Viewing</x:t>
  </x:si>
  <x:si>
    <x:t xml:space="preserve">Media Notes</x:t>
  </x:si>
  <x:si>
    <x:t xml:space="preserve">Advanced Media Experience</x:t>
  </x:si>
  <x:si>
    <x:t xml:space="preserve">Voice Room Launcher / Auto-Delete Rooms</x:t>
  </x:si>
  <x:si>
    <x:t xml:space="preserve">Watch Party / Synchronized Co-Watching</x:t>
  </x:si>
  <x:si>
    <x:t xml:space="preserve">High-Fidelity / Music Mode</x:t>
  </x:si>
  <x:si>
    <x:t xml:space="preserve">Uploads</x:t>
  </x:si>
  <x:si>
    <x:t xml:space="preserve">File Uploads Supported?</x:t>
  </x:si>
  <x:si>
    <x:t xml:space="preserve">Free Max File Upload (MB)</x:t>
  </x:si>
  <x:si>
    <x:t xml:space="preserve">Paid Max File Upload (MB)</x:t>
  </x:si>
  <x:si>
    <x:t xml:space="preserve">Absolute Max File Upload (MB)</x:t>
  </x:si>
  <x:si>
    <x:t xml:space="preserve">Max Files Per Message</x:t>
  </x:si>
  <x:si>
    <x:t xml:space="preserve">Image Upload Max (MB)</x:t>
  </x:si>
  <x:si>
    <x:t xml:space="preserve">Video Upload Max (MB)</x:t>
  </x:si>
  <x:si>
    <x:t xml:space="preserve">Other File Upload Max (MB)</x:t>
  </x:si>
  <x:si>
    <x:t xml:space="preserve">Soundboard Clip Max (MB)</x:t>
  </x:si>
  <x:si>
    <x:t xml:space="preserve">Storage</x:t>
  </x:si>
  <x:si>
    <x:t xml:space="preserve">Free Total Storage</x:t>
  </x:si>
  <x:si>
    <x:t xml:space="preserve">Paid Total Storage</x:t>
  </x:si>
  <x:si>
    <x:t xml:space="preserve">Per-User Storage Quota</x:t>
  </x:si>
  <x:si>
    <x:t xml:space="preserve">Per-Community Storage Quota</x:t>
  </x:si>
  <x:si>
    <x:t xml:space="preserve">Storage Quota Self-Host Configurable?</x:t>
  </x:si>
  <x:si>
    <x:t xml:space="preserve">History &amp; Retention</x:t>
  </x:si>
  <x:si>
    <x:t xml:space="preserve">Free Message History Limit</x:t>
  </x:si>
  <x:si>
    <x:t xml:space="preserve">Paid Message History Limit</x:t>
  </x:si>
  <x:si>
    <x:t xml:space="preserve">Attachment Retention</x:t>
  </x:si>
  <x:si>
    <x:t xml:space="preserve">Deleted Attachment Retention</x:t>
  </x:si>
  <x:si>
    <x:t xml:space="preserve">Media Handling</x:t>
  </x:si>
  <x:si>
    <x:t xml:space="preserve">CDN / Media Proxy?</x:t>
  </x:si>
  <x:si>
    <x:t xml:space="preserve">EXIF Scrubbing?</x:t>
  </x:si>
  <x:si>
    <x:t xml:space="preserve">Attachment Export?</x:t>
  </x:si>
  <x:si>
    <x:t xml:space="preserve">Inline Preview?</x:t>
  </x:si>
  <x:si>
    <x:t xml:space="preserve">File / Storage Source URL</x:t>
  </x:si>
  <x:si>
    <x:t xml:space="preserve">File / Storage Notes</x:t>
  </x:si>
  <x:si>
    <x:t xml:space="preserve">File Security &amp; Management</x:t>
  </x:si>
  <x:si>
    <x:t xml:space="preserve">Malware / Virus Scanning?</x:t>
  </x:si>
  <x:si>
    <x:t xml:space="preserve">File Type Restrictions Configurable?</x:t>
  </x:si>
  <x:si>
    <x:t xml:space="preserve">Per-Channel Retention Policy?</x:t>
  </x:si>
  <x:si>
    <x:t xml:space="preserve">Object Storage Backend Self-Host Configurable?</x:t>
  </x:si>
  <x:si>
    <x:t xml:space="preserve">Platform / Protocol Identity</x:t>
  </x:si>
  <x:si>
    <x:t xml:space="preserve">Examples of Other Clients</x:t>
  </x:si>
  <x:si>
    <x:t xml:space="preserve">Account / Identity Hosted By</x:t>
  </x:si>
  <x:si>
    <x:t xml:space="preserve">Server / Homeserver Implementation(s)</x:t>
  </x:si>
  <x:si>
    <x:t xml:space="preserve">First-Party Hosted Service</x:t>
  </x:si>
  <x:si>
    <x:t xml:space="preserve">Independent Instances</x:t>
  </x:si>
  <x:si>
    <x:t xml:space="preserve">Cross-Instance Rooms / Communities</x:t>
  </x:si>
  <x:si>
    <x:t xml:space="preserve">Cross-Instance Identity / Account Portability</x:t>
  </x:si>
  <x:si>
    <x:t xml:space="preserve">Discord API Compatibility</x:t>
  </x:si>
  <x:si>
    <x:t xml:space="preserve">Governance / Stewardship</x:t>
  </x:si>
  <x:si>
    <x:t xml:space="preserve">Operational Ecosystem</x:t>
  </x:si>
  <x:si>
    <x:t xml:space="preserve">Central Account Required for Hosted Service</x:t>
  </x:si>
  <x:si>
    <x:t xml:space="preserve">Custom Domain / Branded Deployment</x:t>
  </x:si>
  <x:si>
    <x:t xml:space="preserve">Cross-Platform Bridge Ecosystem</x:t>
  </x:si>
  <x:si>
    <x:t xml:space="preserve">Hosting Architecture (Centralized / Federated / Self-Hosted / P2P)</x:t>
  </x:si>
  <x:si>
    <x:t xml:space="preserve">Federation / Network Protocol</x:t>
  </x:si>
  <x:si>
    <x:t xml:space="preserve">Client License (FOSS / Proprietary)</x:t>
  </x:si>
  <x:si>
    <x:t xml:space="preserve">Server License (FOSS / Proprietary)</x:t>
  </x:si>
  <x:si>
    <x:t xml:space="preserve">Docker / Container Support</x:t>
  </x:si>
  <x:si>
    <x:t xml:space="preserve">Deployment &amp; Network Model</x:t>
  </x:si>
  <x:si>
    <x:t xml:space="preserve">Centralized Hosted Service?</x:t>
  </x:si>
  <x:si>
    <x:t xml:space="preserve">Self-Hosting Supported?</x:t>
  </x:si>
  <x:si>
    <x:t xml:space="preserve">Peer-to-Peer?</x:t>
  </x:si>
  <x:si>
    <x:t xml:space="preserve">Public Protocol Specification?</x:t>
  </x:si>
  <x:si>
    <x:t xml:space="preserve">Official Docker Image?</x:t>
  </x:si>
  <x:si>
    <x:t xml:space="preserve">Topology</x:t>
  </x:si>
  <x:si>
    <x:t xml:space="preserve">Independent Instances?</x:t>
  </x:si>
  <x:si>
    <x:t xml:space="preserve">Cross-Instance Rooms / Communities?</x:t>
  </x:si>
  <x:si>
    <x:t xml:space="preserve">Cross-Instance DMs?</x:t>
  </x:si>
  <x:si>
    <x:t xml:space="preserve">Account Portable Across Instances?</x:t>
  </x:si>
  <x:si>
    <x:t xml:space="preserve">Protocol</x:t>
  </x:si>
  <x:si>
    <x:t xml:space="preserve">Primary Network Protocol</x:t>
  </x:si>
  <x:si>
    <x:t xml:space="preserve">Discord API Compatible?</x:t>
  </x:si>
  <x:si>
    <x:t xml:space="preserve">Code &amp; Licensing</x:t>
  </x:si>
  <x:si>
    <x:t xml:space="preserve">Client Source Available?</x:t>
  </x:si>
  <x:si>
    <x:t xml:space="preserve">Client License</x:t>
  </x:si>
  <x:si>
    <x:t xml:space="preserve">Server Source Available?</x:t>
  </x:si>
  <x:si>
    <x:t xml:space="preserve">Server License</x:t>
  </x:si>
  <x:si>
    <x:t xml:space="preserve">Deployment Requirements</x:t>
  </x:si>
  <x:si>
    <x:t xml:space="preserve">Docker Compose?</x:t>
  </x:si>
  <x:si>
    <x:t xml:space="preserve">Kubernetes Documentation?</x:t>
  </x:si>
  <x:si>
    <x:t xml:space="preserve">External Database Required?</x:t>
  </x:si>
  <x:si>
    <x:t xml:space="preserve">External Cache Required?</x:t>
  </x:si>
  <x:si>
    <x:t xml:space="preserve">Object Storage Required?</x:t>
  </x:si>
  <x:si>
    <x:t xml:space="preserve">Self-Host Setup Difficulty (1-5)</x:t>
  </x:si>
  <x:si>
    <x:t xml:space="preserve">Architecture Source / Notes</x:t>
  </x:si>
  <x:si>
    <x:t xml:space="preserve">Operations &amp; Scale</x:t>
  </x:si>
  <x:si>
    <x:t xml:space="preserve">High Availability Documented?</x:t>
  </x:si>
  <x:si>
    <x:t xml:space="preserve">Horizontal Scaling Documented?</x:t>
  </x:si>
  <x:si>
    <x:t xml:space="preserve">Backup / Restore Documentation?</x:t>
  </x:si>
  <x:si>
    <x:t xml:space="preserve">Built-In Metrics / Observability?</x:t>
  </x:si>
  <x:si>
    <x:t xml:space="preserve">SMTP / Email Service Required?</x:t>
  </x:si>
  <x:si>
    <x:t xml:space="preserve">Web Client</x:t>
  </x:si>
  <x:si>
    <x:t xml:space="preserve">Desktop Client</x:t>
  </x:si>
  <x:si>
    <x:t xml:space="preserve">Desktop Framework</x:t>
  </x:si>
  <x:si>
    <x:t xml:space="preserve">Windows Support</x:t>
  </x:si>
  <x:si>
    <x:t xml:space="preserve">macOS Support</x:t>
  </x:si>
  <x:si>
    <x:t xml:space="preserve">Linux Support</x:t>
  </x:si>
  <x:si>
    <x:t xml:space="preserve">Android Support</x:t>
  </x:si>
  <x:si>
    <x:t xml:space="preserve">iOS Support</x:t>
  </x:si>
  <x:si>
    <x:t xml:space="preserve">PWA</x:t>
  </x:si>
  <x:si>
    <x:t xml:space="preserve">Mobile Feature Parity</x:t>
  </x:si>
  <x:si>
    <x:t xml:space="preserve">Official Client Can Select Custom Instance</x:t>
  </x:si>
  <x:si>
    <x:t xml:space="preserve">Third-Party Clients</x:t>
  </x:si>
  <x:si>
    <x:t xml:space="preserve">Multi-Account UX</x:t>
  </x:si>
  <x:si>
    <x:t xml:space="preserve">Multiple Server / Instance UX</x:t>
  </x:si>
  <x:si>
    <x:t xml:space="preserve">Client Plugins / Modding</x:t>
  </x:si>
  <x:si>
    <x:t xml:space="preserve">Push Notification Model</x:t>
  </x:si>
  <x:si>
    <x:t xml:space="preserve">Client Notes</x:t>
  </x:si>
  <x:si>
    <x:t xml:space="preserve">Desktop &amp; Packaging Detail</x:t>
  </x:si>
  <x:si>
    <x:t xml:space="preserve">Portable / Standalone Desktop Build</x:t>
  </x:si>
  <x:si>
    <x:t xml:space="preserve">ARM Desktop Support</x:t>
  </x:si>
  <x:si>
    <x:t xml:space="preserve">Automatic Updates</x:t>
  </x:si>
  <x:si>
    <x:t xml:space="preserve">System Tray / Background Mode</x:t>
  </x:si>
  <x:si>
    <x:t xml:space="preserve">Desktop Client Framework (Native Rust/Qt vs Electron vs PWA)</x:t>
  </x:si>
  <x:si>
    <x:t xml:space="preserve">Idle Desktop RAM Usage (MB)</x:t>
  </x:si>
  <x:si>
    <x:t xml:space="preserve">Linux Support (Flatpak / Deb / AUR)</x:t>
  </x:si>
  <x:si>
    <x:t xml:space="preserve">Mobile App Feature Parity</x:t>
  </x:si>
  <x:si>
    <x:t xml:space="preserve">Android Distribution (Play Store / F-Droid / APK)</x:t>
  </x:si>
  <x:si>
    <x:t xml:space="preserve">iOS Distribution (App Store / TestFlight / Sideload)</x:t>
  </x:si>
  <x:si>
    <x:t xml:space="preserve">Push Notification Engine (FCM / APNs / UnifiedPush / Polling)</x:t>
  </x:si>
  <x:si>
    <x:t xml:space="preserve">Client Delivery &amp; Runtime</x:t>
  </x:si>
  <x:si>
    <x:t xml:space="preserve">Auto-Update Delivery</x:t>
  </x:si>
  <x:si>
    <x:t xml:space="preserve">Hardware Acceleration Controls</x:t>
  </x:si>
  <x:si>
    <x:t xml:space="preserve">Signup Requirements</x:t>
  </x:si>
  <x:si>
    <x:t xml:space="preserve">Username Required?</x:t>
  </x:si>
  <x:si>
    <x:t xml:space="preserve">Password Required?</x:t>
  </x:si>
  <x:si>
    <x:t xml:space="preserve">Email Required?</x:t>
  </x:si>
  <x:si>
    <x:t xml:space="preserve">Phone Required?</x:t>
  </x:si>
  <x:si>
    <x:t xml:space="preserve">Date of Birth Required?</x:t>
  </x:si>
  <x:si>
    <x:t xml:space="preserve">Government ID / Age Verification Possible?</x:t>
  </x:si>
  <x:si>
    <x:t xml:space="preserve">Cryptographic Keypair / Secret Required?</x:t>
  </x:si>
  <x:si>
    <x:t xml:space="preserve">Access &amp; Recovery</x:t>
  </x:si>
  <x:si>
    <x:t xml:space="preserve">Guest / No-Account Access?</x:t>
  </x:si>
  <x:si>
    <x:t xml:space="preserve">Account Recovery Method</x:t>
  </x:si>
  <x:si>
    <x:t xml:space="preserve">Password Reset Available?</x:t>
  </x:si>
  <x:si>
    <x:t xml:space="preserve">Recovery Without Email/Phone?</x:t>
  </x:si>
  <x:si>
    <x:t xml:space="preserve">Identity Model</x:t>
  </x:si>
  <x:si>
    <x:t xml:space="preserve">Global Unique Username?</x:t>
  </x:si>
  <x:si>
    <x:t xml:space="preserve">Display Name Separate from Username?</x:t>
  </x:si>
  <x:si>
    <x:t xml:space="preserve">Per-Community Profile?</x:t>
  </x:si>
  <x:si>
    <x:t xml:space="preserve">Multiple Accounts Supported?</x:t>
  </x:si>
  <x:si>
    <x:t xml:space="preserve">Account Switcher Max Accounts</x:t>
  </x:si>
  <x:si>
    <x:t xml:space="preserve">Identity Portable Across Servers / Instances?</x:t>
  </x:si>
  <x:si>
    <x:t xml:space="preserve">Account Lifecycle</x:t>
  </x:si>
  <x:si>
    <x:t xml:space="preserve">Minimum Age</x:t>
  </x:si>
  <x:si>
    <x:t xml:space="preserve">Self-Service Account Deletion?</x:t>
  </x:si>
  <x:si>
    <x:t xml:space="preserve">Account Deletion Retention</x:t>
  </x:si>
  <x:si>
    <x:t xml:space="preserve">Inactive Account Deletion Policy</x:t>
  </x:si>
  <x:si>
    <x:t xml:space="preserve">Account / Identity Source URL</x:t>
  </x:si>
  <x:si>
    <x:t xml:space="preserve">Account / Identity Notes</x:t>
  </x:si>
  <x:si>
    <x:t xml:space="preserve">Authentication &amp; Session Security</x:t>
  </x:si>
  <x:si>
    <x:t xml:space="preserve">Two-Factor Authentication (TOTP)?</x:t>
  </x:si>
  <x:si>
    <x:t xml:space="preserve">Passkeys / WebAuthn?</x:t>
  </x:si>
  <x:si>
    <x:t xml:space="preserve">SAML / Enterprise SSO?</x:t>
  </x:si>
  <x:si>
    <x:t xml:space="preserve">OIDC / OAuth Login?</x:t>
  </x:si>
  <x:si>
    <x:t xml:space="preserve">Active Session / Device Management?</x:t>
  </x:si>
  <x:si>
    <x:t xml:space="preserve">Discord Server Importer (Channels / Roles / Emotes)</x:t>
  </x:si>
  <x:si>
    <x:t xml:space="preserve">Full Chat History Export (JSON / CSV / HTML)</x:t>
  </x:si>
  <x:si>
    <x:t xml:space="preserve">Media / Attachment Backup &amp; Export</x:t>
  </x:si>
  <x:si>
    <x:t xml:space="preserve">Native Discord Bridge Support</x:t>
  </x:si>
  <x:si>
    <x:t xml:space="preserve">Matrix Bridge / Appservice Support</x:t>
  </x:si>
  <x:si>
    <x:t xml:space="preserve">IRC Relay Bridge Support</x:t>
  </x:si>
  <x:si>
    <x:t xml:space="preserve">Multi-Server / Account Switching UX</x:t>
  </x:si>
  <x:si>
    <x:t xml:space="preserve">Migration Depth</x:t>
  </x:si>
  <x:si>
    <x:t xml:space="preserve">Discord Permission Import</x:t>
  </x:si>
  <x:si>
    <x:t xml:space="preserve">Discord Emoji / Sticker Import</x:t>
  </x:si>
  <x:si>
    <x:t xml:space="preserve">Discord Message History Import</x:t>
  </x:si>
  <x:si>
    <x:t xml:space="preserve">Discord Attachment Import</x:t>
  </x:si>
  <x:si>
    <x:t xml:space="preserve">Account Portability</x:t>
  </x:si>
  <x:si>
    <x:t xml:space="preserve">Discord Webhook Compatibility</x:t>
  </x:si>
  <x:si>
    <x:t xml:space="preserve">Discord Server Template Import</x:t>
  </x:si>
  <x:si>
    <x:t xml:space="preserve">Discord Channels Import</x:t>
  </x:si>
  <x:si>
    <x:t xml:space="preserve">Discord Roles Import</x:t>
  </x:si>
  <x:si>
    <x:t xml:space="preserve">User Data Export</x:t>
  </x:si>
  <x:si>
    <x:t xml:space="preserve">Export Format</x:t>
  </x:si>
  <x:si>
    <x:t xml:space="preserve">Attachment Export</x:t>
  </x:si>
  <x:si>
    <x:t xml:space="preserve">Native Bridge / Appservice Framework</x:t>
  </x:si>
  <x:si>
    <x:t xml:space="preserve">Discord Bridge</x:t>
  </x:si>
  <x:si>
    <x:t xml:space="preserve">Matrix Bridge</x:t>
  </x:si>
  <x:si>
    <x:t xml:space="preserve">IRC Bridge</x:t>
  </x:si>
  <x:si>
    <x:t xml:space="preserve">Federation / Cross-Instance Interop</x:t>
  </x:si>
  <x:si>
    <x:t xml:space="preserve">Client Portability</x:t>
  </x:si>
  <x:si>
    <x:t xml:space="preserve">Interop Notes</x:t>
  </x:si>
  <x:si>
    <x:t xml:space="preserve">Additional Migration Objects</x:t>
  </x:si>
  <x:si>
    <x:t xml:space="preserve">Discord Categories Import</x:t>
  </x:si>
  <x:si>
    <x:t xml:space="preserve">Discord Forum Tags Import</x:t>
  </x:si>
  <x:si>
    <x:t xml:space="preserve">Discord Webhook Format Compatibility</x:t>
  </x:si>
  <x:si>
    <x:t xml:space="preserve">Self-Host to Hosted Migration Tooling</x:t>
  </x:si>
  <x:si>
    <x:t xml:space="preserve">Encryption in Transit (TLS 1.3)</x:t>
  </x:si>
  <x:si>
    <x:t xml:space="preserve">E2EE 1:1 DMs</x:t>
  </x:si>
  <x:si>
    <x:t xml:space="preserve">E2EE Group DMs</x:t>
  </x:si>
  <x:si>
    <x:t xml:space="preserve">E2EE Channels / Rooms</x:t>
  </x:si>
  <x:si>
    <x:t xml:space="preserve">E2EE Voice &amp; Video</x:t>
  </x:si>
  <x:si>
    <x:t xml:space="preserve">Mandatory Signup Credentials (Phone / Email / Keypair)</x:t>
  </x:si>
  <x:si>
    <x:t xml:space="preserve">Metadata Retention Policy</x:t>
  </x:si>
  <x:si>
    <x:t xml:space="preserve">IP Address Logging Policy</x:t>
  </x:si>
  <x:si>
    <x:t xml:space="preserve">EXIF Scrubbing on Uploads</x:t>
  </x:si>
  <x:si>
    <x:t xml:space="preserve">Server Jurisdiction / Location</x:t>
  </x:si>
  <x:si>
    <x:t xml:space="preserve">Privacy Operations</x:t>
  </x:si>
  <x:si>
    <x:t xml:space="preserve">Encryption at Rest?</x:t>
  </x:si>
  <x:si>
    <x:t xml:space="preserve">Can Service / Server Read Text?</x:t>
  </x:si>
  <x:si>
    <x:t xml:space="preserve">IP Address Collected?</x:t>
  </x:si>
  <x:si>
    <x:t xml:space="preserve">IP Retention Window</x:t>
  </x:si>
  <x:si>
    <x:t xml:space="preserve">Data Region Selectable?</x:t>
  </x:si>
  <x:si>
    <x:t xml:space="preserve">Text 1:1 DM E2EE</x:t>
  </x:si>
  <x:si>
    <x:t xml:space="preserve">Group DM E2EE</x:t>
  </x:si>
  <x:si>
    <x:t xml:space="preserve">Community / Channel Text E2EE</x:t>
  </x:si>
  <x:si>
    <x:t xml:space="preserve">Voice E2EE</x:t>
  </x:si>
  <x:si>
    <x:t xml:space="preserve">Video E2EE</x:t>
  </x:si>
  <x:si>
    <x:t xml:space="preserve">Screen Share E2EE</x:t>
  </x:si>
  <x:si>
    <x:t xml:space="preserve">Encryption Default / Optional</x:t>
  </x:si>
  <x:si>
    <x:t xml:space="preserve">Can Hosted Server / Operator Read Text?</x:t>
  </x:si>
  <x:si>
    <x:t xml:space="preserve">Key Ownership / Storage</x:t>
  </x:si>
  <x:si>
    <x:t xml:space="preserve">Forward Secrecy / Ratcheting</x:t>
  </x:si>
  <x:si>
    <x:t xml:space="preserve">Multi-Device E2EE</x:t>
  </x:si>
  <x:si>
    <x:t xml:space="preserve">Metadata Protected by E2EE?</x:t>
  </x:si>
  <x:si>
    <x:t xml:space="preserve">Public Cryptographic Design</x:t>
  </x:si>
  <x:si>
    <x:t xml:space="preserve">Independent Cryptographic Audit</x:t>
  </x:si>
  <x:si>
    <x:t xml:space="preserve">Encryption Scope Notes</x:t>
  </x:si>
  <x:si>
    <x:t xml:space="preserve">Key Management &amp; Encrypted Content</x:t>
  </x:si>
  <x:si>
    <x:t xml:space="preserve">Encrypted Attachments / Media with E2EE</x:t>
  </x:si>
  <x:si>
    <x:t xml:space="preserve">Device Verification / Trust UX</x:t>
  </x:si>
  <x:si>
    <x:t xml:space="preserve">Encrypted Backup / Key Recovery</x:t>
  </x:si>
  <x:si>
    <x:t xml:space="preserve">Server-Side Search Works on E2EE Text</x:t>
  </x:si>
  <x:si>
    <x:t xml:space="preserve">Transport &amp; Storage</x:t>
  </x:si>
  <x:si>
    <x:t xml:space="preserve">TLS in Transit?</x:t>
  </x:si>
  <x:si>
    <x:t xml:space="preserve">TLS 1.3 Explicitly Documented?</x:t>
  </x:si>
  <x:si>
    <x:t xml:space="preserve">Text E2EE</x:t>
  </x:si>
  <x:si>
    <x:t xml:space="preserve">1:1 DM Text E2EE?</x:t>
  </x:si>
  <x:si>
    <x:t xml:space="preserve">Group DM Text E2EE?</x:t>
  </x:si>
  <x:si>
    <x:t xml:space="preserve">Private Channel Text E2EE?</x:t>
  </x:si>
  <x:si>
    <x:t xml:space="preserve">Public Channel Text E2EE?</x:t>
  </x:si>
  <x:si>
    <x:t xml:space="preserve">E2EE Default or Optional</x:t>
  </x:si>
  <x:si>
    <x:t xml:space="preserve">Media E2EE</x:t>
  </x:si>
  <x:si>
    <x:t xml:space="preserve">Voice E2EE?</x:t>
  </x:si>
  <x:si>
    <x:t xml:space="preserve">Video E2EE?</x:t>
  </x:si>
  <x:si>
    <x:t xml:space="preserve">Screen Share E2EE?</x:t>
  </x:si>
  <x:si>
    <x:t xml:space="preserve">Key &amp; Crypto Model</x:t>
  </x:si>
  <x:si>
    <x:t xml:space="preserve">Client-Held Keys?</x:t>
  </x:si>
  <x:si>
    <x:t xml:space="preserve">Multi-Device E2EE?</x:t>
  </x:si>
  <x:si>
    <x:t xml:space="preserve">Forward Secrecy / Ratcheting?</x:t>
  </x:si>
  <x:si>
    <x:t xml:space="preserve">Metadata Hidden by E2EE?</x:t>
  </x:si>
  <x:si>
    <x:t xml:space="preserve">Public Crypto Design?</x:t>
  </x:si>
  <x:si>
    <x:t xml:space="preserve">Independent Crypto Audit?</x:t>
  </x:si>
  <x:si>
    <x:t xml:space="preserve">Voice Stored?</x:t>
  </x:si>
  <x:si>
    <x:t xml:space="preserve">Video Stored?</x:t>
  </x:si>
  <x:si>
    <x:t xml:space="preserve">Message Retention Default</x:t>
  </x:si>
  <x:si>
    <x:t xml:space="preserve">Deleted Message Retention</x:t>
  </x:si>
  <x:si>
    <x:t xml:space="preserve">Security / Privacy Notes</x:t>
  </x:si>
  <x:si>
    <x:t xml:space="preserve">Account &amp; Platform Security</x:t>
  </x:si>
  <x:si>
    <x:t xml:space="preserve">2FA / TOTP Available?</x:t>
  </x:si>
  <x:si>
    <x:t xml:space="preserve">SSO / Enterprise Identity?</x:t>
  </x:si>
  <x:si>
    <x:t xml:space="preserve">Public Vulnerability Disclosure Policy?</x:t>
  </x:si>
  <x:si>
    <x:t xml:space="preserve">Security Advisories Published?</x:t>
  </x:si>
  <x:si>
    <x:t xml:space="preserve">Known Past CVEs / Exploits</x:t>
  </x:si>
  <x:si>
    <x:t xml:space="preserve">Data Breach / Leak History</x:t>
  </x:si>
  <x:si>
    <x:t xml:space="preserve">Independent Security Audits (Public / Private / None)</x:t>
  </x:si>
  <x:si>
    <x:t xml:space="preserve">Auditing Firm &amp; Date of Last Audit</x:t>
  </x:si>
  <x:si>
    <x:t xml:space="preserve">Active Bug Bounty Program</x:t>
  </x:si>
  <x:si>
    <x:t xml:space="preserve">Vulnerability Disclosure Responsiveness</x:t>
  </x:si>
  <x:si>
    <x:t xml:space="preserve">Security Program Maturity</x:t>
  </x:si>
  <x:si>
    <x:t xml:space="preserve">Public Security Advisory / CVE Process</x:t>
  </x:si>
  <x:si>
    <x:t xml:space="preserve">Independent Penetration Tests Published</x:t>
  </x:si>
  <x:si>
    <x:t xml:space="preserve">Release / Artifact Signing Documented</x:t>
  </x:si>
  <x:si>
    <x:t xml:space="preserve">SBOM / Supply-Chain Transparency</x:t>
  </x:si>
  <x:si>
    <x:t xml:space="preserve">Native AutoMod Engine</x:t>
  </x:si>
  <x:si>
    <x:t xml:space="preserve">Custom Keyword &amp; Regex Blocklists</x:t>
  </x:si>
  <x:si>
    <x:t xml:space="preserve">Anti-Spam &amp; Rate Limiting</x:t>
  </x:si>
  <x:si>
    <x:t xml:space="preserve">Anti-Raid / Mass Join Mitigation</x:t>
  </x:si>
  <x:si>
    <x:t xml:space="preserve">Audit Log Retention Period</x:t>
  </x:si>
  <x:si>
    <x:t xml:space="preserve">Audit Log Granularity &amp; Filtering</x:t>
  </x:si>
  <x:si>
    <x:t xml:space="preserve">New Member Screening / Gate</x:t>
  </x:si>
  <x:si>
    <x:t xml:space="preserve">Report Management Queue &amp; Mod Dashboard</x:t>
  </x:si>
  <x:si>
    <x:t xml:space="preserve">Moderator Workflow &amp; Enforcement</x:t>
  </x:si>
  <x:si>
    <x:t xml:space="preserve">Slowmode?</x:t>
  </x:si>
  <x:si>
    <x:t xml:space="preserve">Mention Spam Protection?</x:t>
  </x:si>
  <x:si>
    <x:t xml:space="preserve">Verification Levels?</x:t>
  </x:si>
  <x:si>
    <x:t xml:space="preserve">Rules Screening?</x:t>
  </x:si>
  <x:si>
    <x:t xml:space="preserve">Join Questions / Application?</x:t>
  </x:si>
  <x:si>
    <x:t xml:space="preserve">Ban?</x:t>
  </x:si>
  <x:si>
    <x:t xml:space="preserve">Kick?</x:t>
  </x:si>
  <x:si>
    <x:t xml:space="preserve">Timeout / Mute?</x:t>
  </x:si>
  <x:si>
    <x:t xml:space="preserve">Automated Moderation</x:t>
  </x:si>
  <x:si>
    <x:t xml:space="preserve">Native AutoMod?</x:t>
  </x:si>
  <x:si>
    <x:t xml:space="preserve">Custom Keyword Blocklist?</x:t>
  </x:si>
  <x:si>
    <x:t xml:space="preserve">Regex Blocklist?</x:t>
  </x:si>
  <x:si>
    <x:t xml:space="preserve">Link Filter?</x:t>
  </x:si>
  <x:si>
    <x:t xml:space="preserve">Message Spam Detection?</x:t>
  </x:si>
  <x:si>
    <x:t xml:space="preserve">Rate Limits?</x:t>
  </x:si>
  <x:si>
    <x:t xml:space="preserve">Raid / Join Protection</x:t>
  </x:si>
  <x:si>
    <x:t xml:space="preserve">Raid Detection?</x:t>
  </x:si>
  <x:si>
    <x:t xml:space="preserve">Mass-Join Protection?</x:t>
  </x:si>
  <x:si>
    <x:t xml:space="preserve">CAPTCHA / Challenge?</x:t>
  </x:si>
  <x:si>
    <x:t xml:space="preserve">Moderator Workflow</x:t>
  </x:si>
  <x:si>
    <x:t xml:space="preserve">Mod Queue?</x:t>
  </x:si>
  <x:si>
    <x:t xml:space="preserve">User Report Queue?</x:t>
  </x:si>
  <x:si>
    <x:t xml:space="preserve">AutoMod Alert Channel?</x:t>
  </x:si>
  <x:si>
    <x:t xml:space="preserve">Audit Log?</x:t>
  </x:si>
  <x:si>
    <x:t xml:space="preserve">Audit Retention Days</x:t>
  </x:si>
  <x:si>
    <x:t xml:space="preserve">Audit Search / Filtering?</x:t>
  </x:si>
  <x:si>
    <x:t xml:space="preserve">Core Actions</x:t>
  </x:si>
  <x:si>
    <x:t xml:space="preserve">Role-Based Moderation?</x:t>
  </x:si>
  <x:si>
    <x:t xml:space="preserve">Federated Ban Sharing?</x:t>
  </x:si>
  <x:si>
    <x:t xml:space="preserve">Moderation Notes</x:t>
  </x:si>
  <x:si>
    <x:t xml:space="preserve">Moderator Operations</x:t>
  </x:si>
  <x:si>
    <x:t xml:space="preserve">Bulk Moderation Actions?</x:t>
  </x:si>
  <x:si>
    <x:t xml:space="preserve">Deleted-Message Log?</x:t>
  </x:si>
  <x:si>
    <x:t xml:space="preserve">Edit History Lookup?</x:t>
  </x:si>
  <x:si>
    <x:t xml:space="preserve">Permission Audit Trail / Revert?</x:t>
  </x:si>
  <x:si>
    <x:t xml:space="preserve">Giveaway Abuse / Entry Controls?</x:t>
  </x:si>
  <x:si>
    <x:t xml:space="preserve">Project Age (Years / Months)</x:t>
  </x:si>
  <x:si>
    <x:t xml:space="preserve">Codebase Continuity (Original / Fork / Revived)</x:t>
  </x:si>
  <x:si>
    <x:t xml:space="preserve">Additional Project Health</x:t>
  </x:si>
  <x:si>
    <x:t xml:space="preserve">Former Name / Predecessor</x:t>
  </x:si>
  <x:si>
    <x:t xml:space="preserve">Governance Model</x:t>
  </x:si>
  <x:si>
    <x:t xml:space="preserve">Last Major Release Date</x:t>
  </x:si>
  <x:si>
    <x:t xml:space="preserve">Public Roadmap?</x:t>
  </x:si>
  <x:si>
    <x:t xml:space="preserve">Security Advisories?</x:t>
  </x:si>
  <x:si>
    <x:t xml:space="preserve">Timeline</x:t>
  </x:si>
  <x:si>
    <x:t xml:space="preserve">Inception Year</x:t>
  </x:si>
  <x:si>
    <x:t xml:space="preserve">Inception Month</x:t>
  </x:si>
  <x:si>
    <x:t xml:space="preserve">Exact Inception Date Known?</x:t>
  </x:si>
  <x:si>
    <x:t xml:space="preserve">Public Alpha Date</x:t>
  </x:si>
  <x:si>
    <x:t xml:space="preserve">Public Beta Date</x:t>
  </x:si>
  <x:si>
    <x:t xml:space="preserve">Stable / 1.0 Date</x:t>
  </x:si>
  <x:si>
    <x:t xml:space="preserve">Current State</x:t>
  </x:si>
  <x:si>
    <x:t xml:space="preserve">Current Lifecycle Stage</x:t>
  </x:si>
  <x:si>
    <x:t xml:space="preserve">Actively Developed?</x:t>
  </x:si>
  <x:si>
    <x:t xml:space="preserve">Organization</x:t>
  </x:si>
  <x:si>
    <x:t xml:space="preserve">Maintainer Structure</x:t>
  </x:si>
  <x:si>
    <x:t xml:space="preserve">Company Employee Count</x:t>
  </x:si>
  <x:si>
    <x:t xml:space="preserve">Original / Fork / Reimplementation</x:t>
  </x:si>
  <x:si>
    <x:t xml:space="preserve">Maintenance Signals</x:t>
  </x:si>
  <x:si>
    <x:t xml:space="preserve">Release Cadence</x:t>
  </x:si>
  <x:si>
    <x:t xml:space="preserve">Public Commit Activity</x:t>
  </x:si>
  <x:si>
    <x:t xml:space="preserve">Public Issue Tracker?</x:t>
  </x:si>
  <x:si>
    <x:t xml:space="preserve">Public Changelog?</x:t>
  </x:si>
  <x:si>
    <x:t xml:space="preserve">Project / Maintenance Notes</x:t>
  </x:si>
  <x:si>
    <x:t xml:space="preserve">Engineering Health</x:t>
  </x:si>
  <x:si>
    <x:t xml:space="preserve">Automated CI / Build Status Public?</x:t>
  </x:si>
  <x:si>
    <x:t xml:space="preserve">Automated Dependency Updates?</x:t>
  </x:si>
  <x:si>
    <x:t xml:space="preserve">Release Artifact Signing / Provenance?</x:t>
  </x:si>
  <x:si>
    <x:t xml:space="preserve">Public Contributor Count / Bus Factor Signal</x:t>
  </x:si>
  <x:si>
    <x:t xml:space="preserve">Version Support / EOL Policy</x:t>
  </x:si>
  <x:si>
    <x:t xml:space="preserve">Release Cadence (Nightly / Canary / Stable)</x:t>
  </x:si>
  <x:si>
    <x:t xml:space="preserve">Commit Velocity / GitHub Activity</x:t>
  </x:si>
  <x:si>
    <x:t xml:space="preserve">Maintainer Structure (Solo Dev / Small Collective / Foundation / Corp)</x:t>
  </x:si>
  <x:si>
    <x:t xml:space="preserve">Public Roadmap Availability</x:t>
  </x:si>
  <x:si>
    <x:t xml:space="preserve">Issue Tracker Responsiveness</x:t>
  </x:si>
  <x:si>
    <x:t xml:space="preserve">Public Changelog &amp; Release Notes</x:t>
  </x:si>
  <x:si>
    <x:t xml:space="preserve">Release Engineering</x:t>
  </x:si>
  <x:si>
    <x:t xml:space="preserve">Published Support / EOL Window</x:t>
  </x:si>
  <x:si>
    <x:t xml:space="preserve">Automated Dependency Update Policy</x:t>
  </x:si>
  <x:si>
    <x:t xml:space="preserve">Release Signing / Provenance</x:t>
  </x:si>
  <x:si>
    <x:t xml:space="preserve">Bot / Gateway API Type (REST / WebSockets / Gateway)</x:t>
  </x:si>
  <x:si>
    <x:t xml:space="preserve">Inbound Webhooks</x:t>
  </x:si>
  <x:si>
    <x:t xml:space="preserve">Outbound Webhooks</x:t>
  </x:si>
  <x:si>
    <x:t xml:space="preserve">Official SDKs &amp; Libraries (JS / Python / Rust / Go)</x:t>
  </x:si>
  <x:si>
    <x:t xml:space="preserve">Custom Slash / Interaction Commands</x:t>
  </x:si>
  <x:si>
    <x:t xml:space="preserve">Client Plugin / Modding Architecture</x:t>
  </x:si>
  <x:si>
    <x:t xml:space="preserve">API Rate Limits &amp; Developer Portal</x:t>
  </x:si>
  <x:si>
    <x:t xml:space="preserve">Apps &amp; Distribution</x:t>
  </x:si>
  <x:si>
    <x:t xml:space="preserve">Bot Accounts?</x:t>
  </x:si>
  <x:si>
    <x:t xml:space="preserve">OAuth2?</x:t>
  </x:si>
  <x:si>
    <x:t xml:space="preserve">Developer Portal?</x:t>
  </x:si>
  <x:si>
    <x:t xml:space="preserve">Embedded Apps?</x:t>
  </x:si>
  <x:si>
    <x:t xml:space="preserve">App Marketplace / Directory</x:t>
  </x:si>
  <x:si>
    <x:t xml:space="preserve">User-Installed Apps</x:t>
  </x:si>
  <x:si>
    <x:t xml:space="preserve">API Surfaces</x:t>
  </x:si>
  <x:si>
    <x:t xml:space="preserve">Public REST API?</x:t>
  </x:si>
  <x:si>
    <x:t xml:space="preserve">Gateway / WebSocket API?</x:t>
  </x:si>
  <x:si>
    <x:t xml:space="preserve">Realtime Event API?</x:t>
  </x:si>
  <x:si>
    <x:t xml:space="preserve">Inbound Webhooks?</x:t>
  </x:si>
  <x:si>
    <x:t xml:space="preserve">Outbound / Event Webhooks?</x:t>
  </x:si>
  <x:si>
    <x:t xml:space="preserve">SDKs</x:t>
  </x:si>
  <x:si>
    <x:t xml:space="preserve">Official JS / TS SDK?</x:t>
  </x:si>
  <x:si>
    <x:t xml:space="preserve">Official Python SDK?</x:t>
  </x:si>
  <x:si>
    <x:t xml:space="preserve">Official Rust SDK?</x:t>
  </x:si>
  <x:si>
    <x:t xml:space="preserve">Official Go SDK?</x:t>
  </x:si>
  <x:si>
    <x:t xml:space="preserve">Community SDK Ecosystem?</x:t>
  </x:si>
  <x:si>
    <x:t xml:space="preserve">Interactions</x:t>
  </x:si>
  <x:si>
    <x:t xml:space="preserve">Slash Commands?</x:t>
  </x:si>
  <x:si>
    <x:t xml:space="preserve">Buttons / Components?</x:t>
  </x:si>
  <x:si>
    <x:t xml:space="preserve">Modals / Forms?</x:t>
  </x:si>
  <x:si>
    <x:t xml:space="preserve">Extensibility</x:t>
  </x:si>
  <x:si>
    <x:t xml:space="preserve">Server Plugins?</x:t>
  </x:si>
  <x:si>
    <x:t xml:space="preserve">Client Plugins?</x:t>
  </x:si>
  <x:si>
    <x:t xml:space="preserve">API Rate Limits Published?</x:t>
  </x:si>
  <x:si>
    <x:t xml:space="preserve">Bot Hosting Included?</x:t>
  </x:si>
  <x:si>
    <x:t xml:space="preserve">Paid Developer Features?</x:t>
  </x:si>
  <x:si>
    <x:t xml:space="preserve">Developer Notes</x:t>
  </x:si>
  <x:si>
    <x:t xml:space="preserve">Embedded App Platform</x:t>
  </x:si>
  <x:si>
    <x:t xml:space="preserve">App Marketplace / Directory?</x:t>
  </x:si>
  <x:si>
    <x:t xml:space="preserve">Embedded Web App / Iframe Runtime?</x:t>
  </x:si>
  <x:si>
    <x:t xml:space="preserve">Shared Synchronized App Sessions?</x:t>
  </x:si>
  <x:si>
    <x:t xml:space="preserve">App Permission / Scope Model?</x:t>
  </x:si>
  <x:si>
    <x:t xml:space="preserve">App Monetization / IAP?</x:t>
  </x:si>
  <x:si>
    <x:t xml:space="preserve">Native AI Features (Summaries / Bots / Search)</x:t>
  </x:si>
  <x:si>
    <x:t xml:space="preserve">User Chat / Voice Scraped for Model Training?</x:t>
  </x:si>
  <x:si>
    <x:t xml:space="preserve">AI Training Consent Terms (Opt-In / Opt-Out / None)</x:t>
  </x:si>
  <x:si>
    <x:t xml:space="preserve">AI Assistance Used in Codebase Development (%)</x:t>
  </x:si>
  <x:si>
    <x:t xml:space="preserve">AI Development Transparency &amp; Disclosure</x:t>
  </x:si>
  <x:si>
    <x:t xml:space="preserve">AI Governance Detail</x:t>
  </x:si>
  <x:si>
    <x:t xml:space="preserve">Native Generative AI?</x:t>
  </x:si>
  <x:si>
    <x:t xml:space="preserve">AI Search?</x:t>
  </x:si>
  <x:si>
    <x:t xml:space="preserve">AI Moderation?</x:t>
  </x:si>
  <x:si>
    <x:t xml:space="preserve">AI Translation?</x:t>
  </x:si>
  <x:si>
    <x:t xml:space="preserve">AI Transcription?</x:t>
  </x:si>
  <x:si>
    <x:t xml:space="preserve">Third-Party AI Providers?</x:t>
  </x:si>
  <x:si>
    <x:t xml:space="preserve">AI Features Can Be Disabled?</x:t>
  </x:si>
  <x:si>
    <x:t xml:space="preserve">Message Summaries?</x:t>
  </x:si>
  <x:si>
    <x:t xml:space="preserve">Voice Summaries?</x:t>
  </x:si>
  <x:si>
    <x:t xml:space="preserve">AI Bots / Agents?</x:t>
  </x:si>
  <x:si>
    <x:t xml:space="preserve">Training &amp; Data Use</x:t>
  </x:si>
  <x:si>
    <x:t xml:space="preserve">User Messages Used for Model Training?</x:t>
  </x:si>
  <x:si>
    <x:t xml:space="preserve">Voice Used for Model Training?</x:t>
  </x:si>
  <x:si>
    <x:t xml:space="preserve">Files Used for Model Training?</x:t>
  </x:si>
  <x:si>
    <x:t xml:space="preserve">Training Consent Model</x:t>
  </x:si>
  <x:si>
    <x:t xml:space="preserve">Control &amp; Development</x:t>
  </x:si>
  <x:si>
    <x:t xml:space="preserve">AI-Assisted Development Disclosed?</x:t>
  </x:si>
  <x:si>
    <x:t xml:space="preserve">AI Code Contribution Policy</x:t>
  </x:si>
  <x:si>
    <x:t xml:space="preserve">AI Development % Published?</x:t>
  </x:si>
  <x:si>
    <x:t xml:space="preserve">AI / Data Use Notes</x:t>
  </x:si>
  <x:si>
    <x:t xml:space="preserve">AI Governance &amp; Controls</x:t>
  </x:si>
  <x:si>
    <x:t xml:space="preserve">AI Feature Data Retention Published?</x:t>
  </x:si>
  <x:si>
    <x:t xml:space="preserve">Human Review of AI Outputs / Flags?</x:t>
  </x:si>
  <x:si>
    <x:t xml:space="preserve">Enterprise / Admin AI Disable Controls?</x:t>
  </x:si>
  <x:si>
    <x:t xml:space="preserve">AI-Generated Content Labeling?</x:t>
  </x:si>
  <x:si>
    <x:t xml:space="preserve">Primary Funding Source (Self-Funded / Donations / VC / Enterprise)</x:t>
  </x:si>
  <x:si>
    <x:t xml:space="preserve">Monetization Strategy (Free / Nitro-Style Cosmetics / Hosted / Enterprise)</x:t>
  </x:si>
  <x:si>
    <x:t xml:space="preserve">Cosmetic Subscription Perks (Nitro-Equivalent)</x:t>
  </x:si>
  <x:si>
    <x:t xml:space="preserve">Self-Hosting Minimum Hardware (RAM / CPU per 100 users)</x:t>
  </x:si>
  <x:si>
    <x:t xml:space="preserve">Self-Hosting Hardware Requirements (1,000+ users)</x:t>
  </x:si>
  <x:si>
    <x:t xml:space="preserve">Financial Longevity / Abandonment Risk</x:t>
  </x:si>
  <x:si>
    <x:t xml:space="preserve">Revenue Mix &amp; Pricing Transparency</x:t>
  </x:si>
  <x:si>
    <x:t xml:space="preserve">Free Hosted Tier / Free Use</x:t>
  </x:si>
  <x:si>
    <x:t xml:space="preserve">User Subscription Model</x:t>
  </x:si>
  <x:si>
    <x:t xml:space="preserve">Community / Server Subscription</x:t>
  </x:si>
  <x:si>
    <x:t xml:space="preserve">Paid Self-Host License / Support</x:t>
  </x:si>
  <x:si>
    <x:t xml:space="preserve">Enterprise / Custom Quote</x:t>
  </x:si>
  <x:si>
    <x:t xml:space="preserve">Advertising / Sponsored Content Revenue</x:t>
  </x:si>
  <x:si>
    <x:t xml:space="preserve">Donations / Sponsorship</x:t>
  </x:si>
  <x:si>
    <x:t xml:space="preserve">Free Plan / Free Use Available?</x:t>
  </x:si>
  <x:si>
    <x:t xml:space="preserve">Public Paid Options Count</x:t>
  </x:si>
  <x:si>
    <x:t xml:space="preserve">Active Fixed-Price Options Count</x:t>
  </x:si>
  <x:si>
    <x:t xml:space="preserve">Contact-Sales / Quote Options Count</x:t>
  </x:si>
  <x:si>
    <x:t xml:space="preserve">Lowest Public Monthly Price</x:t>
  </x:si>
  <x:si>
    <x:t xml:space="preserve">Lowest Public Annual Price</x:t>
  </x:si>
  <x:si>
    <x:t xml:space="preserve">Has User-Level Subscription?</x:t>
  </x:si>
  <x:si>
    <x:t xml:space="preserve">Has Community / Server Plan?</x:t>
  </x:si>
  <x:si>
    <x:t xml:space="preserve">Has Paid Self-Host License?</x:t>
  </x:si>
  <x:si>
    <x:t xml:space="preserve">Has Enterprise / Custom Quote Tier?</x:t>
  </x:si>
  <x:si>
    <x:t xml:space="preserve">Primary Billing Model</x:t>
  </x:si>
  <x:si>
    <x:t xml:space="preserve">Paid Option Names</x:t>
  </x:si>
  <x:si>
    <x:t xml:space="preserve">Pricing Source / Notes</x:t>
  </x:si>
  <x:si>
    <x:t xml:space="preserve">Additional Monetization Signals</x:t>
  </x:si>
  <x:si>
    <x:t xml:space="preserve">Advertising / Sponsored Content?</x:t>
  </x:si>
  <x:si>
    <x:t xml:space="preserve">Donation / Sponsorship Funding?</x:t>
  </x:si>
  <x:si>
    <x:t xml:space="preserve">Marketplace / App Revenue?</x:t>
  </x:si>
  <x:si>
    <x:t xml:space="preserve">Free Self-Hosting Software?</x:t>
  </x:si>
  <x:si>
    <x:t xml:space="preserve">Platform</x:t>
  </x:si>
  <x:si>
    <x:t xml:space="preserve">Option Type</x:t>
  </x:si>
  <x:si>
    <x:t xml:space="preserve">Paid Option / Tier</x:t>
  </x:si>
  <x:si>
    <x:t xml:space="preserve">Status</x:t>
  </x:si>
  <x:si>
    <x:t xml:space="preserve">Monthly Price</x:t>
  </x:si>
  <x:si>
    <x:t xml:space="preserve">6-Month Price</x:t>
  </x:si>
  <x:si>
    <x:t xml:space="preserve">Annual Price</x:t>
  </x:si>
  <x:si>
    <x:t xml:space="preserve">Currency</x:t>
  </x:si>
  <x:si>
    <x:t xml:space="preserve">Billing Basis</x:t>
  </x:si>
  <x:si>
    <x:t xml:space="preserve">Who Gets the Benefit?</x:t>
  </x:si>
  <x:si>
    <x:t xml:space="preserve">Included / Requires</x:t>
  </x:si>
  <x:si>
    <x:t xml:space="preserve">Key Perks / Limits</x:t>
  </x:si>
  <x:si>
    <x:t xml:space="preserve">Source URL</x:t>
  </x:si>
  <x:si>
    <x:t xml:space="preserve">Last Checked</x:t>
  </x:si>
  <x:si>
    <x:t xml:space="preserve">Notes</x:t>
  </x:si>
  <x:si>
    <x:t xml:space="preserve">Evidence Status</x:t>
  </x:si>
  <x:si>
    <x:t xml:space="preserve">User subscription</x:t>
  </x:si>
  <x:si>
    <x:t xml:space="preserve">Nitro Basic</x:t>
  </x:si>
  <x:si>
    <x:t xml:space="preserve">Active</x:t>
  </x:si>
  <x:si>
    <x:t xml:space="preserve">2.99</x:t>
  </x:si>
  <x:si>
    <x:t xml:space="preserve">29.99</x:t>
  </x:si>
  <x:si>
    <x:t xml:space="preserve">USD</x:t>
  </x:si>
  <x:si>
    <x:t xml:space="preserve">Per user</x:t>
  </x:si>
  <x:si>
    <x:t xml:space="preserve">Personal account</x:t>
  </x:si>
  <x:si>
    <x:t xml:space="preserve">50 MB uploads; global custom emoji/stickers; Super Reactions; video backgrounds; badge</x:t>
  </x:si>
  <x:si>
    <x:t xml:space="preserve">https://support.discord.com/hc/en-us/articles/4407269525911-Localized-Pricing-on-Discord</x:t>
  </x:si>
  <x:si>
    <x:t xml:space="preserve">2026-09-15</x:t>
  </x:si>
  <x:si>
    <x:t xml:space="preserve">Localized pricing exists; USD shown for comparison.</x:t>
  </x:si>
  <x:si>
    <x:t xml:space="preserve">Primary / first-party source recorded</x:t>
  </x:si>
  <x:si>
    <x:t xml:space="preserve">Nitro</x:t>
  </x:si>
  <x:si>
    <x:t xml:space="preserve">9.99</x:t>
  </x:si>
  <x:si>
    <x:t xml:space="preserve">99.99</x:t>
  </x:si>
  <x:si>
    <x:t xml:space="preserve">Includes 2 Server Boosts</x:t>
  </x:si>
  <x:si>
    <x:t xml:space="preserve">500 MB uploads; HD streaming; profile customization; themes; 200 servers; 4,000-char messages</x:t>
  </x:si>
  <x:si>
    <x:t xml:space="preserve">Current full Nitro plan.</x:t>
  </x:si>
  <x:si>
    <x:t xml:space="preserve">Server add-on</x:t>
  </x:si>
  <x:si>
    <x:t xml:space="preserve">Server Boost</x:t>
  </x:si>
  <x:si>
    <x:t xml:space="preserve">4.99</x:t>
  </x:si>
  <x:si>
    <x:t xml:space="preserve">49.99</x:t>
  </x:si>
  <x:si>
    <x:t xml:space="preserve">Per boost</x:t>
  </x:si>
  <x:si>
    <x:t xml:space="preserve">One server</x:t>
  </x:si>
  <x:si>
    <x:t xml:space="preserve">Nitro includes 2 boosts; Nitro gets 30% off extra boosts</x:t>
  </x:si>
  <x:si>
    <x:t xml:space="preserve">Contributes to server-wide boost levels and additional server perks</x:t>
  </x:si>
  <x:si>
    <x:t xml:space="preserve">Each boost is a separate recurring subscription.</x:t>
  </x:si>
  <x:si>
    <x:t xml:space="preserve">Legacy user subscription</x:t>
  </x:si>
  <x:si>
    <x:t xml:space="preserve">Nitro Classic</x:t>
  </x:si>
  <x:si>
    <x:t xml:space="preserve">Grandfathered / not sold to new subscribers</x:t>
  </x:si>
  <x:si>
    <x:t xml:space="preserve">Legacy Nitro feature set; retained only by eligible existing subscribers</x:t>
  </x:si>
  <x:si>
    <x:t xml:space="preserve">No longer available to new subscribers.</x:t>
  </x:si>
  <x:si>
    <x:t xml:space="preserve">No public paid tier</x:t>
  </x:si>
  <x:si>
    <x:t xml:space="preserve">No public fixed-price paid tier verified</x:t>
  </x:si>
  <x:si>
    <x:t xml:space="preserve">None verified</x:t>
  </x:si>
  <x:si>
    <x:t xml:space="preserve">https://stoat.chat/</x:t>
  </x:si>
  <x:si>
    <x:t xml:space="preserve">Hosted service/self-host project; no fixed paid subscription verified.</x:t>
  </x:si>
  <x:si>
    <x:t xml:space="preserve">Planned subscription</x:t>
  </x:si>
  <x:si>
    <x:t xml:space="preserve">Surge</x:t>
  </x:si>
  <x:si>
    <x:t xml:space="preserve">Coming soon</x:t>
  </x:si>
  <x:si>
    <x:t xml:space="preserve">Subscription</x:t>
  </x:si>
  <x:si>
    <x:t xml:space="preserve">User/community plan</x:t>
  </x:si>
  <x:si>
    <x:t xml:space="preserve">Essential tools for small communities</x:t>
  </x:si>
  <x:si>
    <x:t xml:space="preserve">https://fenrid.com/waitlist</x:t>
  </x:si>
  <x:si>
    <x:t xml:space="preserve">Fenrid is in alpha; pricing and benefits may change before launch.</x:t>
  </x:si>
  <x:si>
    <x:t xml:space="preserve">Flare</x:t>
  </x:si>
  <x:si>
    <x:t xml:space="preserve">Extras for growing communities</x:t>
  </x:si>
  <x:si>
    <x:t xml:space="preserve">Prime</x:t>
  </x:si>
  <x:si>
    <x:t xml:space="preserve">24.99</x:t>
  </x:si>
  <x:si>
    <x:t xml:space="preserve">Large communities, creators and power users</x:t>
  </x:si>
  <x:si>
    <x:t xml:space="preserve">Plutonium</x:t>
  </x:si>
  <x:si>
    <x:t xml:space="preserve">500 MB uploads; 4K60 streaming; per-community profile; cosmetics; 200 communities; 4,000-char messages</x:t>
  </x:si>
  <x:si>
    <x:t xml:space="preserve">https://fluxer.app/plutonium</x:t>
  </x:si>
  <x:si>
    <x:t xml:space="preserve">Optional; Fluxer remains usable for free.</x:t>
  </x:si>
  <x:si>
    <x:t xml:space="preserve">Sudo</x:t>
  </x:si>
  <x:si>
    <x:t xml:space="preserve">USD / in-app</x:t>
  </x:si>
  <x:si>
    <x:t xml:space="preserve">Includes 1 Core each month</x:t>
  </x:si>
  <x:si>
    <x:t xml:space="preserve">Up to 1440p60 streaming; supporter badge; 1 community Core monthly</x:t>
  </x:si>
  <x:si>
    <x:t xml:space="preserve">https://support.rootapp.com/docs/sudo/get-started/sudo-faqs/</x:t>
  </x:si>
  <x:si>
    <x:t xml:space="preserve">Root documents monthly and yearly billing, but the current price is shown in-app rather than publicly on the help page.</x:t>
  </x:si>
  <x:si>
    <x:t xml:space="preserve">Protocol-level pricing</x:t>
  </x:si>
  <x:si>
    <x:t xml:space="preserve">No Matrix-wide paid tier</x:t>
  </x:si>
  <x:si>
    <x:t xml:space="preserve">Provider-specific</x:t>
  </x:si>
  <x:si>
    <x:t xml:space="preserve">Homeserver/client provider</x:t>
  </x:si>
  <x:si>
    <x:t xml:space="preserve">Matrix itself has no universal subscription; clients and homeserver providers set their own pricing</x:t>
  </x:si>
  <x:si>
    <x:t xml:space="preserve">https://matrix.org/</x:t>
  </x:si>
  <x:si>
    <x:t xml:space="preserve">Do not attribute Element or another provider's pricing to Matrix.</x:t>
  </x:si>
  <x:si>
    <x:t xml:space="preserve">No central paid tier</x:t>
  </x:si>
  <x:si>
    <x:t xml:space="preserve">None</x:t>
  </x:si>
  <x:si>
    <x:t xml:space="preserve">Self-hosted</x:t>
  </x:si>
  <x:si>
    <x:t xml:space="preserve">Operator</x:t>
  </x:si>
  <x:si>
    <x:t xml:space="preserve">Open-source/self-hosted software; operator pays infrastructure</x:t>
  </x:si>
  <x:si>
    <x:t xml:space="preserve">https://spacebar.chat/</x:t>
  </x:si>
  <x:si>
    <x:t xml:space="preserve">No central subscription model.</x:t>
  </x:si>
  <x:si>
    <x:t xml:space="preserve">No platform paid tier</x:t>
  </x:si>
  <x:si>
    <x:t xml:space="preserve">No Mumble subscription</x:t>
  </x:si>
  <x:si>
    <x:t xml:space="preserve">Open-source/self-hosted</x:t>
  </x:si>
  <x:si>
    <x:t xml:space="preserve">Mumble is free/open source; third-party hosting providers set their own prices</x:t>
  </x:si>
  <x:si>
    <x:t xml:space="preserve">https://www.mumble.info/</x:t>
  </x:si>
  <x:si>
    <x:t xml:space="preserve">Third-party hosted-server pricing is not a Mumble platform tier.</x:t>
  </x:si>
  <x:si>
    <x:t xml:space="preserve">Hosted community plan</x:t>
  </x:si>
  <x:si>
    <x:t xml:space="preserve">Crew</x:t>
  </x:si>
  <x:si>
    <x:t xml:space="preserve">53.99</x:t>
  </x:si>
  <x:si>
    <x:t xml:space="preserve">Per hosted community</x:t>
  </x:si>
  <x:si>
    <x:t xml:space="preserve">One TeamSpeak Community server</x:t>
  </x:si>
  <x:si>
    <x:t xml:space="preserve">11 hosted slots total (10 + 1 bonus); official managed TS6 hosting with screen sharing</x:t>
  </x:si>
  <x:si>
    <x:t xml:space="preserve">https://support.teamspeak.com/hc/en-us/articles/26033099878045-Current-Community-Options</x:t>
  </x:si>
  <x:si>
    <x:t xml:space="preserve">Hosted by TeamSpeak.</x:t>
  </x:si>
  <x:si>
    <x:t xml:space="preserve">Team</x:t>
  </x:si>
  <x:si>
    <x:t xml:space="preserve">8.99</x:t>
  </x:si>
  <x:si>
    <x:t xml:space="preserve">96.99</x:t>
  </x:si>
  <x:si>
    <x:t xml:space="preserve">27 hosted slots total (25 + 2 bonus); official managed TS6 hosting with screen sharing</x:t>
  </x:si>
  <x:si>
    <x:t xml:space="preserve">Faction</x:t>
  </x:si>
  <x:si>
    <x:t xml:space="preserve">17.99</x:t>
  </x:si>
  <x:si>
    <x:t xml:space="preserve">194.99</x:t>
  </x:si>
  <x:si>
    <x:t xml:space="preserve">64 hosted slots total (60 + 4 bonus); official managed TS6 hosting with screen sharing</x:t>
  </x:si>
  <x:si>
    <x:t xml:space="preserve">Self-host license</x:t>
  </x:si>
  <x:si>
    <x:t xml:space="preserve">Gamer / Activation 64 slots</x:t>
  </x:si>
  <x:si>
    <x:t xml:space="preserve">55</x:t>
  </x:si>
  <x:si>
    <x:t xml:space="preserve">Per self-host license</x:t>
  </x:si>
  <x:si>
    <x:t xml:space="preserve">Non-commercial / personal self-host</x:t>
  </x:si>
  <x:si>
    <x:t xml:space="preserve">64 slots; 1 virtual server</x:t>
  </x:si>
  <x:si>
    <x:t xml:space="preserve">https://support.teamspeak.com/hc/en-us/articles/26033788383261-What-licenses-are-available</x:t>
  </x:si>
  <x:si>
    <x:t xml:space="preserve">6-month price is unavailable for 64 slots; 6-month orders are manual for eligible slot tiers.</x:t>
  </x:si>
  <x:si>
    <x:t xml:space="preserve">Gamer / Activation 128 slots</x:t>
  </x:si>
  <x:si>
    <x:t xml:space="preserve">50</x:t>
  </x:si>
  <x:si>
    <x:t xml:space="preserve">100</x:t>
  </x:si>
  <x:si>
    <x:t xml:space="preserve">128 slots; 2 virtual servers</x:t>
  </x:si>
  <x:si>
    <x:t xml:space="preserve">Gamer / Activation 256 slots</x:t>
  </x:si>
  <x:si>
    <x:t xml:space="preserve">87.50</x:t>
  </x:si>
  <x:si>
    <x:t xml:space="preserve">175</x:t>
  </x:si>
  <x:si>
    <x:t xml:space="preserve">256 slots; 2 virtual servers</x:t>
  </x:si>
  <x:si>
    <x:t xml:space="preserve">Gamer / Activation 512 slots</x:t>
  </x:si>
  <x:si>
    <x:t xml:space="preserve">150</x:t>
  </x:si>
  <x:si>
    <x:t xml:space="preserve">300</x:t>
  </x:si>
  <x:si>
    <x:t xml:space="preserve">512 slots; 2 virtual servers</x:t>
  </x:si>
  <x:si>
    <x:t xml:space="preserve">Gamer / Activation 1024 slots</x:t>
  </x:si>
  <x:si>
    <x:t xml:space="preserve">250</x:t>
  </x:si>
  <x:si>
    <x:t xml:space="preserve">500</x:t>
  </x:si>
  <x:si>
    <x:t xml:space="preserve">1024 slots; 2 virtual servers</x:t>
  </x:si>
  <x:si>
    <x:t xml:space="preserve">Self-host commercial license</x:t>
  </x:si>
  <x:si>
    <x:t xml:space="preserve">Commercial License</x:t>
  </x:si>
  <x:si>
    <x:t xml:space="preserve">Contact sales</x:t>
  </x:si>
  <x:si>
    <x:t xml:space="preserve">USD / quote</x:t>
  </x:si>
  <x:si>
    <x:t xml:space="preserve">Custom</x:t>
  </x:si>
  <x:si>
    <x:t xml:space="preserve">Commercial self-host deployment</x:t>
  </x:si>
  <x:si>
    <x:t xml:space="preserve">Commercial self-hosting terms tailored to deployment/capacity</x:t>
  </x:si>
  <x:si>
    <x:t xml:space="preserve">SDK license</x:t>
  </x:si>
  <x:si>
    <x:t xml:space="preserve">TeamSpeak SDK License</x:t>
  </x:si>
  <x:si>
    <x:t xml:space="preserve">Embedded voice SDK</x:t>
  </x:si>
  <x:si>
    <x:t xml:space="preserve">Integrate TeamSpeak voice technology into another product</x:t>
  </x:si>
  <x:si>
    <x:t xml:space="preserve">Cloud subscription</x:t>
  </x:si>
  <x:si>
    <x:t xml:space="preserve">Cloud Standard</x:t>
  </x:si>
  <x:si>
    <x:t xml:space="preserve">8.00</x:t>
  </x:si>
  <x:si>
    <x:t xml:space="preserve">80.04</x:t>
  </x:si>
  <x:si>
    <x:t xml:space="preserve">Cloud organization</x:t>
  </x:si>
  <x:si>
    <x:t xml:space="preserve">Unlimited search history; 5 GB/user; retention policies; branding; commercial support</x:t>
  </x:si>
  <x:si>
    <x:t xml:space="preserve">https://zulip.com/plans/</x:t>
  </x:si>
  <x:si>
    <x:t xml:space="preserve">Annual equivalent shown where Zulip publishes annual per-user pricing.</x:t>
  </x:si>
  <x:si>
    <x:t xml:space="preserve">Cloud Plus</x:t>
  </x:si>
  <x:si>
    <x:t xml:space="preserve">12.00</x:t>
  </x:si>
  <x:si>
    <x:t xml:space="preserve">120.00</x:t>
  </x:si>
  <x:si>
    <x:t xml:space="preserve">Per user; 10-user minimum</x:t>
  </x:si>
  <x:si>
    <x:t xml:space="preserve">25 GB/user; SAML SSO; SCIM; custom domain; priority support</x:t>
  </x:si>
  <x:si>
    <x:t xml:space="preserve">Self-host support subscription</x:t>
  </x:si>
  <x:si>
    <x:t xml:space="preserve">Self-hosted Basic</x:t>
  </x:si>
  <x:si>
    <x:t xml:space="preserve">3.50</x:t>
  </x:si>
  <x:si>
    <x:t xml:space="preserve">Self-hosted organization/server</x:t>
  </x:si>
  <x:si>
    <x:t xml:space="preserve">Unlimited mobile push notifications; supports Zulip development</x:t>
  </x:si>
  <x:si>
    <x:t xml:space="preserve">Self-hosted Business</x:t>
  </x:si>
  <x:si>
    <x:t xml:space="preserve">Per user; 25-user minimum</x:t>
  </x:si>
  <x:si>
    <x:t xml:space="preserve">Commercial support; SSO/LDAP; guests; exports; retention policies</x:t>
  </x:si>
  <x:si>
    <x:t xml:space="preserve">Self-host enterprise support</x:t>
  </x:si>
  <x:si>
    <x:t xml:space="preserve">Self-hosted Enterprise</x:t>
  </x:si>
  <x:si>
    <x:t xml:space="preserve">Phone support; SCIM; implementation consulting; custom feature development; advanced deployments</x:t>
  </x:si>
  <x:si>
    <x:t xml:space="preserve">Annual enterprise subscription</x:t>
  </x:si>
  <x:si>
    <x:t xml:space="preserve">Professional</x:t>
  </x:si>
  <x:si>
    <x:t xml:space="preserve">Annual seat license</x:t>
  </x:si>
  <x:si>
    <x:t xml:space="preserve">Activated users / server</x:t>
  </x:si>
  <x:si>
    <x:t xml:space="preserve">Team collaboration; maximum 250 users; professional support</x:t>
  </x:si>
  <x:si>
    <x:t xml:space="preserve">https://mattermost.com/pricing/</x:t>
  </x:si>
  <x:si>
    <x:t xml:space="preserve">Paid licenses are prepaid annual subscriptions based on seats.</x:t>
  </x:si>
  <x:si>
    <x:t xml:space="preserve">Enterprise</x:t>
  </x:si>
  <x:si>
    <x:t xml:space="preserve">Secure collaborative workflows; AI; HA; enterprise search; scale</x:t>
  </x:si>
  <x:si>
    <x:t xml:space="preserve">Enterprise Advanced</x:t>
  </x:si>
  <x:si>
    <x:t xml:space="preserve">Multi-domain secure operations; advanced mobile/security/resiliency</x:t>
  </x:si>
  <x:si>
    <x:t xml:space="preserve">Support add-on</x:t>
  </x:si>
  <x:si>
    <x:t xml:space="preserve">Premier Support</x:t>
  </x:si>
  <x:si>
    <x:t xml:space="preserve">Paid add-on / contact sales</x:t>
  </x:si>
  <x:si>
    <x:t xml:space="preserve">Add-on</x:t>
  </x:si>
  <x:si>
    <x:t xml:space="preserve">Enterprise / Enterprise Advanced customers</x:t>
  </x:si>
  <x:si>
    <x:t xml:space="preserve">Requires eligible Enterprise plan</x:t>
  </x:si>
  <x:si>
    <x:t xml:space="preserve">Accelerated incident response; senior support; private support channel; extra non-production licenses</x:t>
  </x:si>
  <x:si>
    <x:t xml:space="preserve">https://mattermost.com/support/</x:t>
  </x:si>
  <x:si>
    <x:t xml:space="preserve">Premium enterprise plan</x:t>
  </x:si>
  <x:si>
    <x:t xml:space="preserve">Commercial</x:t>
  </x:si>
  <x:si>
    <x:t xml:space="preserve">Quote</x:t>
  </x:si>
  <x:si>
    <x:t xml:space="preserve">Organization / deployment</x:t>
  </x:si>
  <x:si>
    <x:t xml:space="preserve">Enterprise deployment</x:t>
  </x:si>
  <x:si>
    <x:t xml:space="preserve">On-prem/private cloud/isolated commercial deployment</x:t>
  </x:si>
  <x:si>
    <x:t xml:space="preserve">https://docs.rocket.chat/our-plans</x:t>
  </x:si>
  <x:si>
    <x:t xml:space="preserve">Starter and Community are free entry points.</x:t>
  </x:si>
  <x:si>
    <x:t xml:space="preserve">Government</x:t>
  </x:si>
  <x:si>
    <x:t xml:space="preserve">Government / sovereign-cloud deployment</x:t>
  </x:si>
  <x:si>
    <x:t xml:space="preserve">Defense</x:t>
  </x:si>
  <x:si>
    <x:t xml:space="preserve">Air-gapped / SCIF-ready / defense deployment</x:t>
  </x:si>
  <x:si>
    <x:t xml:space="preserve">Hosted server tier</x:t>
  </x:si>
  <x:si>
    <x:t xml:space="preserve">Silver</x:t>
  </x:si>
  <x:si>
    <x:t xml:space="preserve">Per server</x:t>
  </x:si>
  <x:si>
    <x:t xml:space="preserve">Entire server/community</x:t>
  </x:si>
  <x:si>
    <x:t xml:space="preserve">1 GB uploads; 200 members; 9 voice channels</x:t>
  </x:si>
  <x:si>
    <x:t xml:space="preserve">https://gamevox.com/blog/gamevox-vs-discord/</x:t>
  </x:si>
  <x:si>
    <x:t xml:space="preserve">One server payment benefits all members.</x:t>
  </x:si>
  <x:si>
    <x:t xml:space="preserve">Gold</x:t>
  </x:si>
  <x:si>
    <x:t xml:space="preserve">2 GB uploads; 500 members; 1080p60 streaming</x:t>
  </x:si>
  <x:si>
    <x:t xml:space="preserve">Diamond</x:t>
  </x:si>
  <x:si>
    <x:t xml:space="preserve">19.99</x:t>
  </x:si>
  <x:si>
    <x:t xml:space="preserve">10 GB uploads; unlimited members; up to 4K60 / top-tier features</x:t>
  </x:si>
  <x:si>
    <x:t xml:space="preserve">Self-Hosted Server License</x:t>
  </x:si>
  <x:si>
    <x:t xml:space="preserve">2.00</x:t>
  </x:si>
  <x:si>
    <x:t xml:space="preserve">15.00</x:t>
  </x:si>
  <x:si>
    <x:t xml:space="preserve">Per self-hosted server</x:t>
  </x:si>
  <x:si>
    <x:t xml:space="preserve">Self-host deployment</x:t>
  </x:si>
  <x:si>
    <x:t xml:space="preserve">Includes Diamond-tier features</x:t>
  </x:si>
  <x:si>
    <x:t xml:space="preserve">Self-host GameVox on your own hardware; data remains on your machine</x:t>
  </x:si>
  <x:si>
    <x:t xml:space="preserve">https://gamevox.com/self-hosted/</x:t>
  </x:si>
  <x:si>
    <x:t xml:space="preserve">The free-before-July-1-2026 grandfathering period has passed; current new-license price is $2/mo or $15/yr.</x:t>
  </x:si>
  <x:si>
    <x:t xml:space="preserve">No paid subscription verified</x:t>
  </x:si>
  <x:si>
    <x:t xml:space="preserve">Donation-supported</x:t>
  </x:si>
  <x:si>
    <x:t xml:space="preserve">Hosted service</x:t>
  </x:si>
  <x:si>
    <x:t xml:space="preserve">No fixed premium subscription verified</x:t>
  </x:si>
  <x:si>
    <x:t xml:space="preserve">https://nerimity.com/</x:t>
  </x:si>
  <x:si>
    <x:t xml:space="preserve">https://osmium.chat/</x:t>
  </x:si>
  <x:si>
    <x:t xml:space="preserve">No reliable current paid-plan schedule found.</x:t>
  </x:si>
  <x:si>
    <x:t xml:space="preserve">Hosted / self-host project</x:t>
  </x:si>
  <x:si>
    <x:t xml:space="preserve">https://loqa.chat/</x:t>
  </x:si>
  <x:si>
    <x:t xml:space="preserve">Open beta; no public fixed-price paid tier verified.</x:t>
  </x:si>
  <x:si>
    <x:t xml:space="preserve">Early project</x:t>
  </x:si>
  <x:si>
    <x:t xml:space="preserve">https://venta.gg/</x:t>
  </x:si>
  <x:si>
    <x:t xml:space="preserve">Architecture and monetization are still evolving.</x:t>
  </x:si>
  <x:si>
    <x:t xml:space="preserve">No paid communication tier</x:t>
  </x:si>
  <x:si>
    <x:t xml:space="preserve">No premium communication subscription</x:t>
  </x:si>
  <x:si>
    <x:t xml:space="preserve">Free service</x:t>
  </x:si>
  <x:si>
    <x:t xml:space="preserve">All users</x:t>
  </x:si>
  <x:si>
    <x:t xml:space="preserve">Official FAQ states communication features are free with no premium plan/paywall</x:t>
  </x:si>
  <x:si>
    <x:t xml:space="preserve">https://mezon.ai/docs/user/resources/FAQ/</x:t>
  </x:si>
  <x:si>
    <x:t xml:space="preserve">https://kloak.app/</x:t>
  </x:si>
  <x:si>
    <x:t xml:space="preserve">No public pricing page verified.</x:t>
  </x:si>
  <x:si>
    <x:t xml:space="preserve">Managed hosting</x:t>
  </x:si>
  <x:si>
    <x:t xml:space="preserve">Active / promotional</x:t>
  </x:si>
  <x:si>
    <x:t xml:space="preserve">45.00 promo / 90.00 regular</x:t>
  </x:si>
  <x:si>
    <x:t xml:space="preserve">EUR</x:t>
  </x:si>
  <x:si>
    <x:t xml:space="preserve">Per managed server</x:t>
  </x:si>
  <x:si>
    <x:t xml:space="preserve">Hosted server up to 100 users</x:t>
  </x:si>
  <x:si>
    <x:t xml:space="preserve">7-day hosted trial</x:t>
  </x:si>
  <x:si>
    <x:t xml:space="preserve">10 GB storage; up to 10 Mbps; unlimited voice/text channels; proximity voice; up to 1440p screen share</x:t>
  </x:si>
  <x:si>
    <x:t xml:space="preserve">https://yapper.gg/pricing</x:t>
  </x:si>
  <x:si>
    <x:t xml:space="preserve">€45/year promotional price shown through Jan 31, 2027; regular annual price €90. Self-host license is free and is not a paid tier.</x:t>
  </x:si>
  <x:si>
    <x:t xml:space="preserve">Open-source/self-host</x:t>
  </x:si>
  <x:si>
    <x:t xml:space="preserve">No central subscription model</x:t>
  </x:si>
  <x:si>
    <x:t xml:space="preserve">https://codeberg.org/MelodyChat/Harmony</x:t>
  </x:si>
  <x:si>
    <x:t xml:space="preserve">Fermi is a client, not the platform.</x:t>
  </x:si>
  <x:si>
    <x:t xml:space="preserve">No Roomy-specific paid tier</x:t>
  </x:si>
  <x:si>
    <x:t xml:space="preserve">No paid Roomy subscription verified</x:t>
  </x:si>
  <x:si>
    <x:t xml:space="preserve">Open-source / ATProto</x:t>
  </x:si>
  <x:si>
    <x:t xml:space="preserve">ATProto/PDS provider costs may exist, but are not Roomy subscription tiers</x:t>
  </x:si>
  <x:si>
    <x:t xml:space="preserve">https://github.com/muni-town/roomy</x:t>
  </x:si>
  <x:si>
    <x:t xml:space="preserve">No Armada subscription</x:t>
  </x:si>
  <x:si>
    <x:t xml:space="preserve">Open-source / relay ecosystem</x:t>
  </x:si>
  <x:si>
    <x:t xml:space="preserve">Relay/provider</x:t>
  </x:si>
  <x:si>
    <x:t xml:space="preserve">Relay hosting may cost money; no central Armada subscription</x:t>
  </x:si>
  <x:si>
    <x:t xml:space="preserve">https://github.com/soapbox-pub/armada</x:t>
  </x:si>
  <x:si>
    <x:t xml:space="preserve">No Hollow subscription</x:t>
  </x:si>
  <x:si>
    <x:t xml:space="preserve">Open-source / self-host relay</x:t>
  </x:si>
  <x:si>
    <x:t xml:space="preserve">No central paid tier verified</x:t>
  </x:si>
  <x:si>
    <x:t xml:space="preserve">https://github.com/VitalikPro13/HOLLOW</x:t>
  </x:si>
  <x:si>
    <x:t xml:space="preserve">No DCTS subscription</x:t>
  </x:si>
  <x:si>
    <x:t xml:space="preserve">AGPL self-host / community-supported</x:t>
  </x:si>
  <x:si>
    <x:t xml:space="preserve">No fixed paid hosted tier verified</x:t>
  </x:si>
  <x:si>
    <x:t xml:space="preserve">https://dcts.community/</x:t>
  </x:si>
  <x:si>
    <x:t xml:space="preserve">Rift+</x:t>
  </x:si>
  <x:si>
    <x:t xml:space="preserve">7.00</x:t>
  </x:si>
  <x:si>
    <x:t xml:space="preserve">70.00</x:t>
  </x:si>
  <x:si>
    <x:t xml:space="preserve">1080p60; 128 kbps + high fidelity; 300 MB uploads; 16k messages; extra cosmetics/layouts</x:t>
  </x:si>
  <x:si>
    <x:t xml:space="preserve">https://therift.chat/de/plans/</x:t>
  </x:si>
  <x:si>
    <x:t xml:space="preserve">Personal tier; travels with the user.</x:t>
  </x:si>
  <x:si>
    <x:t xml:space="preserve">Community subscription</x:t>
  </x:si>
  <x:si>
    <x:t xml:space="preserve">Shard Ember</x:t>
  </x:si>
  <x:si>
    <x:t xml:space="preserve">10.00</x:t>
  </x:si>
  <x:si>
    <x:t xml:space="preserve">Per community / Shard</x:t>
  </x:si>
  <x:si>
    <x:t xml:space="preserve">Entire community</x:t>
  </x:si>
  <x:si>
    <x:t xml:space="preserve">75 MB/member uploads; 128 kbps; 1080p; 30 emoji; 25 soundboard; onboarding; 15 webhooks</x:t>
  </x:si>
  <x:si>
    <x:t xml:space="preserve">One member pays; whole Shard benefits.</x:t>
  </x:si>
  <x:si>
    <x:t xml:space="preserve">Shard Forge</x:t>
  </x:si>
  <x:si>
    <x:t xml:space="preserve">25.00</x:t>
  </x:si>
  <x:si>
    <x:t xml:space="preserve">100 MB/member uploads; 192 kbps; 1440p; 100 emoji; 75 soundboard; advanced analytics; 30 webhooks</x:t>
  </x:si>
  <x:si>
    <x:t xml:space="preserve">https://echon-voice.com/</x:t>
  </x:si>
  <x:si>
    <x:t xml:space="preserve">Supporter subscription</x:t>
  </x:si>
  <x:si>
    <x:t xml:space="preserve">Stargazer</x:t>
  </x:si>
  <x:si>
    <x:t xml:space="preserve">Active / optional; price not publicly verified</x:t>
  </x:si>
  <x:si>
    <x:t xml:space="preserve">Per supporter</x:t>
  </x:si>
  <x:si>
    <x:t xml:space="preserve">Larger upload limits and profile flair; helps fund the platform</x:t>
  </x:si>
  <x:si>
    <x:t xml:space="preserve">https://valour.gg/faq/</x:t>
  </x:si>
  <x:si>
    <x:t xml:space="preserve">Current public price not verified.</x:t>
  </x:si>
  <x:si>
    <x:t xml:space="preserve">Lobby subscription</x:t>
  </x:si>
  <x:si>
    <x:t xml:space="preserve">Run your own</x:t>
  </x:si>
  <x:si>
    <x:t xml:space="preserve">6.00</x:t>
  </x:si>
  <x:si>
    <x:t xml:space="preserve">Per lobby</x:t>
  </x:si>
  <x:si>
    <x:t xml:space="preserve">Lobby owner/community</x:t>
  </x:si>
  <x:si>
    <x:t xml:space="preserve">Create and operate your own lobby with rooms, roles, role icons, branding and moderation</x:t>
  </x:si>
  <x:si>
    <x:t xml:space="preserve">https://weered.ca/pricing</x:t>
  </x:si>
  <x:si>
    <x:t xml:space="preserve">Using existing public lobbies is free.</x:t>
  </x:si>
  <x:si>
    <x:t xml:space="preserve">Custom community build</x:t>
  </x:si>
  <x:si>
    <x:t xml:space="preserve">Per community build</x:t>
  </x:si>
  <x:si>
    <x:t xml:space="preserve">Custom hosted community</x:t>
  </x:si>
  <x:si>
    <x:t xml:space="preserve">Up to 250 members; bots rebuilt as native features; branding/domain; voice/video; co-watch; events/brackets</x:t>
  </x:si>
  <x:si>
    <x:t xml:space="preserve">Quoted by community size; first ten builds have special founding terms.</x:t>
  </x:si>
  <x:si>
    <x:t xml:space="preserve">Up to 1,000 members; bots rebuilt as native features; branding/domain; voice/video; co-watch; events/brackets</x:t>
  </x:si>
  <x:si>
    <x:t xml:space="preserve">Up to 5,000 members; bots rebuilt as native features; branding/domain; voice/video; co-watch; events/brackets</x:t>
  </x:si>
  <x:si>
    <x:t xml:space="preserve">Custom size / dedicated infrastructure; bots rebuilt as native features; branding/domain; voice/video; co-watch; events/brackets</x:t>
  </x:si>
  <x:si>
    <x:t xml:space="preserve">Profile &amp; Cosmetic Entitlements</x:t>
  </x:si>
  <x:si>
    <x:t xml:space="preserve">Animated Avatar Available?</x:t>
  </x:si>
  <x:si>
    <x:t xml:space="preserve">Animated Avatar Access</x:t>
  </x:si>
  <x:si>
    <x:t xml:space="preserve">Profile Banner Available?</x:t>
  </x:si>
  <x:si>
    <x:t xml:space="preserve">Profile Banner Access</x:t>
  </x:si>
  <x:si>
    <x:t xml:space="preserve">Custom Themes Available?</x:t>
  </x:si>
  <x:si>
    <x:t xml:space="preserve">Custom Themes Access</x:t>
  </x:si>
  <x:si>
    <x:t xml:space="preserve">Per-Community Profile Available?</x:t>
  </x:si>
  <x:si>
    <x:t xml:space="preserve">Per-Community Profile Access</x:t>
  </x:si>
  <x:si>
    <x:t xml:space="preserve">Emoji / Sticker / Soundboard Entitlements</x:t>
  </x:si>
  <x:si>
    <x:t xml:space="preserve">Custom Emoji Available?</x:t>
  </x:si>
  <x:si>
    <x:t xml:space="preserve">Custom Emoji Access</x:t>
  </x:si>
  <x:si>
    <x:t xml:space="preserve">Animated Emoji Available?</x:t>
  </x:si>
  <x:si>
    <x:t xml:space="preserve">Animated Emoji Access</x:t>
  </x:si>
  <x:si>
    <x:t xml:space="preserve">Custom Stickers Available?</x:t>
  </x:si>
  <x:si>
    <x:t xml:space="preserve">Custom Stickers Access</x:t>
  </x:si>
  <x:si>
    <x:t xml:space="preserve">Personal Soundboard Available?</x:t>
  </x:si>
  <x:si>
    <x:t xml:space="preserve">Personal Soundboard Access</x:t>
  </x:si>
  <x:si>
    <x:t xml:space="preserve">Server Soundboard Available?</x:t>
  </x:si>
  <x:si>
    <x:t xml:space="preserve">Server Soundboard Access</x:t>
  </x:si>
  <x:si>
    <x:t xml:space="preserve">Community Premium Features</x:t>
  </x:si>
  <x:si>
    <x:t xml:space="preserve">Vanity Invite Available?</x:t>
  </x:si>
  <x:si>
    <x:t xml:space="preserve">Vanity Invite Access</x:t>
  </x:si>
  <x:si>
    <x:t xml:space="preserve">Higher Voice Bitrate Paid?</x:t>
  </x:si>
  <x:si>
    <x:t xml:space="preserve">Higher Screen Share Quality Paid?</x:t>
  </x:si>
  <x:si>
    <x:t xml:space="preserve">Larger File Uploads Paid?</x:t>
  </x:si>
  <x:si>
    <x:t xml:space="preserve">Extra App / Bot Capacity Paid?</x:t>
  </x:si>
  <x:si>
    <x:t xml:space="preserve">Analytics Paid?</x:t>
  </x:si>
  <x:si>
    <x:t xml:space="preserve">Advanced Moderation Paid?</x:t>
  </x:si>
  <x:si>
    <x:t xml:space="preserve">Entitlement Notes</x:t>
  </x:si>
  <x:si>
    <x:t xml:space="preserve">Additional Entitlements</x:t>
  </x:si>
  <x:si>
    <x:t xml:space="preserve">Saved Layouts / Workspaces Available?</x:t>
  </x:si>
  <x:si>
    <x:t xml:space="preserve">Saved Layouts / Workspaces Access</x:t>
  </x:si>
  <x:si>
    <x:t xml:space="preserve">Embedded Apps / Portals Available?</x:t>
  </x:si>
  <x:si>
    <x:t xml:space="preserve">Embedded Apps / Portals Access</x:t>
  </x:si>
  <x:si>
    <x:t xml:space="preserve">Giveaways / Leveling Paid?</x:t>
  </x:si>
  <x:si>
    <x:t xml:space="preserve">Lifecycle</x:t>
  </x:si>
  <x:si>
    <x:t xml:space="preserve">Revenue / Monetization Type</x:t>
  </x:si>
  <x:si>
    <x:t xml:space="preserve">Option / Mechanism</x:t>
  </x:si>
  <x:si>
    <x:t xml:space="preserve">Amount</x:t>
  </x:si>
  <x:si>
    <x:t xml:space="preserve">Cadence</x:t>
  </x:si>
  <x:si>
    <x:t xml:space="preserve">Charged To / Unit</x:t>
  </x:si>
  <x:si>
    <x:t xml:space="preserve">Benefit Scope</x:t>
  </x:si>
  <x:si>
    <x:t xml:space="preserve">Server / Community Upgrade?</x:t>
  </x:si>
  <x:si>
    <x:t xml:space="preserve">User Benefit?</x:t>
  </x:si>
  <x:si>
    <x:t xml:space="preserve">Current Availability</x:t>
  </x:si>
  <x:si>
    <x:t xml:space="preserve">Intended / Roadmap Change</x:t>
  </x:si>
  <x:si>
    <x:t xml:space="preserve">Current</x:t>
  </x:si>
  <x:si>
    <x:t xml:space="preserve">2.99/mo; 29.99/yr</x:t>
  </x:si>
  <x:si>
    <x:t xml:space="preserve">Monthly / annual as listed</x:t>
  </x:si>
  <x:si>
    <x:t xml:space="preserve">9.99/mo; 99.99/yr</x:t>
  </x:si>
  <x:si>
    <x:t xml:space="preserve">4.99/mo; 49.99/yr</x:t>
  </x:si>
  <x:si>
    <x:t xml:space="preserve">Legacy</x:t>
  </x:si>
  <x:si>
    <x:t xml:space="preserve">N/A / U/K</x:t>
  </x:si>
  <x:si>
    <x:t xml:space="preserve">Intended / Planned</x:t>
  </x:si>
  <x:si>
    <x:t xml:space="preserve">4.99/mo</x:t>
  </x:si>
  <x:si>
    <x:t xml:space="preserve">9.99/mo</x:t>
  </x:si>
  <x:si>
    <x:t xml:space="preserve">24.99/mo</x:t>
  </x:si>
  <x:si>
    <x:t xml:space="preserve">4.99/mo; 53.99/yr</x:t>
  </x:si>
  <x:si>
    <x:t xml:space="preserve">8.99/mo; 96.99/yr</x:t>
  </x:si>
  <x:si>
    <x:t xml:space="preserve">17.99/mo; 194.99/yr</x:t>
  </x:si>
  <x:si>
    <x:t xml:space="preserve">55/yr</x:t>
  </x:si>
  <x:si>
    <x:t xml:space="preserve">50/6mo; 100/yr</x:t>
  </x:si>
  <x:si>
    <x:t xml:space="preserve">87.50/6mo; 175/yr</x:t>
  </x:si>
  <x:si>
    <x:t xml:space="preserve">150/6mo; 300/yr</x:t>
  </x:si>
  <x:si>
    <x:t xml:space="preserve">250/6mo; 500/yr</x:t>
  </x:si>
  <x:si>
    <x:t xml:space="preserve">Contact Sales / Quote</x:t>
  </x:si>
  <x:si>
    <x:t xml:space="preserve">8.00/mo; 80.04/yr</x:t>
  </x:si>
  <x:si>
    <x:t xml:space="preserve">12.00/mo; 120.00/yr</x:t>
  </x:si>
  <x:si>
    <x:t xml:space="preserve">3.50/mo</x:t>
  </x:si>
  <x:si>
    <x:t xml:space="preserve">19.99/mo</x:t>
  </x:si>
  <x:si>
    <x:t xml:space="preserve">2.00/mo; 15.00/yr</x:t>
  </x:si>
  <x:si>
    <x:t xml:space="preserve">45.00 promo / 90.00 regular/yr</x:t>
  </x:si>
  <x:si>
    <x:t xml:space="preserve">7.00/mo; 70.00/yr</x:t>
  </x:si>
  <x:si>
    <x:t xml:space="preserve">10.00/mo</x:t>
  </x:si>
  <x:si>
    <x:t xml:space="preserve">25.00/mo</x:t>
  </x:si>
  <x:si>
    <x:t xml:space="preserve">6.00/mo</x:t>
  </x:si>
  <x:si>
    <x:t xml:space="preserve">Server / community upgrade</x:t>
  </x:si>
  <x:si>
    <x:t xml:space="preserve">Server Boost Level 1</x:t>
  </x:si>
  <x:si>
    <x:t xml:space="preserve">$9.98/mo at full $4.99/boost rate</x:t>
  </x:si>
  <x:si>
    <x:t xml:space="preserve">Monthly</x:t>
  </x:si>
  <x:si>
    <x:t xml:space="preserve">Entire server</x:t>
  </x:si>
  <x:si>
    <x:t xml:space="preserve">https://support.discord.com/hc/en-us/articles/360028038352-Server-Boosting-FAQ</x:t>
  </x:si>
  <x:si>
    <x:t xml:space="preserve">Requires 2 boosts. Full-price equivalent shown before Nitro included boosts or discounts.</x:t>
  </x:si>
  <x:si>
    <x:t xml:space="preserve">Server Boost Level 2</x:t>
  </x:si>
  <x:si>
    <x:t xml:space="preserve">$34.93/mo at full $4.99/boost rate</x:t>
  </x:si>
  <x:si>
    <x:t xml:space="preserve">Requires 7 boosts. Full-price equivalent shown before Nitro included boosts or discounts.</x:t>
  </x:si>
  <x:si>
    <x:t xml:space="preserve">Server Boost Level 3</x:t>
  </x:si>
  <x:si>
    <x:t xml:space="preserve">$69.86/mo at full $4.99/boost rate</x:t>
  </x:si>
  <x:si>
    <x:t xml:space="preserve">Requires 14 boosts. Full-price equivalent shown before Nitro included boosts or discounts.</x:t>
  </x:si>
  <x:si>
    <x:t xml:space="preserve">Community resource / upgrade</x:t>
  </x:si>
  <x:si>
    <x:t xml:space="preserve">Core</x:t>
  </x:si>
  <x:si>
    <x:t xml:space="preserve">Per Core / community resource</x:t>
  </x:si>
  <x:si>
    <x:t xml:space="preserve">Community</x:t>
  </x:si>
  <x:si>
    <x:t xml:space="preserve">Sudo includes 1 Core each month; standalone Core price is not publicly verified.</x:t>
  </x:si>
  <x:si>
    <x:t xml:space="preserve">Sponsored content</x:t>
  </x:si>
  <x:si>
    <x:t xml:space="preserve">Quests / sponsored formats</x:t>
  </x:si>
  <x:si>
    <x:t xml:space="preserve">USD / commercial</x:t>
  </x:si>
  <x:si>
    <x:t xml:space="preserve">Campaign / commercial</x:t>
  </x:si>
  <x:si>
    <x:t xml:space="preserve">Advertiser</x:t>
  </x:si>
  <x:si>
    <x:t xml:space="preserve">Platform-wide</x:t>
  </x:si>
  <x:si>
    <x:t xml:space="preserve">Users may receive sponsored content</x:t>
  </x:si>
  <x:si>
    <x:t xml:space="preserve">May expand as sponsored formats evolve</x:t>
  </x:si>
  <x:si>
    <x:t xml:space="preserve">https://discord.com/privacy</x:t>
  </x:si>
  <x:si>
    <x:t xml:space="preserve">Subscriptions, paid products and sponsored content fund Discord.</x:t>
  </x:si>
  <x:si>
    <x:t xml:space="preserve">Creator monetization infrastructure</x:t>
  </x:si>
  <x:si>
    <x:t xml:space="preserve">Server Subscriptions / Server Shop / Premium Apps</x:t>
  </x:si>
  <x:si>
    <x:t xml:space="preserve">Creator-set / varies</x:t>
  </x:si>
  <x:si>
    <x:t xml:space="preserve">USD / localized</x:t>
  </x:si>
  <x:si>
    <x:t xml:space="preserve">Varies</x:t>
  </x:si>
  <x:si>
    <x:t xml:space="preserve">Buyer / server member</x:t>
  </x:si>
  <x:si>
    <x:t xml:space="preserve">Creator/server offering</x:t>
  </x:si>
  <x:si>
    <x:t xml:space="preserve">Optional paid creator content</x:t>
  </x:si>
  <x:si>
    <x:t xml:space="preserve">https://support.discord.com/hc/en-us/articles/5330075836311-Monetization-Terms</x:t>
  </x:si>
  <x:si>
    <x:t xml:space="preserve">Distinct from Discord own Nitro/Boost revenue.</x:t>
  </x:si>
  <x:si>
    <x:t xml:space="preserve">Donations</x:t>
  </x:si>
  <x:si>
    <x:t xml:space="preserve">One-time / monthly / yearly donations</x:t>
  </x:si>
  <x:si>
    <x:t xml:space="preserve">Minimum 3 in selected currency</x:t>
  </x:si>
  <x:si>
    <x:t xml:space="preserve">Multiple</x:t>
  </x:si>
  <x:si>
    <x:t xml:space="preserve">One-time / monthly / yearly</x:t>
  </x:si>
  <x:si>
    <x:t xml:space="preserve">Donor</x:t>
  </x:si>
  <x:si>
    <x:t xml:space="preserve">Project funding</x:t>
  </x:si>
  <x:si>
    <x:t xml:space="preserve">No entitlement required</x:t>
  </x:si>
  <x:si>
    <x:t xml:space="preserve">Continue funding without VC/outside investors</x:t>
  </x:si>
  <x:si>
    <x:t xml:space="preserve">https://fluxer.app/donate</x:t>
  </x:si>
  <x:si>
    <x:t xml:space="preserve">Donation-funded service</x:t>
  </x:si>
  <x:si>
    <x:t xml:space="preserve">User-selected</x:t>
  </x:si>
  <x:si>
    <x:t xml:space="preserve">Donation</x:t>
  </x:si>
  <x:si>
    <x:t xml:space="preserve">No paid entitlement verified</x:t>
  </x:si>
  <x:si>
    <x:t xml:space="preserve">Homepage says Nerimity runs on donations.</x:t>
  </x:si>
  <x:si>
    <x:t xml:space="preserve">Foundation support</x:t>
  </x:si>
  <x:si>
    <x:t xml:space="preserve">Donations / organizational sponsorship</x:t>
  </x:si>
  <x:si>
    <x:t xml:space="preserve">User-selected / sponsorship</x:t>
  </x:si>
  <x:si>
    <x:t xml:space="preserve">One-time / recurring / sponsorship</x:t>
  </x:si>
  <x:si>
    <x:t xml:space="preserve">Donor / sponsor</x:t>
  </x:si>
  <x:si>
    <x:t xml:space="preserve">Protocol stewardship</x:t>
  </x:si>
  <x:si>
    <x:t xml:space="preserve">No protocol entitlement</x:t>
  </x:si>
  <x:si>
    <x:t xml:space="preserve">Continue neutral protocol stewardship</x:t>
  </x:si>
  <x:si>
    <x:t xml:space="preserve">https://matrix.org/contact/</x:t>
  </x:si>
  <x:si>
    <x:t xml:space="preserve">Separate from provider/client pricing.</x:t>
  </x:si>
  <x:si>
    <x:t xml:space="preserve">matrix.org homeserver usage plan</x:t>
  </x:si>
  <x:si>
    <x:t xml:space="preserve">Premium plan</x:t>
  </x:si>
  <x:si>
    <x:t xml:space="preserve">Price not finalized</x:t>
  </x:si>
  <x:si>
    <x:t xml:space="preserve">matrix.org account</x:t>
  </x:si>
  <x:si>
    <x:t xml:space="preserve">matrix.org homeserver account</x:t>
  </x:si>
  <x:si>
    <x:t xml:space="preserve">Higher attachment/data limits and faster invite rate</x:t>
  </x:si>
  <x:si>
    <x:t xml:space="preserve">Planned</x:t>
  </x:si>
  <x:si>
    <x:t xml:space="preserve">Pricing will be published when usage plans become available</x:t>
  </x:si>
  <x:si>
    <x:t xml:space="preserve">https://matrix.org/homeserver/pricing/</x:t>
  </x:si>
  <x:si>
    <x:t xml:space="preserve">Only applies to matrix.org homeserver, not Matrix generally.</x:t>
  </x:si>
  <x:si>
    <x:t xml:space="preserve">Self-funding + donations</x:t>
  </x:si>
  <x:si>
    <x:t xml:space="preserve">No subscription entitlement</x:t>
  </x:si>
  <x:si>
    <x:t xml:space="preserve">Kloak states no subscriptions, ads or data harvesting</x:t>
  </x:si>
  <x:si>
    <x:t xml:space="preserve">https://kloak.app/about</x:t>
  </x:si>
  <x:si>
    <x:t xml:space="preserve">PayPal / Ko-fi donations</x:t>
  </x:si>
  <x:si>
    <x:t xml:space="preserve">No paid entitlement</x:t>
  </x:si>
  <x:si>
    <x:t xml:space="preserve">Current development donation-funded</x:t>
  </x:si>
  <x:si>
    <x:t xml:space="preserve">https://docs.dcts.community/</x:t>
  </x:si>
  <x:si>
    <x:t xml:space="preserve">Managed hosting / VPS systems</x:t>
  </x:si>
  <x:si>
    <x:t xml:space="preserve">Per instance / server</x:t>
  </x:si>
  <x:si>
    <x:t xml:space="preserve">Community/server</x:t>
  </x:si>
  <x:si>
    <x:t xml:space="preserve">Managed server for less-technical operators</x:t>
  </x:si>
  <x:si>
    <x:t xml:space="preserve">Hosting revenue intended to fund development</x:t>
  </x:si>
  <x:si>
    <x:t xml:space="preserve">https://docs.dcts.community/Lore/Principles</x:t>
  </x:si>
  <x:si>
    <x:t xml:space="preserve">Declared future policy</x:t>
  </x:si>
  <x:si>
    <x:t xml:space="preserve">No paywalls</x:t>
  </x:si>
  <x:si>
    <x:t xml:space="preserve">No premium tier</x:t>
  </x:si>
  <x:si>
    <x:t xml:space="preserve">0</x:t>
  </x:si>
  <x:si>
    <x:t xml:space="preserve">All features open</x:t>
  </x:si>
  <x:si>
    <x:t xml:space="preserve">Declared</x:t>
  </x:si>
  <x:si>
    <x:t xml:space="preserve">Developer states Hollow will not have paywalls</x:t>
  </x:si>
  <x:si>
    <x:t xml:space="preserve">In-app economy</x:t>
  </x:si>
  <x:si>
    <x:t xml:space="preserve">Mezon Token / Mezon Dong payments</x:t>
  </x:si>
  <x:si>
    <x:t xml:space="preserve">Transaction-dependent</x:t>
  </x:si>
  <x:si>
    <x:t xml:space="preserve">Token / Mezon Dong</x:t>
  </x:si>
  <x:si>
    <x:t xml:space="preserve">Per transaction</x:t>
  </x:si>
  <x:si>
    <x:t xml:space="preserve">User / merchant</x:t>
  </x:si>
  <x:si>
    <x:t xml:space="preserve">Marketplace/economy</x:t>
  </x:si>
  <x:si>
    <x:t xml:space="preserve">Payments/transfers; communications stay free</x:t>
  </x:si>
  <x:si>
    <x:t xml:space="preserve">Marketplace/payment ecosystem may expand</x:t>
  </x:si>
  <x:si>
    <x:t xml:space="preserve">Platform transaction fee is U/K.</x:t>
  </x:si>
  <x:si>
    <x:t xml:space="preserve">Price U/K</x:t>
  </x:si>
  <x:si>
    <x:t xml:space="preserve">Recurring U/K</x:t>
  </x:si>
  <x:si>
    <x:t xml:space="preserve">Per user/supporter</x:t>
  </x:si>
  <x:si>
    <x:t xml:space="preserve">Larger uploads; profile flair</x:t>
  </x:si>
  <x:si>
    <x:t xml:space="preserve">Active / optional</x:t>
  </x:si>
  <x:si>
    <x:t xml:space="preserve">Support intended to help make Valour sustainable/full-time</x:t>
  </x:si>
  <x:si>
    <x:t xml:space="preserve">Premium / boost tiers</x:t>
  </x:si>
  <x:si>
    <x:t xml:space="preserve">Scope U/K</x:t>
  </x:si>
  <x:si>
    <x:t xml:space="preserve">Referenced as when active</x:t>
  </x:si>
  <x:si>
    <x:t xml:space="preserve">Paid premium/boost features are anticipated</x:t>
  </x:si>
  <x:si>
    <x:t xml:space="preserve">https://echon-voice.com/privacy</x:t>
  </x:si>
  <x:si>
    <x:t xml:space="preserve">Current / infrastructure present</x:t>
  </x:si>
  <x:si>
    <x:t xml:space="preserve">Subscriptions / paid features</x:t>
  </x:si>
  <x:si>
    <x:t xml:space="preserve">Subscriptions, purchases and paid features</x:t>
  </x:si>
  <x:si>
    <x:t xml:space="preserve">Entitlement / store purchase</x:t>
  </x:si>
  <x:si>
    <x:t xml:space="preserve">Policy supports billing flows; live catalog U/K</x:t>
  </x:si>
  <x:si>
    <x:t xml:space="preserve">Paid surfaces/community-store transactions supported by policy</x:t>
  </x:si>
  <x:si>
    <x:t xml:space="preserve">https://loqa.chat/privacy/</x:t>
  </x:si>
  <x:si>
    <x:t xml:space="preserve">Maximum Control Self-Hosting License</x:t>
  </x:si>
  <x:si>
    <x:t xml:space="preserve">No subscription</x:t>
  </x:si>
  <x:si>
    <x:t xml:space="preserve">Per self-host server</x:t>
  </x:si>
  <x:si>
    <x:t xml:space="preserve">Self-host server</x:t>
  </x:si>
  <x:si>
    <x:t xml:space="preserve">Full control / unlimited users</x:t>
  </x:si>
  <x:si>
    <x:t xml:space="preserve">License model funds development; current self-host license is $0</x:t>
  </x:si>
  <x:si>
    <x:t xml:space="preserve">Community build services</x:t>
  </x:si>
  <x:si>
    <x:t xml:space="preserve">Crew / League / Network / Larger custom builds</x:t>
  </x:si>
  <x:si>
    <x:t xml:space="preserve">Quoted</x:t>
  </x:si>
  <x:si>
    <x:t xml:space="preserve">Month-to-month</x:t>
  </x:si>
  <x:si>
    <x:t xml:space="preserve">Per community</x:t>
  </x:si>
  <x:si>
    <x:t xml:space="preserve">Custom bots/features, branding, domain, managed infra</x:t>
  </x:si>
  <x:si>
    <x:t xml:space="preserve">First 10 builds: fee waived and rate locked at least 12 months</x:t>
  </x:si>
  <x:si>
    <x:t xml:space="preserve">Priced by community size, not seats or boosts.</x:t>
  </x:si>
  <x:si>
    <x:t xml:space="preserve">Future monetization status</x:t>
  </x:si>
  <x:si>
    <x:t xml:space="preserve">No intended monetization publicly verified</x:t>
  </x:si>
  <x:si>
    <x:t xml:space="preserve">Not publicly announced</x:t>
  </x:si>
  <x:si>
    <x:t xml:space="preserve">Needs primary-source verification</x:t>
  </x:si>
  <x:si>
    <x:t xml:space="preserve">Current model</x:t>
  </x:si>
  <x:si>
    <x:t xml:space="preserve">Current monetization status</x:t>
  </x:si>
  <x:si>
    <x:t xml:space="preserve">No current paid monetization publicly verified</x:t>
  </x:si>
  <x:si>
    <x:t xml:space="preserve">Rift+ / Shard Forge or Shard Ember</x:t>
  </x:si>
  <x:si>
    <x:t xml:space="preserve">Rift+ $7m
Shard Ember $10/m
Shard Forge $25/m</x:t>
  </x:si>
  <x:si>
    <x:t xml:space="preserve">Self/Shard</x:t>
  </x:si>
  <x:si>
    <x:t xml:space="preserve">Yes - Shard</x:t>
  </x:si>
  <x:si>
    <x:t xml:space="preserve">Yes - Rift +</x:t>
  </x:si>
  <x:si>
    <x:t xml:space="preserve">Disabled</x:t>
  </x:si>
  <x:si>
    <x:t xml:space="preserve">Enabled with release</x:t>
  </x:si>
  <x:si>
    <x:t xml:space="preserve">Policy Scope / Service Model</x:t>
  </x:si>
  <x:si>
    <x:t xml:space="preserve">Terms Status / Effective</x:t>
  </x:si>
  <x:si>
    <x:t xml:space="preserve">User Owns Content?</x:t>
  </x:si>
  <x:si>
    <x:t xml:space="preserve">License Granted to Platform</x:t>
  </x:si>
  <x:si>
    <x:t xml:space="preserve">Platform Can Suspend / Terminate?</x:t>
  </x:si>
  <x:si>
    <x:t xml:space="preserve">Arbitration / Class Waiver</x:t>
  </x:si>
  <x:si>
    <x:t xml:space="preserve">Governing Law / Jurisdiction</x:t>
  </x:si>
  <x:si>
    <x:t xml:space="preserve">Paid Auto-Renew / Refund Terms</x:t>
  </x:si>
  <x:si>
    <x:t xml:space="preserve">Privacy Status / Effective</x:t>
  </x:si>
  <x:si>
    <x:t xml:space="preserve">Sells Personal Data?</x:t>
  </x:si>
  <x:si>
    <x:t xml:space="preserve">Ads / Behavioral Tracking?</x:t>
  </x:si>
  <x:si>
    <x:t xml:space="preserve">AI / Model Training Policy</x:t>
  </x:si>
  <x:si>
    <x:t xml:space="preserve">Can Service Read Stored Message Text?</x:t>
  </x:si>
  <x:si>
    <x:t xml:space="preserve">IP Address Handling</x:t>
  </x:si>
  <x:si>
    <x:t xml:space="preserve">Deletion / Retention Summary</x:t>
  </x:si>
  <x:si>
    <x:t xml:space="preserve">Third-Party Processors / Hosting</x:t>
  </x:si>
  <x:si>
    <x:t xml:space="preserve">Self-Hosted Policy Applicability</x:t>
  </x:si>
  <x:si>
    <x:t xml:space="preserve">General Policy Notes</x:t>
  </x:si>
  <x:si>
    <x:t xml:space="preserve">Discord-operated centralized service</x:t>
  </x:si>
  <x:si>
    <x:t xml:space="preserve">https://discord.com/terms</x:t>
  </x:si>
  <x:si>
    <x:t xml:space="preserve">Current terms effective 2025-09-29</x:t>
  </x:si>
  <x:si>
    <x:t xml:space="preserve">13+ and local minimum age; guardian consent where required</x:t>
  </x:si>
  <x:si>
    <x:t xml:space="preserve">Broad non-exclusive license to operate, develop and improve services</x:t>
  </x:si>
  <x:si>
    <x:t xml:space="preserve">Yes for U.S. users; arbitration/class-action waiver with opt-out process</x:t>
  </x:si>
  <x:si>
    <x:t xml:space="preserve">Subscriptions auto-renew; refund eligibility depends on product/policy and may be case-by-case</x:t>
  </x:si>
  <x:si>
    <x:t xml:space="preserve">Effective 2025-09-29</x:t>
  </x:si>
  <x:si>
    <x:t xml:space="preserve">Account, content, activity, device, payment and network/use information</x:t>
  </x:si>
  <x:si>
    <x:t xml:space="preserve">Sponsored content exists; Discord says it does not sell personal information</x:t>
  </x:si>
  <x:si>
    <x:t xml:space="preserve">Yes for text; voice/video generally transient and DAVE-E2EE except Stage cases</x:t>
  </x:si>
  <x:si>
    <x:t xml:space="preserve">IP/device/network information collected</x:t>
  </x:si>
  <x:si>
    <x:t xml:space="preserve">Retention varies by data type; deletion subject to legal/safety exceptions</x:t>
  </x:si>
  <x:si>
    <x:t xml:space="preserve">Cloud, payments, safety, analytics and other service providers</x:t>
  </x:si>
  <x:si>
    <x:t xml:space="preserve">Paid Services and Monetization Terms additionally govern purchases/sales.</x:t>
  </x:si>
  <x:si>
    <x:t xml:space="preserve">Primary / first-party policy or project source recorded</x:t>
  </x:si>
  <x:si>
    <x:t xml:space="preserve">Stoat-hosted service; self-host instances are separate operators</x:t>
  </x:si>
  <x:si>
    <x:t xml:space="preserve">https://stoat.chat/legal/terms</x:t>
  </x:si>
  <x:si>
    <x:t xml:space="preserve">Updated 2026-06-30; Stoat supplement effective 2026-07-30</x:t>
  </x:si>
  <x:si>
    <x:t xml:space="preserve">Jurisdiction-dependent minimum-age list</x:t>
  </x:si>
  <x:si>
    <x:t xml:space="preserve">Limited rights needed to host/distribute content; supplement applies</x:t>
  </x:si>
  <x:si>
    <x:t xml:space="preserve">Revolt Platforms Ltd is an England &amp; Wales company; check full Terms for governing-law clause</x:t>
  </x:si>
  <x:si>
    <x:t xml:space="preserve">No public fixed-price paid subscription verified</x:t>
  </x:si>
  <x:si>
    <x:t xml:space="preserve">https://stoat.chat/legal/privacy</x:t>
  </x:si>
  <x:si>
    <x:t xml:space="preserve">Updated 2026-06-30; service supplement applies</x:t>
  </x:si>
  <x:si>
    <x:t xml:space="preserve">Limited account/service data; categories listed in service supplement</x:t>
  </x:si>
  <x:si>
    <x:t xml:space="preserve">No data-sale model; advertising model not identified</x:t>
  </x:si>
  <x:si>
    <x:t xml:space="preserve">Yes for ordinary hosted text unless an encrypted mode states otherwise</x:t>
  </x:si>
  <x:si>
    <x:t xml:space="preserve">Deletion requests supported; EU/UK storage emphasized</x:t>
  </x:si>
  <x:si>
    <x:t xml:space="preserve">Cloudflare and service-specific providers</x:t>
  </x:si>
  <x:si>
    <x:t xml:space="preserve">Hosted Terms/Privacy do not govern independently operated self-host instances</x:t>
  </x:si>
  <x:si>
    <x:t xml:space="preserve">Read shared policies together with Stoat-specific supplements.</x:t>
  </x:si>
  <x:si>
    <x:t xml:space="preserve">Pre-launch waitlist policies; full production policy not yet verified</x:t>
  </x:si>
  <x:si>
    <x:t xml:space="preserve">https://fenrid.com/terms</x:t>
  </x:si>
  <x:si>
    <x:t xml:space="preserve">Waitlist Terms updated 2026-04-01</x:t>
  </x:si>
  <x:si>
    <x:t xml:space="preserve">13+ for waitlist</x:t>
  </x:si>
  <x:si>
    <x:t xml:space="preserve">Yes for waitlist/referral abuse</x:t>
  </x:si>
  <x:si>
    <x:t xml:space="preserve">Planned subscriptions disclosed; production billing terms U/K</x:t>
  </x:si>
  <x:si>
    <x:t xml:space="preserve">https://fenrid.com/privacy</x:t>
  </x:si>
  <x:si>
    <x:t xml:space="preserve">Waitlist Privacy updated 2026-05-22</x:t>
  </x:si>
  <x:si>
    <x:t xml:space="preserve">Email, referral IDs, browser/device IDs, approximate country, hashed IP/fraud signals</x:t>
  </x:si>
  <x:si>
    <x:t xml:space="preserve">Waitlist data not used for advertising</x:t>
  </x:si>
  <x:si>
    <x:t xml:space="preserve">IP stored hashed for waitlist anti-fraud</x:t>
  </x:si>
  <x:si>
    <x:t xml:space="preserve">Waitlist data retained through launch/initial period then deleted/anonymized unless required</x:t>
  </x:si>
  <x:si>
    <x:t xml:space="preserve">Cloudflare Turnstile and trusted providers</x:t>
  </x:si>
  <x:si>
    <x:t xml:space="preserve">N/A currently</x:t>
  </x:si>
  <x:si>
    <x:t xml:space="preserve">Treat these as waitlist policies, not a complete production-service legal package.</x:t>
  </x:si>
  <x:si>
    <x:t xml:space="preserve">fluxer.app hosted service; self-host operators may have separate policies</x:t>
  </x:si>
  <x:si>
    <x:t xml:space="preserve">https://fluxer.app/terms</x:t>
  </x:si>
  <x:si>
    <x:t xml:space="preserve">Effective 2026-09-13</x:t>
  </x:si>
  <x:si>
    <x:t xml:space="preserve">Must meet minimum age where user lives</x:t>
  </x:si>
  <x:si>
    <x:t xml:space="preserve">Only permissions needed to operate chosen features</x:t>
  </x:si>
  <x:si>
    <x:t xml:space="preserve">Fluxer Platform AB, Sweden; see full Terms</x:t>
  </x:si>
  <x:si>
    <x:t xml:space="preserve">Plutonium auto-renews; cancel anytime; unused time generally not refunded unless law/terms require</x:t>
  </x:si>
  <x:si>
    <x:t xml:space="preserve">https://fluxer.app/privacy</x:t>
  </x:si>
  <x:si>
    <x:t xml:space="preserve">Account, content, device/use, payment and security/operational data</x:t>
  </x:si>
  <x:si>
    <x:t xml:space="preserve">No advertising partners or data brokers</x:t>
  </x:si>
  <x:si>
    <x:t xml:space="preserve">No AI/LLM inference over messages/files/calls; content not used to train/evaluate AI models</x:t>
  </x:si>
  <x:si>
    <x:t xml:space="preserve">Export/delete controls and retention schedules documented</x:t>
  </x:si>
  <x:si>
    <x:t xml:space="preserve">Stripe plus infrastructure/service vendors</x:t>
  </x:si>
  <x:si>
    <x:t xml:space="preserve">Hosted policy applies to fluxer.app; self-host operator controls local deployment</x:t>
  </x:si>
  <x:si>
    <x:t xml:space="preserve">Voice/video/screen E2EE is in development, not current.</x:t>
  </x:si>
  <x:si>
    <x:t xml:space="preserve">Root-operated centralized service</x:t>
  </x:si>
  <x:si>
    <x:t xml:space="preserve">https://www.rootapp.com/terms-of-use</x:t>
  </x:si>
  <x:si>
    <x:t xml:space="preserve">Effective 2026-02-19</x:t>
  </x:si>
  <x:si>
    <x:t xml:space="preserve">Yes / exact clause U/K</x:t>
  </x:si>
  <x:si>
    <x:t xml:space="preserve">Root Communications, Inc., United States; exact venue clause in Terms</x:t>
  </x:si>
  <x:si>
    <x:t xml:space="preserve">Sudo auto-renews; cancel from settings; price increases require notice</x:t>
  </x:si>
  <x:si>
    <x:t xml:space="preserve">https://www.rootapp.com/privacy-policy</x:t>
  </x:si>
  <x:si>
    <x:t xml:space="preserve">Account, content, device/network, payments and service-use data</x:t>
  </x:si>
  <x:si>
    <x:t xml:space="preserve">No user data/content used to train AI models</x:t>
  </x:si>
  <x:si>
    <x:t xml:space="preserve">Yes for text; calls are real-time and not stored by default</x:t>
  </x:si>
  <x:si>
    <x:t xml:space="preserve">IP/network data processed</x:t>
  </x:si>
  <x:si>
    <x:t xml:space="preserve">Payments, hosting and service providers</x:t>
  </x:si>
  <x:si>
    <x:t xml:space="preserve">Developer Terms separately govern Apps/Bots and hosted runtime.</x:t>
  </x:si>
  <x:si>
    <x:t xml:space="preserve">No Matrix-wide ToS; these links apply only to the matrix.org homeserver</x:t>
  </x:si>
  <x:si>
    <x:t xml:space="preserve">https://matrix.org/legal/terms-and-conditions/</x:t>
  </x:si>
  <x:si>
    <x:t xml:space="preserve">Existing users effective 2025-08-14</x:t>
  </x:si>
  <x:si>
    <x:t xml:space="preserve">Yes / protocol content remains user-generated</x:t>
  </x:si>
  <x:si>
    <x:t xml:space="preserve">Limited license to use matrix.org service</x:t>
  </x:si>
  <x:si>
    <x:t xml:space="preserve">Yes for matrix.org access/moderation</x:t>
  </x:si>
  <x:si>
    <x:t xml:space="preserve">Matrix.org Foundation, UK; see Homeserver Terms</x:t>
  </x:si>
  <x:si>
    <x:t xml:space="preserve">Usage-plan fees generally non-refundable; planned pricing can change with notice</x:t>
  </x:si>
  <x:si>
    <x:t xml:space="preserve">https://matrix.org/legal/privacy-notice/</x:t>
  </x:si>
  <x:si>
    <x:t xml:space="preserve">Effective 2025-08-25</x:t>
  </x:si>
  <x:si>
    <x:t xml:space="preserve">matrix.org account/history, federation metadata, bots/bridges and operational data</x:t>
  </x:si>
  <x:si>
    <x:t xml:space="preserve">Provider/client-specific; no protocol-wide policy</x:t>
  </x:si>
  <x:si>
    <x:t xml:space="preserve">Homeservers can read unencrypted rooms; E2EE rooms store ciphertext</x:t>
  </x:si>
  <x:si>
    <x:t xml:space="preserve">Homeserver/provider sees network metadata</x:t>
  </x:si>
  <x:si>
    <x:t xml:space="preserve">Federated copies may exist on multiple homeservers</x:t>
  </x:si>
  <x:si>
    <x:t xml:space="preserve">Element acts as processor for matrix.org hosting/management; other providers vary</x:t>
  </x:si>
  <x:si>
    <x:t xml:space="preserve">Other homeservers have their own terms/privacy; matrix.org policies do not govern them</x:t>
  </x:si>
  <x:si>
    <x:t xml:space="preserve">Keep Matrix protocol, matrix.org homeserver and Element client separate.</x:t>
  </x:si>
  <x:si>
    <x:t xml:space="preserve">Self-hosted open-source Discord-compatible software</x:t>
  </x:si>
  <x:si>
    <x:t xml:space="preserve">Provider/operator-specific or U/K</x:t>
  </x:si>
  <x:si>
    <x:t xml:space="preserve">Operator/provider policy applies where self-hosted</x:t>
  </x:si>
  <x:si>
    <x:t xml:space="preserve">No central consumer service policy; operator policies apply.</x:t>
  </x:si>
  <x:si>
    <x:t xml:space="preserve">Open-source self-hosted voice software</x:t>
  </x:si>
  <x:si>
    <x:t xml:space="preserve">No central hosted-service ToS; third-party host/operator policies apply.</x:t>
  </x:si>
  <x:si>
    <x:t xml:space="preserve">Software, accounts, hosted communities, licenses and related services</x:t>
  </x:si>
  <x:si>
    <x:t xml:space="preserve">https://www.teamspeak.com/en/terms-and-conditions</x:t>
  </x:si>
  <x:si>
    <x:t xml:space="preserve">Effective 2026-06-22</x:t>
  </x:si>
  <x:si>
    <x:t xml:space="preserve">TeamSpeak USA / TeamSpeak DE depending product/order</x:t>
  </x:si>
  <x:si>
    <x:t xml:space="preserve">Product/order-specific hosted-plan and licensing terms</x:t>
  </x:si>
  <x:si>
    <x:t xml:space="preserve">https://www.teamspeak.com/en/privacy-policy</x:t>
  </x:si>
  <x:si>
    <x:t xml:space="preserve">Account, licensing, device/service-use and support data</x:t>
  </x:si>
  <x:si>
    <x:t xml:space="preserve">Self-host server operator controls server-side data; TeamSpeak-controlled data varies</x:t>
  </x:si>
  <x:si>
    <x:t xml:space="preserve">Server operator controls community content; TeamSpeak account/licensing policies still apply</x:t>
  </x:si>
  <x:si>
    <x:t xml:space="preserve">Authorized third-party hosts may impose additional policies.</x:t>
  </x:si>
  <x:si>
    <x:t xml:space="preserve">Zulip Cloud plus subscriptions; self-host operator policies also matter</x:t>
  </x:si>
  <x:si>
    <x:t xml:space="preserve">https://zulip.com/policies/terms</x:t>
  </x:si>
  <x:si>
    <x:t xml:space="preserve">Effective 2022-02-07</x:t>
  </x:si>
  <x:si>
    <x:t xml:space="preserve">See Zulip Age of Consent policy; jurisdiction-dependent</x:t>
  </x:si>
  <x:si>
    <x:t xml:space="preserve">Kandra Labs, Inc., California; see Terms</x:t>
  </x:si>
  <x:si>
    <x:t xml:space="preserve">Cloud/self-host subscriptions are plan-specific; Enterprise is contract-based</x:t>
  </x:si>
  <x:si>
    <x:t xml:space="preserve">https://zulip.com/policies/privacy</x:t>
  </x:si>
  <x:si>
    <x:t xml:space="preserve">Current policy page</x:t>
  </x:si>
  <x:si>
    <x:t xml:space="preserve">Account, organization content, device/use and payment/support data</x:t>
  </x:si>
  <x:si>
    <x:t xml:space="preserve">No data-sale business model</x:t>
  </x:si>
  <x:si>
    <x:t xml:space="preserve">Yes on Zulip Cloud/server-stored history; self-host operator controls own server</x:t>
  </x:si>
  <x:si>
    <x:t xml:space="preserve">Exports and admin retention policies exist</x:t>
  </x:si>
  <x:si>
    <x:t xml:space="preserve">Self-host organization/operator is responsible for its deployment and local policy</x:t>
  </x:si>
  <x:si>
    <x:t xml:space="preserve">Treat Zulip Cloud and self-hosted Zulip separately.</x:t>
  </x:si>
  <x:si>
    <x:t xml:space="preserve">Cloud and self-hosted enterprise collaboration; local org terms may apply</x:t>
  </x:si>
  <x:si>
    <x:t xml:space="preserve">https://docs.mattermost.com/product-overview/faq-license</x:t>
  </x:si>
  <x:si>
    <x:t xml:space="preserve">Legal/licensing hub; terms vary by edition/subscription</x:t>
  </x:si>
  <x:si>
    <x:t xml:space="preserve">Customer/operator content</x:t>
  </x:si>
  <x:si>
    <x:t xml:space="preserve">Yes / self-host admin also controls users</x:t>
  </x:si>
  <x:si>
    <x:t xml:space="preserve">Annual seat licenses/enterprise contracts</x:t>
  </x:si>
  <x:si>
    <x:t xml:space="preserve">https://mattermost.com/privacy-policy/</x:t>
  </x:si>
  <x:si>
    <x:t xml:space="preserve">Effective 2024-12-30</x:t>
  </x:si>
  <x:si>
    <x:t xml:space="preserve">Self-host users expose limited Mattermost-collected data; cloud/services collect more</x:t>
  </x:si>
  <x:si>
    <x:t xml:space="preserve">No consumer ad-driven model</x:t>
  </x:si>
  <x:si>
    <x:t xml:space="preserve">Depends on deployment/integration/provider</x:t>
  </x:si>
  <x:si>
    <x:t xml:space="preserve">Self-host operator can read ordinary server-stored content</x:t>
  </x:si>
  <x:si>
    <x:t xml:space="preserve">Customer infrastructure plus Mattermost subprocessors for cloud/services</x:t>
  </x:si>
  <x:si>
    <x:t xml:space="preserve">Self-host operator is primary privacy actor; org may publish local terms subject to Mattermost requirements</x:t>
  </x:si>
  <x:si>
    <x:t xml:space="preserve">Obligations differ by Team Edition, Enterprise and Cloud.</x:t>
  </x:si>
  <x:si>
    <x:t xml:space="preserve">Cloud and self-managed deployments; offering-specific terms</x:t>
  </x:si>
  <x:si>
    <x:t xml:space="preserve">https://docs.rocket.chat/docs/legal-center</x:t>
  </x:si>
  <x:si>
    <x:t xml:space="preserve">Legal center / offering-specific agreements</x:t>
  </x:si>
  <x:si>
    <x:t xml:space="preserve">Commercial/Government/Defense are sales-led contracts</x:t>
  </x:si>
  <x:si>
    <x:t xml:space="preserve">https://docs.rocket.chat/docs/privacy-policy</x:t>
  </x:si>
  <x:si>
    <x:t xml:space="preserve">Effective 2025-08-11</x:t>
  </x:si>
  <x:si>
    <x:t xml:space="preserve">Website/cloud/app/service data; self-host deployment data can remain customer-controlled</x:t>
  </x:si>
  <x:si>
    <x:t xml:space="preserve">No consumer ad-driven model identified</x:t>
  </x:si>
  <x:si>
    <x:t xml:space="preserve">Depends on deployment/integration</x:t>
  </x:si>
  <x:si>
    <x:t xml:space="preserve">Self-host operator can read unencrypted content; E2EE has feature limitations</x:t>
  </x:si>
  <x:si>
    <x:t xml:space="preserve">Self-managed operator is responsible for workspace data/local terms</x:t>
  </x:si>
  <x:si>
    <x:t xml:space="preserve">Use Legal Center for current agreements and archived versions.</x:t>
  </x:si>
  <x:si>
    <x:t xml:space="preserve">Cloud account/service plus cloud-hosted or self-hosted community servers</x:t>
  </x:si>
  <x:si>
    <x:t xml:space="preserve">https://gamevox.com/terms/</x:t>
  </x:si>
  <x:si>
    <x:t xml:space="preserve">Effective 2026-03-23; updated 2026-06-07</x:t>
  </x:si>
  <x:si>
    <x:t xml:space="preserve">13+; guardian permission represented for users under 18</x:t>
  </x:si>
  <x:si>
    <x:t xml:space="preserve">Server tiers and self-host licenses have purchase-specific terms</x:t>
  </x:si>
  <x:si>
    <x:t xml:space="preserve">https://gamevox.com/privacy/</x:t>
  </x:si>
  <x:si>
    <x:t xml:space="preserve">Effective 2026-03-23; updated 2026-08-06</x:t>
  </x:si>
  <x:si>
    <x:t xml:space="preserve">Account/profile, communications, support and usage data; self-host content remains local</x:t>
  </x:si>
  <x:si>
    <x:t xml:space="preserve">No ads/data sale business model</x:t>
  </x:si>
  <x:si>
    <x:t xml:space="preserve">Cloud-hosted text is stored by GameVox; self-host community content stays local</x:t>
  </x:si>
  <x:si>
    <x:t xml:space="preserve">Hosting/SMS/payments/operational vendors</x:t>
  </x:si>
  <x:si>
    <x:t xml:space="preserve">Self-host community data/voice/files live on operator hardware; cloud auth/account services still apply</x:t>
  </x:si>
  <x:si>
    <x:t xml:space="preserve">No data sale or advertising stated.</x:t>
  </x:si>
  <x:si>
    <x:t xml:space="preserve">Nerimity-hosted service; open-source code</x:t>
  </x:si>
  <x:si>
    <x:t xml:space="preserve">Homepage links Terms and Privacy; exact standalone URLs were not indexed.</x:t>
  </x:si>
  <x:si>
    <x:t xml:space="preserve">Osmium-hosted centralized service</x:t>
  </x:si>
  <x:si>
    <x:t xml:space="preserve">https://osmium.chat/terms/</x:t>
  </x:si>
  <x:si>
    <x:t xml:space="preserve">Last updated 2026-02-10</x:t>
  </x:si>
  <x:si>
    <x:t xml:space="preserve">Minimum age varies; EU stated as 16 unless consent rules allow otherwise</x:t>
  </x:si>
  <x:si>
    <x:t xml:space="preserve">https://osmium.chat/privacy/</x:t>
  </x:si>
  <x:si>
    <x:t xml:space="preserve">Account/profile, stored messages/files/media and operational data</x:t>
  </x:si>
  <x:si>
    <x:t xml:space="preserve">Yes; voice/video transmitted over encrypted connections</x:t>
  </x:si>
  <x:si>
    <x:t xml:space="preserve">Encrypted transport does not itself mean E2EE.</x:t>
  </x:si>
  <x:si>
    <x:t xml:space="preserve">Loqa-operated service plus evolving federation/self-host features</x:t>
  </x:si>
  <x:si>
    <x:t xml:space="preserve">https://loqa.chat/terms/</x:t>
  </x:si>
  <x:si>
    <x:t xml:space="preserve">13+; guardian consent for users under 18</x:t>
  </x:si>
  <x:si>
    <x:t xml:space="preserve">Limited non-exclusive license to store/transmit/display as needed</x:t>
  </x:si>
  <x:si>
    <x:t xml:space="preserve">Delaware law; Delaware courts for specified court actions</x:t>
  </x:si>
  <x:si>
    <x:t xml:space="preserve">Paid subscriptions/features supported; exact catalog/prices vary</x:t>
  </x:si>
  <x:si>
    <x:t xml:space="preserve">Last updated 2026-07-10</x:t>
  </x:si>
  <x:si>
    <x:t xml:space="preserve">Account/profile, messages/files, call-control data, diagnostics and purchases/subscriptions</x:t>
  </x:si>
  <x:si>
    <x:t xml:space="preserve">No targeted advertising/third-party ad trackers</x:t>
  </x:si>
  <x:si>
    <x:t xml:space="preserve">Eligible E2EE content is ciphertext; other channels/features may be readable</x:t>
  </x:si>
  <x:si>
    <x:t xml:space="preserve">Raw IP used for rate limiting/security; sessions retain keyed hash</x:t>
  </x:si>
  <x:si>
    <x:t xml:space="preserve">Deletion supported; moderation snapshots may persist up to 90 days</x:t>
  </x:si>
  <x:si>
    <x:t xml:space="preserve">Federated/self-host policy boundaries still evolving</x:t>
  </x:si>
  <x:si>
    <x:t xml:space="preserve">E2EE coverage varies by content type.</x:t>
  </x:si>
  <x:si>
    <x:t xml:space="preserve">Early hosted project moving toward self-host/federation</x:t>
  </x:si>
  <x:si>
    <x:t xml:space="preserve">Formal public legal policy coverage is incomplete.</x:t>
  </x:si>
  <x:si>
    <x:t xml:space="preserve">Policy page not verified / operator-specific</x:t>
  </x:si>
  <x:si>
    <x:t xml:space="preserve">Mezon communication service plus Mezon Dong payment ecosystem</x:t>
  </x:si>
  <x:si>
    <x:t xml:space="preserve">https://dong.mezon.ai/</x:t>
  </x:si>
  <x:si>
    <x:t xml:space="preserve">Legal links are exposed on Mezon Dong; exact normalized URLs U/K.</x:t>
  </x:si>
  <x:si>
    <x:t xml:space="preserve">Kloak-hosted privacy-focused service</x:t>
  </x:si>
  <x:si>
    <x:t xml:space="preserve">https://kloak.app/terms</x:t>
  </x:si>
  <x:si>
    <x:t xml:space="preserve">Last updated January 2025</x:t>
  </x:si>
  <x:si>
    <x:t xml:space="preserve">No subscriptions; self-funding + donations</x:t>
  </x:si>
  <x:si>
    <x:t xml:space="preserve">https://kloak.app/privacy</x:t>
  </x:si>
  <x:si>
    <x:t xml:space="preserve">Current privacy page / exact update U/K</x:t>
  </x:si>
  <x:si>
    <x:t xml:space="preserve">No / project says no data harvesting</x:t>
  </x:si>
  <x:si>
    <x:t xml:space="preserve">No ads</x:t>
  </x:si>
  <x:si>
    <x:t xml:space="preserve">Current server-readable model until planned zero-knowledge strategy is deployed</x:t>
  </x:si>
  <x:si>
    <x:t xml:space="preserve">Kloak states no subscriptions, ads or data harvesting.</x:t>
  </x:si>
  <x:si>
    <x:t xml:space="preserve">yapper.gg account/license service plus self-host or managed server</x:t>
  </x:si>
  <x:si>
    <x:t xml:space="preserve">No standalone Terms page verified</x:t>
  </x:si>
  <x:si>
    <x:t xml:space="preserve">Operator/user content ownership</x:t>
  </x:si>
  <x:si>
    <x:t xml:space="preserve">Self-host license $0; managed hosting €90/yr regular, €45 promo through 2027-01-31</x:t>
  </x:si>
  <x:si>
    <x:t xml:space="preserve">https://yapper.gg/privacy-policy</x:t>
  </x:si>
  <x:si>
    <x:t xml:space="preserve">Last updated 2026-06-30</x:t>
  </x:si>
  <x:si>
    <x:t xml:space="preserve">Email, username and account/license-validation data; self-host content stays on operator server</x:t>
  </x:si>
  <x:si>
    <x:t xml:space="preserve">No surveillance/ad model stated</x:t>
  </x:si>
  <x:si>
    <x:t xml:space="preserve">No model-training use stated</x:t>
  </x:si>
  <x:si>
    <x:t xml:space="preserve">yapper.gg cannot access self-hosted chat/voice/screen content</x:t>
  </x:si>
  <x:si>
    <x:t xml:space="preserve">Google Sign-In, optional tools and hosting/payment services</x:t>
  </x:si>
  <x:si>
    <x:t xml:space="preserve">Self-host operator is responsible for server content/data</x:t>
  </x:si>
  <x:si>
    <x:t xml:space="preserve">Managed hosting and self-host privacy responsibilities differ.</x:t>
  </x:si>
  <x:si>
    <x:t xml:space="preserve">Open-source Harmony platform/server; Fermi is a client</x:t>
  </x:si>
  <x:si>
    <x:t xml:space="preserve">No central consumer service policy verified; self-host operator policy applies.</x:t>
  </x:si>
  <x:si>
    <x:t xml:space="preserve">Open-source ATProto application/appserver</x:t>
  </x:si>
  <x:si>
    <x:t xml:space="preserve">Provider/PDS/appserver policies apply; no Roomy consumer policy verified.</x:t>
  </x:si>
  <x:si>
    <x:t xml:space="preserve">Open-source Nostr/Concord client/relay ecosystem</x:t>
  </x:si>
  <x:si>
    <x:t xml:space="preserve">No central consumer service terms; relay/provider policies apply.</x:t>
  </x:si>
  <x:si>
    <x:t xml:space="preserve">Local-first distributed app with optional relays</x:t>
  </x:si>
  <x:si>
    <x:t xml:space="preserve">Self-host-first open-source platform</x:t>
  </x:si>
  <x:si>
    <x:t xml:space="preserve">No centralized consumer ToS/privacy verified; instance operator policies apply.</x:t>
  </x:si>
  <x:si>
    <x:t xml:space="preserve">Rift-operated centralized service</x:t>
  </x:si>
  <x:si>
    <x:t xml:space="preserve">https://therift.chat/terms/</x:t>
  </x:si>
  <x:si>
    <x:t xml:space="preserve">Last updated August 2026</x:t>
  </x:si>
  <x:si>
    <x:t xml:space="preserve">18+ or age of majority, whichever is higher</x:t>
  </x:si>
  <x:si>
    <x:t xml:space="preserve">Subscriptions auto-renew; cancel anytime; generally no partial refunds except law/case-by-case</x:t>
  </x:si>
  <x:si>
    <x:t xml:space="preserve">https://therift.chat/privacy/</x:t>
  </x:si>
  <x:si>
    <x:t xml:space="preserve">Username/public key, age attestation, payment status, limited diagnostics/media metadata</x:t>
  </x:si>
  <x:si>
    <x:t xml:space="preserve">No behavioral advertising/tracking</x:t>
  </x:si>
  <x:si>
    <x:t xml:space="preserve">No messages/media/profile data used to train AI models</x:t>
  </x:si>
  <x:si>
    <x:t xml:space="preserve">Cannot read E2EE DM plaintext; can process non-E2EE community text</x:t>
  </x:si>
  <x:si>
    <x:t xml:space="preserve">Rift says it does not store IP addresses</x:t>
  </x:si>
  <x:si>
    <x:t xml:space="preserve">Hard-delete/account-deletion claims with legal exceptions</x:t>
  </x:si>
  <x:si>
    <x:t xml:space="preserve">Stripe, Cloudflare R2, optional Sentry; self-hosted voice/video infra</x:t>
  </x:si>
  <x:si>
    <x:t xml:space="preserve">No email, phone or government ID required.</x:t>
  </x:si>
  <x:si>
    <x:t xml:space="preserve">Echon-hosted centralized service</x:t>
  </x:si>
  <x:si>
    <x:t xml:space="preserve">13+ per signup/privacy policy</x:t>
  </x:si>
  <x:si>
    <x:t xml:space="preserve">LJAN Enterprises LLC (U.S.); team in Canada; exact law clause U/K</x:t>
  </x:si>
  <x:si>
    <x:t xml:space="preserve">Privacy policy references Stripe and premium/boost tiers when active</x:t>
  </x:si>
  <x:si>
    <x:t xml:space="preserve">Last updated 2026-06-10</x:t>
  </x:si>
  <x:si>
    <x:t xml:space="preserve">Email, username/handle, DOB, profile, stored text/uploads, IP/user-agent, device IDs, diagnostics</x:t>
  </x:si>
  <x:si>
    <x:t xml:space="preserve">No third-party tracking/advertising IDs</x:t>
  </x:si>
  <x:si>
    <x:t xml:space="preserve">Messages/voice not used to train ML models</x:t>
  </x:si>
  <x:si>
    <x:t xml:space="preserve">Yes for text; voice/screen through LiveKit Cloud are not recorded</x:t>
  </x:si>
  <x:si>
    <x:t xml:space="preserve">Raw IP short-lived in access logs; hashed form used for analytics/security</x:t>
  </x:si>
  <x:si>
    <x:t xml:space="preserve">LiveKit Cloud, Stripe, SendGrid, Sentry, AWS</x:t>
  </x:si>
  <x:si>
    <x:t xml:space="preserve">Premium/boost amounts and exact scope are not public.</x:t>
  </x:si>
  <x:si>
    <x:t xml:space="preserve">Valour-hosted service plus AGPL self-host/federated nodes</x:t>
  </x:si>
  <x:si>
    <x:t xml:space="preserve">No standalone current Terms page verified</x:t>
  </x:si>
  <x:si>
    <x:t xml:space="preserve">Optional Stargazer subscription; price U/K</x:t>
  </x:si>
  <x:si>
    <x:t xml:space="preserve">No standalone current Privacy page verified</x:t>
  </x:si>
  <x:si>
    <x:t xml:space="preserve">Email/account and hosted community data; exact categories U/K</x:t>
  </x:si>
  <x:si>
    <x:t xml:space="preserve">Official hosted service can read ordinary stored text unless encrypted feature says otherwise</x:t>
  </x:si>
  <x:si>
    <x:t xml:space="preserve">Self-host node operator sets local policy; official/federated nodes may differ</x:t>
  </x:si>
  <x:si>
    <x:t xml:space="preserve">FAQ says no phone/ID, no ads, no data selling; AGPL client/server.</x:t>
  </x:si>
  <x:si>
    <x:t xml:space="preserve">Weered-hosted lobby/community service</x:t>
  </x:si>
  <x:si>
    <x:t xml:space="preserve">No standalone public Terms page verified</x:t>
  </x:si>
  <x:si>
    <x:t xml:space="preserve">Hosted in Canada</x:t>
  </x:si>
  <x:si>
    <x:t xml:space="preserve">$6/mo own lobby; custom builds quoted by size; builds are month-to-month/no contract</x:t>
  </x:si>
  <x:si>
    <x:t xml:space="preserve">No standalone public Privacy page verified</x:t>
  </x:si>
  <x:si>
    <x:t xml:space="preserve">Hosted account/community data; exact categories U/K</x:t>
  </x:si>
  <x:si>
    <x:t xml:space="preserve">Hosted service can process stored lobby/chat content</x:t>
  </x:si>
  <x:si>
    <x:t xml:space="preserve">Custom-build member data exportable at any time</x:t>
  </x:si>
  <x:si>
    <x:t xml:space="preserve">Canada-hosted infrastructure</x:t>
  </x:si>
  <x:si>
    <x:t xml:space="preserve">No seat limits/boosts; paid model is lobby ownership/custom builds.</x:t>
  </x:si>
  <x:si>
    <x:t xml:space="preserve">As of 2026-09-15</x:t>
  </x:si>
  <x:si>
    <x:t xml:space="preserve">Area</x:t>
  </x:si>
  <x:si>
    <x:t xml:space="preserve">What it supports</x:t>
  </x:si>
  <x:si>
    <x:t xml:space="preserve">Source Type</x:t>
  </x:si>
  <x:si>
    <x:t xml:space="preserve">Evidence Level</x:t>
  </x:si>
  <x:si>
    <x:t xml:space="preserve">Applies To</x:t>
  </x:si>
  <x:si>
    <x:t xml:space="preserve">Language</x:t>
  </x:si>
  <x:si>
    <x:t xml:space="preserve">Project history / launch</x:t>
  </x:si>
  <x:si>
    <x:t xml:space="preserve">https://discord.com/company</x:t>
  </x:si>
  <x:si>
    <x:t xml:space="preserve">Official Discord company history; first Discord release in May 2015.</x:t>
  </x:si>
  <x:si>
    <x:t xml:space="preserve">First-party / official</x:t>
  </x:si>
  <x:si>
    <x:t xml:space="preserve">Primary</x:t>
  </x:si>
  <x:si>
    <x:t xml:space="preserve">English</x:t>
  </x:si>
  <x:si>
    <x:t xml:space="preserve">Exact launch anniversary</x:t>
  </x:si>
  <x:si>
    <x:t xml:space="preserve">https://discord.com/blog/thank-you-for-ten-years</x:t>
  </x:si>
  <x:si>
    <x:t xml:space="preserve">Official 10th birthday on May 13, 2025 confirms May 13, 2015 launch.</x:t>
  </x:si>
  <x:si>
    <x:t xml:space="preserve">Company size</x:t>
  </x:si>
  <x:si>
    <x:t xml:space="preserve">https://www.linkedin.com/company/discord</x:t>
  </x:si>
  <x:si>
    <x:t xml:space="preserve">Privacy / encryption / IP / business model</x:t>
  </x:si>
  <x:si>
    <x:t xml:space="preserve">Current privacy policy: TLS in transit, data collection/retention, IP collection, business funding, controllers.</x:t>
  </x:si>
  <x:si>
    <x:t xml:space="preserve">Retention</x:t>
  </x:si>
  <x:si>
    <x:t xml:space="preserve">https://support.discord.com/hc/en-us/articles/5431812448791-How-long-Discord-keeps-your-information</x:t>
  </x:si>
  <x:si>
    <x:t xml:space="preserve">Retention policy details, including inactive-account handling.</x:t>
  </x:si>
  <x:si>
    <x:t xml:space="preserve">Voice/video E2EE status</x:t>
  </x:si>
  <x:si>
    <x:t xml:space="preserve">https://discord.com/blog/every-voice-and-video-call-on-discord-is-now-end-to-end-encrypted</x:t>
  </x:si>
  <x:si>
    <x:t xml:space="preserve">DAVE is standard for Discord calls as of March 2026; Stage is a special case.</x:t>
  </x:si>
  <x:si>
    <x:t xml:space="preserve">DAVE design / text not E2EE</x:t>
  </x:si>
  <x:si>
    <x:t xml:space="preserve">https://discord.com/blog/meet-dave-e2ee-for-audio-video</x:t>
  </x:si>
  <x:si>
    <x:t xml:space="preserve">Explains DAVE, Trail of Bits audit, and that Discord messages remain non-E2EE.</x:t>
  </x:si>
  <x:si>
    <x:t xml:space="preserve">DAVE 2025 audit / platform rollout</x:t>
  </x:si>
  <x:si>
    <x:t xml:space="preserve">https://discord.com/blog/bringing-dave-to-all-discord-platforms</x:t>
  </x:si>
  <x:si>
    <x:t xml:space="preserve">All-platform DAVE rollout and follow-up Trail of Bits audit.</x:t>
  </x:si>
  <x:si>
    <x:t xml:space="preserve">Free / Nitro upload limits</x:t>
  </x:si>
  <x:si>
    <x:t xml:space="preserve">https://support.discord.com/hc/en-us/articles/25444343291031-File-Attachments-FAQ</x:t>
  </x:si>
  <x:si>
    <x:t xml:space="preserve">Current 2026 limits: 20 MB free, 50 MB Nitro Basic, up to 500 MB Nitro.</x:t>
  </x:si>
  <x:si>
    <x:t xml:space="preserve">Screen share / audio capture</x:t>
  </x:si>
  <x:si>
    <x:t xml:space="preserve">https://support.discord.com/hc/en-us/articles/360040816151-Go-Live-and-Screen-Share</x:t>
  </x:si>
  <x:si>
    <x:t xml:space="preserve">Free 720p/30; Nitro up to 4K/60; supported audio-capture platforms.</x:t>
  </x:si>
  <x:si>
    <x:t xml:space="preserve">Voice bitrate</x:t>
  </x:si>
  <x:si>
    <x:t xml:space="preserve">https://support.discord.com/hc/en-us/articles/11635925354775-Audio-Bitrate-FAQ</x:t>
  </x:si>
  <x:si>
    <x:t xml:space="preserve">96 kbps base; boosted caps up to 384 kbps.</x:t>
  </x:si>
  <x:si>
    <x:t xml:space="preserve">Krisp</x:t>
  </x:si>
  <x:si>
    <x:t xml:space="preserve">https://support.discord.com/hc/en-us/articles/360040843952-Krisp-FAQ</x:t>
  </x:si>
  <x:si>
    <x:t xml:space="preserve">Krisp noise suppression support.</x:t>
  </x:si>
  <x:si>
    <x:t xml:space="preserve">Stage channels</x:t>
  </x:si>
  <x:si>
    <x:t xml:space="preserve">https://support.discord.com/hc/en-us/articles/1500005513722-Stage-Channels-FAQ</x:t>
  </x:si>
  <x:si>
    <x:t xml:space="preserve">Speaker/audience model, request-to-speak, screen share/video.</x:t>
  </x:si>
  <x:si>
    <x:t xml:space="preserve">Account / server caps</x:t>
  </x:si>
  <x:si>
    <x:t xml:space="preserve">https://support.discord.com/hc/en-us/articles/33694251638295-Discord-Account-Caps-Server-Caps-and-More</x:t>
  </x:si>
  <x:si>
    <x:t xml:space="preserve">Audit-log retention and various channel/stage caps.</x:t>
  </x:si>
  <x:si>
    <x:t xml:space="preserve">Account registration</x:t>
  </x:si>
  <x:si>
    <x:t xml:space="preserve">https://support.discord.com/hc/en-us/articles/31676852332439-Discord-Sign-Up-and-Registration-Guide</x:t>
  </x:si>
  <x:si>
    <x:t xml:space="preserve">Registration requirements and phone/email options.</x:t>
  </x:si>
  <x:si>
    <x:t xml:space="preserve">AutoMod</x:t>
  </x:si>
  <x:si>
    <x:t xml:space="preserve">https://support.discord.com/hc/en-us/articles/4421269296535-AutoMod-FAQ</x:t>
  </x:si>
  <x:si>
    <x:t xml:space="preserve">Native AutoMod, keyword and spam filters.</x:t>
  </x:si>
  <x:si>
    <x:t xml:space="preserve">AutoMod regex</x:t>
  </x:si>
  <x:si>
    <x:t xml:space="preserve">https://support.discord.com/hc/en-us/articles/10069840290711-Filter-Messages-Using-Regular-Expressions-Regex</x:t>
  </x:si>
  <x:si>
    <x:t xml:space="preserve">Custom keyword rules support Rust-flavor regex.</x:t>
  </x:si>
  <x:si>
    <x:t xml:space="preserve">Raid protection</x:t>
  </x:si>
  <x:si>
    <x:t xml:space="preserve">https://support.discord.com/hc/en-us/articles/10989121220631-How-to-Protect-Your-Server-from-Raids-101</x:t>
  </x:si>
  <x:si>
    <x:t xml:space="preserve">ML-based Raid Protection, CAPTCHA, verification recommendations.</x:t>
  </x:si>
  <x:si>
    <x:t xml:space="preserve">Rules screening</x:t>
  </x:si>
  <x:si>
    <x:t xml:space="preserve">https://support.discord.com/hc/en-us/articles/1500000466882-Rules-Screening-FAQ</x:t>
  </x:si>
  <x:si>
    <x:t xml:space="preserve">Native join rules screening.</x:t>
  </x:si>
  <x:si>
    <x:t xml:space="preserve">Server member applications</x:t>
  </x:si>
  <x:si>
    <x:t xml:space="preserve">https://support.discord.com/hc/en-us/articles/29729107418519-Server-Member-Applications</x:t>
  </x:si>
  <x:si>
    <x:t xml:space="preserve">Apply-to-join and application review tools.</x:t>
  </x:si>
  <x:si>
    <x:t xml:space="preserve">Audit logs</x:t>
  </x:si>
  <x:si>
    <x:t xml:space="preserve">https://docs.discord.com/developers/resources/audit-log</x:t>
  </x:si>
  <x:si>
    <x:t xml:space="preserve">Audit log API and 45-day retention.</x:t>
  </x:si>
  <x:si>
    <x:t xml:space="preserve">Bug bounty</x:t>
  </x:si>
  <x:si>
    <x:t xml:space="preserve">https://discord.com/security</x:t>
  </x:si>
  <x:si>
    <x:t xml:space="preserve">Private Bugcrowd program; usual response target around 24 hours.</x:t>
  </x:si>
  <x:si>
    <x:t xml:space="preserve">2025 support-vendor incident</x:t>
  </x:si>
  <x:si>
    <x:t xml:space="preserve">https://discord.com/press-releases/update-on-security-incident-involving-third-party-customer-service</x:t>
  </x:si>
  <x:si>
    <x:t xml:space="preserve">Official incident disclosure and affected-data scope.</x:t>
  </x:si>
  <x:si>
    <x:t xml:space="preserve">Desktop/mobile stack</x:t>
  </x:si>
  <x:si>
    <x:t xml:space="preserve">https://discord.com/blog/discord-patch-notes-september-8-2026</x:t>
  </x:si>
  <x:si>
    <x:t xml:space="preserve">Electron 42 desktop; React Native 0.86 mobile; 20 MB free upload change.</x:t>
  </x:si>
  <x:si>
    <x:t xml:space="preserve">Platform downloads</x:t>
  </x:si>
  <x:si>
    <x:t xml:space="preserve">https://discord.com/download</x:t>
  </x:si>
  <x:si>
    <x:t xml:space="preserve">Official Windows, macOS, Linux package formats, iOS and Android distribution.</x:t>
  </x:si>
  <x:si>
    <x:t xml:space="preserve">Account switching</x:t>
  </x:si>
  <x:si>
    <x:t xml:space="preserve">https://support.discord.com/hc/en-us/articles/4412732047127-Discord-Account-Switcher-FAQ</x:t>
  </x:si>
  <x:si>
    <x:t xml:space="preserve">Desktop account switcher supports up to five accounts.</x:t>
  </x:si>
  <x:si>
    <x:t xml:space="preserve">Data export</x:t>
  </x:si>
  <x:si>
    <x:t xml:space="preserve">https://support.discord.com/hc/en-us/articles/360004957991-Your-Discord-Data-Package</x:t>
  </x:si>
  <x:si>
    <x:t xml:space="preserve">Account data-package export.</x:t>
  </x:si>
  <x:si>
    <x:t xml:space="preserve">Gateway / WebSocket API</x:t>
  </x:si>
  <x:si>
    <x:t xml:space="preserve">https://docs.discord.com/developers/events/gateway</x:t>
  </x:si>
  <x:si>
    <x:t xml:space="preserve">Gateway is WebSocket-based; documents Gateway event rate limit.</x:t>
  </x:si>
  <x:si>
    <x:t xml:space="preserve">API rate limits</x:t>
  </x:si>
  <x:si>
    <x:t xml:space="preserve">https://docs.discord.com/developers/topics/rate-limits</x:t>
  </x:si>
  <x:si>
    <x:t xml:space="preserve">Per-route and global API rate limiting.</x:t>
  </x:si>
  <x:si>
    <x:t xml:space="preserve">Interactions / slash commands</x:t>
  </x:si>
  <x:si>
    <x:t xml:space="preserve">https://docs.discord.com/developers/platform/interactions</x:t>
  </x:si>
  <x:si>
    <x:t xml:space="preserve">Slash commands, components, modals, Gateway/HTTP interactions.</x:t>
  </x:si>
  <x:si>
    <x:t xml:space="preserve">https://docs.discord.com/developers/platform/rich-presence</x:t>
  </x:si>
  <x:si>
    <x:t xml:space="preserve">Official Rich Presence platform documentation.</x:t>
  </x:si>
  <x:si>
    <x:t xml:space="preserve">Activities / embedded apps</x:t>
  </x:si>
  <x:si>
    <x:t xml:space="preserve">https://docs.discord.com/developers/platform/activities</x:t>
  </x:si>
  <x:si>
    <x:t xml:space="preserve">Activities are embedded games/social apps within Discord.</x:t>
  </x:si>
  <x:si>
    <x:t xml:space="preserve">Embedded App SDK</x:t>
  </x:si>
  <x:si>
    <x:t xml:space="preserve">https://docs.discord.com/developers/developer-tools/embedded-app-sdk</x:t>
  </x:si>
  <x:si>
    <x:t xml:space="preserve">Official JavaScript/TypeScript SDK for Discord Activities.</x:t>
  </x:si>
  <x:si>
    <x:t xml:space="preserve">Conversation Summaries</x:t>
  </x:si>
  <x:si>
    <x:t xml:space="preserve">https://support.discord.com/hc/en-us/articles/12926016807575-In-Channel-Conversation-Summaries</x:t>
  </x:si>
  <x:si>
    <x:t xml:space="preserve">2026 experiment for AI-generated channel conversation summaries.</x:t>
  </x:si>
  <x:si>
    <x:t xml:space="preserve">AI model-training policy</x:t>
  </x:si>
  <x:si>
    <x:t xml:space="preserve">https://discord.com/safety/important-policy-updates</x:t>
  </x:si>
  <x:si>
    <x:t xml:space="preserve">Discord says AI companies are not allowed to train models using user messages.</x:t>
  </x:si>
  <x:si>
    <x:t xml:space="preserve">Nitro perks</x:t>
  </x:si>
  <x:si>
    <x:t xml:space="preserve">https://support.discord.com/hc/en-us/articles/115000435108-What-are-Nitro-Nitro-Basic</x:t>
  </x:si>
  <x:si>
    <x:t xml:space="preserve">Nitro perks including uploads, HD streaming, cosmetics, Soundboard.</x:t>
  </x:si>
  <x:si>
    <x:t xml:space="preserve">Forum / Gallery view</x:t>
  </x:si>
  <x:si>
    <x:t xml:space="preserve">https://support.discord.com/hc/en-us/articles/6208479917079-Forum-Channels-FAQ</x:t>
  </x:si>
  <x:si>
    <x:t xml:space="preserve">Forum channels and Gallery View.</x:t>
  </x:si>
  <x:si>
    <x:t xml:space="preserve">Embedded Apps / Activities</x:t>
  </x:si>
  <x:si>
    <x:t xml:space="preserve">Activities are multiplayer/social experiences embedded directly in Discord; can launch in channels/DMs/App Launcher.</x:t>
  </x:si>
  <x:si>
    <x:t xml:space="preserve">Official developer platform documentation.</x:t>
  </x:si>
  <x:si>
    <x:t xml:space="preserve">Embedded Apps; Developer API Detail</x:t>
  </x:si>
  <x:si>
    <x:t xml:space="preserve">Official SDK for communication between embedded web apps and Discord clients; supports web/iOS/Android methods.</x:t>
  </x:si>
  <x:si>
    <x:t xml:space="preserve">Official SDK reference.</x:t>
  </x:si>
  <x:si>
    <x:t xml:space="preserve">App platform overview</x:t>
  </x:si>
  <x:si>
    <x:t xml:space="preserve">https://docs.discord.com/developers/quick-start/overview-of-apps</x:t>
  </x:si>
  <x:si>
    <x:t xml:space="preserve">Defines bots, Activities and Social SDK integrations and installation scopes.</x:t>
  </x:si>
  <x:si>
    <x:t xml:space="preserve">Official app model overview.</x:t>
  </x:si>
  <x:si>
    <x:t xml:space="preserve">Embedded Apps; Developer Extensibility</x:t>
  </x:si>
  <x:si>
    <x:t xml:space="preserve">URL</x:t>
  </x:si>
  <x:si>
    <x:t xml:space="preserve">Link Type</x:t>
  </x:si>
  <x:si>
    <x:t xml:space="preserve">https://soapbox.pub/armada</x:t>
  </x:si>
  <x:si>
    <x:t xml:space="preserve">Homepage</x:t>
  </x:si>
  <x:si>
    <x:t xml:space="preserve">Product</x:t>
  </x:si>
  <x:si>
    <x:t xml:space="preserve">Verified</x:t>
  </x:si>
  <x:si>
    <x:t xml:space="preserve">Official Soapbox Armada page</x:t>
  </x:si>
  <x:si>
    <x:t xml:space="preserve">2026-09-16</x:t>
  </x:si>
  <x:si>
    <x:t xml:space="preserve">https://dcts.community/features.html</x:t>
  </x:si>
  <x:si>
    <x:t xml:space="preserve">Features</x:t>
  </x:si>
  <x:si>
    <x:t xml:space="preserve">Official project site</x:t>
  </x:si>
  <x:si>
    <x:t xml:space="preserve">https://discord.com/</x:t>
  </x:si>
  <x:si>
    <x:t xml:space="preserve">Primary official website</x:t>
  </x:si>
  <x:si>
    <x:t xml:space="preserve">Official website</x:t>
  </x:si>
  <x:si>
    <x:t xml:space="preserve">https://fenrid.com/</x:t>
  </x:si>
  <x:si>
    <x:t xml:space="preserve">https://fluxer.app/</x:t>
  </x:si>
  <x:si>
    <x:t xml:space="preserve">https://gamevox.com/</x:t>
  </x:si>
  <x:si>
    <x:t xml:space="preserve">https://joinharmony.app/</x:t>
  </x:si>
  <x:si>
    <x:t xml:space="preserve">Current official Harmony site: AGPL-3.0, E2EE DMs, Tauri desktop, LiveKit voice, hosted + self-hosted plans</x:t>
  </x:si>
  <x:si>
    <x:t xml:space="preserve">Project repository</x:t>
  </x:si>
  <x:si>
    <x:t xml:space="preserve">Verified project repository</x:t>
  </x:si>
  <x:si>
    <x:t xml:space="preserve">Official source/project description</x:t>
  </x:si>
  <x:si>
    <x:t xml:space="preserve">https://kaede.chat/</x:t>
  </x:si>
  <x:si>
    <x:t xml:space="preserve">Official Kaede website / hosted instance</x:t>
  </x:si>
  <x:si>
    <x:t xml:space="preserve">https://github.com/CookieNom/KaedeChat</x:t>
  </x:si>
  <x:si>
    <x:t xml:space="preserve">Project</x:t>
  </x:si>
  <x:si>
    <x:t xml:space="preserve">Protocol/Ecosystem</x:t>
  </x:si>
  <x:si>
    <x:t xml:space="preserve">Matrix protocol/ecosystem; client capabilities vary</x:t>
  </x:si>
  <x:si>
    <x:t xml:space="preserve">https://mattermost.com/</x:t>
  </x:si>
  <x:si>
    <x:t xml:space="preserve">Documentation</x:t>
  </x:si>
  <x:si>
    <x:t xml:space="preserve">Official project website</x:t>
  </x:si>
  <x:si>
    <x:t xml:space="preserve">GitHub org is domain-verified</x:t>
  </x:si>
  <x:si>
    <x:t xml:space="preserve">https://pqp.gg/</x:t>
  </x:si>
  <x:si>
    <x:t xml:space="preserve">Official hosted product; Portuguese-first with English-accessible pages.</x:t>
  </x:si>
  <x:si>
    <x:t xml:space="preserve">https://therift.chat/</x:t>
  </x:si>
  <x:si>
    <x:t xml:space="preserve">Primary English site</x:t>
  </x:si>
  <x:si>
    <x:t xml:space="preserve">https://www.rocket.chat/</x:t>
  </x:si>
  <x:si>
    <x:t xml:space="preserve">Official Roomy project/source</x:t>
  </x:si>
  <x:si>
    <x:t xml:space="preserve">https://www.rootapp.com/</x:t>
  </x:si>
  <x:si>
    <x:t xml:space="preserve">https://docs.spacebar.chat/</x:t>
  </x:si>
  <x:si>
    <x:t xml:space="preserve">Official project documentation</x:t>
  </x:si>
  <x:si>
    <x:t xml:space="preserve">https://www.teamspeak.com/</x:t>
  </x:si>
  <x:si>
    <x:t xml:space="preserve">https://valour.gg/</x:t>
  </x:si>
  <x:si>
    <x:t xml:space="preserve">Official website/project</x:t>
  </x:si>
  <x:si>
    <x:t xml:space="preserve">https://www.reddit.com/r/DiscordAlternatives/comments/1thyt1p/change_of_direction_for_our_discord_alternative/</x:t>
  </x:si>
  <x:si>
    <x:t xml:space="preserve">Developer announcement</x:t>
  </x:si>
  <x:si>
    <x:t xml:space="preserve">Sparse first-party coverage</x:t>
  </x:si>
  <x:si>
    <x:t xml:space="preserve">https://weered.ca/</x:t>
  </x:si>
  <x:si>
    <x:t xml:space="preserve">https://yapper.gg/</x:t>
  </x:si>
  <x:si>
    <x:t xml:space="preserve">https://zulip.com/</x:t>
  </x:si>
  <x:si>
    <x:t xml:space="preserve">German</x:t>
  </x:si>
  <x:si>
    <x:t xml:space="preserve">https://gamevox.com/de/</x:t>
  </x:si>
  <x:si>
    <x:t xml:space="preserve">Localized homepage</x:t>
  </x:si>
  <x:si>
    <x:t xml:space="preserve">German localized site</x:t>
  </x:si>
  <x:si>
    <x:t xml:space="preserve">Localized plans</x:t>
  </x:si>
  <x:si>
    <x:t xml:space="preserve">Pricing</x:t>
  </x:si>
  <x:si>
    <x:t xml:space="preserve">Localized Rift plans; English page remains default source</x:t>
  </x:si>
  <x:si>
    <x:t xml:space="preserve">Polish</x:t>
  </x:si>
  <x:si>
    <x:t xml:space="preserve">https://gamevox.com/pl/</x:t>
  </x:si>
  <x:si>
    <x:t xml:space="preserve">Polish localized site</x:t>
  </x:si>
  <x:si>
    <x:t xml:space="preserve">Portuguese (Brazil)</x:t>
  </x:si>
  <x:si>
    <x:t xml:space="preserve">https://gamevox.com/br/</x:t>
  </x:si>
  <x:si>
    <x:t xml:space="preserve">Brazilian Portuguese localized site</x:t>
  </x:si>
  <x:si>
    <x:t xml:space="preserve">Spanish</x:t>
  </x:si>
  <x:si>
    <x:t xml:space="preserve">https://gamevox.com/es/</x:t>
  </x:si>
  <x:si>
    <x:t xml:space="preserve">Spanish localized site</x:t>
  </x:si>
  <x:si>
    <x:t xml:space="preserve">https://therift.chat/es/</x:t>
  </x:si>
  <x:si>
    <x:t xml:space="preserve">Localized Rift site</x:t>
  </x:si>
  <x:si>
    <x:t xml:space="preserve">https://github.com/rafaelcg/pqp</x:t>
  </x:si>
  <x:si>
    <x:t xml:space="preserve">https://pqp.gg/privacy</x:t>
  </x:si>
  <x:si>
    <x:t xml:space="preserve">Privacy policy</x:t>
  </x:si>
  <x:si>
    <x:t xml:space="preserve">Legal / Privacy</x:t>
  </x:si>
  <x:si>
    <x:t xml:space="preserve">Official privacy policy</x:t>
  </x:si>
  <x:si>
    <x:t xml:space="preserve">https://pqp.gg/.well-known/security.txt</x:t>
  </x:si>
  <x:si>
    <x:t xml:space="preserve">Security contact</x:t>
  </x:si>
  <x:si>
    <x:t xml:space="preserve">Security</x:t>
  </x:si>
  <x:si>
    <x:t xml:space="preserve">Official security.txt contact</x:t>
  </x:si>
  <x:si>
    <x:t xml:space="preserve">https://pqp.gg/blog</x:t>
  </x:si>
  <x:si>
    <x:t xml:space="preserve">Release notes</x:t>
  </x:si>
  <x:si>
    <x:t xml:space="preserve">Project health</x:t>
  </x:si>
  <x:si>
    <x:t xml:space="preserve">Official blog / release notes</x:t>
  </x:si>
  <x:si>
    <x:t xml:space="preserve">https://pqp.gg/download</x:t>
  </x:si>
  <x:si>
    <x:t xml:space="preserve">Desktop download</x:t>
  </x:si>
  <x:si>
    <x:t xml:space="preserve">Client</x:t>
  </x:si>
  <x:si>
    <x:t xml:space="preserve">Official Electron desktop download</x:t>
  </x:si>
  <x:si>
    <x:t xml:space="preserve">https://pqp.gg/beta</x:t>
  </x:si>
  <x:si>
    <x:t xml:space="preserve">iOS beta</x:t>
  </x:si>
  <x:si>
    <x:t xml:space="preserve">Official TestFlight beta page</x:t>
  </x:si>
  <x:si>
    <x:t xml:space="preserve">https://pqp.gg/android</x:t>
  </x:si>
  <x:si>
    <x:t xml:space="preserve">Android beta</x:t>
  </x:si>
  <x:si>
    <x:t xml:space="preserve">Official Android APK page</x:t>
  </x:si>
  <x:si>
    <x:t xml:space="preserve">Portuguese</x:t>
  </x:si>
  <x:si>
    <x:t xml:space="preserve">https://pqp.gg/apoie</x:t>
  </x:si>
  <x:si>
    <x:t xml:space="preserve">Funding</x:t>
  </x:si>
  <x:si>
    <x:t xml:space="preserve">Optional donations; no feature unlocks</x:t>
  </x:si>
  <x:si>
    <x:t xml:space="preserve">https://github.com/MathMan05/Fermi</x:t>
  </x:si>
  <x:si>
    <x:t xml:space="preserve">Client repository</x:t>
  </x:si>
  <x:si>
    <x:t xml:space="preserve">Legacy / Client</x:t>
  </x:si>
  <x:si>
    <x:t xml:space="preserve">Fermi client repository retained as supporting/legacy source; current product homepage is joinharmony.app</x:t>
  </x:si>
  <x:si>
    <x:t xml:space="preserve">Unknowns Before</x:t>
  </x:si>
  <x:si>
    <x:t xml:space="preserve">Unknowns After</x:t>
  </x:si>
  <x:si>
    <x:t xml:space="preserve">Net Unknowns Resolved</x:t>
  </x:si>
  <x:si>
    <x:t xml:space="preserve">Net Reduction</x:t>
  </x:si>
  <x:si>
    <x:t xml:space="preserve">Verification Status</x:t>
  </x:si>
  <x:si>
    <x:t xml:space="preserve">User-verified; public sources consistency-checked</x:t>
  </x:si>
  <x:si>
    <x:t xml:space="preserve">Included?</x:t>
  </x:si>
  <x:si>
    <x:t xml:space="preserve">r/discordalternatives evidence</x:t>
  </x:si>
  <x:si>
    <x:t xml:space="preserve">Official / primary source</x:t>
  </x:si>
  <x:si>
    <x:t xml:space="preserve">Status note</x:t>
  </x:si>
  <x:si>
    <x:t xml:space="preserve">Research treatment</x:t>
  </x:si>
  <x:si>
    <x:t xml:space="preserve">https://www.reddit.com/r/DiscordAlternatives/comments/1tn1js3/discord_alternatives_comparison_sheet/</x:t>
  </x:si>
  <x:si>
    <x:t xml:space="preserve">Open beta</x:t>
  </x:si>
  <x:si>
    <x:t xml:space="preserve">Filled from official site; U/K where unpublished</x:t>
  </x:si>
  <x:si>
    <x:t xml:space="preserve">Primary source verified</x:t>
  </x:si>
  <x:si>
    <x:t xml:space="preserve">https://www.reddit.com/r/DiscordAlternatives/comments/1u916jj/70_of_these_alternatives_are_trash_99_arent_even/</x:t>
  </x:si>
  <x:si>
    <x:t xml:space="preserve">Official site/GitHub</x:t>
  </x:si>
  <x:si>
    <x:t xml:space="preserve">https://www.reddit.com/r/DiscordAlternatives/comments/1tlqhnd/this_sub_is_full_of_vibecoded_clones_osmium_isnt/</x:t>
  </x:si>
  <x:si>
    <x:t xml:space="preserve">Public beta</x:t>
  </x:si>
  <x:si>
    <x:t xml:space="preserve">Official site/privacy + Reddit discovery</x:t>
  </x:si>
  <x:si>
    <x:t xml:space="preserve">Official site</x:t>
  </x:si>
  <x:si>
    <x:t xml:space="preserve">Alpha/Beta</x:t>
  </x:si>
  <x:si>
    <x:t xml:space="preserve">Developer post + public backend</x:t>
  </x:si>
  <x:si>
    <x:t xml:space="preserve">https://mezon.ai/</x:t>
  </x:si>
  <x:si>
    <x:t xml:space="preserve">https://www.reddit.com/r/DiscordAlternatives/comments/1sbzjsx/ive_spent_9_years_on_discord_the_next_best_option/</x:t>
  </x:si>
  <x:si>
    <x:t xml:space="preserve">Alpha</x:t>
  </x:si>
  <x:si>
    <x:t xml:space="preserve">Official privacy/product pages</x:t>
  </x:si>
  <x:si>
    <x:t xml:space="preserve">https://www.reddit.com/r/DiscordAlternatives/comments/1tlkuxw/title_ive_been_building_a_selfhosted/</x:t>
  </x:si>
  <x:si>
    <x:t xml:space="preserve">Beta/new</x:t>
  </x:si>
  <x:si>
    <x:t xml:space="preserve">Official site/privacy</x:t>
  </x:si>
  <x:si>
    <x:t xml:space="preserve">https://www.reddit.com/r/DiscordAlternatives/</x:t>
  </x:si>
  <x:si>
    <x:t xml:space="preserve">Early</x:t>
  </x:si>
  <x:si>
    <x:t xml:space="preserve">Platform is Harmony; Fermi is a client</x:t>
  </x:si>
  <x:si>
    <x:t xml:space="preserve">https://www.reddit.com/r/DiscordAlternatives/comments/1v1ljw0/is_there_any_good_discord_alternative_nowdays/</x:t>
  </x:si>
  <x:si>
    <x:t xml:space="preserve">ATProto-based app</x:t>
  </x:si>
  <x:si>
    <x:t xml:space="preserve">https://www.reddit.com/r/DiscordAlternatives/comments/1wa1q1w/my_personal_list_of_alternatives_i_reccomend_for/</x:t>
  </x:si>
  <x:si>
    <x:t xml:space="preserve">Beta/dev</x:t>
  </x:si>
  <x:si>
    <x:t xml:space="preserve">Nostr/Concord architecture</x:t>
  </x:si>
  <x:si>
    <x:t xml:space="preserve">https://www.reddit.com/r/DiscordAlternatives/comments/1uaztpl/hollow_opensource_selfhostable_signed_winmac/</x:t>
  </x:si>
  <x:si>
    <x:t xml:space="preserve">Developer post + public source/whitepaper</x:t>
  </x:si>
  <x:si>
    <x:t xml:space="preserve">https://www.reddit.com/r/DiscordAlternatives/comments/1uyf7jm/adding_a_discord_bridge_to_dcts_work_in_progress/</x:t>
  </x:si>
  <x:si>
    <x:t xml:space="preserve">Public</x:t>
  </x:si>
  <x:si>
    <x:t xml:space="preserve">Beta</x:t>
  </x:si>
  <x:si>
    <x:t xml:space="preserve">https://www.reddit.com/r/DiscordAlternatives/comments/1sdj5ki/warning_about_echon_app_and_its_creator/</x:t>
  </x:si>
  <x:si>
    <x:t xml:space="preserve">Public/new</x:t>
  </x:si>
  <x:si>
    <x:t xml:space="preserve">Official site; Reddit claims not treated as facts</x:t>
  </x:si>
  <x:si>
    <x:t xml:space="preserve">https://weered.ca/alternatives/discord</x:t>
  </x:si>
  <x:si>
    <x:t xml:space="preserve">Nexoria.Chat</x:t>
  </x:si>
  <x:si>
    <x:t xml:space="preserve">Candidate</x:t>
  </x:si>
  <x:si>
    <x:t xml:space="preserve">Not included in 30 because public technical documentation is sparse</x:t>
  </x:si>
  <x:si>
    <x:t xml:space="preserve">Discovery only / needs primary source</x:t>
  </x:si>
  <x:si>
    <x:t xml:space="preserve">Project reportedly restarting</x:t>
  </x:si>
  <x:si>
    <x:t xml:space="preserve">Not included; insufficient current primary-source verification</x:t>
  </x:si>
  <x:si>
    <x:t xml:space="preserve">Guilded</x:t>
  </x:si>
  <x:si>
    <x:t xml:space="preserve">Historical</x:t>
  </x:si>
  <x:si>
    <x:t xml:space="preserve">https://www.guilded.gg/</x:t>
  </x:si>
  <x:si>
    <x:t xml:space="preserve">Discontinued 2025</x:t>
  </x:si>
  <x:si>
    <x:t xml:space="preserve">Not a current alternative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</x:si>
</x:sst>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B57"/>
      <x:name val="Carlito"/>
    </x:font>
    <x:font>
      <x:b/>
      <x:sz val="15"/>
      <x:color rgb="FFFFFFFF"/>
      <x:name val="Carlito"/>
    </x:font>
    <x:font>
      <x:sz val="10"/>
      <x:color rgb="FF17212B"/>
      <x:name val="Aptos"/>
    </x:font>
    <x:font>
      <x:b/>
      <x:sz val="10"/>
      <x:color rgb="FF173B57"/>
      <x:name val="Aptos"/>
    </x:font>
    <x:font>
      <x:sz val="11"/>
      <x:color rgb="FF0563C1"/>
      <x:name val="Carlito"/>
    </x:font>
    <x:font>
      <x:b/>
      <x:sz val="13"/>
      <x:color rgb="FFFFFFFF"/>
      <x:name val="Carlito"/>
    </x:font>
    <x:font>
      <x:b/>
      <x:sz val="11"/>
      <x:color rgb="FF1F2933"/>
      <x:name val="Carlito"/>
    </x:font>
    <x:font>
      <x:sz val="11"/>
      <x:color rgb="FF5B6B7A"/>
      <x:name val="Carlito"/>
    </x:font>
    <x:font>
      <x:b/>
      <x:sz val="10"/>
      <x:color rgb="FF1F2933"/>
      <x:name val="Aptos"/>
    </x:font>
    <x:font>
      <x:sz val="11"/>
      <x:color theme="10"/>
      <x:name val="Carlito"/>
    </x:font>
    <x:font>
      <x:sz val="11"/>
      <x:name val="Carlito"/>
    </x:font>
    <x:font>
      <x:sz val="11"/>
      <x:color rgb="FF17212B"/>
      <x:name val="Carlito"/>
    </x:font>
    <x:font>
      <x:sz val="11"/>
      <x:color rgb="FF334155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EEF7FA"/>
      </x:patternFill>
    </x:fill>
    <x:fill>
      <x:patternFill patternType="solid">
        <x:fgColor rgb="FF102A3A"/>
      </x:patternFill>
    </x:fill>
    <x:fill>
      <x:patternFill patternType="solid">
        <x:fgColor rgb="FF1E465C"/>
      </x:patternFill>
    </x:fill>
    <x:fill>
      <x:patternFill patternType="solid">
        <x:fgColor rgb="FFD9EEF7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DCEAF4"/>
      </x:patternFill>
    </x:fill>
    <x:fill>
      <x:patternFill patternType="solid">
        <x:fgColor rgb="FFF5F7FA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F5F7FA"/>
      </x:patternFill>
    </x:fill>
    <x:fill>
      <x:patternFill patternType="solid">
        <x:fgColor rgb="FFEEF3F7"/>
      </x:patternFill>
    </x:fill>
  </x:fills>
  <x:borders count="1">
    <x:border/>
  </x:borders>
  <x:cellStyleXfs count="2">
    <x:xf numFmtId="0" fontId="0" fillId="0" borderId="0"/>
    <x:xf numFmtId="0" fontId="12" fillId="0" borderId="0" applyNumberFormat="0" applyFill="0" applyBorder="0" applyAlignment="0" applyProtection="0"/>
  </x:cellStyleXfs>
  <x:cellXfs count="82">
    <x:xf numFmtId="0" fontId="0" fillId="0" borderId="0" xfId="0"/>
    <x:xf numFmtId="0" fontId="0" fillId="0" borderId="0" xfId="0" applyAlignment="1">
      <x:alignment wrapText="1"/>
    </x:xf>
    <x:xf numFmtId="0" fontId="2" fillId="3" borderId="0" xfId="0" applyFont="1" applyFill="1" applyAlignment="1">
      <x:alignment horizontal="center" wrapText="1"/>
    </x:xf>
    <x:xf numFmtId="0" fontId="5" fillId="0" borderId="0" xfId="0" applyFont="1" applyAlignment="1">
      <x:alignment vertical="top" wrapText="1"/>
    </x:xf>
    <x:xf numFmtId="0" fontId="6" fillId="4" borderId="0" xfId="0" applyFont="1" applyFill="1" applyAlignment="1">
      <x:alignment vertical="top" wrapText="1"/>
    </x:xf>
    <x:xf numFmtId="0" fontId="6" fillId="5" borderId="0" xfId="0" applyFont="1" applyFill="1" applyAlignment="1">
      <x:alignment vertical="top" wrapText="1"/>
    </x:xf>
    <x:xf numFmtId="0" fontId="5" fillId="5" borderId="0" xfId="0" applyFont="1" applyFill="1" applyAlignment="1">
      <x:alignment vertical="top" wrapText="1"/>
    </x:xf>
    <x:xf numFmtId="0" fontId="4" fillId="2" borderId="0" xfId="0" applyFont="1" applyFill="1"/>
    <x:xf numFmtId="0" fontId="0" fillId="0" borderId="0" xfId="0" applyAlignment="1">
      <x:alignment vertical="top" wrapText="1"/>
    </x:xf>
    <x:xf numFmtId="0" fontId="0" fillId="8" borderId="0" xfId="0" applyFill="1" applyAlignment="1">
      <x:alignment vertical="top" wrapText="1"/>
    </x:xf>
    <x:xf numFmtId="0" fontId="2" fillId="7" borderId="0" xfId="0" applyFont="1" applyFill="1" applyAlignment="1">
      <x:alignment vertical="center" wrapText="1"/>
    </x:xf>
    <x:xf numFmtId="0" fontId="2" fillId="10" borderId="0" xfId="0" applyFont="1" applyFill="1" applyAlignment="1">
      <x:alignment horizontal="center" vertical="center" wrapText="1"/>
    </x:xf>
    <x:xf numFmtId="0" fontId="9" fillId="11" borderId="0" xfId="0" applyFont="1" applyFill="1" applyAlignment="1">
      <x:alignment vertical="top" wrapText="1"/>
    </x:xf>
    <x:xf numFmtId="0" fontId="9" fillId="12" borderId="0" xfId="0" applyFont="1" applyFill="1" applyAlignment="1">
      <x:alignment vertical="top" wrapText="1"/>
    </x:xf>
    <x:xf numFmtId="0" fontId="0" fillId="0" borderId="0" xfId="0" applyAlignment="1">
      <x:alignment horizontal="center" vertical="top" wrapText="1"/>
    </x:xf>
    <x:xf numFmtId="0" fontId="10" fillId="0" borderId="0" xfId="0" applyFont="1" applyAlignment="1">
      <x:alignment vertical="top" wrapText="1"/>
    </x:xf>
    <x:xf numFmtId="0" fontId="2" fillId="10" borderId="0" xfId="0" applyFont="1" applyFill="1" applyAlignment="1">
      <x:alignment horizontal="center" vertical="top" wrapText="1"/>
    </x:xf>
    <x:xf numFmtId="0" fontId="11" fillId="12" borderId="0" xfId="0" applyFont="1" applyFill="1" applyAlignment="1">
      <x:alignment vertical="top" wrapText="1"/>
    </x:xf>
    <x:xf numFmtId="0" fontId="11" fillId="11" borderId="0" xfId="0" applyFont="1" applyFill="1" applyAlignment="1">
      <x:alignment vertical="center" wrapText="1"/>
    </x:xf>
    <x:xf numFmtId="0" fontId="9" fillId="11" borderId="0" xfId="0" applyFont="1" applyFill="1" applyAlignment="1">
      <x:alignment vertical="center" wrapText="1"/>
    </x:xf>
    <x:xf numFmtId="0" fontId="3" fillId="4" borderId="0" xfId="0" applyFont="1" applyFill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164" fontId="0" fillId="0" borderId="0" xfId="0" applyNumberFormat="1" applyAlignment="1">
      <x:alignment vertical="top" wrapText="1"/>
    </x:xf>
    <x:xf numFmtId="0" fontId="1" fillId="9" borderId="0" xfId="0" applyFont="1" applyFill="1" applyAlignment="1">
      <x:alignment vertical="center" wrapText="1"/>
    </x:xf>
    <x:xf numFmtId="0" fontId="4" fillId="9" borderId="0" xfId="0" applyFont="1" applyFill="1" applyAlignment="1">
      <x:alignment vertical="center" wrapText="1"/>
    </x:xf>
    <x:xf numFmtId="0" fontId="2" fillId="9" borderId="0" xfId="0" applyFont="1" applyFill="1" applyAlignment="1">
      <x:alignment vertical="center" wrapText="1"/>
    </x:xf>
    <x:xf numFmtId="0" fontId="2" fillId="9" borderId="0" xfId="0" applyFont="1" applyFill="1" applyAlignment="1">
      <x:alignment horizontal="center" vertical="center" wrapText="1"/>
    </x:xf>
    <x:xf numFmtId="0" fontId="8" fillId="6" borderId="0" xfId="0" applyFont="1" applyFill="1" applyAlignment="1">
      <x:alignment vertical="center"/>
    </x:xf>
    <x:xf numFmtId="0" fontId="1" fillId="9" borderId="0" xfId="0" applyFont="1" applyFill="1" applyAlignment="1">
      <x:alignment horizontal="left" vertical="center" wrapText="1"/>
    </x:xf>
    <x:xf numFmtId="0" fontId="12" fillId="0" borderId="0" xfId="1" applyAlignment="1">
      <x:alignment vertical="top" wrapText="1"/>
    </x:xf>
    <x:xf numFmtId="0" fontId="13" fillId="0" borderId="0" xfId="0" applyFont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9" fillId="11" borderId="0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2" fillId="10" borderId="0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164" fontId="0" fillId="0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center" wrapText="1"/>
    </x:xf>
    <x:xf numFmtId="0" fontId="4" fillId="9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left" vertical="center" wrapText="1"/>
    </x:xf>
    <x:xf numFmtId="0" fontId="12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0" xfId="0" applyNumberFormat="1" applyFont="1" applyFill="1" applyBorder="1" applyAlignment="1">
      <x:alignment wrapText="1"/>
    </x:xf>
    <x:xf numFmtId="0" fontId="9" fillId="15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horizontal="center" wrapText="1"/>
    </x:xf>
    <x:xf numFmtId="0" fontId="14" fillId="0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3">
    <x:dxf>
      <x:font>
        <x:color rgb="FF215E21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595959"/>
      </x:font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45f919cdd643e7" /><Relationship Type="http://schemas.openxmlformats.org/officeDocument/2006/relationships/theme" Target="/xl/theme/theme1.xml" Id="Rd6a7e5bd16d44f72" /><Relationship Type="http://schemas.openxmlformats.org/officeDocument/2006/relationships/sharedStrings" Target="/xl/sharedStrings.xml" Id="R6d37be31c6ff4d03" /><Relationship Type="http://schemas.openxmlformats.org/officeDocument/2006/relationships/worksheet" Target="/xl/worksheets/sheet1.xml" Id="R46e920717df94b5b" /><Relationship Type="http://schemas.openxmlformats.org/officeDocument/2006/relationships/worksheet" Target="/xl/worksheets/sheet2.xml" Id="R87a16dc357d8458c" /><Relationship Type="http://schemas.openxmlformats.org/officeDocument/2006/relationships/worksheet" Target="/xl/worksheets/sheet3.xml" Id="R482d997f74204373" /><Relationship Type="http://schemas.openxmlformats.org/officeDocument/2006/relationships/worksheet" Target="/xl/worksheets/sheet4.xml" Id="R9516f0eaeda94712" /><Relationship Type="http://schemas.openxmlformats.org/officeDocument/2006/relationships/worksheet" Target="/xl/worksheets/sheet5.xml" Id="R146296d329094d0c" /><Relationship Type="http://schemas.openxmlformats.org/officeDocument/2006/relationships/worksheet" Target="/xl/worksheets/sheet6.xml" Id="R919c7369ad7a497e" /><Relationship Type="http://schemas.openxmlformats.org/officeDocument/2006/relationships/worksheet" Target="/xl/worksheets/sheet7.xml" Id="R560e9ebfd2884dc7" /><Relationship Type="http://schemas.openxmlformats.org/officeDocument/2006/relationships/worksheet" Target="/xl/worksheets/sheet8.xml" Id="R8bfd948f2dcc453f" /><Relationship Type="http://schemas.openxmlformats.org/officeDocument/2006/relationships/worksheet" Target="/xl/worksheets/sheet9.xml" Id="Rb0ee9d92b8654832" /><Relationship Type="http://schemas.openxmlformats.org/officeDocument/2006/relationships/worksheet" Target="/xl/worksheets/sheet10.xml" Id="R0ec539f09e1f4ad4" /><Relationship Type="http://schemas.openxmlformats.org/officeDocument/2006/relationships/worksheet" Target="/xl/worksheets/sheet11.xml" Id="R9ca65a70fc054bc3" /><Relationship Type="http://schemas.openxmlformats.org/officeDocument/2006/relationships/worksheet" Target="/xl/worksheets/sheet12.xml" Id="Re49b237c5cdf4af8" /><Relationship Type="http://schemas.openxmlformats.org/officeDocument/2006/relationships/worksheet" Target="/xl/worksheets/sheet13.xml" Id="R1907903218c14ee9" /><Relationship Type="http://schemas.openxmlformats.org/officeDocument/2006/relationships/worksheet" Target="/xl/worksheets/sheet14.xml" Id="R78b5f9678bbb46f7" /><Relationship Type="http://schemas.openxmlformats.org/officeDocument/2006/relationships/worksheet" Target="/xl/worksheets/sheet15.xml" Id="R202269a2d42b4160" /><Relationship Type="http://schemas.openxmlformats.org/officeDocument/2006/relationships/worksheet" Target="/xl/worksheets/sheet16.xml" Id="Rab51093e0b9c45a0" /><Relationship Type="http://schemas.openxmlformats.org/officeDocument/2006/relationships/worksheet" Target="/xl/worksheets/sheet17.xml" Id="R9798543ed2a041e0" /><Relationship Type="http://schemas.openxmlformats.org/officeDocument/2006/relationships/worksheet" Target="/xl/worksheets/sheet18.xml" Id="R0f99f1ba326f4e2b" /><Relationship Type="http://schemas.openxmlformats.org/officeDocument/2006/relationships/worksheet" Target="/xl/worksheets/sheet19.xml" Id="Ra7305dda3b8e4706" /><Relationship Type="http://schemas.openxmlformats.org/officeDocument/2006/relationships/worksheet" Target="/xl/worksheets/sheet20.xml" Id="R5cf32ed123ee4ed0" /><Relationship Type="http://schemas.openxmlformats.org/officeDocument/2006/relationships/worksheet" Target="/xl/worksheets/sheet21.xml" Id="R3f2d85e50e8940ec" /><Relationship Type="http://schemas.openxmlformats.org/officeDocument/2006/relationships/worksheet" Target="/xl/worksheets/sheet22.xml" Id="Rc96ebda874634778" /><Relationship Type="http://schemas.openxmlformats.org/officeDocument/2006/relationships/worksheet" Target="/xl/worksheets/sheet23.xml" Id="R7b44f0d61ad14a12" /><Relationship Type="http://schemas.openxmlformats.org/officeDocument/2006/relationships/worksheet" Target="/xl/worksheets/sheet24.xml" Id="R860e3745931e4d56" /><Relationship Type="http://schemas.openxmlformats.org/officeDocument/2006/relationships/worksheet" Target="/xl/worksheets/sheet25.xml" Id="Rf71ce27df02b476d" /><Relationship Type="http://schemas.openxmlformats.org/officeDocument/2006/relationships/worksheet" Target="/xl/worksheets/sheet26.xml" Id="Rc262a8b80dba4a6d" /><Relationship Type="http://schemas.openxmlformats.org/officeDocument/2006/relationships/worksheet" Target="/xl/worksheets/sheet27.xml" Id="R4c98babb9f2a45cc" /><Relationship Type="http://schemas.openxmlformats.org/officeDocument/2006/relationships/worksheet" Target="/xl/worksheets/sheet28.xml" Id="R556c31ffb75b49c8" /><Relationship Type="http://schemas.openxmlformats.org/officeDocument/2006/relationships/worksheet" Target="/xl/worksheets/sheet29.xml" Id="Rd597fa3c14e6488c" /><Relationship Type="http://schemas.openxmlformats.org/officeDocument/2006/relationships/worksheet" Target="/xl/worksheets/sheet30.xml" Id="Rb298b79a6bea4bab" /><Relationship Type="http://schemas.openxmlformats.org/officeDocument/2006/relationships/worksheet" Target="/xl/worksheets/sheet31.xml" Id="Ra65e84b9c0834cd5" /><Relationship Type="http://schemas.openxmlformats.org/officeDocument/2006/relationships/worksheet" Target="/xl/worksheets/sheet32.xml" Id="R974151c04bc24e43" /><Relationship Type="http://schemas.openxmlformats.org/officeDocument/2006/relationships/worksheet" Target="/xl/worksheets/sheet33.xml" Id="R481a38506f1a42e9" /><Relationship Type="http://schemas.openxmlformats.org/officeDocument/2006/relationships/worksheet" Target="/xl/worksheets/sheet34.xml" Id="Ra374637f0ffe4907" /><Relationship Type="http://schemas.openxmlformats.org/officeDocument/2006/relationships/worksheet" Target="/xl/worksheets/sheet35.xml" Id="R0fb6305d40574326" /><Relationship Type="http://schemas.openxmlformats.org/officeDocument/2006/relationships/worksheet" Target="/xl/worksheets/sheet36.xml" Id="R382827d3f23d40a4" /><Relationship Type="http://schemas.openxmlformats.org/officeDocument/2006/relationships/worksheet" Target="/xl/worksheets/sheet37.xml" Id="R9125f296c7384ed6" /><Relationship Type="http://schemas.openxmlformats.org/officeDocument/2006/relationships/worksheet" Target="/xl/worksheets/sheet38.xml" Id="R9cd2de5a578145d1" /><Relationship Type="http://schemas.openxmlformats.org/officeDocument/2006/relationships/worksheet" Target="/xl/worksheets/sheet39.xml" Id="R53fb3c52ebc7458f" /><Relationship Type="http://schemas.openxmlformats.org/officeDocument/2006/relationships/worksheet" Target="/xl/worksheets/sheet40.xml" Id="R66bbacb6e38b42da" /><Relationship Type="http://schemas.openxmlformats.org/officeDocument/2006/relationships/worksheet" Target="/xl/worksheets/sheet41.xml" Id="R142896bdb6a54ce3" /><Relationship Type="http://schemas.openxmlformats.org/officeDocument/2006/relationships/worksheet" Target="/xl/worksheets/sheet42.xml" Id="R2d941625d2e74ca5" /><Relationship Type="http://schemas.openxmlformats.org/officeDocument/2006/relationships/worksheet" Target="/xl/worksheets/sheet43.xml" Id="Rca51e6a962e14e3d" /><Relationship Type="http://schemas.openxmlformats.org/officeDocument/2006/relationships/worksheet" Target="/xl/worksheets/sheet44.xml" Id="R613e8e01e26049f4" /><Relationship Type="http://schemas.openxmlformats.org/officeDocument/2006/relationships/worksheet" Target="/xl/worksheets/sheet45.xml" Id="Rb3692254932e4dad" /><Relationship Type="http://schemas.openxmlformats.org/officeDocument/2006/relationships/worksheet" Target="/xl/worksheets/sheet46.xml" Id="Rbcf1b036a85b49c3" /><Relationship Type="http://schemas.openxmlformats.org/officeDocument/2006/relationships/worksheet" Target="/xl/worksheets/sheet47.xml" Id="R69c7b7922aeb4093" /><Relationship Type="http://schemas.openxmlformats.org/officeDocument/2006/relationships/worksheet" Target="/xl/worksheets/sheet48.xml" Id="R53fcd0b7c9ef4f15" /><Relationship Type="http://schemas.openxmlformats.org/officeDocument/2006/relationships/worksheet" Target="/xl/worksheets/sheet49.xml" Id="R7146af3c14f844da" /><Relationship Type="http://schemas.openxmlformats.org/officeDocument/2006/relationships/worksheet" Target="/xl/worksheets/sheet50.xml" Id="R32c3429b40dc4c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9.xml.rels>&#65279;<?xml version="1.0" encoding="utf-8"?><Relationships xmlns="http://schemas.openxmlformats.org/package/2006/relationships"><Relationship Type="http://schemas.openxmlformats.org/officeDocument/2006/relationships/hyperlink" Target="https://therift.chat/plans/" TargetMode="External" Id="R1f3bf15c57314a5f" /></Relationships>
</file>

<file path=xl/worksheets/sheet1.xml><?xml version="1.0" encoding="utf-8"?>
<x:worksheet xmlns:x="http://schemas.openxmlformats.org/spreadsheetml/2006/main">
  <x:sheetFormatPr defaultRowHeight="15"/>
  <x:cols>
    <x:col min="1" max="2" width="22" customWidth="1"/>
    <x:col min="3" max="3" width="36" customWidth="1"/>
    <x:col min="4" max="4" width="15" customWidth="1"/>
    <x:col min="5" max="5" width="18" customWidth="1"/>
  </x:cols>
  <x:sheetData>
    <x:row r="1" ht="27.950000762939453" customHeight="1">
      <x:c r="A1" s="23" t="s">
        <x:v>0</x:v>
      </x:c>
      <x:c r="B1" s="23"/>
      <x:c r="C1" s="23"/>
      <x:c r="D1" s="23"/>
      <x:c r="E1" s="23"/>
    </x:row>
    <x:row r="2" ht="32.099998474121094" customHeight="1">
      <x:c r="A2" s="11" t="s">
        <x:v>1</x:v>
      </x:c>
      <x:c r="B2" s="11" t="s">
        <x:v>2</x:v>
      </x:c>
      <x:c r="C2" s="11" t="s">
        <x:v>3</x:v>
      </x:c>
      <x:c r="D2" s="11" t="s">
        <x:v>4</x:v>
      </x:c>
      <x:c r="E2" s="11" t="s">
        <x:v>5</x:v>
      </x:c>
    </x:row>
    <x:row r="3" ht="21.950000762939453" customHeight="1">
      <x:c r="A3" s="19" t="str">
        <x:v>00: Navigation &amp; Summary</x:v>
      </x:c>
      <x:c r="B3" s="19"/>
      <x:c r="C3" s="19"/>
      <x:c r="D3" s="19"/>
      <x:c r="E3" s="19"/>
    </x:row>
    <x:row r="4">
      <x:c r="A4" s="8"/>
      <x:c r="B4" s="8" t="s">
        <x:v>6</x:v>
      </x:c>
      <x:c r="C4" s="8" t="s">
        <x:v>7</x:v>
      </x:c>
      <x:c r="D4" s="8">
        <x:v>1</x:v>
      </x:c>
      <x:c r="E4" s="21" t="str">
        <x:f>IFERROR(HYPERLINK("#'Sheet Directory'!A1","Open"),"Open")</x:f>
        <x:v>Open</x:v>
      </x:c>
    </x:row>
    <x:row r="5" ht="30">
      <x:c r="A5" s="8"/>
      <x:c r="B5" s="8" t="s">
        <x:v>8</x:v>
      </x:c>
      <x:c r="C5" s="8" t="s">
        <x:v>9</x:v>
      </x:c>
      <x:c r="D5" s="8">
        <x:v>2</x:v>
      </x:c>
      <x:c r="E5" s="21" t="str">
        <x:f>IFERROR(HYPERLINK("#'At a Glance'!A1","Open"),"Open")</x:f>
        <x:v>Open</x:v>
      </x:c>
    </x:row>
    <x:row r="6" ht="30">
      <x:c r="A6" s="8"/>
      <x:c r="B6" s="8" t="s">
        <x:v>10</x:v>
      </x:c>
      <x:c r="C6" s="8" t="s">
        <x:v>11</x:v>
      </x:c>
      <x:c r="D6" s="8">
        <x:v>3</x:v>
      </x:c>
      <x:c r="E6" s="21" t="str">
        <x:f>IFERROR(HYPERLINK("#'Comparison Guide'!A1","Open"),"Open")</x:f>
        <x:v>Open</x:v>
      </x:c>
    </x:row>
    <x:row r="7" ht="21.950000762939453" customHeight="1">
      <x:c r="A7" s="19" t="str">
        <x:v>01: Messaging &amp; Features</x:v>
      </x:c>
      <x:c r="B7" s="19"/>
      <x:c r="C7" s="19"/>
      <x:c r="D7" s="19"/>
      <x:c r="E7" s="19"/>
    </x:row>
    <x:row r="8">
      <x:c r="A8" s="8"/>
      <x:c r="B8" s="8" t="s">
        <x:v>12</x:v>
      </x:c>
      <x:c r="C8" s="8" t="s">
        <x:v>13</x:v>
      </x:c>
      <x:c r="D8" s="8">
        <x:v>4</x:v>
      </x:c>
      <x:c r="E8" s="21" t="str">
        <x:f>IFERROR(HYPERLINK("#'Core Features'!A1","Open"),"Open")</x:f>
        <x:v>Open</x:v>
      </x:c>
    </x:row>
    <x:row r="9">
      <x:c r="A9" s="8"/>
      <x:c r="B9" s="8" t="s">
        <x:v>14</x:v>
      </x:c>
      <x:c r="C9" s="8" t="s">
        <x:v>13</x:v>
      </x:c>
      <x:c r="D9" s="8">
        <x:v>5</x:v>
      </x:c>
      <x:c r="E9" s="21" t="str">
        <x:f>IFERROR(HYPERLINK("#'Basic Features'!A1","Open"),"Open")</x:f>
        <x:v>Open</x:v>
      </x:c>
    </x:row>
    <x:row r="10">
      <x:c r="A10" s="8"/>
      <x:c r="B10" s="8" t="s">
        <x:v>15</x:v>
      </x:c>
      <x:c r="C10" s="8" t="s">
        <x:v>13</x:v>
      </x:c>
      <x:c r="D10" s="8">
        <x:v>6</x:v>
      </x:c>
      <x:c r="E10" s="21" t="str">
        <x:f>IFERROR(HYPERLINK("#'Advanced Features'!A1","Open"),"Open")</x:f>
        <x:v>Open</x:v>
      </x:c>
    </x:row>
    <x:row r="11">
      <x:c r="A11" s="8"/>
      <x:c r="B11" s="8" t="s">
        <x:v>16</x:v>
      </x:c>
      <x:c r="C11" s="8" t="s">
        <x:v>13</x:v>
      </x:c>
      <x:c r="D11" s="8">
        <x:v>7</x:v>
      </x:c>
      <x:c r="E11" s="21" t="str">
        <x:f>IFERROR(HYPERLINK("#'Channel Types'!A1","Open"),"Open")</x:f>
        <x:v>Open</x:v>
      </x:c>
    </x:row>
    <x:row r="12">
      <x:c r="A12" s="8"/>
      <x:c r="B12" s="8" t="s">
        <x:v>17</x:v>
      </x:c>
      <x:c r="C12" s="8" t="s">
        <x:v>13</x:v>
      </x:c>
      <x:c r="D12" s="8">
        <x:v>8</x:v>
      </x:c>
      <x:c r="E12" s="21" t="str">
        <x:f>IFERROR(HYPERLINK("#'Extra Features'!A1","Open"),"Open")</x:f>
        <x:v>Open</x:v>
      </x:c>
    </x:row>
    <x:row r="13">
      <x:c r="A13" s="8"/>
      <x:c r="B13" s="8" t="s">
        <x:v>18</x:v>
      </x:c>
      <x:c r="C13" s="8" t="s">
        <x:v>13</x:v>
      </x:c>
      <x:c r="D13" s="8">
        <x:v>9</x:v>
      </x:c>
      <x:c r="E13" s="21" t="str">
        <x:f>IFERROR(HYPERLINK("#'Embedded Apps'!A1","Open"),"Open")</x:f>
        <x:v>Open</x:v>
      </x:c>
    </x:row>
    <x:row r="14">
      <x:c r="A14" s="8"/>
      <x:c r="B14" s="8" t="s">
        <x:v>19</x:v>
      </x:c>
      <x:c r="C14" s="8" t="s">
        <x:v>13</x:v>
      </x:c>
      <x:c r="D14" s="8">
        <x:v>10</x:v>
      </x:c>
      <x:c r="E14" s="21" t="str">
        <x:f>IFERROR(HYPERLINK("#'Community Limits'!A1","Open"),"Open")</x:f>
        <x:v>Open</x:v>
      </x:c>
    </x:row>
    <x:row r="15" ht="21.950000762939453" customHeight="1">
      <x:c r="A15" s="19" t="str">
        <x:v>02: Voice, Video, Media &amp; Files</x:v>
      </x:c>
      <x:c r="B15" s="19"/>
      <x:c r="C15" s="19"/>
      <x:c r="D15" s="19"/>
      <x:c r="E15" s="19"/>
    </x:row>
    <x:row r="16">
      <x:c r="A16" s="8"/>
      <x:c r="B16" s="8" t="s">
        <x:v>20</x:v>
      </x:c>
      <x:c r="C16" s="8" t="s">
        <x:v>13</x:v>
      </x:c>
      <x:c r="D16" s="8">
        <x:v>11</x:v>
      </x:c>
      <x:c r="E16" s="21" t="str">
        <x:f>IFERROR(HYPERLINK("#'Voice &amp; Audio'!A1","Open"),"Open")</x:f>
        <x:v>Open</x:v>
      </x:c>
    </x:row>
    <x:row r="17">
      <x:c r="A17" s="8"/>
      <x:c r="B17" s="8" t="s">
        <x:v>21</x:v>
      </x:c>
      <x:c r="C17" s="8" t="s">
        <x:v>13</x:v>
      </x:c>
      <x:c r="D17" s="8">
        <x:v>12</x:v>
      </x:c>
      <x:c r="E17" s="21" t="str">
        <x:f>IFERROR(HYPERLINK("#'Voice Quality Detail'!A1","Open"),"Open")</x:f>
        <x:v>Open</x:v>
      </x:c>
    </x:row>
    <x:row r="18">
      <x:c r="A18" s="8"/>
      <x:c r="B18" s="8" t="s">
        <x:v>22</x:v>
      </x:c>
      <x:c r="C18" s="8" t="s">
        <x:v>13</x:v>
      </x:c>
      <x:c r="D18" s="8">
        <x:v>13</x:v>
      </x:c>
      <x:c r="E18" s="21" t="str">
        <x:f>IFERROR(HYPERLINK("#'Video &amp; Screen Sharing'!A1","Open"),"Open")</x:f>
        <x:v>Open</x:v>
      </x:c>
    </x:row>
    <x:row r="19">
      <x:c r="A19" s="8"/>
      <x:c r="B19" s="8" t="s">
        <x:v>23</x:v>
      </x:c>
      <x:c r="C19" s="8" t="s">
        <x:v>13</x:v>
      </x:c>
      <x:c r="D19" s="8">
        <x:v>14</x:v>
      </x:c>
      <x:c r="E19" s="21" t="str">
        <x:f>IFERROR(HYPERLINK("#'Screen Share Detail'!A1","Open"),"Open")</x:f>
        <x:v>Open</x:v>
      </x:c>
    </x:row>
    <x:row r="20">
      <x:c r="A20" s="8"/>
      <x:c r="B20" s="8" t="s">
        <x:v>24</x:v>
      </x:c>
      <x:c r="C20" s="8" t="s">
        <x:v>13</x:v>
      </x:c>
      <x:c r="D20" s="8">
        <x:v>15</x:v>
      </x:c>
      <x:c r="E20" s="21" t="str">
        <x:f>IFERROR(HYPERLINK("#'Media &amp; Limits'!A1","Open"),"Open")</x:f>
        <x:v>Open</x:v>
      </x:c>
    </x:row>
    <x:row r="21">
      <x:c r="A21" s="8"/>
      <x:c r="B21" s="8" t="s">
        <x:v>25</x:v>
      </x:c>
      <x:c r="C21" s="8" t="s">
        <x:v>13</x:v>
      </x:c>
      <x:c r="D21" s="8">
        <x:v>16</x:v>
      </x:c>
      <x:c r="E21" s="21" t="str">
        <x:f>IFERROR(HYPERLINK("#'Files &amp; Storage'!A1","Open"),"Open")</x:f>
        <x:v>Open</x:v>
      </x:c>
    </x:row>
    <x:row r="22" ht="21.950000762939453" customHeight="1">
      <x:c r="A22" s="19" t="str">
        <x:v>03: Architecture, Clients &amp; Interoperability</x:v>
      </x:c>
      <x:c r="B22" s="19"/>
      <x:c r="C22" s="19"/>
      <x:c r="D22" s="19"/>
      <x:c r="E22" s="19"/>
    </x:row>
    <x:row r="23" ht="30">
      <x:c r="A23" s="8"/>
      <x:c r="B23" s="8" t="s">
        <x:v>26</x:v>
      </x:c>
      <x:c r="C23" s="8" t="s">
        <x:v>13</x:v>
      </x:c>
      <x:c r="D23" s="8">
        <x:v>17</x:v>
      </x:c>
      <x:c r="E23" s="21" t="str">
        <x:f>IFERROR(HYPERLINK("#'Platform Model &amp; Ecosystem'!A1","Open"),"Open")</x:f>
        <x:v>Open</x:v>
      </x:c>
    </x:row>
    <x:row r="24">
      <x:c r="A24" s="8"/>
      <x:c r="B24" s="8" t="s">
        <x:v>27</x:v>
      </x:c>
      <x:c r="C24" s="8" t="s">
        <x:v>13</x:v>
      </x:c>
      <x:c r="D24" s="8">
        <x:v>18</x:v>
      </x:c>
      <x:c r="E24" s="21" t="str">
        <x:f>IFERROR(HYPERLINK("#'Architecture &amp; Licensing'!A1","Open"),"Open")</x:f>
        <x:v>Open</x:v>
      </x:c>
    </x:row>
    <x:row r="25">
      <x:c r="A25" s="8"/>
      <x:c r="B25" s="8" t="s">
        <x:v>28</x:v>
      </x:c>
      <x:c r="C25" s="8" t="s">
        <x:v>13</x:v>
      </x:c>
      <x:c r="D25" s="8">
        <x:v>19</x:v>
      </x:c>
      <x:c r="E25" s="21" t="str">
        <x:f>IFERROR(HYPERLINK("#'Deployment Detail'!A1","Open"),"Open")</x:f>
        <x:v>Open</x:v>
      </x:c>
    </x:row>
    <x:row r="26">
      <x:c r="A26" s="8"/>
      <x:c r="B26" s="8" t="s">
        <x:v>29</x:v>
      </x:c>
      <x:c r="C26" s="8" t="s">
        <x:v>13</x:v>
      </x:c>
      <x:c r="D26" s="8">
        <x:v>20</x:v>
      </x:c>
      <x:c r="E26" s="21" t="str">
        <x:f>IFERROR(HYPERLINK("#'Client &amp; Distribution'!A1","Open"),"Open")</x:f>
        <x:v>Open</x:v>
      </x:c>
    </x:row>
    <x:row r="27">
      <x:c r="A27" s="8"/>
      <x:c r="B27" s="8" t="s">
        <x:v>30</x:v>
      </x:c>
      <x:c r="C27" s="8" t="s">
        <x:v>13</x:v>
      </x:c>
      <x:c r="D27" s="8">
        <x:v>21</x:v>
      </x:c>
      <x:c r="E27" s="21" t="str">
        <x:f>IFERROR(HYPERLINK("#'Performance &amp; Client Stack'!A1","Open"),"Open")</x:f>
        <x:v>Open</x:v>
      </x:c>
    </x:row>
    <x:row r="28">
      <x:c r="A28" s="8"/>
      <x:c r="B28" s="8" t="s">
        <x:v>31</x:v>
      </x:c>
      <x:c r="C28" s="8" t="s">
        <x:v>13</x:v>
      </x:c>
      <x:c r="D28" s="8">
        <x:v>22</x:v>
      </x:c>
      <x:c r="E28" s="21" t="str">
        <x:f>IFERROR(HYPERLINK("#'Accounts &amp; Identity'!A1","Open"),"Open")</x:f>
        <x:v>Open</x:v>
      </x:c>
    </x:row>
    <x:row r="29">
      <x:c r="A29" s="8"/>
      <x:c r="B29" s="8" t="s">
        <x:v>32</x:v>
      </x:c>
      <x:c r="C29" s="8" t="s">
        <x:v>13</x:v>
      </x:c>
      <x:c r="D29" s="8">
        <x:v>23</x:v>
      </x:c>
      <x:c r="E29" s="21" t="str">
        <x:f>IFERROR(HYPERLINK("#'Portability &amp; Bridging'!A1","Open"),"Open")</x:f>
        <x:v>Open</x:v>
      </x:c>
    </x:row>
    <x:row r="30">
      <x:c r="A30" s="8"/>
      <x:c r="B30" s="8" t="s">
        <x:v>33</x:v>
      </x:c>
      <x:c r="C30" s="8" t="s">
        <x:v>13</x:v>
      </x:c>
      <x:c r="D30" s="8">
        <x:v>24</x:v>
      </x:c>
      <x:c r="E30" s="21" t="str">
        <x:f>IFERROR(HYPERLINK("#'Interop &amp; Portability Details'!A1","Open"),"Open")</x:f>
        <x:v>Open</x:v>
      </x:c>
    </x:row>
    <x:row r="31" ht="21.950000762939453" customHeight="1">
      <x:c r="A31" s="19" t="str">
        <x:v>04: Security, Privacy &amp; Moderation</x:v>
      </x:c>
      <x:c r="B31" s="19"/>
      <x:c r="C31" s="19"/>
      <x:c r="D31" s="19"/>
      <x:c r="E31" s="19"/>
    </x:row>
    <x:row r="32">
      <x:c r="A32" s="8"/>
      <x:c r="B32" s="8" t="s">
        <x:v>34</x:v>
      </x:c>
      <x:c r="C32" s="8" t="s">
        <x:v>13</x:v>
      </x:c>
      <x:c r="D32" s="8">
        <x:v>25</x:v>
      </x:c>
      <x:c r="E32" s="21" t="str">
        <x:f>IFERROR(HYPERLINK("#'Security &amp; Privacy'!A1","Open"),"Open")</x:f>
        <x:v>Open</x:v>
      </x:c>
    </x:row>
    <x:row r="33">
      <x:c r="A33" s="8"/>
      <x:c r="B33" s="8" t="s">
        <x:v>35</x:v>
      </x:c>
      <x:c r="C33" s="8" t="s">
        <x:v>13</x:v>
      </x:c>
      <x:c r="D33" s="8">
        <x:v>26</x:v>
      </x:c>
      <x:c r="E33" s="21" t="str">
        <x:f>IFERROR(HYPERLINK("#'Encryption Details'!A1","Open"),"Open")</x:f>
        <x:v>Open</x:v>
      </x:c>
    </x:row>
    <x:row r="34">
      <x:c r="A34" s="8"/>
      <x:c r="B34" s="8" t="s">
        <x:v>36</x:v>
      </x:c>
      <x:c r="C34" s="8" t="s">
        <x:v>13</x:v>
      </x:c>
      <x:c r="D34" s="8">
        <x:v>27</x:v>
      </x:c>
      <x:c r="E34" s="21" t="str">
        <x:f>IFERROR(HYPERLINK("#'Security Matrix'!A1","Open"),"Open")</x:f>
        <x:v>Open</x:v>
      </x:c>
    </x:row>
    <x:row r="35">
      <x:c r="A35" s="8"/>
      <x:c r="B35" s="8" t="s">
        <x:v>37</x:v>
      </x:c>
      <x:c r="C35" s="8" t="s">
        <x:v>13</x:v>
      </x:c>
      <x:c r="D35" s="8">
        <x:v>28</x:v>
      </x:c>
      <x:c r="E35" s="21" t="str">
        <x:f>IFERROR(HYPERLINK("#'Security History &amp; Audits'!A1","Open"),"Open")</x:f>
        <x:v>Open</x:v>
      </x:c>
    </x:row>
    <x:row r="36">
      <x:c r="A36" s="8"/>
      <x:c r="B36" s="8" t="s">
        <x:v>38</x:v>
      </x:c>
      <x:c r="C36" s="8" t="s">
        <x:v>13</x:v>
      </x:c>
      <x:c r="D36" s="8">
        <x:v>29</x:v>
      </x:c>
      <x:c r="E36" s="21" t="str">
        <x:f>IFERROR(HYPERLINK("#'Moderation &amp; Safety'!A1","Open"),"Open")</x:f>
        <x:v>Open</x:v>
      </x:c>
    </x:row>
    <x:row r="37">
      <x:c r="A37" s="8"/>
      <x:c r="B37" s="8" t="s">
        <x:v>39</x:v>
      </x:c>
      <x:c r="C37" s="8" t="s">
        <x:v>13</x:v>
      </x:c>
      <x:c r="D37" s="8">
        <x:v>30</x:v>
      </x:c>
      <x:c r="E37" s="21" t="str">
        <x:f>IFERROR(HYPERLINK("#'Moderation Detail'!A1","Open"),"Open")</x:f>
        <x:v>Open</x:v>
      </x:c>
    </x:row>
    <x:row r="38" ht="21.950000762939453" customHeight="1">
      <x:c r="A38" s="19" t="str">
        <x:v>05: Project, Developer &amp; AI</x:v>
      </x:c>
      <x:c r="B38" s="19"/>
      <x:c r="C38" s="19"/>
      <x:c r="D38" s="19"/>
      <x:c r="E38" s="19"/>
    </x:row>
    <x:row r="39">
      <x:c r="A39" s="8"/>
      <x:c r="B39" s="8" t="s">
        <x:v>40</x:v>
      </x:c>
      <x:c r="C39" s="8" t="s">
        <x:v>13</x:v>
      </x:c>
      <x:c r="D39" s="8">
        <x:v>31</x:v>
      </x:c>
      <x:c r="E39" s="21" t="str">
        <x:f>IFERROR(HYPERLINK("#'Project Origin &amp; Longevity'!A1","Open"),"Open")</x:f>
        <x:v>Open</x:v>
      </x:c>
    </x:row>
    <x:row r="40">
      <x:c r="A40" s="8"/>
      <x:c r="B40" s="8" t="s">
        <x:v>41</x:v>
      </x:c>
      <x:c r="C40" s="8" t="s">
        <x:v>13</x:v>
      </x:c>
      <x:c r="D40" s="8">
        <x:v>32</x:v>
      </x:c>
      <x:c r="E40" s="21" t="str">
        <x:f>IFERROR(HYPERLINK("#'Project &amp; Maintenance'!A1","Open"),"Open")</x:f>
        <x:v>Open</x:v>
      </x:c>
    </x:row>
    <x:row r="41">
      <x:c r="A41" s="8"/>
      <x:c r="B41" s="8" t="s">
        <x:v>42</x:v>
      </x:c>
      <x:c r="C41" s="8" t="s">
        <x:v>13</x:v>
      </x:c>
      <x:c r="D41" s="8">
        <x:v>33</x:v>
      </x:c>
      <x:c r="E41" s="21" t="str">
        <x:f>IFERROR(HYPERLINK("#'Maintenance &amp; Updates'!A1","Open"),"Open")</x:f>
        <x:v>Open</x:v>
      </x:c>
    </x:row>
    <x:row r="42">
      <x:c r="A42" s="8"/>
      <x:c r="B42" s="8" t="s">
        <x:v>43</x:v>
      </x:c>
      <x:c r="C42" s="8" t="s">
        <x:v>13</x:v>
      </x:c>
      <x:c r="D42" s="8">
        <x:v>34</x:v>
      </x:c>
      <x:c r="E42" s="21" t="str">
        <x:f>IFERROR(HYPERLINK("#'Developer Extensibility'!A1","Open"),"Open")</x:f>
        <x:v>Open</x:v>
      </x:c>
    </x:row>
    <x:row r="43">
      <x:c r="A43" s="8"/>
      <x:c r="B43" s="8" t="s">
        <x:v>44</x:v>
      </x:c>
      <x:c r="C43" s="8" t="s">
        <x:v>13</x:v>
      </x:c>
      <x:c r="D43" s="8">
        <x:v>35</x:v>
      </x:c>
      <x:c r="E43" s="21" t="str">
        <x:f>IFERROR(HYPERLINK("#'Developer API Detail'!A1","Open"),"Open")</x:f>
        <x:v>Open</x:v>
      </x:c>
    </x:row>
    <x:row r="44">
      <x:c r="A44" s="8"/>
      <x:c r="B44" s="8" t="s">
        <x:v>45</x:v>
      </x:c>
      <x:c r="C44" s="8" t="s">
        <x:v>13</x:v>
      </x:c>
      <x:c r="D44" s="8">
        <x:v>36</x:v>
      </x:c>
      <x:c r="E44" s="21" t="str">
        <x:f>IFERROR(HYPERLINK("#'AI Policy &amp; Transparency'!A1","Open"),"Open")</x:f>
        <x:v>Open</x:v>
      </x:c>
    </x:row>
    <x:row r="45">
      <x:c r="A45" s="8"/>
      <x:c r="B45" s="8" t="s">
        <x:v>46</x:v>
      </x:c>
      <x:c r="C45" s="8" t="s">
        <x:v>13</x:v>
      </x:c>
      <x:c r="D45" s="8">
        <x:v>37</x:v>
      </x:c>
      <x:c r="E45" s="21" t="str">
        <x:f>IFERROR(HYPERLINK("#'AI &amp; Data Use Detail'!A1","Open"),"Open")</x:f>
        <x:v>Open</x:v>
      </x:c>
    </x:row>
    <x:row r="46" ht="21.950000762939453" customHeight="1">
      <x:c r="A46" s="19" t="str">
        <x:v>06: Business, Pricing &amp; Legal</x:v>
      </x:c>
      <x:c r="B46" s="19"/>
      <x:c r="C46" s="19"/>
      <x:c r="D46" s="19"/>
      <x:c r="E46" s="19"/>
    </x:row>
    <x:row r="47" ht="30">
      <x:c r="A47" s="8"/>
      <x:c r="B47" s="8" t="s">
        <x:v>47</x:v>
      </x:c>
      <x:c r="C47" s="8" t="s">
        <x:v>13</x:v>
      </x:c>
      <x:c r="D47" s="8">
        <x:v>38</x:v>
      </x:c>
      <x:c r="E47" s="21" t="str">
        <x:f>IFERROR(HYPERLINK("#'Business Model &amp; Sustainability'!A1","Open"),"Open")</x:f>
        <x:v>Open</x:v>
      </x:c>
    </x:row>
    <x:row r="48">
      <x:c r="A48" s="8"/>
      <x:c r="B48" s="8" t="s">
        <x:v>48</x:v>
      </x:c>
      <x:c r="C48" s="8" t="s">
        <x:v>13</x:v>
      </x:c>
      <x:c r="D48" s="8">
        <x:v>39</x:v>
      </x:c>
      <x:c r="E48" s="21" t="str">
        <x:f>IFERROR(HYPERLINK("#'Pricing Summary'!A1","Open"),"Open")</x:f>
        <x:v>Open</x:v>
      </x:c>
    </x:row>
    <x:row r="49">
      <x:c r="A49" s="8"/>
      <x:c r="B49" s="8" t="s">
        <x:v>49</x:v>
      </x:c>
      <x:c r="C49" s="8" t="s">
        <x:v>13</x:v>
      </x:c>
      <x:c r="D49" s="8">
        <x:v>40</x:v>
      </x:c>
      <x:c r="E49" s="21" t="str">
        <x:f>IFERROR(HYPERLINK("#'Pricing &amp; Tiers'!A1","Open"),"Open")</x:f>
        <x:v>Open</x:v>
      </x:c>
    </x:row>
    <x:row r="50">
      <x:c r="A50" s="8"/>
      <x:c r="B50" s="8" t="s">
        <x:v>50</x:v>
      </x:c>
      <x:c r="C50" s="8" t="s">
        <x:v>13</x:v>
      </x:c>
      <x:c r="D50" s="8">
        <x:v>41</x:v>
      </x:c>
      <x:c r="E50" s="21" t="str">
        <x:f>IFERROR(HYPERLINK("#'Feature Entitlements'!A1","Open"),"Open")</x:f>
        <x:v>Open</x:v>
      </x:c>
    </x:row>
    <x:row r="51">
      <x:c r="A51" s="8"/>
      <x:c r="B51" s="8" t="s">
        <x:v>51</x:v>
      </x:c>
      <x:c r="C51" s="8" t="s">
        <x:v>13</x:v>
      </x:c>
      <x:c r="D51" s="8">
        <x:v>42</x:v>
      </x:c>
      <x:c r="E51" s="21" t="str">
        <x:f>IFERROR(HYPERLINK("#'Monetization Detail'!A1","Open"),"Open")</x:f>
        <x:v>Open</x:v>
      </x:c>
    </x:row>
    <x:row r="52">
      <x:c r="A52" s="8"/>
      <x:c r="B52" s="8" t="s">
        <x:v>52</x:v>
      </x:c>
      <x:c r="C52" s="8" t="s">
        <x:v>13</x:v>
      </x:c>
      <x:c r="D52" s="8">
        <x:v>43</x:v>
      </x:c>
      <x:c r="E52" s="21" t="str">
        <x:f>IFERROR(HYPERLINK("#'Terms &amp; Privacy'!A1","Open"),"Open")</x:f>
        <x:v>Open</x:v>
      </x:c>
    </x:row>
    <x:row r="53" ht="21.950000762939453" customHeight="1">
      <x:c r="A53" s="19" t="str">
        <x:v>07: Research &amp; Sources</x:v>
      </x:c>
      <x:c r="B53" s="19"/>
      <x:c r="C53" s="19"/>
      <x:c r="D53" s="19"/>
      <x:c r="E53" s="19"/>
    </x:row>
    <x:row r="54">
      <x:c r="A54" s="8"/>
      <x:c r="B54" s="8" t="s">
        <x:v>53</x:v>
      </x:c>
      <x:c r="C54" s="8" t="s">
        <x:v>54</x:v>
      </x:c>
      <x:c r="D54" s="8">
        <x:v>44</x:v>
      </x:c>
      <x:c r="E54" s="21" t="str">
        <x:f>IFERROR(HYPERLINK("#'Discord Sources'!A1","Open"),"Open")</x:f>
        <x:v>Open</x:v>
      </x:c>
    </x:row>
    <x:row r="55" ht="30">
      <x:c r="A55" s="8"/>
      <x:c r="B55" s="8" t="s">
        <x:v>55</x:v>
      </x:c>
      <x:c r="C55" s="8" t="s">
        <x:v>56</x:v>
      </x:c>
      <x:c r="D55" s="8">
        <x:v>45</x:v>
      </x:c>
      <x:c r="E55" s="21" t="str">
        <x:f>IFERROR(HYPERLINK("#'Research Sources'!A1","Open"),"Open")</x:f>
        <x:v>Open</x:v>
      </x:c>
    </x:row>
    <x:row r="56" ht="30">
      <x:c r="A56" s="8"/>
      <x:c r="B56" s="8" t="s">
        <x:v>57</x:v>
      </x:c>
      <x:c r="C56" s="8" t="s">
        <x:v>58</x:v>
      </x:c>
      <x:c r="D56" s="8">
        <x:v>46</x:v>
      </x:c>
      <x:c r="E56" s="21" t="str">
        <x:f>IFERROR(HYPERLINK("#'Website Links'!A1","Open"),"Open")</x:f>
        <x:v>Open</x:v>
      </x:c>
    </x:row>
    <x:row r="57" ht="30">
      <x:c r="A57" s="8"/>
      <x:c r="B57" s="8" t="s">
        <x:v>59</x:v>
      </x:c>
      <x:c r="C57" s="8" t="s">
        <x:v>60</x:v>
      </x:c>
      <x:c r="D57" s="8">
        <x:v>47</x:v>
      </x:c>
      <x:c r="E57" s="21" t="str">
        <x:f>IFERROR(HYPERLINK("#'Verification Coverage'!A1","Open"),"Open")</x:f>
        <x:v>Open</x:v>
      </x:c>
    </x:row>
    <x:row r="58">
      <x:c r="A58" s="8"/>
      <x:c r="B58" s="8" t="s">
        <x:v>61</x:v>
      </x:c>
      <x:c r="C58" s="8" t="s">
        <x:v>13</x:v>
      </x:c>
      <x:c r="D58" s="8">
        <x:v>48</x:v>
      </x:c>
      <x:c r="E58" s="21" t="str">
        <x:f>IFERROR(HYPERLINK("#'Subreddit Discovery'!A1","Open"),"Open")</x:f>
        <x:v>Open</x:v>
      </x:c>
    </x:row>
    <x:row r="59" ht="21.950000762939453" customHeight="1">
      <x:c r="A59" s="19" t="str">
        <x:v>08: Canonical Data</x:v>
      </x:c>
      <x:c r="B59" s="19"/>
      <x:c r="C59" s="19"/>
      <x:c r="D59" s="19"/>
      <x:c r="E59" s="19"/>
    </x:row>
    <x:row r="60" ht="30">
      <x:c r="A60" s="8"/>
      <x:c r="B60" s="8" t="s">
        <x:v>62</x:v>
      </x:c>
      <x:c r="C60" s="8" t="s">
        <x:v>63</x:v>
      </x:c>
      <x:c r="D60" s="8">
        <x:v>49</x:v>
      </x:c>
      <x:c r="E60" s="8" t="str">
        <x:f>IFERROR(HYPERLINK("#'Master'!A1","Open"),"Open")</x:f>
        <x:v>Open</x:v>
      </x:c>
    </x:row>
    <x:row r="61">
      <x:c r="A61" t="str">
        <x:v>09: Language &amp; Localization</x:v>
      </x:c>
      <x:c r="B61"/>
      <x:c r="C61"/>
      <x:c r="D61"/>
      <x:c r="E61"/>
    </x:row>
    <x:row r="62">
      <x:c r="A62"/>
      <x:c r="B62" t="str">
        <x:v>Language Support</x:v>
      </x:c>
      <x:c r="C62" t="str">
        <x:v>Product UI language availability by platform using Yes, No and Active translation.</x:v>
      </x:c>
      <x:c r="D62" t="n">
        <x:v>50</x:v>
      </x:c>
      <x:c r="E62" t="str">
        <x:f>IFERROR(HYPERLINK("#'Language Support'!A1","Open"),"Open")</x:f>
        <x:v>Open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v>At a Glance: Last verified: 2026-09-16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95</x:v>
      </x:c>
      <x:c r="B3" s="4" t="str">
        <x:f>IF(Master!C3="","",Master!C3)</x:f>
      </x:c>
      <x:c r="C3" s="4" t="str">
        <x:f>IF(Master!D3="","",Master!D3)</x:f>
      </x:c>
      <x:c r="D3" s="4" t="str">
        <x:f>IF(Master!E3="","",Master!E3)</x:f>
      </x:c>
      <x:c r="E3" s="4" t="str">
        <x:f>IF(Master!F3="","",Master!F3)</x:f>
      </x:c>
      <x:c r="F3" s="4" t="str">
        <x:f>IF(Master!G3="","",Master!G3)</x:f>
      </x:c>
      <x:c r="G3" s="4" t="str">
        <x:f>IF(Master!H3="","",Master!H3)</x:f>
      </x:c>
      <x:c r="H3" s="4" t="str">
        <x:f>IF(Master!I3="","",Master!I3)</x:f>
      </x:c>
      <x:c r="I3" s="4" t="str">
        <x:f>IF(Master!J3="","",Master!J3)</x:f>
      </x:c>
      <x:c r="J3" s="4" t="str">
        <x:f>IF(Master!K3="","",Master!K3)</x:f>
      </x:c>
      <x:c r="K3" s="4" t="str">
        <x:f>IF(Master!L3="","",Master!L3)</x:f>
        <x:v>Core Discord-style messaging is implemented; public documentation adds federation-aware search, private media storage and moderation/audit behavior</x:v>
      </x:c>
      <x:c r="L3" s="4" t="str">
        <x:f>IF(Master!M3="","",Master!M3)</x:f>
      </x:c>
      <x:c r="M3" s="4" t="str">
        <x:f>IF(Master!N3="","",Master!N3)</x:f>
      </x:c>
      <x:c r="N3" s="4" t="str">
        <x:f>IF(Master!O3="","",Master!O3)</x:f>
      </x:c>
      <x:c r="O3" s="4" t="str">
        <x:f>IF(Master!P3="","",Master!P3)</x:f>
      </x:c>
      <x:c r="P3" s="4" t="str">
        <x:f>IF(Master!Q3="","",Master!Q3)</x:f>
      </x:c>
      <x:c r="Q3" s="4" t="str">
        <x:f>IF(Master!R3="","",Master!R3)</x:f>
      </x:c>
      <x:c r="R3" s="4" t="str">
        <x:f>IF(Master!S3="","",Master!S3)</x:f>
      </x:c>
      <x:c r="S3" s="4" t="str">
        <x:f>IF(Master!T3="","",Master!T3)</x:f>
      </x:c>
      <x:c r="T3" s="4" t="str">
        <x:f>IF(Master!U3="","",Master!U3)</x:f>
      </x:c>
      <x:c r="U3" s="4" t="str">
        <x:f>IF(Master!V3="","",Master!V3)</x:f>
      </x:c>
      <x:c r="V3" s="4" t="str">
        <x:f>IF(Master!W3="","",Master!W3)</x:f>
      </x:c>
      <x:c r="W3" s="4" t="str">
        <x:f>IF(Master!X3="","",Master!X3)</x:f>
      </x:c>
      <x:c r="X3" s="4" t="str">
        <x:f>IF(Master!Y3="","",Master!Y3)</x:f>
      </x:c>
      <x:c r="Y3" s="4" t="str">
        <x:f>IF(Master!Z3="","",Master!Z3)</x:f>
      </x:c>
      <x:c r="Z3" s="4" t="str">
        <x:f>IF(Master!AA3="","",Master!AA3)</x:f>
      </x:c>
      <x:c r="AA3" s="5" t="str">
        <x:f>IF(Master!AB3="","",Master!AB3)</x:f>
      </x:c>
      <x:c r="AB3" s="4" t="str">
        <x:f>IF(Master!AC3="","",Master!AC3)</x:f>
      </x:c>
      <x:c r="AC3" s="4" t="str">
        <x:f>IF(Master!AD3="","",Master!AD3)</x:f>
      </x:c>
      <x:c r="AD3" s="4" t="str">
        <x:f>IF(Master!AE3="","",Master!AE3)</x:f>
      </x:c>
      <x:c r="AE3" s="4" t="str">
        <x:f>IF(Master!AF3="","",Master!AF3)</x:f>
      </x:c>
      <x:c r="AF3" s="8" t="str">
        <x:f>IF(Master!AG3="","",Master!AG3)</x:f>
      </x:c>
    </x:row>
    <x:row r="4" ht="36" customHeight="1">
      <x:c r="A4" s="17" t="s">
        <x:v>96</x:v>
      </x:c>
      <x:c r="B4" s="3" t="str">
        <x:f>IF(Master!C580="","",Master!C580)</x:f>
        <x:v>May 2015</x:v>
      </x:c>
      <x:c r="C4" s="3" t="str">
        <x:f>IF(Master!D580="","",Master!D580)</x:f>
        <x:v>2026-era project</x:v>
      </x:c>
      <x:c r="D4" s="3" t="str">
        <x:f>IF(Master!E580="","",Master!E580)</x:f>
        <x:v>2023</x:v>
      </x:c>
      <x:c r="E4" s="3" t="str">
        <x:f>IF(Master!F580="","",Master!F580)</x:f>
        <x:v>2026</x:v>
      </x:c>
      <x:c r="F4" s="3" t="str">
        <x:f>IF(Master!G580="","",Master!G580)</x:f>
        <x:v>November 2025</x:v>
      </x:c>
      <x:c r="G4" s="3" t="str">
        <x:f>IF(Master!H580="","",Master!H580)</x:f>
        <x:v>2020</x:v>
      </x:c>
      <x:c r="H4" s="3" t="str">
        <x:f>IF(Master!I580="","",Master!I580)</x:f>
        <x:v>2026 ground-up rebuild</x:v>
      </x:c>
      <x:c r="I4" s="3" t="str">
        <x:f>IF(Master!J580="","",Master!J580)</x:f>
        <x:v>2026 fork era</x:v>
      </x:c>
      <x:c r="J4" s="3" t="str">
        <x:f>IF(Master!K580="","",Master!K580)</x:f>
        <x:v>2026-era public project</x:v>
      </x:c>
      <x:c r="K4" s="3" t="str">
        <x:f>IF(Master!L580="","",Master!L580)</x:f>
        <x:v>≈ late 2025 (developer report: private use for nearly a year as of Sep 2026)</x:v>
      </x:c>
      <x:c r="L4" s="3" t="str">
        <x:f>IF(Master!M580="","",Master!M580)</x:f>
      </x:c>
      <x:c r="M4" s="3" t="str">
        <x:f>IF(Master!N580="","",Master!N580)</x:f>
        <x:v>2026-era project</x:v>
      </x:c>
      <x:c r="N4" s="3" t="str">
        <x:f>IF(Master!O580="","",Master!O580)</x:f>
        <x:v>2014</x:v>
      </x:c>
      <x:c r="O4" s="3" t="str">
        <x:f>IF(Master!P580="","",Master!P580)</x:f>
        <x:v>2015</x:v>
      </x:c>
      <x:c r="P4" s="3" t="str">
        <x:f>IF(Master!Q580="","",Master!Q580)</x:f>
      </x:c>
      <x:c r="Q4" s="3" t="str">
        <x:f>IF(Master!R580="","",Master!R580)</x:f>
        <x:v>2005</x:v>
      </x:c>
      <x:c r="R4" s="3" t="str">
        <x:f>IF(Master!S580="","",Master!S580)</x:f>
      </x:c>
      <x:c r="S4" s="3" t="str">
        <x:f>IF(Master!T580="","",Master!T580)</x:f>
        <x:v>Summer 2024</x:v>
      </x:c>
      <x:c r="T4" s="3" t="str">
        <x:f>IF(Master!U580="","",Master!U580)</x:f>
        <x:v>Young open beta; exact first-commit date is available in the GitHub history</x:v>
      </x:c>
      <x:c r="U4" s="3" t="str">
        <x:f>IF(Master!V580="","",Master!V580)</x:f>
        <x:v>2026</x:v>
      </x:c>
      <x:c r="V4" s="3" t="str">
        <x:f>IF(Master!W580="","",Master!W580)</x:f>
        <x:v>2015</x:v>
      </x:c>
      <x:c r="W4" s="3" t="str">
        <x:f>IF(Master!X580="","",Master!X580)</x:f>
      </x:c>
      <x:c r="X4" s="3" t="str">
        <x:f>IF(Master!Y580="","",Master!Y580)</x:f>
      </x:c>
      <x:c r="Y4" s="3" t="str">
        <x:f>IF(Master!Z580="","",Master!Z580)</x:f>
        <x:v>2021 (as Fosscord/Spacebar project era)</x:v>
      </x:c>
      <x:c r="Z4" s="3" t="str">
        <x:f>IF(Master!AA580="","",Master!AA580)</x:f>
        <x:v>2021 (as Revolt; rebranded Stoat in 2025)</x:v>
      </x:c>
      <x:c r="AA4" s="6" t="str">
        <x:f>IF(Master!AB580="","",Master!AB580)</x:f>
        <x:v>1999 project origin</x:v>
      </x:c>
      <x:c r="AB4" s="3" t="str">
        <x:f>IF(Master!AC580="","",Master!AC580)</x:f>
      </x:c>
      <x:c r="AC4" s="3" t="str">
        <x:f>IF(Master!AD580="","",Master!AD580)</x:f>
        <x:v>Early 2026</x:v>
      </x:c>
      <x:c r="AD4" s="3" t="str">
        <x:f>IF(Master!AE580="","",Master!AE580)</x:f>
        <x:v>~2025</x:v>
      </x:c>
      <x:c r="AE4" s="3" t="str">
        <x:f>IF(Master!AF580="","",Master!AF580)</x:f>
        <x:v>2026-era project</x:v>
      </x:c>
      <x:c r="AF4" s="8" t="str">
        <x:f>IF(Master!AG580="","",Master!AG580)</x:f>
        <x:v>2012</x:v>
      </x:c>
    </x:row>
    <x:row r="5" ht="36" customHeight="1">
      <x:c r="A5" s="17" t="s">
        <x:v>97</x:v>
      </x:c>
      <x:c r="B5" s="3" t="str">
        <x:f>IF(Master!C583="","",Master!C583)</x:f>
        <x:v>Stable</x:v>
      </x:c>
      <x:c r="C5" s="3" t="str">
        <x:f>IF(Master!D583="","",Master!D583)</x:f>
        <x:v>Beta / active development</x:v>
      </x:c>
      <x:c r="D5" s="3" t="str">
        <x:f>IF(Master!E583="","",Master!E583)</x:f>
        <x:v>Beta / active development</x:v>
      </x:c>
      <x:c r="E5" s="3" t="str">
        <x:f>IF(Master!F583="","",Master!F583)</x:f>
        <x:v>Beta / public</x:v>
      </x:c>
      <x:c r="F5" s="3" t="str">
        <x:f>IF(Master!G583="","",Master!G583)</x:f>
        <x:v>Alpha</x:v>
      </x:c>
      <x:c r="G5" s="3" t="str">
        <x:f>IF(Master!H583="","",Master!H583)</x:f>
        <x:v>Public Beta</x:v>
      </x:c>
      <x:c r="H5" s="3" t="str">
        <x:f>IF(Master!I583="","",Master!I583)</x:f>
        <x:v>Open Beta</x:v>
      </x:c>
      <x:c r="I5" s="3" t="str">
        <x:f>IF(Master!J583="","",Master!J583)</x:f>
        <x:v>Active development; core text/voice/DMs/roles/moderation live</x:v>
      </x:c>
      <x:c r="J5" s="3" t="str">
        <x:f>IF(Master!K583="","",Master!K583)</x:f>
        <x:v>Alpha / Beta</x:v>
      </x:c>
      <x:c r="K5" s="3" t="str">
        <x:f>IF(Master!L583="","",Master!L583)</x:f>
        <x:v>Pre-launch / active development</x:v>
      </x:c>
      <x:c r="L5" s="3" t="str">
        <x:f>IF(Master!M583="","",Master!M583)</x:f>
        <x:v>Alpha</x:v>
      </x:c>
      <x:c r="M5" s="3" t="str">
        <x:f>IF(Master!N583="","",Master!N583)</x:f>
        <x:v>Open Beta</x:v>
      </x:c>
      <x:c r="N5" s="3" t="str">
        <x:f>IF(Master!O583="","",Master!O583)</x:f>
        <x:v>Stable open standard (spec v1.x)</x:v>
      </x:c>
      <x:c r="O5" s="3" t="str">
        <x:f>IF(Master!P583="","",Master!P583)</x:f>
        <x:v>Stable</x:v>
      </x:c>
      <x:c r="P5" s="3" t="str">
        <x:f>IF(Master!Q583="","",Master!Q583)</x:f>
        <x:v>Stable/public</x:v>
      </x:c>
      <x:c r="Q5" s="3" t="str">
        <x:f>IF(Master!R583="","",Master!R583)</x:f>
        <x:v>Stable</x:v>
      </x:c>
      <x:c r="R5" s="3" t="str">
        <x:f>IF(Master!S583="","",Master!S583)</x:f>
        <x:v>Stable/public</x:v>
      </x:c>
      <x:c r="S5" s="3" t="str">
        <x:f>IF(Master!T583="","",Master!T583)</x:f>
        <x:v>Public Beta</x:v>
      </x:c>
      <x:c r="T5" s="3" t="str">
        <x:f>IF(Master!U583="","",Master!U583)</x:f>
        <x:v>Open beta</x:v>
      </x:c>
      <x:c r="U5" s="3" t="str">
        <x:f>IF(Master!V583="","",Master!V583)</x:f>
        <x:v>Public Beta 2026</x:v>
      </x:c>
      <x:c r="V5" s="3" t="str">
        <x:f>IF(Master!W583="","",Master!W583)</x:f>
        <x:v>Stable</x:v>
      </x:c>
      <x:c r="W5" s="3" t="str">
        <x:f>IF(Master!X583="","",Master!X583)</x:f>
        <x:v>Alpha / experimental</x:v>
      </x:c>
      <x:c r="X5" s="3" t="str">
        <x:f>IF(Master!Y583="","",Master!Y583)</x:f>
        <x:v>Beta</x:v>
      </x:c>
      <x:c r="Y5" s="3" t="str">
        <x:f>IF(Master!Z583="","",Master!Z583)</x:f>
        <x:v>Alpha / WIP</x:v>
      </x:c>
      <x:c r="Z5" s="3" t="str">
        <x:f>IF(Master!AA583="","",Master!AA583)</x:f>
        <x:v>Beta / pre-1.0</x:v>
      </x:c>
      <x:c r="AA5" s="6" t="str">
        <x:f>IF(Master!AB583="","",Master!AB583)</x:f>
        <x:v>TS6 Beta; TS3 stable</x:v>
      </x:c>
      <x:c r="AB5" s="3" t="str">
        <x:f>IF(Master!AC583="","",Master!AC583)</x:f>
        <x:v>Alpha</x:v>
      </x:c>
      <x:c r="AC5" s="3" t="str">
        <x:f>IF(Master!AD583="","",Master!AD583)</x:f>
        <x:v>Alpha / Beta</x:v>
      </x:c>
      <x:c r="AD5" s="3" t="str">
        <x:f>IF(Master!AE583="","",Master!AE583)</x:f>
        <x:v>Public Beta</x:v>
      </x:c>
      <x:c r="AE5" s="3" t="str">
        <x:f>IF(Master!AF583="","",Master!AF583)</x:f>
        <x:v>Beta</x:v>
      </x:c>
      <x:c r="AF5" s="8" t="str">
        <x:f>IF(Master!AG583="","",Master!AG583)</x:f>
        <x:v>Stable</x:v>
      </x:c>
    </x:row>
    <x:row r="6" ht="36" customHeight="1">
      <x:c r="A6" s="17" t="s">
        <x:v>98</x:v>
      </x:c>
      <x:c r="B6" s="3" t="str">
        <x:f>IF(Master!C340="","",Master!C340)</x:f>
        <x:v>Centralized cloud service</x:v>
      </x:c>
      <x:c r="C6" s="3" t="str">
        <x:f>IF(Master!D340="","",Master!D340)</x:f>
        <x:v>Decentralized Nostr-based communities; hosted app available; client, relay and LiveKit voice are self-hostable</x:v>
      </x:c>
      <x:c r="D6" s="3" t="str">
        <x:f>IF(Master!E340="","",Master!E340)</x:f>
        <x:v>Self-hosted only; decentralized home-server messenger</x:v>
      </x:c>
      <x:c r="E6" s="3" t="str">
        <x:f>IF(Master!F340="","",Master!F340)</x:f>
        <x:v>Centralized hosted service</x:v>
      </x:c>
      <x:c r="F6" s="3" t="str">
        <x:f>IF(Master!G340="","",Master!G340)</x:f>
        <x:v>Centralized hosted-first service</x:v>
      </x:c>
      <x:c r="G6" s="3" t="str">
        <x:f>IF(Master!H340="","",Master!H340)</x:f>
        <x:v>Hosted service + self-hostable independent instances</x:v>
      </x:c>
      <x:c r="H6" s="3" t="str">
        <x:f>IF(Master!I340="","",Master!I340)</x:f>
        <x:v>Hosted + self-hosted</x:v>
      </x:c>
      <x:c r="I6" s="3" t="str">
        <x:f>IF(Master!J340="","",Master!J340)</x:f>
        <x:v>Hosted service + self-hostable open-source deployment</x:v>
      </x:c>
      <x:c r="J6" s="3" t="str">
        <x:f>IF(Master!K340="","",Master!K340)</x:f>
        <x:v>Distributed local-first relay-based; self-hostable relay</x:v>
      </x:c>
      <x:c r="K6" s="3" t="str">
        <x:f>IF(Master!L340="","",Master!L340)</x:f>
        <x:v>Federated + self-hosted; official kaede.chat home instance also exists</x:v>
      </x:c>
      <x:c r="L6" s="3" t="str">
        <x:f>IF(Master!M340="","",Master!M340)</x:f>
        <x:v>Centralized hosted service</x:v>
      </x:c>
      <x:c r="M6" s="3" t="str">
        <x:f>IF(Master!N340="","",Master!N340)</x:f>
        <x:v>Hosted + self-hosting option; federation-oriented</x:v>
      </x:c>
      <x:c r="N6" s="3" t="str">
        <x:f>IF(Master!O340="","",Master!O340)</x:f>
        <x:v>Federated protocol/ecosystem; self-hosted or hosted homeservers</x:v>
      </x:c>
      <x:c r="O6" s="3" t="str">
        <x:f>IF(Master!P340="","",Master!P340)</x:f>
        <x:v>Cloud + self-hosted/on-prem standalone workspaces</x:v>
      </x:c>
      <x:c r="P6" s="3" t="str">
        <x:f>IF(Master!Q340="","",Master!Q340)</x:f>
      </x:c>
      <x:c r="Q6" s="3" t="str">
        <x:f>IF(Master!R340="","",Master!R340)</x:f>
        <x:v>Self-hosted client-server; third-party hosted servers available</x:v>
      </x:c>
      <x:c r="R6" s="3" t="str">
        <x:f>IF(Master!S340="","",Master!S340)</x:f>
        <x:v>Centralized hosted service; technically self-hostable but not intended/supported</x:v>
      </x:c>
      <x:c r="S6" s="3" t="str">
        <x:f>IF(Master!T340="","",Master!T340)</x:f>
        <x:v>Centralized globally distributed/regional service</x:v>
      </x:c>
      <x:c r="T6" s="3" t="str">
        <x:f>IF(Master!U340="","",Master!U340)</x:f>
        <x:v>Centralized hosted (Fly.io API in São Paulo + Cloudflare Pages SPA) + self-hostable</x:v>
      </x:c>
      <x:c r="U6" s="3" t="str">
        <x:f>IF(Master!V340="","",Master!V340)</x:f>
        <x:v>Centralized hosted service</x:v>
      </x:c>
      <x:c r="V6" s="3" t="str">
        <x:f>IF(Master!W340="","",Master!W340)</x:f>
        <x:v>Cloud + self-hosted/on-prem; optional federation</x:v>
      </x:c>
      <x:c r="W6" s="3" t="str">
        <x:f>IF(Master!X340="","",Master!X340)</x:f>
        <x:v>ATProto/Bluesky-connected distributed application</x:v>
      </x:c>
      <x:c r="X6" s="3" t="str">
        <x:f>IF(Master!Y340="","",Master!Y340)</x:f>
        <x:v>Centralized hosted service</x:v>
      </x:c>
      <x:c r="Y6" s="3" t="str">
        <x:f>IF(Master!Z340="","",Master!Z340)</x:f>
        <x:v>Self-hosted independent Discord-compatible service</x:v>
      </x:c>
      <x:c r="Z6" s="3" t="str">
        <x:f>IF(Master!AA340="","",Master!AA340)</x:f>
        <x:v>Hosted service + self-hostable independent instances</x:v>
      </x:c>
      <x:c r="AA6" s="6" t="str">
        <x:f>IF(Master!AB340="","",Master!AB340)</x:f>
        <x:v>Self-hosted/hosted client-server</x:v>
      </x:c>
      <x:c r="AB6" s="3" t="str">
        <x:f>IF(Master!AC340="","",Master!AC340)</x:f>
        <x:v>Hosted + self-hostable node-based platform</x:v>
      </x:c>
      <x:c r="AC6" s="3" t="str">
        <x:f>IF(Master!AD340="","",Master!AD340)</x:f>
        <x:v>Hosted now; self-hosting/federation being built</x:v>
      </x:c>
      <x:c r="AD6" s="3" t="str">
        <x:f>IF(Master!AE340="","",Master!AE340)</x:f>
        <x:v>Centralized hosted platform</x:v>
      </x:c>
      <x:c r="AE6" s="3" t="str">
        <x:f>IF(Master!AF340="","",Master!AF340)</x:f>
        <x:v>Self-hosted first + optional managed hosting</x:v>
      </x:c>
      <x:c r="AF6" s="8" t="str">
        <x:f>IF(Master!AG340="","",Master!AG340)</x:f>
        <x:v>Hosted cloud + self-hosted standalone servers</x:v>
      </x:c>
    </x:row>
    <x:row r="7" ht="36" customHeight="1">
      <x:c r="A7" s="17" t="s">
        <x:v>99</x:v>
      </x:c>
      <x:c r="B7" s="3" t="str">
        <x:f>IF(Master!C4="","",Master!C4)</x:f>
        <x:v>Proprietary / Proprietary</x:v>
      </x:c>
      <x:c r="C7" s="3" t="str">
        <x:f>IF(Master!D4="","",Master!D4)</x:f>
        <x:v>FOSS (AGPL-3.0) / FOSS (AGPL-3.0 components)</x:v>
      </x:c>
      <x:c r="D7" s="3" t="str">
        <x:f>IF(Master!E4="","",Master!E4)</x:f>
        <x:v>FOSS AGPL-3.0 / FOSS AGPL-3.0</x:v>
      </x:c>
      <x:c r="E7" s="3" t="str">
        <x:f>IF(Master!F4="","",Master!F4)</x:f>
        <x:v>Proprietary / Proprietary Rust backend</x:v>
      </x:c>
      <x:c r="F7" s="3" t="str">
        <x:f>IF(Master!G4="","",Master!G4)</x:f>
        <x:v>Proprietary during alpha; open-source release planned / Proprietary during alpha; open-source release planned</x:v>
      </x:c>
      <x:c r="G7" s="3" t="str">
        <x:f>IF(Master!H4="","",Master!H4)</x:f>
        <x:v>FOSS (AGPL-3.0) / FOSS (AGPL-3.0)</x:v>
      </x:c>
      <x:c r="H7" s="3" t="str">
        <x:f>IF(Master!I4="","",Master!I4)</x:f>
        <x:v>Proprietary / Proprietary</x:v>
      </x:c>
      <x:c r="I7" s="3" t="str">
        <x:f>IF(Master!J4="","",Master!J4)</x:f>
        <x:v>FOSS (AGPL-3.0) / FOSS (AGPL-3.0)</x:v>
      </x:c>
      <x:c r="J7" s="3" t="str">
        <x:f>IF(Master!K4="","",Master!K4)</x:f>
        <x:v>Open source / Open source relay/server</x:v>
      </x:c>
      <x:c r="K7" s="3" t="str">
        <x:f>IF(Master!L4="","",Master!L4)</x:f>
        <x:v>MIT</x:v>
      </x:c>
      <x:c r="L7" s="3" t="str">
        <x:f>IF(Master!M4="","",Master!M4)</x:f>
        <x:v>Proprietary / Proprietary</x:v>
      </x:c>
      <x:c r="M7" s="3" t="str">
        <x:f>IF(Master!N4="","",Master!N4)</x:f>
      </x:c>
      <x:c r="N7" s="3" t="str">
        <x:f>IF(Master!O4="","",Master!O4)</x:f>
        <x:v>Varies by client; many FOSS (e.g., Element, Element X, Cinny) / Varies by homeserver; Synapse is AGPLv3/commercial dual model</x:v>
      </x:c>
      <x:c r="O7" s="3" t="str">
        <x:f>IF(Master!P4="","",Master!P4)</x:f>
        <x:v>FOSS/open-source clients; exact repository license varies / Open source Team Edition / AGPL-source plus commercial Enterprise editions</x:v>
      </x:c>
      <x:c r="P7" s="3" t="str">
        <x:f>IF(Master!Q4="","",Master!Q4)</x:f>
        <x:v>Open-source client code / Open-source server stack/components</x:v>
      </x:c>
      <x:c r="Q7" s="3" t="str">
        <x:f>IF(Master!R4="","",Master!R4)</x:f>
        <x:v>FOSS (BSD-style / BSD-3-Clause) / FOSS (BSD-style / BSD-3-Clause)</x:v>
      </x:c>
      <x:c r="R7" s="3" t="str">
        <x:f>IF(Master!S4="","",Master!S4)</x:f>
        <x:v>FOSS GPL-family components / FOSS GPL-3.0 server/web components</x:v>
      </x:c>
      <x:c r="S7" s="3" t="str">
        <x:f>IF(Master!T4="","",Master!T4)</x:f>
      </x:c>
      <x:c r="T7" s="3" t="str">
        <x:f>IF(Master!U4="","",Master!U4)</x:f>
        <x:v>AGPL-3.0 / AGPL-3.0</x:v>
      </x:c>
      <x:c r="U7" s="3" t="str">
        <x:f>IF(Master!V4="","",Master!V4)</x:f>
        <x:v>Proprietary / Proprietary</x:v>
      </x:c>
      <x:c r="V7" s="3" t="str">
        <x:f>IF(Master!W4="","",Master!W4)</x:f>
        <x:v>FOSS core client; MIT components / enterprise extensions / FOSS core (MIT) + enterprise-licensed portions</x:v>
      </x:c>
      <x:c r="W7" s="3" t="str">
        <x:f>IF(Master!X4="","",Master!X4)</x:f>
        <x:v>MPL-2.0 project / MPL-2.0 project/server components</x:v>
      </x:c>
      <x:c r="X7" s="3" t="str">
        <x:f>IF(Master!Y4="","",Master!Y4)</x:f>
        <x:v>Proprietary / Proprietary</x:v>
      </x:c>
      <x:c r="Y7" s="3" t="str">
        <x:f>IF(Master!Z4="","",Master!Z4)</x:f>
        <x:v>FOSS (AGPL-3.0 project components) / FOSS (AGPL-3.0)</x:v>
      </x:c>
      <x:c r="Z7" s="3" t="str">
        <x:f>IF(Master!AA4="","",Master!AA4)</x:f>
        <x:v>FOSS (web client AGPL-3.0; clients vary) / FOSS (backend generally AGPL-3.0)</x:v>
      </x:c>
      <x:c r="AA7" s="6" t="str">
        <x:f>IF(Master!AB4="","",Master!AB4)</x:f>
        <x:v>Proprietary / Proprietary</x:v>
      </x:c>
      <x:c r="AB7" s="3" t="str">
        <x:f>IF(Master!AC4="","",Master!AC4)</x:f>
        <x:v>AGPL-3.0 / AGPL-3.0</x:v>
      </x:c>
      <x:c r="AC7" s="3" t="str">
        <x:f>IF(Master!AD4="","",Master!AD4)</x:f>
        <x:v>Client source planned; not yet fully public / Backend source public</x:v>
      </x:c>
      <x:c r="AD7" s="3" t="str">
        <x:f>IF(Master!AE4="","",Master!AE4)</x:f>
        <x:v>Source-available (Elastic 2.0); self-host allowed subject to license</x:v>
      </x:c>
      <x:c r="AE7" s="3" t="str">
        <x:f>IF(Master!AF4="","",Master!AF4)</x:f>
      </x:c>
      <x:c r="AF7" s="8" t="str">
        <x:f>IF(Master!AG4="","",Master!AG4)</x:f>
        <x:v>FOSS (Apache-2.0) / FOSS (Apache-2.0 server/web app)</x:v>
      </x:c>
    </x:row>
    <x:row r="8" ht="36" customHeight="1">
      <x:c r="A8" s="17" t="s">
        <x:v>100</x:v>
      </x:c>
      <x:c r="B8" s="3" t="str">
        <x:f>IF(Master!C5="","",Master!C5)</x:f>
        <x:v>No for text DMs; DM voice/video calls are E2EE</x:v>
      </x:c>
      <x:c r="C8" s="3" t="str">
        <x:f>IF(Master!D5="","",Master!D5)</x:f>
        <x:v>Yes: E2EE community/DM design</x:v>
      </x:c>
      <x:c r="D8" s="3" t="str">
        <x:f>IF(Master!E5="","",Master!E5)</x:f>
        <x:v>Yes: desktop server DMs can be E2EE; decentralized messenger always E2EE</x:v>
      </x:c>
      <x:c r="E8" s="3" t="str">
        <x:f>IF(Master!F5="","",Master!F5)</x:f>
        <x:v>No E2EE text claim</x:v>
      </x:c>
      <x:c r="F8" s="3" t="str">
        <x:f>IF(Master!G5="","",Master!G5)</x:f>
        <x:v>Yes: DM text E2EE by default</x:v>
      </x:c>
      <x:c r="G8" s="3" t="str">
        <x:f>IF(Master!H5="","",Master!H5)</x:f>
        <x:v>No: latest 2026 privacy policy says nothing is E2EE yet</x:v>
      </x:c>
      <x:c r="H8" s="3" t="str">
        <x:f>IF(Master!I5="","",Master!I5)</x:f>
        <x:v>No text E2EE claim</x:v>
      </x:c>
      <x:c r="I8" s="3" t="str">
        <x:f>IF(Master!J5="","",Master!J5)</x:f>
        <x:v>Yes: direct-message E2EE live (vodozemac)</x:v>
      </x:c>
      <x:c r="J8" s="3" t="str">
        <x:f>IF(Master!K5="","",Master!K5)</x:f>
        <x:v>Yes</x:v>
      </x:c>
      <x:c r="K8" s="3" t="str">
        <x:f>IF(Master!L5="","",Master!L5)</x:f>
        <x:v>Optional MLS 1.0; not default</x:v>
      </x:c>
      <x:c r="L8" s="3" t="str">
        <x:f>IF(Master!M5="","",Master!M5)</x:f>
        <x:v>E2EE not yet verified/currently WIP</x:v>
      </x:c>
      <x:c r="M8" s="3" t="str">
        <x:f>IF(Master!N5="","",Master!N5)</x:f>
        <x:v>Eligible content only: app displays E2EE status</x:v>
      </x:c>
      <x:c r="N8" s="3" t="str">
        <x:f>IF(Master!O5="","",Master!O5)</x:f>
        <x:v>Supported by Matrix E2EE; default behavior is client-dependent</x:v>
      </x:c>
      <x:c r="O8" s="3" t="str">
        <x:f>IF(Master!P5="","",Master!P5)</x:f>
        <x:v>No native E2EE for server-stored messages</x:v>
      </x:c>
      <x:c r="P8" s="3" t="str">
        <x:f>IF(Master!Q5="","",Master!Q5)</x:f>
        <x:v>E2EE claimed</x:v>
      </x:c>
      <x:c r="Q8" s="3" t="str">
        <x:f>IF(Master!R5="","",Master!R5)</x:f>
        <x:v>N/A: not a Discord-style persistent DM platform</x:v>
      </x:c>
      <x:c r="R8" s="3" t="str">
        <x:f>IF(Master!S5="","",Master!S5)</x:f>
        <x:v>No public default E2EE verified</x:v>
      </x:c>
      <x:c r="S8" s="3" t="str">
        <x:f>IF(Master!T5="","",Master!T5)</x:f>
        <x:v>No E2EE text claim</x:v>
      </x:c>
      <x:c r="T8" s="3" t="str">
        <x:f>IF(Master!U5="","",Master!U5)</x:f>
        <x:v>No: not marketed as an E2EE product feature</x:v>
      </x:c>
      <x:c r="U8" s="3" t="str">
        <x:f>IF(Master!V5="","",Master!V5)</x:f>
        <x:v>Yes: DM text E2EE (Signal-style X3DH/Double Ratchet)</x:v>
      </x:c>
      <x:c r="V8" s="3" t="str">
        <x:f>IF(Master!W5="","",Master!W5)</x:f>
        <x:v>E2EE available for certain conversations but deployment/client constraints apply</x:v>
      </x:c>
      <x:c r="W8" s="3" t="str">
        <x:f>IF(Master!X5="","",Master!X5)</x:f>
        <x:v>No E2EE chat claim verified</x:v>
      </x:c>
      <x:c r="X8" s="3" t="str">
        <x:f>IF(Master!Y5="","",Master!Y5)</x:f>
        <x:v>No text E2EE disclosed</x:v>
      </x:c>
      <x:c r="Y8" s="3" t="str">
        <x:f>IF(Master!Z5="","",Master!Z5)</x:f>
        <x:v>No documented default text E2EE</x:v>
      </x:c>
      <x:c r="Z8" s="3" t="str">
        <x:f>IF(Master!AA5="","",Master!AA5)</x:f>
        <x:v>No default text E2EE verified</x:v>
      </x:c>
      <x:c r="AA8" s="6" t="str">
        <x:f>IF(Master!AB5="","",Master!AB5)</x:f>
      </x:c>
      <x:c r="AB8" s="3" t="str">
        <x:f>IF(Master!AC5="","",Master!AC5)</x:f>
        <x:v>No default E2EE claim</x:v>
      </x:c>
      <x:c r="AC8" s="3" t="str">
        <x:f>IF(Master!AD5="","",Master!AD5)</x:f>
        <x:v>Default unencrypted; per-conversation E2EE planned/opt-in</x:v>
      </x:c>
      <x:c r="AD8" s="3" t="str">
        <x:f>IF(Master!AE5="","",Master!AE5)</x:f>
        <x:v>No E2EE text claim</x:v>
      </x:c>
      <x:c r="AE8" s="3" t="str">
        <x:f>IF(Master!AF5="","",Master!AF5)</x:f>
        <x:v>Server/operator controlled; E2EE not claimed</x:v>
      </x:c>
      <x:c r="AF8" s="8" t="str">
        <x:f>IF(Master!AG5="","",Master!AG5)</x:f>
        <x:v>No native E2EE for server-stored chat</x:v>
      </x:c>
    </x:row>
    <x:row r="9" ht="36" customHeight="1">
      <x:c r="A9" s="17" t="s">
        <x:v>101</x:v>
      </x:c>
      <x:c r="B9" s="3" t="str">
        <x:f>IF(Master!C6="","",Master!C6)</x:f>
        <x:v>No for text channels/rooms; voice/video channels are E2EE except Stage</x:v>
      </x:c>
      <x:c r="C9" s="3" t="str">
        <x:f>IF(Master!D6="","",Master!D6)</x:f>
        <x:v>Yes: encrypted communities</x:v>
      </x:c>
      <x:c r="D9" s="3" t="str">
        <x:f>IF(Master!E6="","",Master!E6)</x:f>
        <x:v>Server channels generally not E2EE</x:v>
      </x:c>
      <x:c r="E9" s="3" t="str">
        <x:f>IF(Master!F6="","",Master!F6)</x:f>
        <x:v>No</x:v>
      </x:c>
      <x:c r="F9" s="3" t="str">
        <x:f>IF(Master!G6="","",Master!G6)</x:f>
        <x:v>No: server/community text channels are plaintext to server</x:v>
      </x:c>
      <x:c r="G9" s="3" t="str">
        <x:f>IF(Master!H6="","",Master!H6)</x:f>
        <x:v>No</x:v>
      </x:c>
      <x:c r="H9" s="3" t="str">
        <x:f>IF(Master!I6="","",Master!I6)</x:f>
        <x:v>No channel text E2EE claim</x:v>
      </x:c>
      <x:c r="I9" s="3" t="str">
        <x:f>IF(Master!J6="","",Master!J6)</x:f>
        <x:v>No channel E2EE claim; published E2EE is for DMs</x:v>
      </x:c>
      <x:c r="J9" s="3" t="str">
        <x:f>IF(Master!K6="","",Master!K6)</x:f>
        <x:v>Encrypted private channels; public channels intentionally unencrypted</x:v>
      </x:c>
      <x:c r="K9" s="3" t="str">
        <x:f>IF(Master!L6="","",Master!L6)</x:f>
        <x:v>Optional MLS 1.0; not default</x:v>
      </x:c>
      <x:c r="L9" s="3" t="str">
        <x:f>IF(Master!M6="","",Master!M6)</x:f>
      </x:c>
      <x:c r="M9" s="3" t="str">
        <x:f>IF(Master!N6="","",Master!N6)</x:f>
        <x:v>Eligible content only</x:v>
      </x:c>
      <x:c r="N9" s="3" t="str">
        <x:f>IF(Master!O6="","",Master!O6)</x:f>
        <x:v>Supported for encrypted rooms; not every room is encrypted</x:v>
      </x:c>
      <x:c r="O9" s="3" t="str">
        <x:f>IF(Master!P6="","",Master!P6)</x:f>
        <x:v>No</x:v>
      </x:c>
      <x:c r="P9" s="3" t="str">
        <x:f>IF(Master!Q6="","",Master!Q6)</x:f>
      </x:c>
      <x:c r="Q9" s="3" t="str">
        <x:f>IF(Master!R6="","",Master!R6)</x:f>
        <x:v>N/A</x:v>
      </x:c>
      <x:c r="R9" s="3" t="str">
        <x:f>IF(Master!S6="","",Master!S6)</x:f>
        <x:v>No</x:v>
      </x:c>
      <x:c r="S9" s="3" t="str">
        <x:f>IF(Master!T6="","",Master!T6)</x:f>
        <x:v>No</x:v>
      </x:c>
      <x:c r="T9" s="3" t="str">
        <x:f>IF(Master!U6="","",Master!U6)</x:f>
        <x:v>No: not marketed as an E2EE product feature</x:v>
      </x:c>
      <x:c r="U9" s="3" t="str">
        <x:f>IF(Master!V6="","",Master!V6)</x:f>
        <x:v>No: Shard/community channel text is encrypted at rest, not E2EE</x:v>
      </x:c>
      <x:c r="V9" s="3" t="str">
        <x:f>IF(Master!W6="","",Master!W6)</x:f>
        <x:v>Encrypted rooms supported locally; federation documentation note E2EE is not supported across federated servers</x:v>
      </x:c>
      <x:c r="W9" s="3" t="str">
        <x:f>IF(Master!X6="","",Master!X6)</x:f>
        <x:v>No</x:v>
      </x:c>
      <x:c r="X9" s="3" t="str">
        <x:f>IF(Master!Y6="","",Master!Y6)</x:f>
        <x:v>No text E2EE disclosed</x:v>
      </x:c>
      <x:c r="Y9" s="3" t="str">
        <x:f>IF(Master!Z6="","",Master!Z6)</x:f>
        <x:v>No documented channel E2EE</x:v>
      </x:c>
      <x:c r="Z9" s="3" t="str">
        <x:f>IF(Master!AA6="","",Master!AA6)</x:f>
        <x:v>No default channel E2EE</x:v>
      </x:c>
      <x:c r="AA9" s="6" t="str">
        <x:f>IF(Master!AB6="","",Master!AB6)</x:f>
      </x:c>
      <x:c r="AB9" s="3" t="str">
        <x:f>IF(Master!AC6="","",Master!AC6)</x:f>
        <x:v>No</x:v>
      </x:c>
      <x:c r="AC9" s="3" t="str">
        <x:f>IF(Master!AD6="","",Master!AD6)</x:f>
      </x:c>
      <x:c r="AD9" s="3" t="str">
        <x:f>IF(Master!AE6="","",Master!AE6)</x:f>
        <x:v>No</x:v>
      </x:c>
      <x:c r="AE9" s="3" t="str">
        <x:f>IF(Master!AF6="","",Master!AF6)</x:f>
      </x:c>
      <x:c r="AF9" s="8" t="str">
        <x:f>IF(Master!AG6="","",Master!AG6)</x:f>
        <x:v>No</x:v>
      </x:c>
    </x:row>
    <x:row r="10" ht="36" customHeight="1">
      <x:c r="A10" s="17" t="s">
        <x:v>102</x:v>
      </x:c>
      <x:c r="B10" s="3" t="str">
        <x:f>IF(Master!C7="","",Master!C7)</x:f>
        <x:v>720p / 30 fps</x:v>
      </x:c>
      <x:c r="C10" s="3" t="str">
        <x:f>IF(Master!D7="","",Master!D7)</x:f>
      </x:c>
      <x:c r="D10" s="3" t="str">
        <x:f>IF(Master!E7="","",Master!E7)</x:f>
        <x:v>Up to 4K theoretical/configurable / Up to 60/120 depending documentation/version</x:v>
      </x:c>
      <x:c r="E10" s="3" t="str">
        <x:f>IF(Master!F7="","",Master!F7)</x:f>
      </x:c>
      <x:c r="F10" s="3" t="str">
        <x:f>IF(Master!G7="","",Master!G7)</x:f>
      </x:c>
      <x:c r="G10" s="3" t="str">
        <x:f>IF(Master!H7="","",Master!H7)</x:f>
        <x:v>720p / 30 fps</x:v>
      </x:c>
      <x:c r="H10" s="3" t="str">
        <x:f>IF(Master!I7="","",Master!I7)</x:f>
        <x:v>1080p / 30 fps</x:v>
      </x:c>
      <x:c r="I10" s="3" t="str">
        <x:f>IF(Master!J7="","",Master!J7)</x:f>
        <x:v>Not publicly claimed</x:v>
      </x:c>
      <x:c r="J10" s="3" t="str">
        <x:f>IF(Master!K7="","",Master!K7)</x:f>
      </x:c>
      <x:c r="K10" s="3" t="str">
        <x:f>IF(Master!L7="","",Master!L7)</x:f>
        <x:v>4K native Source preset at 30 FPS is publicly documented; browser Source has an 8K defensive bound. Developer questionnaire reported 4K60.</x:v>
      </x:c>
      <x:c r="L10" s="3" t="str">
        <x:f>IF(Master!M7="","",Master!M7)</x:f>
      </x:c>
      <x:c r="M10" s="3" t="str">
        <x:f>IF(Master!N7="","",Master!N7)</x:f>
      </x:c>
      <x:c r="N10" s="3" t="str">
        <x:f>IF(Master!O7="","",Master!O7)</x:f>
        <x:v>Varies by client / Varies by client</x:v>
      </x:c>
      <x:c r="O10" s="3" t="str">
        <x:f>IF(Master!P7="","",Master!P7)</x:f>
      </x:c>
      <x:c r="P10" s="3" t="str">
        <x:f>IF(Master!Q7="","",Master!Q7)</x:f>
      </x:c>
      <x:c r="Q10" s="3" t="str">
        <x:f>IF(Master!R7="","",Master!R7)</x:f>
        <x:v>N/A / N/A</x:v>
      </x:c>
      <x:c r="R10" s="3" t="str">
        <x:f>IF(Master!S7="","",Master!S7)</x:f>
      </x:c>
      <x:c r="S10" s="3" t="str">
        <x:f>IF(Master!T7="","",Master!T7)</x:f>
      </x:c>
      <x:c r="T10" s="3" t="str">
        <x:f>IF(Master!U7="","",Master!U7)</x:f>
        <x:v>360p to 1080p free; FPS not publicly claimed; browser tab audio; up to 4 presenters in big rooms</x:v>
      </x:c>
      <x:c r="U10" s="3" t="str">
        <x:f>IF(Master!V7="","",Master!V7)</x:f>
        <x:v>1080p60 free; 1440p60 with Rift+</x:v>
      </x:c>
      <x:c r="V10" s="3" t="str">
        <x:f>IF(Master!W7="","",Master!W7)</x:f>
      </x:c>
      <x:c r="W10" s="3" t="str">
        <x:f>IF(Master!X7="","",Master!X7)</x:f>
      </x:c>
      <x:c r="X10" s="3" t="str">
        <x:f>IF(Master!Y7="","",Master!Y7)</x:f>
        <x:v>720p Game Mode / Source mode / 30 fps Game Mode / 5 fps Source mode</x:v>
      </x:c>
      <x:c r="Y10" s="3" t="str">
        <x:f>IF(Master!Z7="","",Master!Z7)</x:f>
      </x:c>
      <x:c r="Z10" s="3" t="str">
        <x:f>IF(Master!AA7="","",Master!AA7)</x:f>
        <x:v>720p / 30 fps</x:v>
      </x:c>
      <x:c r="AA10" s="6" t="str">
        <x:f>IF(Master!AB7="","",Master!AB7)</x:f>
      </x:c>
      <x:c r="AB10" s="3" t="str">
        <x:f>IF(Master!AC7="","",Master!AC7)</x:f>
      </x:c>
      <x:c r="AC10" s="3" t="str">
        <x:f>IF(Master!AD7="","",Master!AD7)</x:f>
      </x:c>
      <x:c r="AD10" s="3" t="str">
        <x:f>IF(Master!AE7="","",Master!AE7)</x:f>
      </x:c>
      <x:c r="AE10" s="3" t="str">
        <x:f>IF(Master!AF7="","",Master!AF7)</x:f>
        <x:v>Up to 1440p included</x:v>
      </x:c>
      <x:c r="AF10" s="8" t="str">
        <x:f>IF(Master!AG7="","",Master!AG7)</x:f>
        <x:v>External call provider-dependent / Provider-dependent</x:v>
      </x:c>
    </x:row>
    <x:row r="11" ht="36" customHeight="1">
      <x:c r="A11" s="17" t="s">
        <x:v>103</x:v>
      </x:c>
      <x:c r="B11" s="3" t="n">
        <x:f>IF(Master!C291="","",Master!C291)</x:f>
        <x:v>20</x:v>
      </x:c>
      <x:c r="C11" s="3" t="str">
        <x:f>IF(Master!D291="","",Master!D291)</x:f>
      </x:c>
      <x:c r="D11" s="3" t="str">
        <x:f>IF(Master!E291="","",Master!E291)</x:f>
      </x:c>
      <x:c r="E11" s="3" t="str">
        <x:f>IF(Master!F291="","",Master!F291)</x:f>
      </x:c>
      <x:c r="F11" s="3" t="str">
        <x:f>IF(Master!G291="","",Master!G291)</x:f>
      </x:c>
      <x:c r="G11" s="3" t="str">
        <x:f>IF(Master!H291="","",Master!H291)</x:f>
        <x:v>25</x:v>
      </x:c>
      <x:c r="H11" s="3" t="str">
        <x:f>IF(Master!I291="","",Master!I291)</x:f>
        <x:v>500</x:v>
      </x:c>
      <x:c r="I11" s="3" t="n">
        <x:f>IF(Master!J291="","",Master!J291)</x:f>
        <x:v>8</x:v>
      </x:c>
      <x:c r="J11" s="3" t="str">
        <x:f>IF(Master!K291="","",Master!K291)</x:f>
      </x:c>
      <x:c r="K11" s="3" t="str">
        <x:f>IF(Master!L291="","",Master!L291)</x:f>
        <x:v>15</x:v>
      </x:c>
      <x:c r="L11" s="3" t="str">
        <x:f>IF(Master!M291="","",Master!M291)</x:f>
      </x:c>
      <x:c r="M11" s="3" t="str">
        <x:f>IF(Master!N291="","",Master!N291)</x:f>
      </x:c>
      <x:c r="N11" s="3" t="str">
        <x:f>IF(Master!O291="","",Master!O291)</x:f>
      </x:c>
      <x:c r="O11" s="3" t="str">
        <x:f>IF(Master!P291="","",Master!P291)</x:f>
        <x:v>100 MB hard limit; configurable</x:v>
      </x:c>
      <x:c r="P11" s="3" t="str">
        <x:f>IF(Master!Q291="","",Master!Q291)</x:f>
        <x:v>100 for video/other; images 50</x:v>
      </x:c>
      <x:c r="Q11" s="3" t="str">
        <x:f>IF(Master!R291="","",Master!R291)</x:f>
      </x:c>
      <x:c r="R11" s="3" t="str">
        <x:f>IF(Master!S291="","",Master!S291)</x:f>
      </x:c>
      <x:c r="S11" s="3" t="str">
        <x:f>IF(Master!T291="","",Master!T291)</x:f>
      </x:c>
      <x:c r="T11" s="3" t="str">
        <x:f>IF(Master!U291="","",Master!U291)</x:f>
        <x:v>Not publicly claimed</x:v>
      </x:c>
      <x:c r="U11" s="3" t="str">
        <x:f>IF(Master!V291="","",Master!V291)</x:f>
        <x:v>50</x:v>
      </x:c>
      <x:c r="V11" s="3" t="str">
        <x:f>IF(Master!W291="","",Master!W291)</x:f>
        <x:v>Configurable by workspace; self-managed can use -1 for no app-level limit</x:v>
      </x:c>
      <x:c r="W11" s="3" t="str">
        <x:f>IF(Master!X291="","",Master!X291)</x:f>
      </x:c>
      <x:c r="X11" s="3" t="str">
        <x:f>IF(Master!Y291="","",Master!Y291)</x:f>
        <x:v>25</x:v>
      </x:c>
      <x:c r="Y11" s="3" t="str">
        <x:f>IF(Master!Z291="","",Master!Z291)</x:f>
      </x:c>
      <x:c r="Z11" s="3" t="str">
        <x:f>IF(Master!AA291="","",Master!AA291)</x:f>
      </x:c>
      <x:c r="AA11" s="6" t="n">
        <x:f>IF(Master!AB291="","",Master!AB291)</x:f>
        <x:v>10</x:v>
      </x:c>
      <x:c r="AB11" s="3" t="str">
        <x:f>IF(Master!AC291="","",Master!AC291)</x:f>
      </x:c>
      <x:c r="AC11" s="3" t="str">
        <x:f>IF(Master!AD291="","",Master!AD291)</x:f>
      </x:c>
      <x:c r="AD11" s="3" t="str">
        <x:f>IF(Master!AE291="","",Master!AE291)</x:f>
      </x:c>
      <x:c r="AE11" s="3" t="str">
        <x:f>IF(Master!AF291="","",Master!AF291)</x:f>
        <x:v>Configurable by server operator</x:v>
      </x:c>
      <x:c r="AF11" s="8" t="str">
        <x:f>IF(Master!AG291="","",Master!AG291)</x:f>
      </x:c>
    </x:row>
    <x:row r="12" ht="36" customHeight="1">
      <x:c r="A12" s="17" t="s">
        <x:v>104</x:v>
      </x:c>
      <x:c r="B12" s="3" t="str">
        <x:f>IF(Master!C266="","",Master!C266)</x:f>
        <x:v>Yes: persistent server voice channels</x:v>
      </x:c>
      <x:c r="C12" s="3" t="str">
        <x:f>IF(Master!D266="","",Master!D266)</x:f>
        <x:v>Yes</x:v>
      </x:c>
      <x:c r="D12" s="3" t="str">
        <x:f>IF(Master!E266="","",Master!E266)</x:f>
        <x:v>Yes</x:v>
      </x:c>
      <x:c r="E12" s="3" t="str">
        <x:f>IF(Master!F266="","",Master!F266)</x:f>
        <x:v>Yes</x:v>
      </x:c>
      <x:c r="F12" s="3" t="str">
        <x:f>IF(Master!G266="","",Master!G266)</x:f>
        <x:v>Yes</x:v>
      </x:c>
      <x:c r="G12" s="3" t="str">
        <x:f>IF(Master!H266="","",Master!H266)</x:f>
        <x:v>Yes</x:v>
      </x:c>
      <x:c r="H12" s="3" t="str">
        <x:f>IF(Master!I266="","",Master!I266)</x:f>
        <x:v>Yes</x:v>
      </x:c>
      <x:c r="I12" s="3" t="str">
        <x:f>IF(Master!J266="","",Master!J266)</x:f>
        <x:v>Yes: LiveKit voice channels</x:v>
      </x:c>
      <x:c r="J12" s="3" t="str">
        <x:f>IF(Master!K266="","",Master!K266)</x:f>
        <x:v>No persistent voice-room model verified</x:v>
      </x:c>
      <x:c r="K12" s="3" t="str">
        <x:f>IF(Master!L266="","",Master!L266)</x:f>
        <x:v>Yes</x:v>
      </x:c>
      <x:c r="L12" s="3" t="str">
        <x:f>IF(Master!M266="","",Master!M266)</x:f>
        <x:v>Yes</x:v>
      </x:c>
      <x:c r="M12" s="3" t="str">
        <x:f>IF(Master!N266="","",Master!N266)</x:f>
        <x:v>Yes</x:v>
      </x:c>
      <x:c r="N12" s="3" t="str">
        <x:f>IF(Master!O266="","",Master!O266)</x:f>
        <x:v>Client-dependent; many clients support calls/rooms</x:v>
      </x:c>
      <x:c r="O12" s="3" t="str">
        <x:f>IF(Master!P266="","",Master!P266)</x:f>
        <x:v>Calls available; not Discord-style always-on voice-first UX</x:v>
      </x:c>
      <x:c r="P12" s="3" t="str">
        <x:f>IF(Master!Q266="","",Master!Q266)</x:f>
        <x:v>Yes</x:v>
      </x:c>
      <x:c r="Q12" s="3" t="str">
        <x:f>IF(Master!R266="","",Master!R266)</x:f>
        <x:v>Yes: voice channels are the core product</x:v>
      </x:c>
      <x:c r="R12" s="3" t="str">
        <x:f>IF(Master!S266="","",Master!S266)</x:f>
      </x:c>
      <x:c r="S12" s="3" t="str">
        <x:f>IF(Master!T266="","",Master!T266)</x:f>
        <x:v>Yes</x:v>
      </x:c>
      <x:c r="T12" s="3" t="str">
        <x:f>IF(Master!U266="","",Master!U266)</x:f>
        <x:v>Yes</x:v>
      </x:c>
      <x:c r="U12" s="3" t="str">
        <x:f>IF(Master!V266="","",Master!V266)</x:f>
        <x:v>Yes</x:v>
      </x:c>
      <x:c r="V12" s="3" t="str">
        <x:f>IF(Master!W266="","",Master!W266)</x:f>
        <x:v>Voice/video deployment/provider-dependent</x:v>
      </x:c>
      <x:c r="W12" s="3" t="str">
        <x:f>IF(Master!X266="","",Master!X266)</x:f>
        <x:v>No mature voice verified</x:v>
      </x:c>
      <x:c r="X12" s="3" t="str">
        <x:f>IF(Master!Y266="","",Master!Y266)</x:f>
        <x:v>Yes</x:v>
      </x:c>
      <x:c r="Y12" s="3" t="str">
        <x:f>IF(Master!Z266="","",Master!Z266)</x:f>
        <x:v>Yes when optional voice package is installed</x:v>
      </x:c>
      <x:c r="Z12" s="3" t="str">
        <x:f>IF(Master!AA266="","",Master!AA266)</x:f>
        <x:v>Yes: persistent server voice channels</x:v>
      </x:c>
      <x:c r="AA12" s="6" t="str">
        <x:f>IF(Master!AB266="","",Master!AB266)</x:f>
        <x:v>Yes</x:v>
      </x:c>
      <x:c r="AB12" s="3" t="str">
        <x:f>IF(Master!AC266="","",Master!AC266)</x:f>
        <x:v>Yes</x:v>
      </x:c>
      <x:c r="AC12" s="3" t="str">
        <x:f>IF(Master!AD266="","",Master!AD266)</x:f>
      </x:c>
      <x:c r="AD12" s="3" t="str">
        <x:f>IF(Master!AE266="","",Master!AE266)</x:f>
        <x:v>Yes: voice in rooms</x:v>
      </x:c>
      <x:c r="AE12" s="3" t="str">
        <x:f>IF(Master!AF266="","",Master!AF266)</x:f>
        <x:v>Yes</x:v>
      </x:c>
      <x:c r="AF12" s="8" t="str">
        <x:f>IF(Master!AG266="","",Master!AG266)</x:f>
        <x:v>No native persistent voice rooms</x:v>
      </x:c>
    </x:row>
    <x:row r="13" ht="36" customHeight="1">
      <x:c r="A13" s="17" t="s">
        <x:v>105</x:v>
      </x:c>
      <x:c r="B13" s="3" t="str">
        <x:f>IF(Master!C666="","",Master!C666)</x:f>
        <x:v>Limited: experimental Conversation Summaries + AI/ML safety features</x:v>
      </x:c>
      <x:c r="C13" s="3" t="str">
        <x:f>IF(Master!D666="","",Master!D666)</x:f>
        <x:v>None</x:v>
      </x:c>
      <x:c r="D13" s="3" t="str">
        <x:f>IF(Master!E666="","",Master!E666)</x:f>
        <x:v>None</x:v>
      </x:c>
      <x:c r="E13" s="3" t="str">
        <x:f>IF(Master!F666="","",Master!F666)</x:f>
        <x:v>No native AI advertised</x:v>
      </x:c>
      <x:c r="F13" s="3" t="str">
        <x:f>IF(Master!G666="","",Master!G666)</x:f>
        <x:v>No prominent native generative AI</x:v>
      </x:c>
      <x:c r="G13" s="3" t="str">
        <x:f>IF(Master!H666="","",Master!H666)</x:f>
        <x:v>No native AI/LLM inference over content</x:v>
      </x:c>
      <x:c r="H13" s="3" t="str">
        <x:f>IF(Master!I666="","",Master!I666)</x:f>
        <x:v>No prominent native generative AI verified</x:v>
      </x:c>
      <x:c r="I13" s="3" t="str">
        <x:f>IF(Master!J666="","",Master!J666)</x:f>
        <x:v>None advertised</x:v>
      </x:c>
      <x:c r="J13" s="3" t="str">
        <x:f>IF(Master!K666="","",Master!K666)</x:f>
        <x:v>None</x:v>
      </x:c>
      <x:c r="K13" s="3" t="str">
        <x:f>IF(Master!L666="","",Master!L666)</x:f>
        <x:v>No</x:v>
      </x:c>
      <x:c r="L13" s="3" t="str">
        <x:f>IF(Master!M666="","",Master!M666)</x:f>
        <x:v>No prominent native AI verified</x:v>
      </x:c>
      <x:c r="M13" s="3" t="str">
        <x:f>IF(Master!N666="","",Master!N666)</x:f>
        <x:v>Translation + transcription</x:v>
      </x:c>
      <x:c r="N13" s="3" t="str">
        <x:f>IF(Master!O666="","",Master!O666)</x:f>
        <x:v>No Matrix-wide native AI; provider/client-specific</x:v>
      </x:c>
      <x:c r="O13" s="3" t="str">
        <x:f>IF(Master!P666="","",Master!P666)</x:f>
        <x:v>Optional enterprise/integration AI</x:v>
      </x:c>
      <x:c r="P13" s="3" t="str">
        <x:f>IF(Master!Q666="","",Master!Q666)</x:f>
        <x:v>Yes: moderation/translation/summaries</x:v>
      </x:c>
      <x:c r="Q13" s="3" t="str">
        <x:f>IF(Master!R666="","",Master!R666)</x:f>
        <x:v>None</x:v>
      </x:c>
      <x:c r="R13" s="3" t="str">
        <x:f>IF(Master!S666="","",Master!S666)</x:f>
        <x:v>No native AI verified</x:v>
      </x:c>
      <x:c r="S13" s="3" t="str">
        <x:f>IF(Master!T666="","",Master!T666)</x:f>
        <x:v>No prominent native AI verified</x:v>
      </x:c>
      <x:c r="T13" s="3" t="str">
        <x:f>IF(Master!U666="","",Master!U666)</x:f>
        <x:v>No native AI channel tools pitched</x:v>
      </x:c>
      <x:c r="U13" s="3" t="str">
        <x:f>IF(Master!V666="","",Master!V666)</x:f>
        <x:v>No AI reading/training</x:v>
      </x:c>
      <x:c r="V13" s="3" t="str">
        <x:f>IF(Master!W666="","",Master!W666)</x:f>
        <x:v>Optional apps/integrations</x:v>
      </x:c>
      <x:c r="W13" s="3" t="str">
        <x:f>IF(Master!X666="","",Master!X666)</x:f>
        <x:v>None</x:v>
      </x:c>
      <x:c r="X13" s="3" t="str">
        <x:f>IF(Master!Y666="","",Master!Y666)</x:f>
        <x:v>No prominent generative AI feature</x:v>
      </x:c>
      <x:c r="Y13" s="3" t="str">
        <x:f>IF(Master!Z666="","",Master!Z666)</x:f>
        <x:v>None</x:v>
      </x:c>
      <x:c r="Z13" s="3" t="str">
        <x:f>IF(Master!AA666="","",Master!AA666)</x:f>
        <x:v>No prominent native generative-AI feature verified</x:v>
      </x:c>
      <x:c r="AA13" s="6" t="str">
        <x:f>IF(Master!AB666="","",Master!AB666)</x:f>
        <x:v>No prominent native generative AI verified</x:v>
      </x:c>
      <x:c r="AB13" s="3" t="str">
        <x:f>IF(Master!AC666="","",Master!AC666)</x:f>
        <x:v>None verified</x:v>
      </x:c>
      <x:c r="AC13" s="3" t="str">
        <x:f>IF(Master!AD666="","",Master!AD666)</x:f>
        <x:v>No native AI verified</x:v>
      </x:c>
      <x:c r="AD13" s="3" t="str">
        <x:f>IF(Master!AE666="","",Master!AE666)</x:f>
        <x:v>Game-specific AI features</x:v>
      </x:c>
      <x:c r="AE13" s="3" t="str">
        <x:f>IF(Master!AF666="","",Master!AF666)</x:f>
        <x:v>None</x:v>
      </x:c>
      <x:c r="AF13" s="8" t="str">
        <x:f>IF(Master!AG666="","",Master!AG666)</x:f>
        <x:v>None required</x:v>
      </x:c>
    </x:row>
    <x:row r="14" ht="36" customHeight="1">
      <x:c r="A14" s="17" t="s">
        <x:v>106</x:v>
      </x:c>
      <x:c r="B14" s="3" t="str">
        <x:f>IF(Master!C8="","",Master!C8)</x:f>
        <x:v>No: Discord states AI companies may not train models using user messages</x:v>
      </x:c>
      <x:c r="C14" s="3" t="str">
        <x:f>IF(Master!D8="","",Master!D8)</x:f>
        <x:v>Encrypted/no central host</x:v>
      </x:c>
      <x:c r="D14" s="3" t="str">
        <x:f>IF(Master!E8="","",Master!E8)</x:f>
        <x:v>Self-host controlled</x:v>
      </x:c>
      <x:c r="E14" s="3" t="str">
        <x:f>IF(Master!F8="","",Master!F8)</x:f>
        <x:v>No: privacy policy says content not used for AI training</x:v>
      </x:c>
      <x:c r="F14" s="3" t="str">
        <x:f>IF(Master!G8="","",Master!G8)</x:f>
      </x:c>
      <x:c r="G14" s="3" t="str">
        <x:f>IF(Master!H8="","",Master!H8)</x:f>
        <x:v>No: explicit privacy policy</x:v>
      </x:c>
      <x:c r="H14" s="3" t="str">
        <x:f>IF(Master!I8="","",Master!I8)</x:f>
      </x:c>
      <x:c r="I14" s="3" t="str">
        <x:f>IF(Master!J8="","",Master!J8)</x:f>
        <x:v>No: official site says no AI training on chats; self-host sends no telemetry</x:v>
      </x:c>
      <x:c r="J14" s="3" t="str">
        <x:f>IF(Master!K8="","",Master!K8)</x:f>
        <x:v>No central plaintext service</x:v>
      </x:c>
      <x:c r="K14" s="3" t="str">
        <x:f>IF(Master!L8="","",Master!L8)</x:f>
        <x:v>No: developer states user data is not used for AI training</x:v>
      </x:c>
      <x:c r="L14" s="3" t="str">
        <x:f>IF(Master!M8="","",Master!M8)</x:f>
        <x:v>No behavioral tracking; AI training not specifically documented</x:v>
      </x:c>
      <x:c r="M14" s="3" t="str">
        <x:f>IF(Master!N8="","",Master!N8)</x:f>
      </x:c>
      <x:c r="N14" s="3" t="str">
        <x:f>IF(Master!O8="","",Master!O8)</x:f>
        <x:v>Provider-specific: Matrix has no single data controller</x:v>
      </x:c>
      <x:c r="O14" s="3" t="str">
        <x:f>IF(Master!P8="","",Master!P8)</x:f>
        <x:v>Deployment/provider-specific</x:v>
      </x:c>
      <x:c r="P14" s="3" t="str">
        <x:f>IF(Master!Q8="","",Master!Q8)</x:f>
      </x:c>
      <x:c r="Q14" s="3" t="str">
        <x:f>IF(Master!R8="","",Master!R8)</x:f>
        <x:v>N/A: no central hosted content service</x:v>
      </x:c>
      <x:c r="R14" s="3" t="str">
        <x:f>IF(Master!S8="","",Master!S8)</x:f>
      </x:c>
      <x:c r="S14" s="3" t="str">
        <x:f>IF(Master!T8="","",Master!T8)</x:f>
      </x:c>
      <x:c r="T14" s="3" t="str">
        <x:f>IF(Master!U8="","",Master!U8)</x:f>
        <x:v>No user-content training claim provided; robots.txt Content Signal includes ai-train=no</x:v>
      </x:c>
      <x:c r="U14" s="3" t="str">
        <x:f>IF(Master!V8="","",Master!V8)</x:f>
        <x:v>No: explicit no-training statement</x:v>
      </x:c>
      <x:c r="V14" s="3" t="str">
        <x:f>IF(Master!W8="","",Master!W8)</x:f>
        <x:v>Deployment/provider-specific</x:v>
      </x:c>
      <x:c r="W14" s="3" t="str">
        <x:f>IF(Master!X8="","",Master!X8)</x:f>
        <x:v>Provider-dependent</x:v>
      </x:c>
      <x:c r="X14" s="3" t="str">
        <x:f>IF(Master!Y8="","",Master!Y8)</x:f>
        <x:v>No: privacy policy says no model training</x:v>
      </x:c>
      <x:c r="Y14" s="3" t="str">
        <x:f>IF(Master!Z8="","",Master!Z8)</x:f>
        <x:v>Self-host operator-controlled</x:v>
      </x:c>
      <x:c r="Z14" s="3" t="str">
        <x:f>IF(Master!AA8="","",Master!AA8)</x:f>
      </x:c>
      <x:c r="AA14" s="6" t="str">
        <x:f>IF(Master!AB8="","",Master!AB8)</x:f>
      </x:c>
      <x:c r="AB14" s="3" t="str">
        <x:f>IF(Master!AC8="","",Master!AC8)</x:f>
      </x:c>
      <x:c r="AC14" s="3" t="str">
        <x:f>IF(Master!AD8="","",Master!AD8)</x:f>
      </x:c>
      <x:c r="AD14" s="3" t="str">
        <x:f>IF(Master!AE8="","",Master!AE8)</x:f>
      </x:c>
      <x:c r="AE14" s="3" t="str">
        <x:f>IF(Master!AF8="","",Master!AF8)</x:f>
        <x:v>No central training of self-host content</x:v>
      </x:c>
      <x:c r="AF14" s="8" t="str">
        <x:f>IF(Master!AG8="","",Master!AG8)</x:f>
      </x:c>
    </x:row>
    <x:row r="15" ht="36" customHeight="1">
      <x:c r="A15" s="17" t="s">
        <x:v>107</x:v>
      </x:c>
      <x:c r="B15" s="3" t="str">
        <x:f>IF(Master!C9="","",Master!C9)</x:f>
        <x:v>Freemium: Nitro/paid products + sponsored content</x:v>
      </x:c>
      <x:c r="C15" s="3" t="str">
        <x:f>IF(Master!D9="","",Master!D9)</x:f>
        <x:v>Free/open source; community/grant/donation funded; no ads or data sales</x:v>
      </x:c>
      <x:c r="D15" s="3" t="str">
        <x:f>IF(Master!E9="","",Master!E9)</x:f>
        <x:v>Free AGPL self-hosting/donations</x:v>
      </x:c>
      <x:c r="E15" s="3" t="str">
        <x:f>IF(Master!F9="","",Master!F9)</x:f>
        <x:v>Free/private early product</x:v>
      </x:c>
      <x:c r="F15" s="3" t="str">
        <x:f>IF(Master!G9="","",Master!G9)</x:f>
        <x:v>Freemium/subscription plans; alpha</x:v>
      </x:c>
      <x:c r="G15" s="3" t="str">
        <x:f>IF(Master!H9="","",Master!H9)</x:f>
        <x:v>Subscriber/donor-funded freemium; no VC</x:v>
      </x:c>
      <x:c r="H15" s="3" t="str">
        <x:f>IF(Master!I9="","",Master!I9)</x:f>
        <x:v>Free + self-host/server licensing</x:v>
      </x:c>
      <x:c r="I15" s="3" t="str">
        <x:f>IF(Master!J9="","",Master!J9)</x:f>
        <x:v>Free hosted tier + paid hosting plans/early access; AGPL self-hosting is free</x:v>
      </x:c>
      <x:c r="J15" s="3" t="str">
        <x:f>IF(Master!K9="","",Master!K9)</x:f>
        <x:v>Free open source / solo project</x:v>
      </x:c>
      <x:c r="K15" s="3" t="str">
        <x:f>IF(Master!L9="","",Master!L9)</x:f>
        <x:v>Free/currently unmonetized; future monetization planned but not yet defined</x:v>
      </x:c>
      <x:c r="L15" s="3" t="str">
        <x:f>IF(Master!M9="","",Master!M9)</x:f>
        <x:v>Free/community project</x:v>
      </x:c>
      <x:c r="M15" s="3" t="str">
        <x:f>IF(Master!N9="","",Master!N9)</x:f>
        <x:v>Free core; optional managed self-hosting/premium planned</x:v>
      </x:c>
      <x:c r="N15" s="3" t="str">
        <x:f>IF(Master!O9="","",Master!O9)</x:f>
        <x:v>Open protocol/foundation ecosystem + commercial providers</x:v>
      </x:c>
      <x:c r="O15" s="3" t="str">
        <x:f>IF(Master!P9="","",Master!P9)</x:f>
        <x:v>Enterprise subscriptions + open-source/self-hosted editions</x:v>
      </x:c>
      <x:c r="P15" s="3" t="str">
        <x:f>IF(Master!Q9="","",Master!Q9)</x:f>
        <x:v>Free platform / company-backed</x:v>
      </x:c>
      <x:c r="Q15" s="3" t="str">
        <x:f>IF(Master!R9="","",Master!R9)</x:f>
        <x:v>Free open source; third-party hosting</x:v>
      </x:c>
      <x:c r="R15" s="3" t="str">
        <x:f>IF(Master!S9="","",Master!S9)</x:f>
        <x:v>Donation-funded free service</x:v>
      </x:c>
      <x:c r="S15" s="3" t="str">
        <x:f>IF(Master!T9="","",Master!T9)</x:f>
        <x:v>Free core + Premium subscriptions; zero ads/no third-party data sharing</x:v>
      </x:c>
      <x:c r="T15" s="3" t="str">
        <x:f>IF(Master!U9="","",Master!U9)</x:f>
        <x:v>Free hosted + optional donations + AGPL self-host; donations unlock nothing; not VC-backed</x:v>
      </x:c>
      <x:c r="U15" s="3" t="str">
        <x:f>IF(Master!V9="","",Master!V9)</x:f>
        <x:v>Subscriptions, not advertising; no investors</x:v>
      </x:c>
      <x:c r="V15" s="3" t="str">
        <x:f>IF(Master!W9="","",Master!W9)</x:f>
        <x:v>Cloud/enterprise subscriptions + open-source core</x:v>
      </x:c>
      <x:c r="W15" s="3" t="str">
        <x:f>IF(Master!X9="","",Master!X9)</x:f>
        <x:v>Open-source community project</x:v>
      </x:c>
      <x:c r="X15" s="3" t="str">
        <x:f>IF(Master!Y9="","",Master!Y9)</x:f>
        <x:v>Private freemium + Sudo subscription</x:v>
      </x:c>
      <x:c r="Y15" s="3" t="str">
        <x:f>IF(Master!Z9="","",Master!Z9)</x:f>
        <x:v>Free open-source self-hosting</x:v>
      </x:c>
      <x:c r="Z15" s="3" t="str">
        <x:f>IF(Master!AA9="","",Master!AA9)</x:f>
        <x:v>Free and open source; no ads/data sales</x:v>
      </x:c>
      <x:c r="AA15" s="6" t="str">
        <x:f>IF(Master!AB9="","",Master!AB9)</x:f>
        <x:v>Commercial licenses/hosting</x:v>
      </x:c>
      <x:c r="AB15" s="3" t="str">
        <x:f>IF(Master!AC9="","",Master!AC9)</x:f>
        <x:v>Free + Stargazer subscriptions/Patreon</x:v>
      </x:c>
      <x:c r="AC15" s="3" t="str">
        <x:f>IF(Master!AD9="","",Master!AD9)</x:f>
        <x:v>Early open-source/community project</x:v>
      </x:c>
      <x:c r="AD15" s="3" t="str">
        <x:f>IF(Master!AE9="","",Master!AE9)</x:f>
        <x:v>Free core + paid custom/private lobby tiers</x:v>
      </x:c>
      <x:c r="AE15" s="3" t="str">
        <x:f>IF(Master!AF9="","",Master!AF9)</x:f>
        <x:v>Paid self-host license + managed hosting</x:v>
      </x:c>
      <x:c r="AF15" s="8" t="str">
        <x:f>IF(Master!AG9="","",Master!AG9)</x:f>
        <x:v>Cloud subscriptions + open-source self-hosting</x:v>
      </x:c>
    </x:row>
    <x:row r="16" ht="36" customHeight="1">
      <x:c r="A16" s="17" t="s">
        <x:v>108</x:v>
      </x:c>
      <x:c r="B16" s="3" t="str">
        <x:f>IF(Master!C438="","",Master!C438)</x:f>
        <x:v>N/A: Discord is the source platform</x:v>
      </x:c>
      <x:c r="C16" s="3" t="str">
        <x:f>IF(Master!D438="","",Master!D438)</x:f>
        <x:v>Yes: channels, roles, emoji and up to 10,000 messages/channel; optional live two-way bridge</x:v>
      </x:c>
      <x:c r="D16" s="3" t="str">
        <x:f>IF(Master!E438="","",Master!E438)</x:f>
        <x:v>No template importer verified</x:v>
      </x:c>
      <x:c r="E16" s="3" t="str">
        <x:f>IF(Master!F438="","",Master!F438)</x:f>
        <x:v>No Discord importer verified</x:v>
      </x:c>
      <x:c r="F16" s="3" t="str">
        <x:f>IF(Master!G438="","",Master!G438)</x:f>
        <x:v>Planned/advertised Discord server template import</x:v>
      </x:c>
      <x:c r="G16" s="3" t="str">
        <x:f>IF(Master!H438="","",Master!H438)</x:f>
        <x:v>No full Discord importer verified</x:v>
      </x:c>
      <x:c r="H16" s="3" t="str">
        <x:f>IF(Master!I438="","",Master!I438)</x:f>
        <x:v>Yes: channels/roles/permissions/emojis/soundboard/events/assets</x:v>
      </x:c>
      <x:c r="I16" s="3" t="str">
        <x:f>IF(Master!J438="","",Master!J438)</x:f>
        <x:v>No self-service importer verified; Creator plan advertises white-glove Discord migration</x:v>
      </x:c>
      <x:c r="J16" s="3" t="str">
        <x:f>IF(Master!K438="","",Master!K438)</x:f>
        <x:v>No Discord importer verified</x:v>
      </x:c>
      <x:c r="K16" s="3" t="str">
        <x:f>IF(Master!L438="","",Master!L438)</x:f>
        <x:v>No dedicated importer; official live Discord bridge exists</x:v>
      </x:c>
      <x:c r="L16" s="3" t="str">
        <x:f>IF(Master!M438="","",Master!M438)</x:f>
        <x:v>No importer verified</x:v>
      </x:c>
      <x:c r="M16" s="3" t="str">
        <x:f>IF(Master!N438="","",Master!N438)</x:f>
        <x:v>Yes: broad structural importer</x:v>
      </x:c>
      <x:c r="N16" s="3" t="str">
        <x:f>IF(Master!O438="","",Master!O438)</x:f>
        <x:v>No protocol-level Discord importer; tools/clients may provide migration</x:v>
      </x:c>
      <x:c r="O16" s="3" t="str">
        <x:f>IF(Master!P438="","",Master!P438)</x:f>
        <x:v>No native Discord importer</x:v>
      </x:c>
      <x:c r="P16" s="3" t="str">
        <x:f>IF(Master!Q438="","",Master!Q438)</x:f>
      </x:c>
      <x:c r="Q16" s="3" t="str">
        <x:f>IF(Master!R438="","",Master!R438)</x:f>
        <x:v>No</x:v>
      </x:c>
      <x:c r="R16" s="3" t="str">
        <x:f>IF(Master!S438="","",Master!S438)</x:f>
        <x:v>No importer verified</x:v>
      </x:c>
      <x:c r="S16" s="3" t="str">
        <x:f>IF(Master!T438="","",Master!T438)</x:f>
        <x:v>Partial/template migration reported</x:v>
      </x:c>
      <x:c r="T16" s="3" t="str">
        <x:f>IF(Master!U438="","",Master!U438)</x:f>
        <x:v>Layout only: categories, channels and main permissions; no messages or members</x:v>
      </x:c>
      <x:c r="U16" s="3" t="str">
        <x:f>IF(Master!V438="","",Master!V438)</x:f>
        <x:v>Yes: Discord template structure import: categories, channels, forum tags, roles/order/colors, equivalent permissions; no messages/members</x:v>
      </x:c>
      <x:c r="V16" s="3" t="str">
        <x:f>IF(Master!W438="","",Master!W438)</x:f>
        <x:v>No first-party Discord importer verified</x:v>
      </x:c>
      <x:c r="W16" s="3" t="str">
        <x:f>IF(Master!X438="","",Master!X438)</x:f>
        <x:v>Discord bridge/import component exists</x:v>
      </x:c>
      <x:c r="X16" s="3" t="str">
        <x:f>IF(Master!Y438="","",Master!Y438)</x:f>
        <x:v>Yes: Discord server template import (roles/channels/groups/permissions)</x:v>
      </x:c>
      <x:c r="Y16" s="3" t="str">
        <x:f>IF(Master!Z438="","",Master!Z438)</x:f>
        <x:v>Not an importer; aims for Discord client/bot API compatibility</x:v>
      </x:c>
      <x:c r="Z16" s="3" t="str">
        <x:f>IF(Master!AA438="","",Master!AA438)</x:f>
        <x:v>No first-party Discord importer verified</x:v>
      </x:c>
      <x:c r="AA16" s="6" t="str">
        <x:f>IF(Master!AB438="","",Master!AB438)</x:f>
        <x:v>No</x:v>
      </x:c>
      <x:c r="AB16" s="3" t="str">
        <x:f>IF(Master!AC438="","",Master!AC438)</x:f>
        <x:v>Yes: built-in Discord importer</x:v>
      </x:c>
      <x:c r="AC16" s="3" t="str">
        <x:f>IF(Master!AD438="","",Master!AD438)</x:f>
        <x:v>No Discord importer verified</x:v>
      </x:c>
      <x:c r="AD16" s="3" t="str">
        <x:f>IF(Master!AE438="","",Master!AE438)</x:f>
        <x:v>No: design intentionally differs from Discord</x:v>
      </x:c>
      <x:c r="AE16" s="3" t="str">
        <x:f>IF(Master!AF438="","",Master!AF438)</x:f>
        <x:v>No importer verified</x:v>
      </x:c>
      <x:c r="AF16" s="8" t="str">
        <x:f>IF(Master!AG438="","",Master!AG438)</x:f>
        <x:v>No Discord importer; imports Slack/Mattermost/Rocket.Chat supported</x:v>
      </x:c>
    </x:row>
    <x:row r="17" ht="36" customHeight="1">
      <x:c r="A17" s="17" t="s">
        <x:v>109</x:v>
      </x:c>
      <x:c r="B17" s="3" t="str">
        <x:f>IF(Master!C10="","",Master!C10)</x:f>
        <x:v>Baseline/reference platform: N/A</x:v>
      </x:c>
      <x:c r="C17" s="3" t="str">
        <x:f>IF(Master!D10="","",Master!D10)</x:f>
        <x:v>Portable key identity + E2EE + no central host required</x:v>
      </x:c>
      <x:c r="D17" s="3" t="str">
        <x:f>IF(Master!E10="","",Master!E10)</x:f>
        <x:v>Self-host-only + cross-server E2EE messenger + high configurable screen share</x:v>
      </x:c>
      <x:c r="E17" s="3" t="str">
        <x:f>IF(Master!F10="","",Master!F10)</x:f>
        <x:v>Cross-platform LiveKit voice/chat/screen with Discord-like UX</x:v>
      </x:c>
      <x:c r="F17" s="3" t="str">
        <x:f>IF(Master!G10="","",Master!G10)</x:f>
        <x:v>Default E2EE private DMs + built-in community/events focus</x:v>
      </x:c>
      <x:c r="G17" s="3" t="str">
        <x:f>IF(Master!H10="","",Master!H10)</x:f>
        <x:v>Open source + self-hosting + Discord-like UX</x:v>
      </x:c>
      <x:c r="H17" s="3" t="str">
        <x:f>IF(Master!I10="","",Master!I10)</x:f>
        <x:v>Strong Discord migration tooling + self-hosting + voice focus</x:v>
      </x:c>
      <x:c r="I17" s="3" t="str">
        <x:f>IF(Master!J10="","",Master!J10)</x:f>
        <x:v>AGPL self-hosting + E2EE DMs + lightweight Tauri desktop + simple PostgreSQL deployment</x:v>
      </x:c>
      <x:c r="J17" s="3" t="str">
        <x:f>IF(Master!K10="","",Master!K10)</x:f>
        <x:v>Local-first E2EE + portable key identity + self-host relay</x:v>
      </x:c>
      <x:c r="K17" s="3" t="str">
        <x:f>IF(Master!L10="","",Master!L10)</x:f>
        <x:v>Federation that feels like email, optional MLS E2EE, self-hosting, custom CSS/theme support</x:v>
      </x:c>
      <x:c r="L17" s="3" t="str">
        <x:f>IF(Master!M10="","",Master!M10)</x:f>
        <x:v>No-email/phone identity + privacy focus + rich channel types</x:v>
      </x:c>
      <x:c r="M17" s="3" t="str">
        <x:f>IF(Master!N10="","",Master!N10)</x:f>
        <x:v>Discord-like API compatibility + federation/self-hosting direction</x:v>
      </x:c>
      <x:c r="N17" s="3" t="str">
        <x:f>IF(Master!O10="","",Master!O10)</x:f>
        <x:v>Open federated protocol, self-hosting, client choice, E2EE-capable rooms</x:v>
      </x:c>
      <x:c r="O17" s="3" t="str">
        <x:f>IF(Master!P10="","",Master!P10)</x:f>
        <x:v>Enterprise self-hosting/data sovereignty + mature admin tooling</x:v>
      </x:c>
      <x:c r="P17" s="3" t="str">
        <x:f>IF(Master!Q10="","",Master!Q10)</x:f>
        <x:v>Native high-performance clients + no-paywall media + built-in AI</x:v>
      </x:c>
      <x:c r="Q17" s="3" t="str">
        <x:f>IF(Master!R10="","",Master!R10)</x:f>
        <x:v>Mature low-latency self-hosted voice + positional audio</x:v>
      </x:c>
      <x:c r="R17" s="3" t="str">
        <x:f>IF(Master!S10="","",Master!S10)</x:f>
        <x:v>Open source, lightweight Discord-like community chat</x:v>
      </x:c>
      <x:c r="S17" s="3" t="str">
        <x:f>IF(Master!T10="","",Master!T10)</x:f>
        <x:v>Regional data placement + broad native client support</x:v>
      </x:c>
      <x:c r="T17" s="3" t="str">
        <x:f>IF(Master!U10="","",Master!U10)</x:f>
        <x:v>Browser screen share works in Brazil; AGPL/self-hostable; Portuguese-first</x:v>
      </x:c>
      <x:c r="U17" s="3" t="str">
        <x:f>IF(Master!V10="","",Master!V10)</x:f>
        <x:v>No email/phone/ID + EXIF stripping + no AI training + portal workspace</x:v>
      </x:c>
      <x:c r="V17" s="3" t="str">
        <x:f>IF(Master!W10="","",Master!W10)</x:f>
        <x:v>Self-hosting + enterprise collaboration + federation options</x:v>
      </x:c>
      <x:c r="W17" s="3" t="str">
        <x:f>IF(Master!X10="","",Master!X10)</x:f>
        <x:v>ATProto identity/data model + bidirectional Discord bridge + documentation/gardening features</x:v>
      </x:c>
      <x:c r="X17" s="3" t="str">
        <x:f>IF(Master!Y10="","",Master!Y10)</x:f>
        <x:v>Very Discord-like migration path + integrated hosted Apps/Bots</x:v>
      </x:c>
      <x:c r="Y17" s="3" t="str">
        <x:f>IF(Master!Z10="","",Master!Z10)</x:f>
        <x:v>Discord API compatibility + complete operator control</x:v>
      </x:c>
      <x:c r="Z17" s="3" t="str">
        <x:f>IF(Master!AA10="","",Master!AA10)</x:f>
        <x:v>FOSS + self-hosting with Discord-like UX</x:v>
      </x:c>
      <x:c r="AA17" s="6" t="str">
        <x:f>IF(Master!AB10="","",Master!AB10)</x:f>
        <x:v>Mature low-latency voice and self-hosted server control</x:v>
      </x:c>
      <x:c r="AB17" s="3" t="str">
        <x:f>IF(Master!AC10="","",Master!AC10)</x:f>
        <x:v>Fully open-source + self-host + importer + rich community features</x:v>
      </x:c>
      <x:c r="AC17" s="3" t="str">
        <x:f>IF(Master!AD10="","",Master!AD10)</x:f>
        <x:v>Open-source/self-host/federation direction</x:v>
      </x:c>
      <x:c r="AD17" s="3" t="str">
        <x:f>IF(Master!AE10="","",Master!AE10)</x:f>
        <x:v>Game-native lobbies with deep API integrations and built-in voice/video</x:v>
      </x:c>
      <x:c r="AE17" s="3" t="str">
        <x:f>IF(Master!AF10="","",Master!AF10)</x:f>
        <x:v>Self-hosted voice/chat/screen + spatial audio</x:v>
      </x:c>
      <x:c r="AF17" s="8" t="str">
        <x:f>IF(Master!AG10="","",Master!AG10)</x:f>
        <x:v>Exceptional topic-based organized text + open source/self-hosting</x:v>
      </x:c>
    </x:row>
    <x:row r="18" ht="36" customHeight="1">
      <x:c r="A18" s="17" t="s">
        <x:v>110</x:v>
      </x:c>
      <x:c r="B18" s="3" t="str">
        <x:f>IF(Master!C11="","",Master!C11)</x:f>
        <x:v>Text messages are not E2EE; no self-hosting/federation; centralized proprietary service</x:v>
      </x:c>
      <x:c r="C18" s="3" t="str">
        <x:f>IF(Master!D11="","",Master!D11)</x:f>
        <x:v>Young ecosystem; setup/relay/bot UX still maturing</x:v>
      </x:c>
      <x:c r="D18" s="3" t="str">
        <x:f>IF(Master!E11="","",Master!E11)</x:f>
      </x:c>
      <x:c r="E18" s="3" t="str">
        <x:f>IF(Master!F11="","",Master!F11)</x:f>
        <x:v>Centralized/closed source; privacy/crypto/audit details sparse</x:v>
      </x:c>
      <x:c r="F18" s="3" t="str">
        <x:f>IF(Master!G11="","",Master!G11)</x:f>
        <x:v>Alpha; proprietary today; no self-hosting/federation; cryptography still maturing</x:v>
      </x:c>
      <x:c r="G18" s="3" t="str">
        <x:f>IF(Master!H11="","",Master!H11)</x:f>
        <x:v>Public beta; no text E2EE yet; federation not yet available</x:v>
      </x:c>
      <x:c r="H18" s="3" t="str">
        <x:f>IF(Master!I11="","",Master!I11)</x:f>
        <x:v>Proprietary; federation/text E2EE not verified</x:v>
      </x:c>
      <x:c r="I18" s="3" t="str">
        <x:f>IF(Master!J11="","",Master!J11)</x:f>
        <x:v>Daily-driver polish is still in progress; mobile apps, discovery and bot API are next/in development</x:v>
      </x:c>
      <x:c r="J18" s="3" t="str">
        <x:f>IF(Master!K11="","",Master!K11)</x:f>
        <x:v>Very early/solo; no mature Discord migration or persistent voice-room ecosystem</x:v>
      </x:c>
      <x:c r="K18" s="3" t="str">
        <x:f>IF(Master!L11="","",Master!L11)</x:f>
        <x:v>Solo developer; developer reports brief backend downtime on some releases while zero-downtime work is in progress</x:v>
      </x:c>
      <x:c r="L18" s="3" t="str">
        <x:f>IF(Master!M11="","",Master!M11)</x:f>
        <x:v>Centralized/closed source; E2EE deployment/audits not mature</x:v>
      </x:c>
      <x:c r="M18" s="3" t="str">
        <x:f>IF(Master!N11="","",Master!N11)</x:f>
        <x:v>Early beta; mobile/export/federation details still evolving</x:v>
      </x:c>
      <x:c r="N18" s="3" t="str">
        <x:f>IF(Master!O11="","",Master!O11)</x:f>
        <x:v>UX/features vary substantially by client/homeserver; no single Matrix app</x:v>
      </x:c>
      <x:c r="O18" s="3" t="str">
        <x:f>IF(Master!P11="","",Master!P11)</x:f>
        <x:v>Not gaming/community-first; no native E2EE for server-stored messages</x:v>
      </x:c>
      <x:c r="P18" s="3" t="str">
        <x:f>IF(Master!Q11="","",Master!Q11)</x:f>
      </x:c>
      <x:c r="Q18" s="3" t="str">
        <x:f>IF(Master!R11="","",Master!R11)</x:f>
        <x:v>Voice-first, not a full Discord community/text replacement</x:v>
      </x:c>
      <x:c r="R18" s="3" t="str">
        <x:f>IF(Master!S11="","",Master!S11)</x:f>
        <x:v>No federation; self-hosting unsupported as a normal use case; limited media documentation</x:v>
      </x:c>
      <x:c r="S18" s="3" t="str">
        <x:f>IF(Master!T11="","",Master!T11)</x:f>
        <x:v>Centralized/proprietary model; text E2EE/self-hosting not verified</x:v>
      </x:c>
      <x:c r="T18" s="3" t="str">
        <x:f>IF(Master!U11="","",Master!U11)</x:f>
        <x:v>Young beta; no public bot API; mobile via TestFlight/APK; Discord import is layout-only; QoL still catching up</x:v>
      </x:c>
      <x:c r="U18" s="3" t="str">
        <x:f>IF(Master!V11="","",Master!V11)</x:f>
        <x:v>Closed source; Rift uses the published Signal protocol for E2EE rather than a separately published Rift protocol.</x:v>
      </x:c>
      <x:c r="V18" s="3" t="str">
        <x:f>IF(Master!W11="","",Master!W11)</x:f>
        <x:v>Media/federation/E2EE behavior is deployment/version dependent; less Discord-like voice UX</x:v>
      </x:c>
      <x:c r="W18" s="3" t="str">
        <x:f>IF(Master!X11="","",Master!X11)</x:f>
        <x:v>Early and text-focused; not yet a full Discord media replacement</x:v>
      </x:c>
      <x:c r="X18" s="3" t="str">
        <x:f>IF(Master!Y11="","",Master!Y11)</x:f>
        <x:v>Closed source, centralized, no text E2EE/self-hosting</x:v>
      </x:c>
      <x:c r="Y18" s="3" t="str">
        <x:f>IF(Master!Z11="","",Master!Z11)</x:f>
        <x:v>Alpha/WIP; separate instances do not federate; setup is technical</x:v>
      </x:c>
      <x:c r="Z18" s="3" t="str">
        <x:f>IF(Master!AA11="","",Master!AA11)</x:f>
        <x:v>No federation; text E2EE not verified/default; feature completeness still maturing</x:v>
      </x:c>
      <x:c r="AA18" s="6" t="str">
        <x:f>IF(Master!AB11="","",Master!AB11)</x:f>
        <x:v>Less Discord-like community/text ecosystem; TS6 is still beta</x:v>
      </x:c>
      <x:c r="AB18" s="3" t="str">
        <x:f>IF(Master!AC11="","",Master!AC11)</x:f>
        <x:v>Alpha; iOS/media/E2EE details incomplete</x:v>
      </x:c>
      <x:c r="AC18" s="3" t="str">
        <x:f>IF(Master!AD11="","",Master!AD11)</x:f>
        <x:v>Experimental; federation/E2EE/client source are still in progress</x:v>
      </x:c>
      <x:c r="AD18" s="3" t="str">
        <x:f>IF(Master!AE11="","",Master!AE11)</x:f>
        <x:v>Centralized/solo beta; no E2EE, self-hosting, federation or Discord migration</x:v>
      </x:c>
      <x:c r="AE18" s="3" t="str">
        <x:f>IF(Master!AF11="","",Master!AF11)</x:f>
        <x:v>Proprietary and non-federated; smaller ecosystem</x:v>
      </x:c>
      <x:c r="AF18" s="8" t="str">
        <x:f>IF(Master!AG11="","",Master!AG11)</x:f>
        <x:v>Voice/video depend on external providers; less gaming/community oriented</x:v>
      </x:c>
    </x:row>
    <x:row r="19" ht="23.100000381469727" customHeight="1">
      <x:c r="A19" s="17" t="s">
        <x:v>111</x:v>
      </x:c>
      <x:c r="B19" s="4" t="str">
        <x:f>IF(Master!C12="","",Master!C12)</x:f>
      </x:c>
      <x:c r="C19" s="4" t="str">
        <x:f>IF(Master!D12="","",Master!D12)</x:f>
      </x:c>
      <x:c r="D19" s="4" t="str">
        <x:f>IF(Master!E12="","",Master!E12)</x:f>
      </x:c>
      <x:c r="E19" s="4" t="str">
        <x:f>IF(Master!F12="","",Master!F12)</x:f>
      </x:c>
      <x:c r="F19" s="4" t="str">
        <x:f>IF(Master!G12="","",Master!G12)</x:f>
      </x:c>
      <x:c r="G19" s="4" t="str">
        <x:f>IF(Master!H12="","",Master!H12)</x:f>
      </x:c>
      <x:c r="H19" s="4" t="str">
        <x:f>IF(Master!I12="","",Master!I12)</x:f>
      </x:c>
      <x:c r="I19" s="4" t="str">
        <x:f>IF(Master!J12="","",Master!J12)</x:f>
      </x:c>
      <x:c r="J19" s="4" t="str">
        <x:f>IF(Master!K12="","",Master!K12)</x:f>
      </x:c>
      <x:c r="K19" s="4" t="str">
        <x:f>IF(Master!L12="","",Master!L12)</x:f>
        <x:v>Federated home-instance model with one account usable across other Kaede homes</x:v>
      </x:c>
      <x:c r="L19" s="4" t="str">
        <x:f>IF(Master!M12="","",Master!M12)</x:f>
      </x:c>
      <x:c r="M19" s="4" t="str">
        <x:f>IF(Master!N12="","",Master!N12)</x:f>
      </x:c>
      <x:c r="N19" s="4" t="str">
        <x:f>IF(Master!O12="","",Master!O12)</x:f>
      </x:c>
      <x:c r="O19" s="4" t="str">
        <x:f>IF(Master!P12="","",Master!P12)</x:f>
      </x:c>
      <x:c r="P19" s="4" t="str">
        <x:f>IF(Master!Q12="","",Master!Q12)</x:f>
      </x:c>
      <x:c r="Q19" s="4" t="str">
        <x:f>IF(Master!R12="","",Master!R12)</x:f>
      </x:c>
      <x:c r="R19" s="4" t="str">
        <x:f>IF(Master!S12="","",Master!S12)</x:f>
      </x:c>
      <x:c r="S19" s="4" t="str">
        <x:f>IF(Master!T12="","",Master!T12)</x:f>
      </x:c>
      <x:c r="T19" s="4" t="str">
        <x:f>IF(Master!U12="","",Master!U12)</x:f>
      </x:c>
      <x:c r="U19" s="4" t="str">
        <x:f>IF(Master!V12="","",Master!V12)</x:f>
      </x:c>
      <x:c r="V19" s="4" t="str">
        <x:f>IF(Master!W12="","",Master!W12)</x:f>
      </x:c>
      <x:c r="W19" s="4" t="str">
        <x:f>IF(Master!X12="","",Master!X12)</x:f>
      </x:c>
      <x:c r="X19" s="4" t="str">
        <x:f>IF(Master!Y12="","",Master!Y12)</x:f>
      </x:c>
      <x:c r="Y19" s="4" t="str">
        <x:f>IF(Master!Z12="","",Master!Z12)</x:f>
      </x:c>
      <x:c r="Z19" s="4" t="str">
        <x:f>IF(Master!AA12="","",Master!AA12)</x:f>
      </x:c>
      <x:c r="AA19" s="5" t="str">
        <x:f>IF(Master!AB12="","",Master!AB12)</x:f>
      </x:c>
      <x:c r="AB19" s="4" t="str">
        <x:f>IF(Master!AC12="","",Master!AC12)</x:f>
      </x:c>
      <x:c r="AC19" s="4" t="str">
        <x:f>IF(Master!AD12="","",Master!AD12)</x:f>
      </x:c>
      <x:c r="AD19" s="4" t="str">
        <x:f>IF(Master!AE12="","",Master!AE12)</x:f>
      </x:c>
      <x:c r="AE19" s="4" t="str">
        <x:f>IF(Master!AF12="","",Master!AF12)</x:f>
      </x:c>
      <x:c r="AF19" s="8" t="str">
        <x:f>IF(Master!AG12="","",Master!AG12)</x:f>
      </x:c>
    </x:row>
    <x:row r="20" ht="36" customHeight="1">
      <x:c r="A20" s="17" t="s">
        <x:v>112</x:v>
      </x:c>
      <x:c r="B20" s="3" t="str">
        <x:f>IF(Master!C319="","",Master!C319)</x:f>
        <x:v>Centralized proprietary communication service</x:v>
      </x:c>
      <x:c r="C20" s="3" t="str">
        <x:f>IF(Master!D319="","",Master!D319)</x:f>
        <x:v>Serverless/federated-style E2EE community client built on Nostr</x:v>
      </x:c>
      <x:c r="D20" s="3" t="str">
        <x:f>IF(Master!E319="","",Master!E319)</x:f>
        <x:v>Self-hosted-only decentralized chat software + key-based messenger</x:v>
      </x:c>
      <x:c r="E20" s="3" t="str">
        <x:f>IF(Master!F319="","",Master!F319)</x:f>
        <x:v>Centralized Discord-like voice/chat service</x:v>
      </x:c>
      <x:c r="F20" s="3" t="str">
        <x:f>IF(Master!G319="","",Master!G319)</x:f>
        <x:v>Centralized hosted community platform</x:v>
      </x:c>
      <x:c r="G20" s="3" t="str">
        <x:f>IF(Master!H319="","",Master!H319)</x:f>
        <x:v>Hosted + self-hostable Discord-like service</x:v>
      </x:c>
      <x:c r="H20" s="3" t="str">
        <x:f>IF(Master!I319="","",Master!I319)</x:f>
        <x:v>Hosted + self-hostable gaming community platform</x:v>
      </x:c>
      <x:c r="I20" s="3" t="str">
        <x:f>IF(Master!J319="","",Master!J319)</x:f>
        <x:v>Hosted + self-hostable open-source community/chat platform</x:v>
      </x:c>
      <x:c r="J20" s="3" t="str">
        <x:f>IF(Master!K319="","",Master!K319)</x:f>
        <x:v>Local-first distributed encrypted messenger/community app</x:v>
      </x:c>
      <x:c r="K20" s="3" t="str">
        <x:f>IF(Master!L319="","",Master!L319)</x:f>
        <x:v>Federated self-hosted chat application</x:v>
      </x:c>
      <x:c r="L20" s="3" t="str">
        <x:f>IF(Master!M319="","",Master!M319)</x:f>
        <x:v>Centralized privacy-focused community platform</x:v>
      </x:c>
      <x:c r="M20" s="3" t="str">
        <x:f>IF(Master!N319="","",Master!N319)</x:f>
        <x:v>Discord-like hosted/self-host/federation-oriented community platform</x:v>
      </x:c>
      <x:c r="N20" s="3" t="str">
        <x:f>IF(Master!O319="","",Master!O319)</x:f>
        <x:v>Open federated communication protocol/ecosystem</x:v>
      </x:c>
      <x:c r="O20" s="3" t="str">
        <x:f>IF(Master!P319="","",Master!P319)</x:f>
        <x:v>Enterprise collaboration application; cloud or self-host</x:v>
      </x:c>
      <x:c r="P20" s="3" t="str">
        <x:f>IF(Master!Q319="","",Master!Q319)</x:f>
        <x:v>Hosted all-in-one community/work platform</x:v>
      </x:c>
      <x:c r="Q20" s="3" t="str">
        <x:f>IF(Master!R319="","",Master!R319)</x:f>
        <x:v>Self-hosted low-latency voice protocol/application</x:v>
      </x:c>
      <x:c r="R20" s="3" t="str">
        <x:f>IF(Master!S319="","",Master!S319)</x:f>
        <x:v>Open-source centralized community chat application</x:v>
      </x:c>
      <x:c r="S20" s="3" t="str">
        <x:f>IF(Master!T319="","",Master!T319)</x:f>
        <x:v>Centralized distributed-region community platform</x:v>
      </x:c>
      <x:c r="T20" s="3" t="str">
        <x:f>IF(Master!U319="","",Master!U319)</x:f>
        <x:v>Centralized hosted service + self-hostable AGPL community chat</x:v>
      </x:c>
      <x:c r="U20" s="3" t="str">
        <x:f>IF(Master!V319="","",Master!V319)</x:f>
        <x:v>Centralized proprietary community/chat platform</x:v>
      </x:c>
      <x:c r="V20" s="3" t="str">
        <x:f>IF(Master!W319="","",Master!W319)</x:f>
        <x:v>Collaboration platform; cloud/self-host with optional federation</x:v>
      </x:c>
      <x:c r="W20" s="3" t="str">
        <x:f>IF(Master!X319="","",Master!X319)</x:f>
        <x:v>ATProto-based group chat/community app</x:v>
      </x:c>
      <x:c r="X20" s="3" t="str">
        <x:f>IF(Master!Y319="","",Master!Y319)</x:f>
        <x:v>Centralized proprietary community platform</x:v>
      </x:c>
      <x:c r="Y20" s="3" t="str">
        <x:f>IF(Master!Z319="","",Master!Z319)</x:f>
        <x:v>Self-hosted Discord-compatible service implementation</x:v>
      </x:c>
      <x:c r="Z20" s="3" t="str">
        <x:f>IF(Master!AA319="","",Master!AA319)</x:f>
        <x:v>Hosted + self-hostable Discord-like service</x:v>
      </x:c>
      <x:c r="AA20" s="6" t="str">
        <x:f>IF(Master!AB319="","",Master!AB319)</x:f>
        <x:v>Commercial self-hosted/hosted voice communication platform</x:v>
      </x:c>
      <x:c r="AB20" s="3" t="str">
        <x:f>IF(Master!AC319="","",Master!AC319)</x:f>
        <x:v>Open-source community platform with hosted + self-host nodes</x:v>
      </x:c>
      <x:c r="AC20" s="3" t="str">
        <x:f>IF(Master!AD319="","",Master!AD319)</x:f>
        <x:v>Discord-like platform moving from centralized to open-source/self-host/federated</x:v>
      </x:c>
      <x:c r="AD20" s="3" t="str">
        <x:f>IF(Master!AE319="","",Master!AE319)</x:f>
        <x:v>Centralized lobby-first gaming social platform</x:v>
      </x:c>
      <x:c r="AE20" s="3" t="str">
        <x:f>IF(Master!AF319="","",Master!AF319)</x:f>
        <x:v>Self-hosted voice/chat collaboration platform</x:v>
      </x:c>
      <x:c r="AF20" s="8" t="str">
        <x:f>IF(Master!AG319="","",Master!AG319)</x:f>
        <x:v>Hosted + self-hosted team chat application</x:v>
      </x:c>
    </x:row>
    <x:row r="21" ht="36" customHeight="1">
      <x:c r="A21" s="17" t="s">
        <x:v>113</x:v>
      </x:c>
      <x:c r="B21" s="3" t="str">
        <x:f>IF(Master!C320="","",Master!C320)</x:f>
        <x:v>Discord official web/desktop/mobile clients</x:v>
      </x:c>
      <x:c r="C21" s="3" t="str">
        <x:f>IF(Master!D320="","",Master!D320)</x:f>
        <x:v>Armada client</x:v>
      </x:c>
      <x:c r="D21" s="3" t="str">
        <x:f>IF(Master!E320="","",Master!E320)</x:f>
        <x:v>DCTS web/desktop/Android clients</x:v>
      </x:c>
      <x:c r="E21" s="3" t="str">
        <x:f>IF(Master!F320="","",Master!F320)</x:f>
        <x:v>Echon web/native clients</x:v>
      </x:c>
      <x:c r="F21" s="3" t="str">
        <x:f>IF(Master!G320="","",Master!G320)</x:f>
        <x:v>Fenrid web/PWA alpha</x:v>
      </x:c>
      <x:c r="G21" s="3" t="str">
        <x:f>IF(Master!H320="","",Master!H320)</x:f>
        <x:v>Fluxer Web/PWA, Electron desktop, Flutter mobile beta</x:v>
      </x:c>
      <x:c r="H21" s="3" t="str">
        <x:f>IF(Master!I320="","",Master!I320)</x:f>
        <x:v>GameVox native/web clients</x:v>
      </x:c>
      <x:c r="I21" s="3" t="str">
        <x:f>IF(Master!J320="","",Master!J320)</x:f>
        <x:v>Fermi is the current primary client</x:v>
      </x:c>
      <x:c r="J21" s="3" t="str">
        <x:f>IF(Master!K320="","",Master!K320)</x:f>
        <x:v>Hollow native client</x:v>
      </x:c>
      <x:c r="K21" s="3" t="str">
        <x:f>IF(Master!L320="","",Master!L320)</x:f>
        <x:v>Web (SvelteKit), Tauri desktop, Flutter mobile</x:v>
      </x:c>
      <x:c r="L21" s="3" t="str">
        <x:f>IF(Master!M320="","",Master!M320)</x:f>
        <x:v>Kloak web/client</x:v>
      </x:c>
      <x:c r="M21" s="3" t="str">
        <x:f>IF(Master!N320="","",Master!N320)</x:f>
        <x:v>Loqa web client</x:v>
      </x:c>
      <x:c r="N21" s="3" t="str">
        <x:f>IF(Master!O320="","",Master!O320)</x:f>
        <x:v>No single official client. Element/Element X are example clients, not Matrix itself.</x:v>
      </x:c>
      <x:c r="O21" s="3" t="str">
        <x:f>IF(Master!P320="","",Master!P320)</x:f>
        <x:v>Mattermost web/desktop/mobile</x:v>
      </x:c>
      <x:c r="P21" s="3" t="str">
        <x:f>IF(Master!Q320="","",Master!Q320)</x:f>
        <x:v>Mezon web/desktop/mobile</x:v>
      </x:c>
      <x:c r="Q21" s="3" t="str">
        <x:f>IF(Master!R320="","",Master!R320)</x:f>
        <x:v>Mumble desktop client</x:v>
      </x:c>
      <x:c r="R21" s="3" t="str">
        <x:f>IF(Master!S320="","",Master!S320)</x:f>
        <x:v>Nerimity Web/Desktop/Android</x:v>
      </x:c>
      <x:c r="S21" s="3" t="str">
        <x:f>IF(Master!T320="","",Master!T320)</x:f>
        <x:v>Osmium web/desktop/mobile</x:v>
      </x:c>
      <x:c r="T21" s="3" t="str">
        <x:f>IF(Master!U320="","",Master!U320)</x:f>
        <x:v>Web React/Vite; desktop Electron; iOS TestFlight; Android APK</x:v>
      </x:c>
      <x:c r="U21" s="3" t="str">
        <x:f>IF(Master!V320="","",Master!V320)</x:f>
        <x:v>Rift client/web/mobile</x:v>
      </x:c>
      <x:c r="V21" s="3" t="str">
        <x:f>IF(Master!W320="","",Master!W320)</x:f>
        <x:v>Rocket.Chat web/desktop/mobile</x:v>
      </x:c>
      <x:c r="W21" s="3" t="str">
        <x:f>IF(Master!X320="","",Master!X320)</x:f>
        <x:v>Roomy web app</x:v>
      </x:c>
      <x:c r="X21" s="3" t="str">
        <x:f>IF(Master!Y320="","",Master!Y320)</x:f>
        <x:v>Root desktop/mobile/web surfaces</x:v>
      </x:c>
      <x:c r="Y21" s="3" t="str">
        <x:f>IF(Master!Z320="","",Master!Z320)</x:f>
        <x:v>Spacebar-aware client(s); compatibility with Discord-style clients is a project goal</x:v>
      </x:c>
      <x:c r="Z21" s="3" t="str">
        <x:f>IF(Master!AA320="","",Master!AA320)</x:f>
        <x:v>Stoat Web/PWA, Desktop, Android; iOS project</x:v>
      </x:c>
      <x:c r="AA21" s="6" t="str">
        <x:f>IF(Master!AB320="","",Master!AB320)</x:f>
        <x:v>TeamSpeak official clients</x:v>
      </x:c>
      <x:c r="AB21" s="3" t="str">
        <x:f>IF(Master!AC320="","",Master!AC320)</x:f>
        <x:v>Valour web/Windows/Android</x:v>
      </x:c>
      <x:c r="AC21" s="3" t="str">
        <x:f>IF(Master!AD320="","",Master!AD320)</x:f>
        <x:v>Venta client</x:v>
      </x:c>
      <x:c r="AD21" s="3" t="str">
        <x:f>IF(Master!AE320="","",Master!AE320)</x:f>
        <x:v>Weered web/Tauri client</x:v>
      </x:c>
      <x:c r="AE21" s="3" t="str">
        <x:f>IF(Master!AF320="","",Master!AF320)</x:f>
        <x:v>Yapper browser/client</x:v>
      </x:c>
      <x:c r="AF21" s="8" t="str">
        <x:f>IF(Master!AG320="","",Master!AG320)</x:f>
        <x:v>Zulip web/desktop/mobile</x:v>
      </x:c>
    </x:row>
    <x:row r="22" ht="36" customHeight="1">
      <x:c r="A22" s="17" t="s">
        <x:v>114</x:v>
      </x:c>
      <x:c r="B22" s="3" t="str">
        <x:f>IF(Master!C322="","",Master!C322)</x:f>
        <x:v>No</x:v>
      </x:c>
      <x:c r="C22" s="3" t="str">
        <x:f>IF(Master!D322="","",Master!D322)</x:f>
        <x:v>Partial</x:v>
      </x:c>
      <x:c r="D22" s="3" t="str">
        <x:f>IF(Master!E322="","",Master!E322)</x:f>
        <x:v>Yes for messenger/home server identity</x:v>
      </x:c>
      <x:c r="E22" s="3" t="str">
        <x:f>IF(Master!F322="","",Master!F322)</x:f>
        <x:v>No</x:v>
      </x:c>
      <x:c r="F22" s="3" t="str">
        <x:f>IF(Master!G322="","",Master!G322)</x:f>
        <x:v>No</x:v>
      </x:c>
      <x:c r="G22" s="3" t="str">
        <x:f>IF(Master!H322="","",Master!H322)</x:f>
        <x:v>Limited</x:v>
      </x:c>
      <x:c r="H22" s="3" t="str">
        <x:f>IF(Master!I322="","",Master!I322)</x:f>
        <x:v>No</x:v>
      </x:c>
      <x:c r="I22" s="3" t="str">
        <x:f>IF(Master!J322="","",Master!J322)</x:f>
        <x:v>Yes in principle</x:v>
      </x:c>
      <x:c r="J22" s="3" t="str">
        <x:f>IF(Master!K322="","",Master!K322)</x:f>
        <x:v>Identity portable across relays</x:v>
      </x:c>
      <x:c r="K22" s="3" t="str">
        <x:f>IF(Master!L322="","",Master!L322)</x:f>
        <x:v>Possible through documented APIs/protocol; no established third-party client ecosystem yet</x:v>
      </x:c>
      <x:c r="L22" s="3" t="str">
        <x:f>IF(Master!M322="","",Master!M322)</x:f>
        <x:v>No</x:v>
      </x:c>
      <x:c r="M22" s="3" t="str">
        <x:f>IF(Master!N322="","",Master!N322)</x:f>
      </x:c>
      <x:c r="N22" s="3" t="str">
        <x:f>IF(Master!O322="","",Master!O322)</x:f>
        <x:v>Yes: core architectural feature</x:v>
      </x:c>
      <x:c r="O22" s="3" t="str">
        <x:f>IF(Master!P322="","",Master!P322)</x:f>
        <x:v>Limited</x:v>
      </x:c>
      <x:c r="P22" s="3" t="str">
        <x:f>IF(Master!Q322="","",Master!Q322)</x:f>
      </x:c>
      <x:c r="Q22" s="3" t="str">
        <x:f>IF(Master!R322="","",Master!R322)</x:f>
        <x:v>Yes within Mumble protocol compatibility</x:v>
      </x:c>
      <x:c r="R22" s="3" t="str">
        <x:f>IF(Master!S322="","",Master!S322)</x:f>
        <x:v>Limited</x:v>
      </x:c>
      <x:c r="S22" s="3" t="str">
        <x:f>IF(Master!T322="","",Master!T322)</x:f>
        <x:v>No</x:v>
      </x:c>
      <x:c r="T22" s="3" t="str">
        <x:f>IF(Master!U322="","",Master!U322)</x:f>
        <x:v>Limited</x:v>
      </x:c>
      <x:c r="U22" s="3" t="str">
        <x:f>IF(Master!V322="","",Master!V322)</x:f>
        <x:v>No</x:v>
      </x:c>
      <x:c r="V22" s="3" t="str">
        <x:f>IF(Master!W322="","",Master!W322)</x:f>
        <x:v>Limited</x:v>
      </x:c>
      <x:c r="W22" s="3" t="str">
        <x:f>IF(Master!X322="","",Master!X322)</x:f>
        <x:v>Partial</x:v>
      </x:c>
      <x:c r="X22" s="3" t="str">
        <x:f>IF(Master!Y322="","",Master!Y322)</x:f>
        <x:v>No</x:v>
      </x:c>
      <x:c r="Y22" s="3" t="str">
        <x:f>IF(Master!Z322="","",Master!Z322)</x:f>
        <x:v>Potentially, within compatibility limits</x:v>
      </x:c>
      <x:c r="Z22" s="3" t="str">
        <x:f>IF(Master!AA322="","",Master!AA322)</x:f>
        <x:v>Limited: official clients do not all support arbitrary self-hosted instances</x:v>
      </x:c>
      <x:c r="AA22" s="6" t="str">
        <x:f>IF(Master!AB322="","",Master!AB322)</x:f>
        <x:v>Limited</x:v>
      </x:c>
      <x:c r="AB22" s="3" t="str">
        <x:f>IF(Master!AC322="","",Master!AC322)</x:f>
        <x:v>Partial</x:v>
      </x:c>
      <x:c r="AC22" s="3" t="str">
        <x:f>IF(Master!AD322="","",Master!AD322)</x:f>
      </x:c>
      <x:c r="AD22" s="3" t="str">
        <x:f>IF(Master!AE322="","",Master!AE322)</x:f>
        <x:v>No</x:v>
      </x:c>
      <x:c r="AE22" s="3" t="str">
        <x:f>IF(Master!AF322="","",Master!AF322)</x:f>
        <x:v>No</x:v>
      </x:c>
      <x:c r="AF22" s="8" t="str">
        <x:f>IF(Master!AG322="","",Master!AG322)</x:f>
        <x:v>Limited</x:v>
      </x:c>
    </x:row>
    <x:row r="23" ht="36" customHeight="1">
      <x:c r="A23" s="17" t="s">
        <x:v>115</x:v>
      </x:c>
      <x:c r="B23" s="3" t="str">
        <x:f>IF(Master!C326="","",Master!C326)</x:f>
        <x:v>No</x:v>
      </x:c>
      <x:c r="C23" s="3" t="str">
        <x:f>IF(Master!D326="","",Master!D326)</x:f>
        <x:v>Yes: relays/self-host</x:v>
      </x:c>
      <x:c r="D23" s="3" t="str">
        <x:f>IF(Master!E326="","",Master!E326)</x:f>
        <x:v>Yes</x:v>
      </x:c>
      <x:c r="E23" s="3" t="str">
        <x:f>IF(Master!F326="","",Master!F326)</x:f>
        <x:v>No</x:v>
      </x:c>
      <x:c r="F23" s="3" t="str">
        <x:f>IF(Master!G326="","",Master!G326)</x:f>
        <x:v>No currently</x:v>
      </x:c>
      <x:c r="G23" s="3" t="str">
        <x:f>IF(Master!H326="","",Master!H326)</x:f>
        <x:v>Yes</x:v>
      </x:c>
      <x:c r="H23" s="3" t="str">
        <x:f>IF(Master!I326="","",Master!I326)</x:f>
        <x:v>Yes</x:v>
      </x:c>
      <x:c r="I23" s="3" t="str">
        <x:f>IF(Master!J326="","",Master!J326)</x:f>
        <x:v>Yes</x:v>
      </x:c>
      <x:c r="J23" s="3" t="str">
        <x:f>IF(Master!K326="","",Master!K326)</x:f>
        <x:v>Yes</x:v>
      </x:c>
      <x:c r="K23" s="3" t="str">
        <x:f>IF(Master!L326="","",Master!L326)</x:f>
        <x:v>Yes</x:v>
      </x:c>
      <x:c r="L23" s="3" t="str">
        <x:f>IF(Master!M326="","",Master!M326)</x:f>
        <x:v>No</x:v>
      </x:c>
      <x:c r="M23" s="3" t="str">
        <x:f>IF(Master!N326="","",Master!N326)</x:f>
        <x:v>Yes</x:v>
      </x:c>
      <x:c r="N23" s="3" t="str">
        <x:f>IF(Master!O326="","",Master!O326)</x:f>
        <x:v>Yes</x:v>
      </x:c>
      <x:c r="O23" s="3" t="str">
        <x:f>IF(Master!P326="","",Master!P326)</x:f>
        <x:v>Yes</x:v>
      </x:c>
      <x:c r="P23" s="3" t="str">
        <x:f>IF(Master!Q326="","",Master!Q326)</x:f>
      </x:c>
      <x:c r="Q23" s="3" t="str">
        <x:f>IF(Master!R326="","",Master!R326)</x:f>
        <x:v>Yes</x:v>
      </x:c>
      <x:c r="R23" s="3" t="str">
        <x:f>IF(Master!S326="","",Master!S326)</x:f>
        <x:v>Technically possible but explicitly not intended/supported</x:v>
      </x:c>
      <x:c r="S23" s="3" t="str">
        <x:f>IF(Master!T326="","",Master!T326)</x:f>
        <x:v>No</x:v>
      </x:c>
      <x:c r="T23" s="3" t="str">
        <x:f>IF(Master!U326="","",Master!U326)</x:f>
        <x:v>Yes: AGPL-3.0; documentation in repository</x:v>
      </x:c>
      <x:c r="U23" s="3" t="str">
        <x:f>IF(Master!V326="","",Master!V326)</x:f>
        <x:v>No</x:v>
      </x:c>
      <x:c r="V23" s="3" t="str">
        <x:f>IF(Master!W326="","",Master!W326)</x:f>
        <x:v>Yes</x:v>
      </x:c>
      <x:c r="W23" s="3" t="str">
        <x:f>IF(Master!X326="","",Master!X326)</x:f>
        <x:v>Partially via ATProto/PDS model</x:v>
      </x:c>
      <x:c r="X23" s="3" t="str">
        <x:f>IF(Master!Y326="","",Master!Y326)</x:f>
        <x:v>No</x:v>
      </x:c>
      <x:c r="Y23" s="3" t="str">
        <x:f>IF(Master!Z326="","",Master!Z326)</x:f>
        <x:v>Yes</x:v>
      </x:c>
      <x:c r="Z23" s="3" t="str">
        <x:f>IF(Master!AA326="","",Master!AA326)</x:f>
        <x:v>Yes</x:v>
      </x:c>
      <x:c r="AA23" s="6" t="str">
        <x:f>IF(Master!AB326="","",Master!AB326)</x:f>
        <x:v>Yes</x:v>
      </x:c>
      <x:c r="AB23" s="3" t="str">
        <x:f>IF(Master!AC326="","",Master!AC326)</x:f>
        <x:v>Yes</x:v>
      </x:c>
      <x:c r="AC23" s="3" t="str">
        <x:f>IF(Master!AD326="","",Master!AD326)</x:f>
        <x:v>In development</x:v>
      </x:c>
      <x:c r="AD23" s="3" t="str">
        <x:f>IF(Master!AE326="","",Master!AE326)</x:f>
        <x:v>No</x:v>
      </x:c>
      <x:c r="AE23" s="3" t="str">
        <x:f>IF(Master!AF326="","",Master!AF326)</x:f>
        <x:v>Yes</x:v>
      </x:c>
      <x:c r="AF23" s="8" t="str">
        <x:f>IF(Master!AG326="","",Master!AG326)</x:f>
        <x:v>Yes</x:v>
      </x:c>
    </x:row>
    <x:row r="24" ht="36" customHeight="1">
      <x:c r="A24" s="17" t="s">
        <x:v>116</x:v>
      </x:c>
      <x:c r="B24" s="3" t="str">
        <x:f>IF(Master!C328="","",Master!C328)</x:f>
        <x:v>No</x:v>
      </x:c>
      <x:c r="C24" s="3" t="str">
        <x:f>IF(Master!D328="","",Master!D328)</x:f>
        <x:v>Nostr relay interoperability</x:v>
      </x:c>
      <x:c r="D24" s="3" t="str">
        <x:f>IF(Master!E328="","",Master!E328)</x:f>
        <x:v>Yes for messenger/server communication features; full federation evolving</x:v>
      </x:c>
      <x:c r="E24" s="3" t="str">
        <x:f>IF(Master!F328="","",Master!F328)</x:f>
        <x:v>No</x:v>
      </x:c>
      <x:c r="F24" s="3" t="str">
        <x:f>IF(Master!G328="","",Master!G328)</x:f>
        <x:v>No</x:v>
      </x:c>
      <x:c r="G24" s="3" t="str">
        <x:f>IF(Master!H328="","",Master!H328)</x:f>
        <x:v>Not yet: on roadmap</x:v>
      </x:c>
      <x:c r="H24" s="3" t="str">
        <x:f>IF(Master!I328="","",Master!I328)</x:f>
        <x:v>No federation verified</x:v>
      </x:c>
      <x:c r="I24" s="3" t="str">
        <x:f>IF(Master!J328="","",Master!J328)</x:f>
        <x:v>Federation planned</x:v>
      </x:c>
      <x:c r="J24" s="3" t="str">
        <x:f>IF(Master!K328="","",Master!K328)</x:f>
        <x:v>Relay choice but not Matrix-style federated server state</x:v>
      </x:c>
      <x:c r="K24" s="3" t="str">
        <x:f>IF(Master!L328="","",Master!L328)</x:f>
        <x:v>Yes: kaede-fed/1</x:v>
      </x:c>
      <x:c r="L24" s="3" t="str">
        <x:f>IF(Master!M328="","",Master!M328)</x:f>
        <x:v>No</x:v>
      </x:c>
      <x:c r="M24" s="3" t="str">
        <x:f>IF(Master!N328="","",Master!N328)</x:f>
        <x:v>Federation advertised</x:v>
      </x:c>
      <x:c r="N24" s="3" t="str">
        <x:f>IF(Master!O328="","",Master!O328)</x:f>
        <x:v>Yes: core feature</x:v>
      </x:c>
      <x:c r="O24" s="3" t="str">
        <x:f>IF(Master!P328="","",Master!P328)</x:f>
        <x:v>No general federation</x:v>
      </x:c>
      <x:c r="P24" s="3" t="str">
        <x:f>IF(Master!Q328="","",Master!Q328)</x:f>
        <x:v>No federation verified</x:v>
      </x:c>
      <x:c r="Q24" s="3" t="str">
        <x:f>IF(Master!R328="","",Master!R328)</x:f>
        <x:v>No</x:v>
      </x:c>
      <x:c r="R24" s="3" t="str">
        <x:f>IF(Master!S328="","",Master!S328)</x:f>
        <x:v>No</x:v>
      </x:c>
      <x:c r="S24" s="3" t="str">
        <x:f>IF(Master!T328="","",Master!T328)</x:f>
        <x:v>No</x:v>
      </x:c>
      <x:c r="T24" s="3" t="str">
        <x:f>IF(Master!U328="","",Master!U328)</x:f>
        <x:v>No federation</x:v>
      </x:c>
      <x:c r="U24" s="3" t="str">
        <x:f>IF(Master!V328="","",Master!V328)</x:f>
        <x:v>No</x:v>
      </x:c>
      <x:c r="V24" s="3" t="str">
        <x:f>IF(Master!W328="","",Master!W328)</x:f>
        <x:v>Yes: Matrix-based federation feature set, with limitations</x:v>
      </x:c>
      <x:c r="W24" s="3" t="str">
        <x:f>IF(Master!X328="","",Master!X328)</x:f>
        <x:v>ATProto federation ecosystem</x:v>
      </x:c>
      <x:c r="X24" s="3" t="str">
        <x:f>IF(Master!Y328="","",Master!Y328)</x:f>
        <x:v>No</x:v>
      </x:c>
      <x:c r="Y24" s="3" t="str">
        <x:f>IF(Master!Z328="","",Master!Z328)</x:f>
        <x:v>No</x:v>
      </x:c>
      <x:c r="Z24" s="3" t="str">
        <x:f>IF(Master!AA328="","",Master!AA328)</x:f>
        <x:v>No</x:v>
      </x:c>
      <x:c r="AA24" s="6" t="str">
        <x:f>IF(Master!AB328="","",Master!AB328)</x:f>
        <x:v>No</x:v>
      </x:c>
      <x:c r="AB24" s="3" t="str">
        <x:f>IF(Master!AC328="","",Master!AC328)</x:f>
        <x:v>Node/federation model for migrating communities; exact cross-instance federation scope evolving</x:v>
      </x:c>
      <x:c r="AC24" s="3" t="str">
        <x:f>IF(Master!AD328="","",Master!AD328)</x:f>
        <x:v>Planned/in development</x:v>
      </x:c>
      <x:c r="AD24" s="3" t="str">
        <x:f>IF(Master!AE328="","",Master!AE328)</x:f>
        <x:v>No</x:v>
      </x:c>
      <x:c r="AE24" s="3" t="str">
        <x:f>IF(Master!AF328="","",Master!AF328)</x:f>
        <x:v>No</x:v>
      </x:c>
      <x:c r="AF24" s="8" t="str">
        <x:f>IF(Master!AG328="","",Master!AG328)</x:f>
        <x:v>No</x:v>
      </x:c>
    </x:row>
    <x:row r="25" ht="36" customHeight="1">
      <x:c r="A25" s="17" t="s">
        <x:v>117</x:v>
      </x:c>
      <x:c r="B25" s="3" t="str">
        <x:f>IF(Master!C331="","",Master!C331)</x:f>
        <x:v>Proprietary public developer APIs, not an open protocol</x:v>
      </x:c>
      <x:c r="C25" s="3" t="str">
        <x:f>IF(Master!D331="","",Master!D331)</x:f>
        <x:v>Nostr + Concord/NIP-29</x:v>
      </x:c>
      <x:c r="D25" s="3" t="str">
        <x:f>IF(Master!E331="","",Master!E331)</x:f>
        <x:v>Custom protocol</x:v>
      </x:c>
      <x:c r="E25" s="3" t="str">
        <x:f>IF(Master!F331="","",Master!F331)</x:f>
        <x:v>Proprietary</x:v>
      </x:c>
      <x:c r="F25" s="3" t="str">
        <x:f>IF(Master!G331="","",Master!G331)</x:f>
        <x:v>No open interoperability standard</x:v>
      </x:c>
      <x:c r="G25" s="3" t="str">
        <x:f>IF(Master!H331="","",Master!H331)</x:f>
        <x:v>Public API/Gateway inspired by Discord; not a federation standard</x:v>
      </x:c>
      <x:c r="H25" s="3" t="str">
        <x:f>IF(Master!I331="","",Master!I331)</x:f>
        <x:v>Proprietary API/service</x:v>
      </x:c>
      <x:c r="I25" s="3" t="str">
        <x:f>IF(Master!J331="","",Master!J331)</x:f>
        <x:v>Discord-compatible API</x:v>
      </x:c>
      <x:c r="J25" s="3" t="str">
        <x:f>IF(Master!K331="","",Master!K331)</x:f>
        <x:v>Custom open protocol/code</x:v>
      </x:c>
      <x:c r="K25" s="3" t="str">
        <x:f>IF(Master!L331="","",Master!L331)</x:f>
        <x:v>Public project protocol: kaede-fed/1</x:v>
      </x:c>
      <x:c r="L25" s="3" t="str">
        <x:f>IF(Master!M331="","",Master!M331)</x:f>
        <x:v>Proprietary</x:v>
      </x:c>
      <x:c r="M25" s="3" t="str">
        <x:f>IF(Master!N331="","",Master!N331)</x:f>
        <x:v>Discord-compatible API + federation work</x:v>
      </x:c>
      <x:c r="N25" s="3" t="str">
        <x:f>IF(Master!O331="","",Master!O331)</x:f>
        <x:v>Open Matrix specification: Client-Server + Server-Server/Federation APIs</x:v>
      </x:c>
      <x:c r="O25" s="3" t="str">
        <x:f>IF(Master!P331="","",Master!P331)</x:f>
        <x:v>Open APIs, not a general federation standard</x:v>
      </x:c>
      <x:c r="P25" s="3" t="str">
        <x:f>IF(Master!Q331="","",Master!Q331)</x:f>
        <x:v>Custom APIs</x:v>
      </x:c>
      <x:c r="Q25" s="3" t="str">
        <x:f>IF(Master!R331="","",Master!R331)</x:f>
        <x:v>Open Mumble protocol/source</x:v>
      </x:c>
      <x:c r="R25" s="3" t="str">
        <x:f>IF(Master!S331="","",Master!S331)</x:f>
        <x:v>Public app/API code, not a federation standard</x:v>
      </x:c>
      <x:c r="S25" s="3" t="str">
        <x:f>IF(Master!T331="","",Master!T331)</x:f>
        <x:v>Proprietary service APIs</x:v>
      </x:c>
      <x:c r="T25" s="3" t="str">
        <x:f>IF(Master!U331="","",Master!U331)</x:f>
        <x:v>Session-only application API; Discord-compatible incoming webhooks; no public bot/third-party API</x:v>
      </x:c>
      <x:c r="U25" s="3" t="str">
        <x:f>IF(Master!V331="","",Master!V331)</x:f>
        <x:v>Proprietary</x:v>
      </x:c>
      <x:c r="V25" s="3" t="str">
        <x:f>IF(Master!W331="","",Master!W331)</x:f>
        <x:v>REST/realtime APIs + federation components</x:v>
      </x:c>
      <x:c r="W25" s="3" t="str">
        <x:f>IF(Master!X331="","",Master!X331)</x:f>
        <x:v>AT Protocol</x:v>
      </x:c>
      <x:c r="X25" s="3" t="str">
        <x:f>IF(Master!Y331="","",Master!Y331)</x:f>
        <x:v>Proprietary Root APIs/SDK</x:v>
      </x:c>
      <x:c r="Y25" s="3" t="str">
        <x:f>IF(Master!Z331="","",Master!Z331)</x:f>
        <x:v>Discord-compatible REST/Gateway reimplementation</x:v>
      </x:c>
      <x:c r="Z25" s="3" t="str">
        <x:f>IF(Master!AA331="","",Master!AA331)</x:f>
        <x:v>Public REST/WebSocket API, but not a federation standard</x:v>
      </x:c>
      <x:c r="AA25" s="6" t="str">
        <x:f>IF(Master!AB331="","",Master!AB331)</x:f>
        <x:v>Proprietary protocol/API</x:v>
      </x:c>
      <x:c r="AB25" s="3" t="str">
        <x:f>IF(Master!AC331="","",Master!AC331)</x:f>
        <x:v>Valour API/node protocol</x:v>
      </x:c>
      <x:c r="AC25" s="3" t="str">
        <x:f>IF(Master!AD331="","",Master!AD331)</x:f>
        <x:v>Custom open-source federation protocol</x:v>
      </x:c>
      <x:c r="AD25" s="3" t="str">
        <x:f>IF(Master!AE331="","",Master!AE331)</x:f>
        <x:v>Proprietary/application API</x:v>
      </x:c>
      <x:c r="AE25" s="3" t="str">
        <x:f>IF(Master!AF331="","",Master!AF331)</x:f>
      </x:c>
      <x:c r="AF25" s="8" t="str">
        <x:f>IF(Master!AG331="","",Master!AG331)</x:f>
        <x:v>Open REST/realtime APIs</x:v>
      </x:c>
    </x:row>
    <x:row r="26" ht="36" customHeight="1">
      <x:c r="A26" s="17" t="s">
        <x:v>118</x:v>
      </x:c>
      <x:c r="B26" s="3" t="str">
        <x:f>IF(Master!C333="","",Master!C333)</x:f>
        <x:v>Closed-source core service/client</x:v>
      </x:c>
      <x:c r="C26" s="3" t="str">
        <x:f>IF(Master!D333="","",Master!D333)</x:f>
        <x:v>Open source</x:v>
      </x:c>
      <x:c r="D26" s="3" t="str">
        <x:f>IF(Master!E333="","",Master!E333)</x:f>
        <x:v>AGPL-3.0 open source</x:v>
      </x:c>
      <x:c r="E26" s="3" t="str">
        <x:f>IF(Master!F333="","",Master!F333)</x:f>
        <x:v>Closed source currently</x:v>
      </x:c>
      <x:c r="F26" s="3" t="str">
        <x:f>IF(Master!G333="","",Master!G333)</x:f>
        <x:v>Closed source during alpha; full source release planned</x:v>
      </x:c>
      <x:c r="G26" s="3" t="str">
        <x:f>IF(Master!H333="","",Master!H333)</x:f>
        <x:v>AGPL-3.0 open-source stack</x:v>
      </x:c>
      <x:c r="H26" s="3" t="str">
        <x:f>IF(Master!I333="","",Master!I333)</x:f>
        <x:v>Closed source</x:v>
      </x:c>
      <x:c r="I26" s="3" t="str">
        <x:f>IF(Master!J333="","",Master!J333)</x:f>
        <x:v>Open source</x:v>
      </x:c>
      <x:c r="J26" s="3" t="str">
        <x:f>IF(Master!K333="","",Master!K333)</x:f>
        <x:v>Open source</x:v>
      </x:c>
      <x:c r="K26" s="3" t="str">
        <x:f>IF(Master!L333="","",Master!L333)</x:f>
        <x:v>MIT original code</x:v>
      </x:c>
      <x:c r="L26" s="3" t="str">
        <x:f>IF(Master!M333="","",Master!M333)</x:f>
        <x:v>Closed source</x:v>
      </x:c>
      <x:c r="M26" s="3" t="str">
        <x:f>IF(Master!N333="","",Master!N333)</x:f>
      </x:c>
      <x:c r="N26" s="3" t="str">
        <x:f>IF(Master!O333="","",Master!O333)</x:f>
        <x:v>Protocol/spec open; implementations vary; many are FOSS</x:v>
      </x:c>
      <x:c r="O26" s="3" t="str">
        <x:f>IF(Master!P333="","",Master!P333)</x:f>
        <x:v>Open-source/community code plus commercial editions</x:v>
      </x:c>
      <x:c r="P26" s="3" t="str">
        <x:f>IF(Master!Q333="","",Master!Q333)</x:f>
        <x:v>Open-source repository</x:v>
      </x:c>
      <x:c r="Q26" s="3" t="str">
        <x:f>IF(Master!R333="","",Master!R333)</x:f>
        <x:v>BSD-style open source</x:v>
      </x:c>
      <x:c r="R26" s="3" t="str">
        <x:f>IF(Master!S333="","",Master!S333)</x:f>
        <x:v>Open-source client/server</x:v>
      </x:c>
      <x:c r="S26" s="3" t="str">
        <x:f>IF(Master!T333="","",Master!T333)</x:f>
        <x:v>Mixed/partial open source</x:v>
      </x:c>
      <x:c r="T26" s="3" t="str">
        <x:f>IF(Master!U333="","",Master!U333)</x:f>
        <x:v>AGPL-3.0</x:v>
      </x:c>
      <x:c r="U26" s="3" t="str">
        <x:f>IF(Master!V333="","",Master!V333)</x:f>
        <x:v>Closed source</x:v>
      </x:c>
      <x:c r="V26" s="3" t="str">
        <x:f>IF(Master!W333="","",Master!W333)</x:f>
        <x:v>MIT/open-source core + enterprise portions</x:v>
      </x:c>
      <x:c r="W26" s="3" t="str">
        <x:f>IF(Master!X333="","",Master!X333)</x:f>
        <x:v>MPL-2.0 open source</x:v>
      </x:c>
      <x:c r="X26" s="3" t="str">
        <x:f>IF(Master!Y333="","",Master!Y333)</x:f>
        <x:v>Closed-source core platform; developer SDK/API public</x:v>
      </x:c>
      <x:c r="Y26" s="3" t="str">
        <x:f>IF(Master!Z333="","",Master!Z333)</x:f>
        <x:v>FOSS / AGPL-3.0 project</x:v>
      </x:c>
      <x:c r="Z26" s="3" t="str">
        <x:f>IF(Master!AA333="","",Master!AA333)</x:f>
        <x:v>Backend/web/self-host stack largely FOSS (AGPL-3.0; components vary)</x:v>
      </x:c>
      <x:c r="AA26" s="6" t="str">
        <x:f>IF(Master!AB333="","",Master!AB333)</x:f>
        <x:v>Proprietary core</x:v>
      </x:c>
      <x:c r="AB26" s="3" t="str">
        <x:f>IF(Master!AC333="","",Master!AC333)</x:f>
        <x:v>AGPL-3.0 client/server</x:v>
      </x:c>
      <x:c r="AC26" s="3" t="str">
        <x:f>IF(Master!AD333="","",Master!AD333)</x:f>
        <x:v>Backend open; client planned</x:v>
      </x:c>
      <x:c r="AD26" s="3" t="str">
        <x:f>IF(Master!AE333="","",Master!AE333)</x:f>
        <x:v>Source-available</x:v>
      </x:c>
      <x:c r="AE26" s="3" t="str">
        <x:f>IF(Master!AF333="","",Master!AF333)</x:f>
      </x:c>
      <x:c r="AF26" s="8" t="str">
        <x:f>IF(Master!AG333="","",Master!AG333)</x:f>
        <x:v>Apache-2.0 open source</x:v>
      </x:c>
    </x:row>
    <x:row r="27" ht="36" customHeight="1">
      <x:c r="A27" s="17" t="s">
        <x:v>119</x:v>
      </x:c>
      <x:c r="B27" s="3" t="str">
        <x:f>IF(Master!C335="","",Master!C335)</x:f>
        <x:v>One vendor controls the service, accounts, official clients, and server backend.</x:v>
      </x:c>
      <x:c r="C27" s="3" t="str">
        <x:f>IF(Master!D335="","",Master!D335)</x:f>
        <x:v>Armada separates identity/content from a single platform host: keys are the account and relays are replaceable transport.</x:v>
      </x:c>
      <x:c r="D27" s="3" t="str">
        <x:f>IF(Master!E335="","",Master!E335)</x:f>
        <x:v>DCTS combines island-like community servers with a separate cross-server encrypted messenger.</x:v>
      </x:c>
      <x:c r="E27" s="3" t="str">
        <x:f>IF(Master!F335="","",Master!F335)</x:f>
        <x:v>Familiar Discord-style UX on a centralized service.</x:v>
      </x:c>
      <x:c r="F27" s="3" t="str">
        <x:f>IF(Master!G335="","",Master!G335)</x:f>
        <x:v>Privacy features are product-level, but it is currently a centralized service rather than a federated protocol.</x:v>
      </x:c>
      <x:c r="G27" s="3" t="str">
        <x:f>IF(Master!H335="","",Master!H335)</x:f>
        <x:v>Self-hosting exists now; federation is a separate roadmap item and should not be assumed.</x:v>
      </x:c>
      <x:c r="H27" s="3" t="str">
        <x:f>IF(Master!I335="","",Master!I335)</x:f>
        <x:v>Self-hosting exists, but instances are not documented as one federated network.</x:v>
      </x:c>
      <x:c r="I27" s="3" t="str">
        <x:f>IF(Master!J335="","",Master!J335)</x:f>
        <x:v>Harmony is the platform/API; Fermi is a client. This mirrors the Matrix/Element distinction conceptually, though Harmony is not Matrix.</x:v>
      </x:c>
      <x:c r="J27" s="3" t="str">
        <x:f>IF(Master!K335="","",Master!K335)</x:f>
        <x:v>There is no central account database: the user's keypair is the identity and message history lives locally.</x:v>
      </x:c>
      <x:c r="K27" s="3" t="str">
        <x:f>IF(Master!L335="","",Master!L335)</x:f>
        <x:v>Guild/conversation authority stays on its home instance; other homes replicate only permitted data</x:v>
      </x:c>
      <x:c r="L27" s="3" t="str">
        <x:f>IF(Master!M335="","",Master!M335)</x:f>
        <x:v>Privacy-minimal account design is distinct from decentralization/self-hosting.</x:v>
      </x:c>
      <x:c r="M27" s="3" t="str">
        <x:f>IF(Master!N335="","",Master!N335)</x:f>
        <x:v>Unlike a purely centralized clone, Loqa explicitly targets federation/self-hosting, but the architecture is still evolving.</x:v>
      </x:c>
      <x:c r="N27" s="3" t="str">
        <x:f>IF(Master!O335="","",Master!O335)</x:f>
        <x:v>Element is a Matrix client/vendor product. Matrix itself is the protocol and federated ecosystem.</x:v>
      </x:c>
      <x:c r="O27" s="3" t="str">
        <x:f>IF(Master!P335="","",Master!P335)</x:f>
        <x:v>Self-hosting gives data control, but separate Mattermost deployments do not form one interoperable federation.</x:v>
      </x:c>
      <x:c r="P27" s="3" t="str">
        <x:f>IF(Master!Q335="","",Master!Q335)</x:f>
        <x:v>Open source code does not by itself make Mezon a federated protocol like Matrix.</x:v>
      </x:c>
      <x:c r="Q27" s="3" t="str">
        <x:f>IF(Master!R335="","",Master!R335)</x:f>
        <x:v>A voice-first client/server system, not a Discord-style social platform.</x:v>
      </x:c>
      <x:c r="R27" s="3" t="str">
        <x:f>IF(Master!S335="","",Master!S335)</x:f>
        <x:v>Open source does not imply federation. The official project discourages self-hosting as a normal deployment model.</x:v>
      </x:c>
      <x:c r="S27" s="3" t="str">
        <x:f>IF(Master!T335="","",Master!T335)</x:f>
        <x:v>Regional distribution is not federation or self-hosting.</x:v>
      </x:c>
      <x:c r="T27" s="3" t="str">
        <x:f>IF(Master!U335="","",Master!U335)</x:f>
        <x:v>Self-hosting provides ownership, but instances are not one federated network.</x:v>
      </x:c>
      <x:c r="U27" s="3" t="str">
        <x:f>IF(Master!V335="","",Master!V335)</x:f>
        <x:v>Privacy policy choices (no email/phone/ID, EXIF stripping, no AI training) operate within a centralized service model.</x:v>
      </x:c>
      <x:c r="V27" s="3" t="str">
        <x:f>IF(Master!W335="","",Master!W335)</x:f>
        <x:v>Federation exists, but its feature set is narrower than local rooms and differs from Matrix-as-a-platform.</x:v>
      </x:c>
      <x:c r="W27" s="3" t="str">
        <x:f>IF(Master!X335="","",Master!X335)</x:f>
        <x:v>Roomy is an ATProto application, not a generic centralized Discord clone.</x:v>
      </x:c>
      <x:c r="X27" s="3" t="str">
        <x:f>IF(Master!Y335="","",Master!Y335)</x:f>
        <x:v>Apps/Bots are hosted inside Root; they extend Root but do not make it self-hosted/federated.</x:v>
      </x:c>
      <x:c r="Y27" s="3" t="str">
        <x:f>IF(Master!Z335="","",Master!Z335)</x:f>
        <x:v>Spacebar reproduces Discord's client-server API model; it is not a federated network.</x:v>
      </x:c>
      <x:c r="Z27" s="3" t="str">
        <x:f>IF(Master!AA335="","",Master!AA335)</x:f>
        <x:v>Self-hostable does not mean federated. Separate Stoat instances do not automatically interoperate.</x:v>
      </x:c>
      <x:c r="AA27" s="6" t="str">
        <x:f>IF(Master!AB335="","",Master!AB335)</x:f>
        <x:v>Server ownership can be independent, but TeamSpeak servers do not federate into one network.</x:v>
      </x:c>
      <x:c r="AB27" s="3" t="str">
        <x:f>IF(Master!AC335="","",Master!AC335)</x:f>
        <x:v>Valour is one open-source platform/client-server stack, not a general protocol ecosystem like Matrix.</x:v>
      </x:c>
      <x:c r="AC27" s="3" t="str">
        <x:f>IF(Master!AD335="","",Master!AD335)</x:f>
        <x:v>Current and planned architecture differ; mark federation/self-hosting as in progress, not complete.</x:v>
      </x:c>
      <x:c r="AD27" s="3" t="str">
        <x:f>IF(Master!AE335="","",Master!AE335)</x:f>
        <x:v>Weered intentionally uses game lobbies/rooms rather than cloning Discord's server/channel information architecture.</x:v>
      </x:c>
      <x:c r="AE27" s="3" t="str">
        <x:f>IF(Master!AF335="","",Master!AF335)</x:f>
        <x:v>Like TeamSpeak, operator owns the server; unlike Matrix, servers are not documented as federated.</x:v>
      </x:c>
      <x:c r="AF27" s="8" t="str">
        <x:f>IF(Master!AG335="","",Master!AG335)</x:f>
        <x:v>Multiple deployments are independent. Zulip is an application, not a federated protocol.</x:v>
      </x:c>
    </x:row>
    <x:row r="28" ht="21.950000762939453" customHeight="1">
      <x:c r="A28" s="18" t="s">
        <x:v>120</x:v>
      </x:c>
      <x:c r="B28" s="18" t="str">
        <x:f t="shared" ref="B28:AF28" si="0">IF(""="","","")</x:f>
      </x:c>
      <x:c r="C28" s="18" t="str">
        <x:f t="shared" si="0"/>
      </x:c>
      <x:c r="D28" s="18" t="str">
        <x:f t="shared" si="0"/>
      </x:c>
      <x:c r="E28" s="18" t="str">
        <x:f t="shared" si="0"/>
      </x:c>
      <x:c r="F28" s="18" t="str">
        <x:f t="shared" si="0"/>
      </x:c>
      <x:c r="G28" s="18" t="str">
        <x:f t="shared" si="0"/>
      </x:c>
      <x:c r="H28" s="18" t="str">
        <x:f t="shared" si="0"/>
      </x:c>
      <x:c r="I28" s="18" t="str">
        <x:f t="shared" si="0"/>
      </x:c>
      <x:c r="J28" s="18" t="str">
        <x:f t="shared" si="0"/>
      </x:c>
      <x:c r="K28" s="18" t="str">
        <x:f t="shared" si="0"/>
      </x:c>
      <x:c r="L28" s="18" t="str">
        <x:f t="shared" si="0"/>
      </x:c>
      <x:c r="M28" s="18" t="str">
        <x:f t="shared" si="0"/>
      </x:c>
      <x:c r="N28" s="18" t="str">
        <x:f t="shared" si="0"/>
      </x:c>
      <x:c r="O28" s="18" t="str">
        <x:f t="shared" si="0"/>
      </x:c>
      <x:c r="P28" s="18" t="str">
        <x:f t="shared" si="0"/>
      </x:c>
      <x:c r="Q28" s="18" t="str">
        <x:f t="shared" si="0"/>
      </x:c>
      <x:c r="R28" s="18" t="str">
        <x:f t="shared" si="0"/>
      </x:c>
      <x:c r="S28" s="18" t="str">
        <x:f t="shared" si="0"/>
      </x:c>
      <x:c r="T28" s="18" t="str">
        <x:f t="shared" si="0"/>
      </x:c>
      <x:c r="U28" s="18" t="str">
        <x:f t="shared" si="0"/>
      </x:c>
      <x:c r="V28" s="18" t="str">
        <x:f t="shared" si="0"/>
      </x:c>
      <x:c r="W28" s="18" t="str">
        <x:f t="shared" si="0"/>
      </x:c>
      <x:c r="X28" s="18" t="str">
        <x:f t="shared" si="0"/>
      </x:c>
      <x:c r="Y28" s="18" t="str">
        <x:f t="shared" si="0"/>
      </x:c>
      <x:c r="Z28" s="18" t="str">
        <x:f t="shared" si="0"/>
      </x:c>
      <x:c r="AA28" s="18" t="str">
        <x:f t="shared" si="0"/>
      </x:c>
      <x:c r="AB28" s="18" t="str">
        <x:f t="shared" si="0"/>
      </x:c>
      <x:c r="AC28" s="18" t="str">
        <x:f t="shared" si="0"/>
      </x:c>
      <x:c r="AD28" s="18" t="str">
        <x:f t="shared" si="0"/>
      </x:c>
      <x:c r="AE28" s="18" t="str">
        <x:f t="shared" si="0"/>
      </x:c>
      <x:c r="AF28" s="19" t="str">
        <x:f t="shared" si="0"/>
      </x:c>
    </x:row>
    <x:row r="29" ht="36" customHeight="1">
      <x:c r="A29" s="17" t="s">
        <x:v>121</x:v>
      </x:c>
      <x:c r="B29" s="3" t="str">
        <x:f>IF(Master!C13="","",Master!C13)</x:f>
        <x:v>Yes</x:v>
      </x:c>
      <x:c r="C29" s="3" t="str">
        <x:f>IF(Master!D13="","",Master!D13)</x:f>
        <x:v>Yes</x:v>
      </x:c>
      <x:c r="D29" s="3" t="str">
        <x:f>IF(Master!E13="","",Master!E13)</x:f>
        <x:v>Yes</x:v>
      </x:c>
      <x:c r="E29" s="3" t="str">
        <x:f>IF(Master!F13="","",Master!F13)</x:f>
      </x:c>
      <x:c r="F29" s="3" t="str">
        <x:f>IF(Master!G13="","",Master!G13)</x:f>
        <x:v>Yes</x:v>
      </x:c>
      <x:c r="G29" s="3" t="str">
        <x:f>IF(Master!H13="","",Master!H13)</x:f>
        <x:v>Yes</x:v>
      </x:c>
      <x:c r="H29" s="3" t="str">
        <x:f>IF(Master!I13="","",Master!I13)</x:f>
        <x:v>Yes</x:v>
      </x:c>
      <x:c r="I29" s="3" t="str">
        <x:f>IF(Master!J13="","",Master!J13)</x:f>
        <x:v>Yes</x:v>
      </x:c>
      <x:c r="J29" s="3" t="str">
        <x:f>IF(Master!K13="","",Master!K13)</x:f>
        <x:v>Yes</x:v>
      </x:c>
      <x:c r="K29" s="3" t="str">
        <x:f>IF(Master!L13="","",Master!L13)</x:f>
        <x:v>Yes: official instance currently free; MIT self-hosting is free</x:v>
      </x:c>
      <x:c r="L29" s="3" t="str">
        <x:f>IF(Master!M13="","",Master!M13)</x:f>
        <x:v>Yes</x:v>
      </x:c>
      <x:c r="M29" s="3" t="str">
        <x:f>IF(Master!N13="","",Master!N13)</x:f>
        <x:v>Yes</x:v>
      </x:c>
      <x:c r="N29" s="3" t="str">
        <x:f>IF(Master!O13="","",Master!O13)</x:f>
        <x:v>Yes</x:v>
      </x:c>
      <x:c r="O29" s="3" t="str">
        <x:f>IF(Master!P13="","",Master!P13)</x:f>
        <x:v>Yes</x:v>
      </x:c>
      <x:c r="P29" s="3" t="str">
        <x:f>IF(Master!Q13="","",Master!Q13)</x:f>
        <x:v>Yes</x:v>
      </x:c>
      <x:c r="Q29" s="3" t="str">
        <x:f>IF(Master!R13="","",Master!R13)</x:f>
        <x:v>Yes</x:v>
      </x:c>
      <x:c r="R29" s="3" t="str">
        <x:f>IF(Master!S13="","",Master!S13)</x:f>
        <x:v>Yes</x:v>
      </x:c>
      <x:c r="S29" s="3" t="str">
        <x:f>IF(Master!T13="","",Master!T13)</x:f>
      </x:c>
      <x:c r="T29" s="3" t="str">
        <x:f>IF(Master!U13="","",Master!U13)</x:f>
        <x:v>Yes: hosted service is free</x:v>
      </x:c>
      <x:c r="U29" s="3" t="str">
        <x:f>IF(Master!V13="","",Master!V13)</x:f>
        <x:v>Yes</x:v>
      </x:c>
      <x:c r="V29" s="3" t="str">
        <x:f>IF(Master!W13="","",Master!W13)</x:f>
        <x:v>Yes</x:v>
      </x:c>
      <x:c r="W29" s="3" t="str">
        <x:f>IF(Master!X13="","",Master!X13)</x:f>
        <x:v>Yes</x:v>
      </x:c>
      <x:c r="X29" s="3" t="str">
        <x:f>IF(Master!Y13="","",Master!Y13)</x:f>
        <x:v>Yes</x:v>
      </x:c>
      <x:c r="Y29" s="3" t="str">
        <x:f>IF(Master!Z13="","",Master!Z13)</x:f>
        <x:v>Yes</x:v>
      </x:c>
      <x:c r="Z29" s="3" t="str">
        <x:f>IF(Master!AA13="","",Master!AA13)</x:f>
        <x:v>Yes</x:v>
      </x:c>
      <x:c r="AA29" s="6" t="str">
        <x:f>IF(Master!AB13="","",Master!AB13)</x:f>
        <x:v>Yes</x:v>
      </x:c>
      <x:c r="AB29" s="3" t="str">
        <x:f>IF(Master!AC13="","",Master!AC13)</x:f>
        <x:v>Yes</x:v>
      </x:c>
      <x:c r="AC29" s="3" t="str">
        <x:f>IF(Master!AD13="","",Master!AD13)</x:f>
      </x:c>
      <x:c r="AD29" s="3" t="str">
        <x:f>IF(Master!AE13="","",Master!AE13)</x:f>
        <x:v>Yes</x:v>
      </x:c>
      <x:c r="AE29" s="3" t="str">
        <x:f>IF(Master!AF13="","",Master!AF13)</x:f>
      </x:c>
      <x:c r="AF29" s="8" t="str">
        <x:f>IF(Master!AG13="","",Master!AG13)</x:f>
        <x:v>Yes</x:v>
      </x:c>
    </x:row>
    <x:row r="30" ht="36" customHeight="1">
      <x:c r="A30" s="17" t="s">
        <x:v>122</x:v>
      </x:c>
      <x:c r="B30" s="3" t="str">
        <x:f>IF(Master!C14="","",Master!C14)</x:f>
        <x:v>4</x:v>
      </x:c>
      <x:c r="C30" s="3" t="str">
        <x:f>IF(Master!D14="","",Master!D14)</x:f>
      </x:c>
      <x:c r="D30" s="3" t="str">
        <x:f>IF(Master!E14="","",Master!E14)</x:f>
      </x:c>
      <x:c r="E30" s="3" t="str">
        <x:f>IF(Master!F14="","",Master!F14)</x:f>
      </x:c>
      <x:c r="F30" s="3" t="str">
        <x:f>IF(Master!G14="","",Master!G14)</x:f>
        <x:v>3</x:v>
      </x:c>
      <x:c r="G30" s="3" t="str">
        <x:f>IF(Master!H14="","",Master!H14)</x:f>
        <x:v>1</x:v>
      </x:c>
      <x:c r="H30" s="3" t="str">
        <x:f>IF(Master!I14="","",Master!I14)</x:f>
        <x:v>4</x:v>
      </x:c>
      <x:c r="I30" s="3" t="str">
        <x:f>IF(Master!J14="","",Master!J14)</x:f>
      </x:c>
      <x:c r="J30" s="3" t="str">
        <x:f>IF(Master!K14="","",Master!K14)</x:f>
      </x:c>
      <x:c r="K30" s="3" t="str">
        <x:f>IF(Master!L14="","",Master!L14)</x:f>
      </x:c>
      <x:c r="L30" s="3" t="str">
        <x:f>IF(Master!M14="","",Master!M14)</x:f>
      </x:c>
      <x:c r="M30" s="3" t="str">
        <x:f>IF(Master!N14="","",Master!N14)</x:f>
      </x:c>
      <x:c r="N30" s="3" t="str">
        <x:f>IF(Master!O14="","",Master!O14)</x:f>
      </x:c>
      <x:c r="O30" s="3" t="str">
        <x:f>IF(Master!P14="","",Master!P14)</x:f>
        <x:v>4</x:v>
      </x:c>
      <x:c r="P30" s="3" t="str">
        <x:f>IF(Master!Q14="","",Master!Q14)</x:f>
      </x:c>
      <x:c r="Q30" s="3" t="str">
        <x:f>IF(Master!R14="","",Master!R14)</x:f>
      </x:c>
      <x:c r="R30" s="3" t="str">
        <x:f>IF(Master!S14="","",Master!S14)</x:f>
      </x:c>
      <x:c r="S30" s="3" t="str">
        <x:f>IF(Master!T14="","",Master!T14)</x:f>
      </x:c>
      <x:c r="T30" s="3" t="str">
        <x:f>IF(Master!U14="","",Master!U14)</x:f>
      </x:c>
      <x:c r="U30" s="3" t="str">
        <x:f>IF(Master!V14="","",Master!V14)</x:f>
        <x:v>3</x:v>
      </x:c>
      <x:c r="V30" s="3" t="str">
        <x:f>IF(Master!W14="","",Master!W14)</x:f>
        <x:v>3</x:v>
      </x:c>
      <x:c r="W30" s="3" t="str">
        <x:f>IF(Master!X14="","",Master!X14)</x:f>
      </x:c>
      <x:c r="X30" s="3" t="str">
        <x:f>IF(Master!Y14="","",Master!Y14)</x:f>
        <x:v>1</x:v>
      </x:c>
      <x:c r="Y30" s="3" t="str">
        <x:f>IF(Master!Z14="","",Master!Z14)</x:f>
      </x:c>
      <x:c r="Z30" s="3" t="str">
        <x:f>IF(Master!AA14="","",Master!AA14)</x:f>
      </x:c>
      <x:c r="AA30" s="6" t="str">
        <x:f>IF(Master!AB14="","",Master!AB14)</x:f>
        <x:v>10</x:v>
      </x:c>
      <x:c r="AB30" s="3" t="str">
        <x:f>IF(Master!AC14="","",Master!AC14)</x:f>
        <x:v>1</x:v>
      </x:c>
      <x:c r="AC30" s="3" t="str">
        <x:f>IF(Master!AD14="","",Master!AD14)</x:f>
      </x:c>
      <x:c r="AD30" s="3" t="str">
        <x:f>IF(Master!AE14="","",Master!AE14)</x:f>
        <x:v>5</x:v>
      </x:c>
      <x:c r="AE30" s="3" t="str">
        <x:f>IF(Master!AF14="","",Master!AF14)</x:f>
        <x:v>1</x:v>
      </x:c>
      <x:c r="AF30" s="8" t="str">
        <x:f>IF(Master!AG14="","",Master!AG14)</x:f>
        <x:v>5</x:v>
      </x:c>
    </x:row>
    <x:row r="31" ht="36" customHeight="1">
      <x:c r="A31" s="17" t="s">
        <x:v>123</x:v>
      </x:c>
      <x:c r="B31" s="3" t="str">
        <x:f>IF(Master!C15="","",Master!C15)</x:f>
        <x:v>Nitro Basic; Nitro; Server Boost; Nitro Classic</x:v>
      </x:c>
      <x:c r="C31" s="3" t="str">
        <x:f>IF(Master!D15="","",Master!D15)</x:f>
        <x:v>No public paid tier verified</x:v>
      </x:c>
      <x:c r="D31" s="3" t="str">
        <x:f>IF(Master!E15="","",Master!E15)</x:f>
        <x:v>No public paid tier verified</x:v>
      </x:c>
      <x:c r="E31" s="3" t="str">
        <x:f>IF(Master!F15="","",Master!F15)</x:f>
        <x:v>No public paid tier verified</x:v>
      </x:c>
      <x:c r="F31" s="3" t="str">
        <x:f>IF(Master!G15="","",Master!G15)</x:f>
        <x:v>Surge; Flare; Prime</x:v>
      </x:c>
      <x:c r="G31" s="3" t="str">
        <x:f>IF(Master!H15="","",Master!H15)</x:f>
        <x:v>Plutonium</x:v>
      </x:c>
      <x:c r="H31" s="3" t="str">
        <x:f>IF(Master!I15="","",Master!I15)</x:f>
        <x:v>Silver; Gold; Diamond; Self-Hosted Server License</x:v>
      </x:c>
      <x:c r="I31" s="3" t="str">
        <x:f>IF(Master!J15="","",Master!J15)</x:f>
        <x:v>No public paid tier verified</x:v>
      </x:c>
      <x:c r="J31" s="3" t="str">
        <x:f>IF(Master!K15="","",Master!K15)</x:f>
        <x:v>No public paid tier verified</x:v>
      </x:c>
      <x:c r="K31" s="3" t="str">
        <x:f>IF(Master!L15="","",Master!L15)</x:f>
        <x:v>None</x:v>
      </x:c>
      <x:c r="L31" s="3" t="str">
        <x:f>IF(Master!M15="","",Master!M15)</x:f>
        <x:v>No public paid tier verified</x:v>
      </x:c>
      <x:c r="M31" s="3" t="str">
        <x:f>IF(Master!N15="","",Master!N15)</x:f>
        <x:v>No public paid tier verified</x:v>
      </x:c>
      <x:c r="N31" s="3" t="str">
        <x:f>IF(Master!O15="","",Master!O15)</x:f>
        <x:v>No public paid tier verified</x:v>
      </x:c>
      <x:c r="O31" s="3" t="str">
        <x:f>IF(Master!P15="","",Master!P15)</x:f>
        <x:v>Professional; Enterprise; Enterprise Advanced; Premier Support</x:v>
      </x:c>
      <x:c r="P31" s="3" t="str">
        <x:f>IF(Master!Q15="","",Master!Q15)</x:f>
        <x:v>No public paid tier verified</x:v>
      </x:c>
      <x:c r="Q31" s="3" t="str">
        <x:f>IF(Master!R15="","",Master!R15)</x:f>
        <x:v>No public paid tier verified</x:v>
      </x:c>
      <x:c r="R31" s="3" t="str">
        <x:f>IF(Master!S15="","",Master!S15)</x:f>
        <x:v>No public paid tier verified</x:v>
      </x:c>
      <x:c r="S31" s="3" t="str">
        <x:f>IF(Master!T15="","",Master!T15)</x:f>
        <x:v>No public paid tier verified</x:v>
      </x:c>
      <x:c r="T31" s="3" t="str">
        <x:f>IF(Master!U15="","",Master!U15)</x:f>
        <x:v>None: donations unlock nothing</x:v>
      </x:c>
      <x:c r="U31" s="3" t="str">
        <x:f>IF(Master!V15="","",Master!V15)</x:f>
        <x:v>Rift+; Shard Ember; Shard Forge</x:v>
      </x:c>
      <x:c r="V31" s="3" t="str">
        <x:f>IF(Master!W15="","",Master!W15)</x:f>
        <x:v>Commercial; Government; Defense</x:v>
      </x:c>
      <x:c r="W31" s="3" t="str">
        <x:f>IF(Master!X15="","",Master!X15)</x:f>
        <x:v>No public paid tier verified</x:v>
      </x:c>
      <x:c r="X31" s="3" t="str">
        <x:f>IF(Master!Y15="","",Master!Y15)</x:f>
        <x:v>Sudo</x:v>
      </x:c>
      <x:c r="Y31" s="3" t="str">
        <x:f>IF(Master!Z15="","",Master!Z15)</x:f>
        <x:v>No public paid tier verified</x:v>
      </x:c>
      <x:c r="Z31" s="3" t="str">
        <x:f>IF(Master!AA15="","",Master!AA15)</x:f>
        <x:v>No public paid tier verified</x:v>
      </x:c>
      <x:c r="AA31" s="6" t="str">
        <x:f>IF(Master!AB15="","",Master!AB15)</x:f>
        <x:v>Crew; Team; Faction; Gamer / Activation 64 slots; Gamer / Activation 128 slots; Gamer / Activation 256 slots; Gamer / Activation 512 slots; Gamer / Activation 1024 slots; Commercial License; TeamSpeak SDK License</x:v>
      </x:c>
      <x:c r="AB31" s="3" t="str">
        <x:f>IF(Master!AC15="","",Master!AC15)</x:f>
        <x:v>Stargazer</x:v>
      </x:c>
      <x:c r="AC31" s="3" t="str">
        <x:f>IF(Master!AD15="","",Master!AD15)</x:f>
        <x:v>No public paid tier verified</x:v>
      </x:c>
      <x:c r="AD31" s="3" t="str">
        <x:f>IF(Master!AE15="","",Master!AE15)</x:f>
        <x:v>Run your own; Have it built: Crew; Have it built: League; Have it built: Network; Have it built: Larger</x:v>
      </x:c>
      <x:c r="AE31" s="3" t="str">
        <x:f>IF(Master!AF15="","",Master!AF15)</x:f>
        <x:v>Yapper Hosting: 1 Year</x:v>
      </x:c>
      <x:c r="AF31" s="8" t="str">
        <x:f>IF(Master!AG15="","",Master!AG15)</x:f>
        <x:v>Cloud Standard; Cloud Plus; Self-hosted Basic; Self-hosted Business; Self-hosted Enterprise</x:v>
      </x:c>
    </x:row>
    <x:row r="32" ht="36" customHeight="1">
      <x:c r="A32" s="17" t="s">
        <x:v>124</x:v>
      </x:c>
      <x:c r="B32" s="3" t="str">
        <x:f>IF(Master!C16="","",Master!C16)</x:f>
        <x:v>No</x:v>
      </x:c>
      <x:c r="C32" s="3" t="str">
        <x:f>IF(Master!D16="","",Master!D16)</x:f>
        <x:v>Yes: relays/self-host</x:v>
      </x:c>
      <x:c r="D32" s="3" t="str">
        <x:f>IF(Master!E16="","",Master!E16)</x:f>
        <x:v>Yes</x:v>
      </x:c>
      <x:c r="E32" s="3" t="str">
        <x:f>IF(Master!F16="","",Master!F16)</x:f>
        <x:v>No</x:v>
      </x:c>
      <x:c r="F32" s="3" t="str">
        <x:f>IF(Master!G16="","",Master!G16)</x:f>
        <x:v>No currently</x:v>
      </x:c>
      <x:c r="G32" s="3" t="str">
        <x:f>IF(Master!H16="","",Master!H16)</x:f>
        <x:v>Yes</x:v>
      </x:c>
      <x:c r="H32" s="3" t="str">
        <x:f>IF(Master!I16="","",Master!I16)</x:f>
        <x:v>Yes</x:v>
      </x:c>
      <x:c r="I32" s="3" t="str">
        <x:f>IF(Master!J16="","",Master!J16)</x:f>
        <x:v>Yes</x:v>
      </x:c>
      <x:c r="J32" s="3" t="str">
        <x:f>IF(Master!K16="","",Master!K16)</x:f>
        <x:v>Yes</x:v>
      </x:c>
      <x:c r="K32" s="3" t="str">
        <x:f>IF(Master!L16="","",Master!L16)</x:f>
        <x:v>Yes</x:v>
      </x:c>
      <x:c r="L32" s="3" t="str">
        <x:f>IF(Master!M16="","",Master!M16)</x:f>
        <x:v>No</x:v>
      </x:c>
      <x:c r="M32" s="3" t="str">
        <x:f>IF(Master!N16="","",Master!N16)</x:f>
        <x:v>Yes</x:v>
      </x:c>
      <x:c r="N32" s="3" t="str">
        <x:f>IF(Master!O16="","",Master!O16)</x:f>
        <x:v>Yes</x:v>
      </x:c>
      <x:c r="O32" s="3" t="str">
        <x:f>IF(Master!P16="","",Master!P16)</x:f>
        <x:v>Yes</x:v>
      </x:c>
      <x:c r="P32" s="3" t="str">
        <x:f>IF(Master!Q16="","",Master!Q16)</x:f>
      </x:c>
      <x:c r="Q32" s="3" t="str">
        <x:f>IF(Master!R16="","",Master!R16)</x:f>
        <x:v>Yes</x:v>
      </x:c>
      <x:c r="R32" s="3" t="str">
        <x:f>IF(Master!S16="","",Master!S16)</x:f>
        <x:v>Technically possible but explicitly not intended/supported</x:v>
      </x:c>
      <x:c r="S32" s="3" t="str">
        <x:f>IF(Master!T16="","",Master!T16)</x:f>
        <x:v>No</x:v>
      </x:c>
      <x:c r="T32" s="3" t="str">
        <x:f>IF(Master!U16="","",Master!U16)</x:f>
        <x:v>Yes</x:v>
      </x:c>
      <x:c r="U32" s="3" t="str">
        <x:f>IF(Master!V16="","",Master!V16)</x:f>
        <x:v>No</x:v>
      </x:c>
      <x:c r="V32" s="3" t="str">
        <x:f>IF(Master!W16="","",Master!W16)</x:f>
        <x:v>Yes</x:v>
      </x:c>
      <x:c r="W32" s="3" t="str">
        <x:f>IF(Master!X16="","",Master!X16)</x:f>
        <x:v>Partially via ATProto/PDS model</x:v>
      </x:c>
      <x:c r="X32" s="3" t="str">
        <x:f>IF(Master!Y16="","",Master!Y16)</x:f>
        <x:v>No</x:v>
      </x:c>
      <x:c r="Y32" s="3" t="str">
        <x:f>IF(Master!Z16="","",Master!Z16)</x:f>
        <x:v>Yes</x:v>
      </x:c>
      <x:c r="Z32" s="3" t="str">
        <x:f>IF(Master!AA16="","",Master!AA16)</x:f>
        <x:v>Yes</x:v>
      </x:c>
      <x:c r="AA32" s="6" t="str">
        <x:f>IF(Master!AB16="","",Master!AB16)</x:f>
        <x:v>Yes</x:v>
      </x:c>
      <x:c r="AB32" s="3" t="str">
        <x:f>IF(Master!AC16="","",Master!AC16)</x:f>
        <x:v>Yes</x:v>
      </x:c>
      <x:c r="AC32" s="3" t="str">
        <x:f>IF(Master!AD16="","",Master!AD16)</x:f>
        <x:v>In development</x:v>
      </x:c>
      <x:c r="AD32" s="3" t="str">
        <x:f>IF(Master!AE16="","",Master!AE16)</x:f>
        <x:v>No</x:v>
      </x:c>
      <x:c r="AE32" s="3" t="str">
        <x:f>IF(Master!AF16="","",Master!AF16)</x:f>
        <x:v>Yes</x:v>
      </x:c>
      <x:c r="AF32" s="8" t="str">
        <x:f>IF(Master!AG16="","",Master!AG16)</x:f>
        <x:v>Yes</x:v>
      </x:c>
    </x:row>
    <x:row r="33" ht="36" customHeight="1">
      <x:c r="A33" s="17" t="s">
        <x:v>125</x:v>
      </x:c>
      <x:c r="B33" s="3" t="str">
        <x:f>IF(Master!C351="","",Master!C351)</x:f>
        <x:v>No</x:v>
      </x:c>
      <x:c r="C33" s="3" t="str">
        <x:f>IF(Master!D351="","",Master!D351)</x:f>
        <x:v>Nostr relay interoperability</x:v>
      </x:c>
      <x:c r="D33" s="3" t="str">
        <x:f>IF(Master!E351="","",Master!E351)</x:f>
        <x:v>Yes for messenger/server communication features; full federation evolving</x:v>
      </x:c>
      <x:c r="E33" s="3" t="str">
        <x:f>IF(Master!F351="","",Master!F351)</x:f>
        <x:v>No</x:v>
      </x:c>
      <x:c r="F33" s="3" t="str">
        <x:f>IF(Master!G351="","",Master!G351)</x:f>
        <x:v>No</x:v>
      </x:c>
      <x:c r="G33" s="3" t="str">
        <x:f>IF(Master!H351="","",Master!H351)</x:f>
        <x:v>Not yet: on roadmap</x:v>
      </x:c>
      <x:c r="H33" s="3" t="str">
        <x:f>IF(Master!I351="","",Master!I351)</x:f>
        <x:v>No federation verified</x:v>
      </x:c>
      <x:c r="I33" s="3" t="str">
        <x:f>IF(Master!J351="","",Master!J351)</x:f>
        <x:v>Federation planned</x:v>
      </x:c>
      <x:c r="J33" s="3" t="str">
        <x:f>IF(Master!K351="","",Master!K351)</x:f>
        <x:v>Relay choice but not Matrix-style federated server state</x:v>
      </x:c>
      <x:c r="K33" s="3" t="str">
        <x:f>IF(Master!L351="","",Master!L351)</x:f>
        <x:v>Yes</x:v>
      </x:c>
      <x:c r="L33" s="3" t="str">
        <x:f>IF(Master!M351="","",Master!M351)</x:f>
        <x:v>No</x:v>
      </x:c>
      <x:c r="M33" s="3" t="str">
        <x:f>IF(Master!N351="","",Master!N351)</x:f>
        <x:v>Federation advertised</x:v>
      </x:c>
      <x:c r="N33" s="3" t="str">
        <x:f>IF(Master!O351="","",Master!O351)</x:f>
        <x:v>Yes: core feature</x:v>
      </x:c>
      <x:c r="O33" s="3" t="str">
        <x:f>IF(Master!P351="","",Master!P351)</x:f>
        <x:v>No general federation</x:v>
      </x:c>
      <x:c r="P33" s="3" t="str">
        <x:f>IF(Master!Q351="","",Master!Q351)</x:f>
        <x:v>No federation verified</x:v>
      </x:c>
      <x:c r="Q33" s="3" t="str">
        <x:f>IF(Master!R351="","",Master!R351)</x:f>
        <x:v>No</x:v>
      </x:c>
      <x:c r="R33" s="3" t="str">
        <x:f>IF(Master!S351="","",Master!S351)</x:f>
        <x:v>No</x:v>
      </x:c>
      <x:c r="S33" s="3" t="str">
        <x:f>IF(Master!T351="","",Master!T351)</x:f>
        <x:v>No</x:v>
      </x:c>
      <x:c r="T33" s="3" t="str">
        <x:f>IF(Master!U351="","",Master!U351)</x:f>
        <x:v>No federation</x:v>
      </x:c>
      <x:c r="U33" s="3" t="str">
        <x:f>IF(Master!V351="","",Master!V351)</x:f>
        <x:v>No</x:v>
      </x:c>
      <x:c r="V33" s="3" t="str">
        <x:f>IF(Master!W351="","",Master!W351)</x:f>
        <x:v>Yes: Matrix-based federation feature set, with limitations</x:v>
      </x:c>
      <x:c r="W33" s="3" t="str">
        <x:f>IF(Master!X351="","",Master!X351)</x:f>
        <x:v>ATProto federation ecosystem</x:v>
      </x:c>
      <x:c r="X33" s="3" t="str">
        <x:f>IF(Master!Y351="","",Master!Y351)</x:f>
        <x:v>No</x:v>
      </x:c>
      <x:c r="Y33" s="3" t="str">
        <x:f>IF(Master!Z351="","",Master!Z351)</x:f>
        <x:v>No</x:v>
      </x:c>
      <x:c r="Z33" s="3" t="str">
        <x:f>IF(Master!AA351="","",Master!AA351)</x:f>
        <x:v>No</x:v>
      </x:c>
      <x:c r="AA33" s="6" t="str">
        <x:f>IF(Master!AB351="","",Master!AB351)</x:f>
        <x:v>No</x:v>
      </x:c>
      <x:c r="AB33" s="3" t="str">
        <x:f>IF(Master!AC351="","",Master!AC351)</x:f>
        <x:v>Node/federation model for migrating communities; exact cross-instance federation scope evolving</x:v>
      </x:c>
      <x:c r="AC33" s="3" t="str">
        <x:f>IF(Master!AD351="","",Master!AD351)</x:f>
        <x:v>Planned/in development</x:v>
      </x:c>
      <x:c r="AD33" s="3" t="str">
        <x:f>IF(Master!AE351="","",Master!AE351)</x:f>
        <x:v>No</x:v>
      </x:c>
      <x:c r="AE33" s="3" t="str">
        <x:f>IF(Master!AF351="","",Master!AF351)</x:f>
        <x:v>No</x:v>
      </x:c>
      <x:c r="AF33" s="8" t="str">
        <x:f>IF(Master!AG351="","",Master!AG351)</x:f>
        <x:v>No</x:v>
      </x:c>
    </x:row>
    <x:row r="34" ht="36" customHeight="1">
      <x:c r="A34" s="17" t="s">
        <x:v>126</x:v>
      </x:c>
      <x:c r="B34" s="3" t="str">
        <x:f>IF(Master!C17="","",Master!C17)</x:f>
        <x:v>No (text)</x:v>
      </x:c>
      <x:c r="C34" s="3" t="str">
        <x:f>IF(Master!D17="","",Master!D17)</x:f>
        <x:v>Yes</x:v>
      </x:c>
      <x:c r="D34" s="3" t="str">
        <x:f>IF(Master!E17="","",Master!E17)</x:f>
        <x:v>Yes for desktop server DMs when enabled; messenger always yes</x:v>
      </x:c>
      <x:c r="E34" s="3" t="str">
        <x:f>IF(Master!F17="","",Master!F17)</x:f>
        <x:v>No default text E2EE verified</x:v>
      </x:c>
      <x:c r="F34" s="3" t="str">
        <x:f>IF(Master!G17="","",Master!G17)</x:f>
        <x:v>Yes</x:v>
      </x:c>
      <x:c r="G34" s="3" t="str">
        <x:f>IF(Master!H17="","",Master!H17)</x:f>
        <x:v>No</x:v>
      </x:c>
      <x:c r="H34" s="3" t="str">
        <x:f>IF(Master!I17="","",Master!I17)</x:f>
        <x:v>No</x:v>
      </x:c>
      <x:c r="I34" s="3" t="str">
        <x:f>IF(Master!J17="","",Master!J17)</x:f>
        <x:v>No</x:v>
      </x:c>
      <x:c r="J34" s="3" t="str">
        <x:f>IF(Master!K17="","",Master!K17)</x:f>
        <x:v>Yes</x:v>
      </x:c>
      <x:c r="K34" s="3" t="str">
        <x:f>IF(Master!L17="","",Master!L17)</x:f>
        <x:v>Optional MLS 1.0</x:v>
      </x:c>
      <x:c r="L34" s="3" t="str">
        <x:f>IF(Master!M17="","",Master!M17)</x:f>
      </x:c>
      <x:c r="M34" s="3" t="str">
        <x:f>IF(Master!N17="","",Master!N17)</x:f>
        <x:v>Eligible content only: app displays E2EE status</x:v>
      </x:c>
      <x:c r="N34" s="3" t="str">
        <x:f>IF(Master!O17="","",Master!O17)</x:f>
        <x:v>Supported; default depends on client/room</x:v>
      </x:c>
      <x:c r="O34" s="3" t="str">
        <x:f>IF(Master!P17="","",Master!P17)</x:f>
        <x:v>No</x:v>
      </x:c>
      <x:c r="P34" s="3" t="str">
        <x:f>IF(Master!Q17="","",Master!Q17)</x:f>
        <x:v>E2EE claimed</x:v>
      </x:c>
      <x:c r="Q34" s="3" t="str">
        <x:f>IF(Master!R17="","",Master!R17)</x:f>
        <x:v>N/A</x:v>
      </x:c>
      <x:c r="R34" s="3" t="str">
        <x:f>IF(Master!S17="","",Master!S17)</x:f>
        <x:v>No default E2EE verified</x:v>
      </x:c>
      <x:c r="S34" s="3" t="str">
        <x:f>IF(Master!T17="","",Master!T17)</x:f>
        <x:v>No</x:v>
      </x:c>
      <x:c r="T34" s="3" t="str">
        <x:f>IF(Master!U17="","",Master!U17)</x:f>
        <x:v>No E2EE claim</x:v>
      </x:c>
      <x:c r="U34" s="3" t="str">
        <x:f>IF(Master!V17="","",Master!V17)</x:f>
        <x:v>Yes: Signal-style X3DH/Double Ratchet</x:v>
      </x:c>
      <x:c r="V34" s="3" t="str">
        <x:f>IF(Master!W17="","",Master!W17)</x:f>
        <x:v>Available in supported E2EE conversations</x:v>
      </x:c>
      <x:c r="W34" s="3" t="str">
        <x:f>IF(Master!X17="","",Master!X17)</x:f>
        <x:v>No default E2EE verified</x:v>
      </x:c>
      <x:c r="X34" s="3" t="str">
        <x:f>IF(Master!Y17="","",Master!Y17)</x:f>
        <x:v>No claim / treated as server-readable</x:v>
      </x:c>
      <x:c r="Y34" s="3" t="str">
        <x:f>IF(Master!Z17="","",Master!Z17)</x:f>
        <x:v>No documented default</x:v>
      </x:c>
      <x:c r="Z34" s="3" t="str">
        <x:f>IF(Master!AA17="","",Master!AA17)</x:f>
        <x:v>No default E2EE verified</x:v>
      </x:c>
      <x:c r="AA34" s="6" t="str">
        <x:f>IF(Master!AB17="","",Master!AB17)</x:f>
      </x:c>
      <x:c r="AB34" s="3" t="str">
        <x:f>IF(Master!AC17="","",Master!AC17)</x:f>
        <x:v>No default E2EE claim</x:v>
      </x:c>
      <x:c r="AC34" s="3" t="str">
        <x:f>IF(Master!AD17="","",Master!AD17)</x:f>
        <x:v>No by default</x:v>
      </x:c>
      <x:c r="AD34" s="3" t="str">
        <x:f>IF(Master!AE17="","",Master!AE17)</x:f>
        <x:v>No</x:v>
      </x:c>
      <x:c r="AE34" s="3" t="str">
        <x:f>IF(Master!AF17="","",Master!AF17)</x:f>
      </x:c>
      <x:c r="AF34" s="8" t="str">
        <x:f>IF(Master!AG17="","",Master!AG17)</x:f>
        <x:v>No</x:v>
      </x:c>
    </x:row>
    <x:row r="35" ht="36" customHeight="1">
      <x:c r="A35" s="17" t="s">
        <x:v>127</x:v>
      </x:c>
      <x:c r="B35" s="3" t="str">
        <x:f>IF(Master!C18="","",Master!C18)</x:f>
        <x:v>20</x:v>
      </x:c>
      <x:c r="C35" s="3" t="str">
        <x:f>IF(Master!D18="","",Master!D18)</x:f>
      </x:c>
      <x:c r="D35" s="3" t="str">
        <x:f>IF(Master!E18="","",Master!E18)</x:f>
      </x:c>
      <x:c r="E35" s="3" t="str">
        <x:f>IF(Master!F18="","",Master!F18)</x:f>
      </x:c>
      <x:c r="F35" s="3" t="str">
        <x:f>IF(Master!G18="","",Master!G18)</x:f>
      </x:c>
      <x:c r="G35" s="3" t="str">
        <x:f>IF(Master!H18="","",Master!H18)</x:f>
        <x:v>25</x:v>
      </x:c>
      <x:c r="H35" s="3" t="str">
        <x:f>IF(Master!I18="","",Master!I18)</x:f>
        <x:v>500</x:v>
      </x:c>
      <x:c r="I35" s="3" t="str">
        <x:f>IF(Master!J18="","",Master!J18)</x:f>
      </x:c>
      <x:c r="J35" s="3" t="str">
        <x:f>IF(Master!K18="","",Master!K18)</x:f>
        <x:v>34 MB direct P2P; larger via Hollow Share</x:v>
      </x:c>
      <x:c r="K35" s="3" t="str">
        <x:f>IF(Master!L18="","",Master!L18)</x:f>
        <x:v>15 MB official instance; self-host configurable</x:v>
      </x:c>
      <x:c r="L35" s="3" t="str">
        <x:f>IF(Master!M18="","",Master!M18)</x:f>
      </x:c>
      <x:c r="M35" s="3" t="str">
        <x:f>IF(Master!N18="","",Master!N18)</x:f>
      </x:c>
      <x:c r="N35" s="3" t="str">
        <x:f>IF(Master!O18="","",Master!O18)</x:f>
      </x:c>
      <x:c r="O35" s="3" t="str">
        <x:f>IF(Master!P18="","",Master!P18)</x:f>
      </x:c>
      <x:c r="P35" s="3" t="str">
        <x:f>IF(Master!Q18="","",Master!Q18)</x:f>
        <x:v>100 for video/other; images 50</x:v>
      </x:c>
      <x:c r="Q35" s="3" t="str">
        <x:f>IF(Master!R18="","",Master!R18)</x:f>
      </x:c>
      <x:c r="R35" s="3" t="str">
        <x:f>IF(Master!S18="","",Master!S18)</x:f>
      </x:c>
      <x:c r="S35" s="3" t="str">
        <x:f>IF(Master!T18="","",Master!T18)</x:f>
      </x:c>
      <x:c r="T35" s="3" t="str">
        <x:f>IF(Master!U18="","",Master!U18)</x:f>
        <x:v>Not publicly claimed</x:v>
      </x:c>
      <x:c r="U35" s="3" t="str">
        <x:f>IF(Master!V18="","",Master!V18)</x:f>
        <x:v>50</x:v>
      </x:c>
      <x:c r="V35" s="3" t="str">
        <x:f>IF(Master!W18="","",Master!W18)</x:f>
        <x:v>Yes: multimedia/file sharing; plan/config limits vary</x:v>
      </x:c>
      <x:c r="W35" s="3" t="str">
        <x:f>IF(Master!X18="","",Master!X18)</x:f>
      </x:c>
      <x:c r="X35" s="3" t="str">
        <x:f>IF(Master!Y18="","",Master!Y18)</x:f>
        <x:v>25</x:v>
      </x:c>
      <x:c r="Y35" s="3" t="str">
        <x:f>IF(Master!Z18="","",Master!Z18)</x:f>
      </x:c>
      <x:c r="Z35" s="3" t="str">
        <x:f>IF(Master!AA18="","",Master!AA18)</x:f>
        <x:v>20 MB</x:v>
      </x:c>
      <x:c r="AA35" s="6" t="str">
        <x:f>IF(Master!AB18="","",Master!AB18)</x:f>
      </x:c>
      <x:c r="AB35" s="3" t="str">
        <x:f>IF(Master!AC18="","",Master!AC18)</x:f>
      </x:c>
      <x:c r="AC35" s="3" t="str">
        <x:f>IF(Master!AD18="","",Master!AD18)</x:f>
      </x:c>
      <x:c r="AD35" s="3" t="str">
        <x:f>IF(Master!AE18="","",Master!AE18)</x:f>
      </x:c>
      <x:c r="AE35" s="3" t="str">
        <x:f>IF(Master!AF18="","",Master!AF18)</x:f>
        <x:v>Configurable by server operator</x:v>
      </x:c>
      <x:c r="AF35" s="8" t="str">
        <x:f>IF(Master!AG18="","",Master!AG18)</x:f>
        <x:v>5 GB total cloud storage on Free plan</x:v>
      </x:c>
    </x:row>
    <x:row r="36" ht="36" customHeight="1">
      <x:c r="A36" s="17" t="s">
        <x:v>128</x:v>
      </x:c>
      <x:c r="B36" s="3" t="str">
        <x:f>IF(Master!C19="","",Master!C19)</x:f>
        <x:v>720p / 30 FPS</x:v>
      </x:c>
      <x:c r="C36" s="3" t="str">
        <x:f>IF(Master!D19="","",Master!D19)</x:f>
      </x:c>
      <x:c r="D36" s="3" t="str">
        <x:f>IF(Master!E19="","",Master!E19)</x:f>
        <x:v>Up to 4K / Up to 60/120 by version/config FPS</x:v>
      </x:c>
      <x:c r="E36" s="3" t="str">
        <x:f>IF(Master!F19="","",Master!F19)</x:f>
      </x:c>
      <x:c r="F36" s="3" t="str">
        <x:f>IF(Master!G19="","",Master!G19)</x:f>
      </x:c>
      <x:c r="G36" s="3" t="str">
        <x:f>IF(Master!H19="","",Master!H19)</x:f>
        <x:v>720p / 30 FPS</x:v>
      </x:c>
      <x:c r="H36" s="3" t="str">
        <x:f>IF(Master!I19="","",Master!I19)</x:f>
        <x:v>1080p / 30 FPS</x:v>
      </x:c>
      <x:c r="I36" s="3" t="str">
        <x:f>IF(Master!J19="","",Master!J19)</x:f>
        <x:v>N/A / N/A FPS</x:v>
      </x:c>
      <x:c r="J36" s="3" t="str">
        <x:f>IF(Master!K19="","",Master!K19)</x:f>
      </x:c>
      <x:c r="K36" s="3" t="str">
        <x:f>IF(Master!L19="","",Master!L19)</x:f>
        <x:v>4K30 native documented; developer questionnaire reported 4K60</x:v>
      </x:c>
      <x:c r="L36" s="3" t="str">
        <x:f>IF(Master!M19="","",Master!M19)</x:f>
      </x:c>
      <x:c r="M36" s="3" t="str">
        <x:f>IF(Master!N19="","",Master!N19)</x:f>
      </x:c>
      <x:c r="N36" s="3" t="str">
        <x:f>IF(Master!O19="","",Master!O19)</x:f>
        <x:v>Client-dependent / Client-dependent FPS</x:v>
      </x:c>
      <x:c r="O36" s="3" t="str">
        <x:f>IF(Master!P19="","",Master!P19)</x:f>
        <x:v>Deployment/plan dependent / Deployment/plan dependent FPS</x:v>
      </x:c>
      <x:c r="P36" s="3" t="str">
        <x:f>IF(Master!Q19="","",Master!Q19)</x:f>
      </x:c>
      <x:c r="Q36" s="3" t="str">
        <x:f>IF(Master!R19="","",Master!R19)</x:f>
        <x:v>N/A / N/A FPS</x:v>
      </x:c>
      <x:c r="R36" s="3" t="str">
        <x:f>IF(Master!S19="","",Master!S19)</x:f>
      </x:c>
      <x:c r="S36" s="3" t="str">
        <x:f>IF(Master!T19="","",Master!T19)</x:f>
      </x:c>
      <x:c r="T36" s="3" t="str">
        <x:f>IF(Master!U19="","",Master!U19)</x:f>
        <x:v>1080p</x:v>
      </x:c>
      <x:c r="U36" s="3" t="str">
        <x:f>IF(Master!V19="","",Master!V19)</x:f>
        <x:v>1080p / 60 FPS</x:v>
      </x:c>
      <x:c r="V36" s="3" t="str">
        <x:f>IF(Master!W19="","",Master!W19)</x:f>
        <x:v>Provider-dependent / Provider-dependent FPS</x:v>
      </x:c>
      <x:c r="W36" s="3" t="str">
        <x:f>IF(Master!X19="","",Master!X19)</x:f>
        <x:v>N/A / N/A FPS</x:v>
      </x:c>
      <x:c r="X36" s="3" t="str">
        <x:f>IF(Master!Y19="","",Master!Y19)</x:f>
        <x:v>720p game / Source text mode / 30 game / 5 source FPS</x:v>
      </x:c>
      <x:c r="Y36" s="3" t="str">
        <x:f>IF(Master!Z19="","",Master!Z19)</x:f>
        <x:v>Operator/config dependent</x:v>
      </x:c>
      <x:c r="Z36" s="3" t="str">
        <x:f>IF(Master!AA19="","",Master!AA19)</x:f>
      </x:c>
      <x:c r="AA36" s="6" t="str">
        <x:f>IF(Master!AB19="","",Master!AB19)</x:f>
      </x:c>
      <x:c r="AB36" s="3" t="str">
        <x:f>IF(Master!AC19="","",Master!AC19)</x:f>
      </x:c>
      <x:c r="AC36" s="3" t="str">
        <x:f>IF(Master!AD19="","",Master!AD19)</x:f>
      </x:c>
      <x:c r="AD36" s="3" t="str">
        <x:f>IF(Master!AE19="","",Master!AE19)</x:f>
      </x:c>
      <x:c r="AE36" s="3" t="str">
        <x:f>IF(Master!AF19="","",Master!AF19)</x:f>
        <x:v>Up to 1440p</x:v>
      </x:c>
      <x:c r="AF36" s="8" t="str">
        <x:f>IF(Master!AG19="","",Master!AG19)</x:f>
        <x:v>Provider-dependent / Provider-dependent FPS</x:v>
      </x:c>
    </x:row>
    <x:row r="37" ht="36" customHeight="1">
      <x:c r="A37" s="17" t="s">
        <x:v>129</x:v>
      </x:c>
      <x:c r="B37" s="3" t="str">
        <x:f>IF(Master!C20="","",Master!C20)</x:f>
        <x:v>Paid: Nitro</x:v>
      </x:c>
      <x:c r="C37" s="3" t="str">
        <x:f>IF(Master!D20="","",Master!D20)</x:f>
      </x:c>
      <x:c r="D37" s="3" t="str">
        <x:f>IF(Master!E20="","",Master!E20)</x:f>
      </x:c>
      <x:c r="E37" s="3" t="str">
        <x:f>IF(Master!F20="","",Master!F20)</x:f>
      </x:c>
      <x:c r="F37" s="3" t="str">
        <x:f>IF(Master!G20="","",Master!G20)</x:f>
      </x:c>
      <x:c r="G37" s="3" t="str">
        <x:f>IF(Master!H20="","",Master!H20)</x:f>
        <x:v>Paid: Plutonium</x:v>
      </x:c>
      <x:c r="H37" s="3" t="str">
        <x:f>IF(Master!I20="","",Master!I20)</x:f>
        <x:v>Free 30 FPS; Gold+ 60 FPS</x:v>
      </x:c>
      <x:c r="I37" s="3" t="str">
        <x:f>IF(Master!J20="","",Master!J20)</x:f>
      </x:c>
      <x:c r="J37" s="3" t="str">
        <x:f>IF(Master!K20="","",Master!K20)</x:f>
      </x:c>
      <x:c r="K37" s="3" t="str">
        <x:f>IF(Master!L20="","",Master!L20)</x:f>
        <x:v>Free/current</x:v>
      </x:c>
      <x:c r="L37" s="3" t="str">
        <x:f>IF(Master!M20="","",Master!M20)</x:f>
      </x:c>
      <x:c r="M37" s="3" t="str">
        <x:f>IF(Master!N20="","",Master!N20)</x:f>
      </x:c>
      <x:c r="N37" s="3" t="str">
        <x:f>IF(Master!O20="","",Master!O20)</x:f>
      </x:c>
      <x:c r="O37" s="3" t="str">
        <x:f>IF(Master!P20="","",Master!P20)</x:f>
      </x:c>
      <x:c r="P37" s="3" t="str">
        <x:f>IF(Master!Q20="","",Master!Q20)</x:f>
        <x:v>Free</x:v>
      </x:c>
      <x:c r="Q37" s="3" t="str">
        <x:f>IF(Master!R20="","",Master!R20)</x:f>
      </x:c>
      <x:c r="R37" s="3" t="str">
        <x:f>IF(Master!S20="","",Master!S20)</x:f>
      </x:c>
      <x:c r="S37" s="3" t="str">
        <x:f>IF(Master!T20="","",Master!T20)</x:f>
      </x:c>
      <x:c r="T37" s="3" t="str">
        <x:f>IF(Master!U20="","",Master!U20)</x:f>
        <x:v>Free</x:v>
      </x:c>
      <x:c r="U37" s="3" t="str">
        <x:f>IF(Master!V20="","",Master!V20)</x:f>
        <x:v>Free</x:v>
      </x:c>
      <x:c r="V37" s="3" t="str">
        <x:f>IF(Master!W20="","",Master!W20)</x:f>
      </x:c>
      <x:c r="W37" s="3" t="str">
        <x:f>IF(Master!X20="","",Master!X20)</x:f>
      </x:c>
      <x:c r="X37" s="3" t="str">
        <x:f>IF(Master!Y20="","",Master!Y20)</x:f>
        <x:v>Paid: Sudo</x:v>
      </x:c>
      <x:c r="Y37" s="3" t="str">
        <x:f>IF(Master!Z20="","",Master!Z20)</x:f>
      </x:c>
      <x:c r="Z37" s="3" t="str">
        <x:f>IF(Master!AA20="","",Master!AA20)</x:f>
      </x:c>
      <x:c r="AA37" s="6" t="str">
        <x:f>IF(Master!AB20="","",Master!AB20)</x:f>
        <x:v>Configurable/P2P</x:v>
      </x:c>
      <x:c r="AB37" s="3" t="str">
        <x:f>IF(Master!AC20="","",Master!AC20)</x:f>
      </x:c>
      <x:c r="AC37" s="3" t="str">
        <x:f>IF(Master!AD20="","",Master!AD20)</x:f>
      </x:c>
      <x:c r="AD37" s="3" t="str">
        <x:f>IF(Master!AE20="","",Master!AE20)</x:f>
        <x:v>Free if supported</x:v>
      </x:c>
      <x:c r="AE37" s="3" t="str">
        <x:f>IF(Master!AF20="","",Master!AF20)</x:f>
      </x:c>
      <x:c r="AF37" s="8" t="str">
        <x:f>IF(Master!AG20="","",Master!AG20)</x:f>
      </x:c>
    </x:row>
    <x:row r="38" ht="36" customHeight="1">
      <x:c r="A38" s="17" t="s">
        <x:v>130</x:v>
      </x:c>
      <x:c r="B38" s="3" t="str">
        <x:f>IF(Master!C21="","",Master!C21)</x:f>
      </x:c>
      <x:c r="C38" s="3" t="str">
        <x:f>IF(Master!D21="","",Master!D21)</x:f>
      </x:c>
      <x:c r="D38" s="3" t="str">
        <x:f>IF(Master!E21="","",Master!E21)</x:f>
      </x:c>
      <x:c r="E38" s="3" t="str">
        <x:f>IF(Master!F21="","",Master!F21)</x:f>
      </x:c>
      <x:c r="F38" s="3" t="str">
        <x:f>IF(Master!G21="","",Master!G21)</x:f>
      </x:c>
      <x:c r="G38" s="3" t="str">
        <x:f>IF(Master!H21="","",Master!H21)</x:f>
        <x:v>Paid: Plutonium</x:v>
      </x:c>
      <x:c r="H38" s="3" t="str">
        <x:f>IF(Master!I21="","",Master!I21)</x:f>
        <x:v>Paid: Diamond</x:v>
      </x:c>
      <x:c r="I38" s="3" t="str">
        <x:f>IF(Master!J21="","",Master!J21)</x:f>
      </x:c>
      <x:c r="J38" s="3" t="str">
        <x:f>IF(Master!K21="","",Master!K21)</x:f>
      </x:c>
      <x:c r="K38" s="3" t="str">
        <x:f>IF(Master!L21="","",Master!L21)</x:f>
        <x:v>Free/current</x:v>
      </x:c>
      <x:c r="L38" s="3" t="str">
        <x:f>IF(Master!M21="","",Master!M21)</x:f>
      </x:c>
      <x:c r="M38" s="3" t="str">
        <x:f>IF(Master!N21="","",Master!N21)</x:f>
      </x:c>
      <x:c r="N38" s="3" t="str">
        <x:f>IF(Master!O21="","",Master!O21)</x:f>
      </x:c>
      <x:c r="O38" s="3" t="str">
        <x:f>IF(Master!P21="","",Master!P21)</x:f>
      </x:c>
      <x:c r="P38" s="3" t="str">
        <x:f>IF(Master!Q21="","",Master!Q21)</x:f>
        <x:v>Free if supported; no paywall</x:v>
      </x:c>
      <x:c r="Q38" s="3" t="str">
        <x:f>IF(Master!R21="","",Master!R21)</x:f>
      </x:c>
      <x:c r="R38" s="3" t="str">
        <x:f>IF(Master!S21="","",Master!S21)</x:f>
      </x:c>
      <x:c r="S38" s="3" t="str">
        <x:f>IF(Master!T21="","",Master!T21)</x:f>
      </x:c>
      <x:c r="T38" s="3" t="str">
        <x:f>IF(Master!U21="","",Master!U21)</x:f>
        <x:v>No: current published hosted range tops out at 1080p</x:v>
      </x:c>
      <x:c r="U38" s="3" t="str">
        <x:f>IF(Master!V21="","",Master!V21)</x:f>
        <x:v>Paid: Rift+</x:v>
      </x:c>
      <x:c r="V38" s="3" t="str">
        <x:f>IF(Master!W21="","",Master!W21)</x:f>
      </x:c>
      <x:c r="W38" s="3" t="str">
        <x:f>IF(Master!X21="","",Master!X21)</x:f>
      </x:c>
      <x:c r="X38" s="3" t="str">
        <x:f>IF(Master!Y21="","",Master!Y21)</x:f>
        <x:v>Paid: Sudo</x:v>
      </x:c>
      <x:c r="Y38" s="3" t="str">
        <x:f>IF(Master!Z21="","",Master!Z21)</x:f>
      </x:c>
      <x:c r="Z38" s="3" t="str">
        <x:f>IF(Master!AA21="","",Master!AA21)</x:f>
      </x:c>
      <x:c r="AA38" s="6" t="str">
        <x:f>IF(Master!AB21="","",Master!AB21)</x:f>
      </x:c>
      <x:c r="AB38" s="3" t="str">
        <x:f>IF(Master!AC21="","",Master!AC21)</x:f>
      </x:c>
      <x:c r="AC38" s="3" t="str">
        <x:f>IF(Master!AD21="","",Master!AD21)</x:f>
      </x:c>
      <x:c r="AD38" s="3" t="str">
        <x:f>IF(Master!AE21="","",Master!AE21)</x:f>
        <x:v>Free if supported</x:v>
      </x:c>
      <x:c r="AE38" s="3" t="str">
        <x:f>IF(Master!AF21="","",Master!AF21)</x:f>
      </x:c>
      <x:c r="AF38" s="8" t="str">
        <x:f>IF(Master!AG21="","",Master!AG21)</x:f>
      </x:c>
    </x:row>
    <x:row r="39" ht="36" customHeight="1">
      <x:c r="A39" s="17" t="s">
        <x:v>131</x:v>
      </x:c>
      <x:c r="B39" s="3" t="str">
        <x:f>IF(Master!C22="","",Master!C22)</x:f>
        <x:v>Paid: Nitro</x:v>
      </x:c>
      <x:c r="C39" s="3" t="str">
        <x:f>IF(Master!D22="","",Master!D22)</x:f>
      </x:c>
      <x:c r="D39" s="3" t="str">
        <x:f>IF(Master!E22="","",Master!E22)</x:f>
      </x:c>
      <x:c r="E39" s="3" t="str">
        <x:f>IF(Master!F22="","",Master!F22)</x:f>
      </x:c>
      <x:c r="F39" s="3" t="str">
        <x:f>IF(Master!G22="","",Master!G22)</x:f>
      </x:c>
      <x:c r="G39" s="3" t="str">
        <x:f>IF(Master!H22="","",Master!H22)</x:f>
        <x:v>Paid: Plutonium</x:v>
      </x:c>
      <x:c r="H39" s="3" t="str">
        <x:f>IF(Master!I22="","",Master!I22)</x:f>
        <x:v>Paid: Diamond</x:v>
      </x:c>
      <x:c r="I39" s="3" t="str">
        <x:f>IF(Master!J22="","",Master!J22)</x:f>
      </x:c>
      <x:c r="J39" s="3" t="str">
        <x:f>IF(Master!K22="","",Master!K22)</x:f>
      </x:c>
      <x:c r="K39" s="3" t="str">
        <x:f>IF(Master!L22="","",Master!L22)</x:f>
        <x:v>Free/current</x:v>
      </x:c>
      <x:c r="L39" s="3" t="str">
        <x:f>IF(Master!M22="","",Master!M22)</x:f>
      </x:c>
      <x:c r="M39" s="3" t="str">
        <x:f>IF(Master!N22="","",Master!N22)</x:f>
      </x:c>
      <x:c r="N39" s="3" t="str">
        <x:f>IF(Master!O22="","",Master!O22)</x:f>
      </x:c>
      <x:c r="O39" s="3" t="str">
        <x:f>IF(Master!P22="","",Master!P22)</x:f>
      </x:c>
      <x:c r="P39" s="3" t="str">
        <x:f>IF(Master!Q22="","",Master!Q22)</x:f>
        <x:v>Free if supported; no paywall</x:v>
      </x:c>
      <x:c r="Q39" s="3" t="str">
        <x:f>IF(Master!R22="","",Master!R22)</x:f>
      </x:c>
      <x:c r="R39" s="3" t="str">
        <x:f>IF(Master!S22="","",Master!S22)</x:f>
      </x:c>
      <x:c r="S39" s="3" t="str">
        <x:f>IF(Master!T22="","",Master!T22)</x:f>
      </x:c>
      <x:c r="T39" s="3" t="str">
        <x:f>IF(Master!U22="","",Master!U22)</x:f>
        <x:v>No: current published hosted range tops out at 1080p</x:v>
      </x:c>
      <x:c r="U39" s="3" t="str">
        <x:f>IF(Master!V22="","",Master!V22)</x:f>
        <x:v>N/A</x:v>
      </x:c>
      <x:c r="V39" s="3" t="str">
        <x:f>IF(Master!W22="","",Master!W22)</x:f>
      </x:c>
      <x:c r="W39" s="3" t="str">
        <x:f>IF(Master!X22="","",Master!X22)</x:f>
      </x:c>
      <x:c r="X39" s="3" t="str">
        <x:f>IF(Master!Y22="","",Master!Y22)</x:f>
        <x:v>N/A</x:v>
      </x:c>
      <x:c r="Y39" s="3" t="str">
        <x:f>IF(Master!Z22="","",Master!Z22)</x:f>
      </x:c>
      <x:c r="Z39" s="3" t="str">
        <x:f>IF(Master!AA22="","",Master!AA22)</x:f>
      </x:c>
      <x:c r="AA39" s="6" t="str">
        <x:f>IF(Master!AB22="","",Master!AB22)</x:f>
      </x:c>
      <x:c r="AB39" s="3" t="str">
        <x:f>IF(Master!AC22="","",Master!AC22)</x:f>
      </x:c>
      <x:c r="AC39" s="3" t="str">
        <x:f>IF(Master!AD22="","",Master!AD22)</x:f>
      </x:c>
      <x:c r="AD39" s="3" t="str">
        <x:f>IF(Master!AE22="","",Master!AE22)</x:f>
        <x:v>Free if supported</x:v>
      </x:c>
      <x:c r="AE39" s="3" t="str">
        <x:f>IF(Master!AF22="","",Master!AF22)</x:f>
      </x:c>
      <x:c r="AF39" s="8" t="str">
        <x:f>IF(Master!AG22="","",Master!AG22)</x:f>
      </x:c>
    </x:row>
    <x:row r="40" ht="36" customHeight="1">
      <x:c r="A40" s="17" t="s">
        <x:v>132</x:v>
      </x:c>
      <x:c r="B40" s="3" t="str">
        <x:f>IF(Master!C23="","",Master!C23)</x:f>
        <x:v>96 → 384 kbps</x:v>
      </x:c>
      <x:c r="C40" s="3" t="str">
        <x:f>IF(Master!D23="","",Master!D23)</x:f>
      </x:c>
      <x:c r="D40" s="3" t="str">
        <x:f>IF(Master!E23="","",Master!E23)</x:f>
      </x:c>
      <x:c r="E40" s="3" t="str">
        <x:f>IF(Master!F23="","",Master!F23)</x:f>
      </x:c>
      <x:c r="F40" s="3" t="str">
        <x:f>IF(Master!G23="","",Master!G23)</x:f>
      </x:c>
      <x:c r="G40" s="3" t="str">
        <x:f>IF(Master!H23="","",Master!H23)</x:f>
      </x:c>
      <x:c r="H40" s="3" t="str">
        <x:f>IF(Master!I23="","",Master!I23)</x:f>
        <x:v>64 → 256 kbps</x:v>
      </x:c>
      <x:c r="I40" s="3" t="str">
        <x:f>IF(Master!J23="","",Master!J23)</x:f>
      </x:c>
      <x:c r="J40" s="3" t="str">
        <x:f>IF(Master!K23="","",Master!K23)</x:f>
      </x:c>
      <x:c r="K40" s="3" t="str">
        <x:f>IF(Master!L23="","",Master!L23)</x:f>
        <x:v>24/48/96/128 kbps → 128 kbps</x:v>
      </x:c>
      <x:c r="L40" s="3" t="str">
        <x:f>IF(Master!M23="","",Master!M23)</x:f>
      </x:c>
      <x:c r="M40" s="3" t="str">
        <x:f>IF(Master!N23="","",Master!N23)</x:f>
      </x:c>
      <x:c r="N40" s="3" t="str">
        <x:f>IF(Master!O23="","",Master!O23)</x:f>
      </x:c>
      <x:c r="O40" s="3" t="str">
        <x:f>IF(Master!P23="","",Master!P23)</x:f>
      </x:c>
      <x:c r="P40" s="3" t="str">
        <x:f>IF(Master!Q23="","",Master!Q23)</x:f>
      </x:c>
      <x:c r="Q40" s="3" t="str">
        <x:f>IF(Master!R23="","",Master!R23)</x:f>
      </x:c>
      <x:c r="R40" s="3" t="str">
        <x:f>IF(Master!S23="","",Master!S23)</x:f>
      </x:c>
      <x:c r="S40" s="3" t="str">
        <x:f>IF(Master!T23="","",Master!T23)</x:f>
      </x:c>
      <x:c r="T40" s="3" t="str">
        <x:f>IF(Master!U23="","",Master!U23)</x:f>
        <x:v>Not publicly claimed</x:v>
      </x:c>
      <x:c r="U40" s="3" t="str">
        <x:f>IF(Master!V23="","",Master!V23)</x:f>
        <x:v>96 → 192 kbps</x:v>
      </x:c>
      <x:c r="V40" s="3" t="str">
        <x:f>IF(Master!W23="","",Master!W23)</x:f>
      </x:c>
      <x:c r="W40" s="3" t="str">
        <x:f>IF(Master!X23="","",Master!X23)</x:f>
      </x:c>
      <x:c r="X40" s="3" t="str">
        <x:f>IF(Master!Y23="","",Master!Y23)</x:f>
      </x:c>
      <x:c r="Y40" s="3" t="str">
        <x:f>IF(Master!Z23="","",Master!Z23)</x:f>
      </x:c>
      <x:c r="Z40" s="3" t="str">
        <x:f>IF(Master!AA23="","",Master!AA23)</x:f>
      </x:c>
      <x:c r="AA40" s="6" t="str">
        <x:f>IF(Master!AB23="","",Master!AB23)</x:f>
      </x:c>
      <x:c r="AB40" s="3" t="str">
        <x:f>IF(Master!AC23="","",Master!AC23)</x:f>
      </x:c>
      <x:c r="AC40" s="3" t="str">
        <x:f>IF(Master!AD23="","",Master!AD23)</x:f>
      </x:c>
      <x:c r="AD40" s="3" t="str">
        <x:f>IF(Master!AE23="","",Master!AE23)</x:f>
      </x:c>
      <x:c r="AE40" s="3" t="str">
        <x:f>IF(Master!AF23="","",Master!AF23)</x:f>
      </x:c>
      <x:c r="AF40" s="8" t="str">
        <x:f>IF(Master!AG23="","",Master!AG23)</x:f>
      </x:c>
    </x:row>
    <x:row r="41" ht="36" customHeight="1">
      <x:c r="A41" s="17" t="s">
        <x:v>133</x:v>
      </x:c>
      <x:c r="B41" s="3" t="str">
        <x:f>IF(Master!C24="","",Master!C24)</x:f>
        <x:v>Per user; Per boost</x:v>
      </x:c>
      <x:c r="C41" s="3" t="str">
        <x:f>IF(Master!D24="","",Master!D24)</x:f>
        <x:v>Free/open source; no ads and no paid tier</x:v>
      </x:c>
      <x:c r="D41" s="3" t="str">
        <x:f>IF(Master!E24="","",Master!E24)</x:f>
        <x:v>Free/open-source self-hosted/decentralized project</x:v>
      </x:c>
      <x:c r="E41" s="3" t="str">
        <x:f>IF(Master!F24="","",Master!F24)</x:f>
        <x:v>Free core with Premium/Boost tiers when active</x:v>
      </x:c>
      <x:c r="F41" s="3" t="str">
        <x:f>IF(Master!G24="","",Master!G24)</x:f>
        <x:v>Subscription</x:v>
      </x:c>
      <x:c r="G41" s="3" t="str">
        <x:f>IF(Master!H24="","",Master!H24)</x:f>
        <x:v>Per user</x:v>
      </x:c>
      <x:c r="H41" s="3" t="str">
        <x:f>IF(Master!I24="","",Master!I24)</x:f>
        <x:v>Per server; Per self-hosted server</x:v>
      </x:c>
      <x:c r="I41" s="3" t="str">
        <x:f>IF(Master!J24="","",Master!J24)</x:f>
        <x:v>Open-source client ecosystem; platform monetization not established</x:v>
      </x:c>
      <x:c r="J41" s="3" t="str">
        <x:f>IF(Master!K24="","",Master!K24)</x:f>
        <x:v>Open-source distributed/self-hostable messenger</x:v>
      </x:c>
      <x:c r="K41" s="3" t="str">
        <x:f>IF(Master!L24="","",Master!L24)</x:f>
        <x:v>Free/currently unmonetized; self-funded</x:v>
      </x:c>
      <x:c r="L41" s="3" t="str">
        <x:f>IF(Master!M24="","",Master!M24)</x:f>
        <x:v>Self-funded/donation-supported passion project; no ads/subscriptions/data harvesting</x:v>
      </x:c>
      <x:c r="M41" s="3" t="str">
        <x:f>IF(Master!N24="","",Master!N24)</x:f>
        <x:v>Free core; optional managed self-hosting/premium planned</x:v>
      </x:c>
      <x:c r="N41" s="3" t="str">
        <x:f>IF(Master!O24="","",Master!O24)</x:f>
      </x:c>
      <x:c r="O41" s="3" t="str">
        <x:f>IF(Master!P24="","",Master!P24)</x:f>
        <x:v>Annual seat license; Add-on</x:v>
      </x:c>
      <x:c r="P41" s="3" t="str">
        <x:f>IF(Master!Q24="","",Master!Q24)</x:f>
        <x:v>Free platform; no premium communication tier documented</x:v>
      </x:c>
      <x:c r="Q41" s="3" t="str">
        <x:f>IF(Master!R24="","",Master!R24)</x:f>
        <x:v>Free/open-source self-hosted voice platform</x:v>
      </x:c>
      <x:c r="R41" s="3" t="str">
        <x:f>IF(Master!S24="","",Master!S24)</x:f>
        <x:v>Open-source community chat</x:v>
      </x:c>
      <x:c r="S41" s="3" t="str">
        <x:f>IF(Master!T24="","",Master!T24)</x:f>
        <x:v>Free core + Premium subscriptions; zero ads/no third-party data sharing</x:v>
      </x:c>
      <x:c r="T41" s="3" t="str">
        <x:f>IF(Master!U24="","",Master!U24)</x:f>
        <x:v>Free hosted; optional donations; free AGPL self-hosting</x:v>
      </x:c>
      <x:c r="U41" s="3" t="str">
        <x:f>IF(Master!V24="","",Master!V24)</x:f>
        <x:v>Per user; Per community / Shard</x:v>
      </x:c>
      <x:c r="V41" s="3" t="str">
        <x:f>IF(Master!W24="","",Master!W24)</x:f>
        <x:v>Organization / deployment</x:v>
      </x:c>
      <x:c r="W41" s="3" t="str">
        <x:f>IF(Master!X24="","",Master!X24)</x:f>
        <x:v>Open-source project</x:v>
      </x:c>
      <x:c r="X41" s="3" t="str">
        <x:f>IF(Master!Y24="","",Master!Y24)</x:f>
        <x:v>Per user</x:v>
      </x:c>
      <x:c r="Y41" s="3" t="str">
        <x:f>IF(Master!Z24="","",Master!Z24)</x:f>
        <x:v>Self-hosted open-source project</x:v>
      </x:c>
      <x:c r="Z41" s="3" t="str">
        <x:f>IF(Master!AA24="","",Master!AA24)</x:f>
        <x:v>Free and open source; no ads/data sales</x:v>
      </x:c>
      <x:c r="AA41" s="6" t="str">
        <x:f>IF(Master!AB24="","",Master!AB24)</x:f>
        <x:v>Per hosted community; Per self-host license; Custom</x:v>
      </x:c>
      <x:c r="AB41" s="3" t="str">
        <x:f>IF(Master!AC24="","",Master!AC24)</x:f>
        <x:v>Per supporter</x:v>
      </x:c>
      <x:c r="AC41" s="3" t="str">
        <x:f>IF(Master!AD24="","",Master!AD24)</x:f>
        <x:v>Early-stage open-source Discord alternative; monetization not clearly documented</x:v>
      </x:c>
      <x:c r="AD41" s="3" t="str">
        <x:f>IF(Master!AE24="","",Master!AE24)</x:f>
        <x:v>Per lobby; Per community build</x:v>
      </x:c>
      <x:c r="AE41" s="3" t="str">
        <x:f>IF(Master!AF24="","",Master!AF24)</x:f>
        <x:v>Per managed server</x:v>
      </x:c>
      <x:c r="AF41" s="8" t="str">
        <x:f>IF(Master!AG24="","",Master!AG24)</x:f>
        <x:v>Per user; Per user; 10-user minimum; Per user; 25-user minimum; Custom</x:v>
      </x:c>
    </x:row>
    <x:row r="42" ht="21.950000762939453" customHeight="1">
      <x:c r="A42" s="18" t="s">
        <x:v>134</x:v>
      </x:c>
      <x:c r="B42" s="18" t="str">
        <x:f t="shared" ref="B42:AF42" si="1">IF(""="","","")</x:f>
      </x:c>
      <x:c r="C42" s="18" t="str">
        <x:f t="shared" si="1"/>
      </x:c>
      <x:c r="D42" s="18" t="str">
        <x:f t="shared" si="1"/>
      </x:c>
      <x:c r="E42" s="18" t="str">
        <x:f t="shared" si="1"/>
      </x:c>
      <x:c r="F42" s="18" t="str">
        <x:f t="shared" si="1"/>
      </x:c>
      <x:c r="G42" s="18" t="str">
        <x:f t="shared" si="1"/>
      </x:c>
      <x:c r="H42" s="18" t="str">
        <x:f t="shared" si="1"/>
      </x:c>
      <x:c r="I42" s="18" t="str">
        <x:f t="shared" si="1"/>
      </x:c>
      <x:c r="J42" s="18" t="str">
        <x:f t="shared" si="1"/>
      </x:c>
      <x:c r="K42" s="18" t="str">
        <x:f t="shared" si="1"/>
      </x:c>
      <x:c r="L42" s="18" t="str">
        <x:f t="shared" si="1"/>
      </x:c>
      <x:c r="M42" s="18" t="str">
        <x:f t="shared" si="1"/>
      </x:c>
      <x:c r="N42" s="18" t="str">
        <x:f t="shared" si="1"/>
      </x:c>
      <x:c r="O42" s="18" t="str">
        <x:f t="shared" si="1"/>
      </x:c>
      <x:c r="P42" s="18" t="str">
        <x:f t="shared" si="1"/>
      </x:c>
      <x:c r="Q42" s="18" t="str">
        <x:f t="shared" si="1"/>
      </x:c>
      <x:c r="R42" s="18" t="str">
        <x:f t="shared" si="1"/>
      </x:c>
      <x:c r="S42" s="18" t="str">
        <x:f t="shared" si="1"/>
      </x:c>
      <x:c r="T42" s="18" t="str">
        <x:f t="shared" si="1"/>
      </x:c>
      <x:c r="U42" s="18" t="str">
        <x:f t="shared" si="1"/>
      </x:c>
      <x:c r="V42" s="18" t="str">
        <x:f t="shared" si="1"/>
      </x:c>
      <x:c r="W42" s="18" t="str">
        <x:f t="shared" si="1"/>
      </x:c>
      <x:c r="X42" s="18" t="str">
        <x:f t="shared" si="1"/>
      </x:c>
      <x:c r="Y42" s="18" t="str">
        <x:f t="shared" si="1"/>
      </x:c>
      <x:c r="Z42" s="18" t="str">
        <x:f t="shared" si="1"/>
      </x:c>
      <x:c r="AA42" s="18" t="str">
        <x:f t="shared" si="1"/>
      </x:c>
      <x:c r="AB42" s="18" t="str">
        <x:f t="shared" si="1"/>
      </x:c>
      <x:c r="AC42" s="18" t="str">
        <x:f t="shared" si="1"/>
      </x:c>
      <x:c r="AD42" s="18" t="str">
        <x:f t="shared" si="1"/>
      </x:c>
      <x:c r="AE42" s="18" t="str">
        <x:f t="shared" si="1"/>
      </x:c>
      <x:c r="AF42" s="19" t="str">
        <x:f t="shared" si="1"/>
      </x:c>
    </x:row>
    <x:row r="43" ht="36" customHeight="1">
      <x:c r="A43" s="17" t="s">
        <x:v>135</x:v>
      </x:c>
      <x:c r="B43" s="3" t="str">
        <x:f>IF(Master!C25="","",Master!C25)</x:f>
        <x:v>Nitro/Nitro Basic subscriptions, Server Boosts, Shop and app ecosystem</x:v>
      </x:c>
      <x:c r="C43" s="3" t="str">
        <x:f>IF(Master!D25="","",Master!D25)</x:f>
        <x:v>No Armada subscription: N/A</x:v>
      </x:c>
      <x:c r="D43" s="3" t="str">
        <x:f>IF(Master!E25="","",Master!E25)</x:f>
        <x:v>No DCTS subscription: N/A; PayPal / Ko-fi donations: User-selected</x:v>
      </x:c>
      <x:c r="E43" s="3" t="str">
        <x:f>IF(Master!F25="","",Master!F25)</x:f>
        <x:v>No public fixed-price paid tier verified: N/A</x:v>
      </x:c>
      <x:c r="F43" s="3" t="str">
        <x:f>IF(Master!G25="","",Master!G25)</x:f>
        <x:v>No current paid monetization verified / see Monetization Detail</x:v>
      </x:c>
      <x:c r="G43" s="3" t="str">
        <x:f>IF(Master!H25="","",Master!H25)</x:f>
        <x:v>Plutonium: 4.99/mo; 49.99/yr; One-time / monthly / yearly donations: Minimum 3 in selected currency</x:v>
      </x:c>
      <x:c r="H43" s="3" t="str">
        <x:f>IF(Master!I25="","",Master!I25)</x:f>
        <x:v>Silver: 4.99/mo; Gold: 9.99/mo; Diamond: 19.99/mo; Self-Hosted Server License: 2.00/mo; 15.00/yr</x:v>
      </x:c>
      <x:c r="I43" s="3" t="str">
        <x:f>IF(Master!J25="","",Master!J25)</x:f>
        <x:v>No central paid tier: N/A</x:v>
      </x:c>
      <x:c r="J43" s="3" t="str">
        <x:f>IF(Master!K25="","",Master!K25)</x:f>
        <x:v>No Hollow subscription: N/A</x:v>
      </x:c>
      <x:c r="K43" s="3" t="str">
        <x:f>IF(Master!L25="","",Master!L25)</x:f>
        <x:v>None currently</x:v>
      </x:c>
      <x:c r="L43" s="3" t="str">
        <x:f>IF(Master!M25="","",Master!M25)</x:f>
        <x:v>No public fixed-price paid tier verified: N/A; Self-funding + donations: User-selected</x:v>
      </x:c>
      <x:c r="M43" s="3" t="str">
        <x:f>IF(Master!N25="","",Master!N25)</x:f>
        <x:v>Core features free; premium managed hosting planned</x:v>
      </x:c>
      <x:c r="N43" s="3" t="str">
        <x:f>IF(Master!O25="","",Master!O25)</x:f>
        <x:v>No Matrix-wide paid tier: N/A; Donations / organizational sponsorship: User-selected / sponsorship</x:v>
      </x:c>
      <x:c r="O43" s="3" t="str">
        <x:f>IF(Master!P25="","",Master!P25)</x:f>
        <x:v>Professional: Contact Sales / Quote; Enterprise: Contact Sales / Quote; Enterprise Advanced: Contact Sales / Quote; Premier Support: Contact Sales / Quote</x:v>
      </x:c>
      <x:c r="P43" s="3" t="str">
        <x:f>IF(Master!Q25="","",Master!Q25)</x:f>
        <x:v>No premium communication subscription: N/A; Mezon Token / Mezon Dong payments: Transaction-dependent</x:v>
      </x:c>
      <x:c r="Q43" s="3" t="str">
        <x:f>IF(Master!R25="","",Master!R25)</x:f>
        <x:v>No Mumble subscription: N/A</x:v>
      </x:c>
      <x:c r="R43" s="3" t="str">
        <x:f>IF(Master!S25="","",Master!S25)</x:f>
        <x:v>No paid subscription verified: N/A; Donation-funded service: User-selected</x:v>
      </x:c>
      <x:c r="S43" s="3" t="str">
        <x:f>IF(Master!T25="","",Master!T25)</x:f>
        <x:v>No public fixed-price paid tier verified: N/A</x:v>
      </x:c>
      <x:c r="T43" s="3" t="str">
        <x:f>IF(Master!U25="","",Master!U25)</x:f>
        <x:v>Optional donations only; donations unlock nothing</x:v>
      </x:c>
      <x:c r="U43" s="3" t="str">
        <x:f>IF(Master!V25="","",Master!V25)</x:f>
        <x:v>Rift+: 7.00/mo; 70.00/yr;
 Shard Ember: 10.00/mo;
 Shard Forge: 25.00/mo</x:v>
      </x:c>
      <x:c r="V43" s="3" t="str">
        <x:f>IF(Master!W25="","",Master!W25)</x:f>
        <x:v>Commercial: Contact Sales / Quote; Government: Contact Sales / Quote; Defense: Contact Sales / Quote</x:v>
      </x:c>
      <x:c r="W43" s="3" t="str">
        <x:f>IF(Master!X25="","",Master!X25)</x:f>
        <x:v>No paid Roomy subscription verified: N/A</x:v>
      </x:c>
      <x:c r="X43" s="3" t="str">
        <x:f>IF(Master!Y25="","",Master!Y25)</x:f>
      </x:c>
      <x:c r="Y43" s="3" t="str">
        <x:f>IF(Master!Z25="","",Master!Z25)</x:f>
        <x:v>No central paid tier: N/A</x:v>
      </x:c>
      <x:c r="Z43" s="3" t="str">
        <x:f>IF(Master!AA25="","",Master!AA25)</x:f>
        <x:v>No public fixed-price paid tier verified: N/A</x:v>
      </x:c>
      <x:c r="AA43" s="6" t="str">
        <x:f>IF(Master!AB25="","",Master!AB25)</x:f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B43" s="3" t="str">
        <x:f>IF(Master!AC25="","",Master!AC25)</x:f>
        <x:v>Optional Stargazer subscriptions/Patreon</x:v>
      </x:c>
      <x:c r="AC43" s="3" t="str">
        <x:f>IF(Master!AD25="","",Master!AD25)</x:f>
        <x:v>No public fixed-price paid tier verified: N/A</x:v>
      </x:c>
      <x:c r="AD43" s="3" t="str">
        <x:f>IF(Master!AE25="","",Master!AE25)</x:f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E43" s="3" t="str">
        <x:f>IF(Master!AF25="","",Master!AF25)</x:f>
        <x:v>Yapper Hosting 1 Year: 45.00 promo / 90.00 regular/yr; Maximum Control Self-Hosting License: 0</x:v>
      </x:c>
      <x:c r="AF43" s="8" t="str">
        <x:f>IF(Master!AG25="","",Master!AG25)</x:f>
        <x:v>Cloud Standard: 8.00/mo; 80.04/yr; Cloud Plus: 12.00/mo; 120.00/yr; Self-hosted Basic: 3.50/mo; Self-hosted Business: 8.00/mo; 80.04/yr; Self-hosted Enterprise: Contact Sales / Quote</x:v>
      </x:c>
    </x:row>
    <x:row r="44" ht="36" customHeight="1">
      <x:c r="A44" s="17" t="s">
        <x:v>136</x:v>
      </x:c>
      <x:c r="B44" s="3" t="str">
        <x:f>IF(Master!C26="","",Master!C26)</x:f>
      </x:c>
      <x:c r="C44" s="3" t="str">
        <x:f>IF(Master!D26="","",Master!D26)</x:f>
      </x:c>
      <x:c r="D44" s="3" t="str">
        <x:f>IF(Master!E26="","",Master!E26)</x:f>
      </x:c>
      <x:c r="E44" s="3" t="str">
        <x:f>IF(Master!F26="","",Master!F26)</x:f>
      </x:c>
      <x:c r="F44" s="3" t="str">
        <x:f>IF(Master!G26="","",Master!G26)</x:f>
        <x:v>Surge: 4.99/mo; Flare: 9.99/mo; Prime: 24.99/mo</x:v>
      </x:c>
      <x:c r="G44" s="3" t="str">
        <x:f>IF(Master!H26="","",Master!H26)</x:f>
        <x:v>Subscriptions/donations; creator payments planned</x:v>
      </x:c>
      <x:c r="H44" s="3" t="str">
        <x:f>IF(Master!I26="","",Master!I26)</x:f>
      </x:c>
      <x:c r="I44" s="3" t="str">
        <x:f>IF(Master!J26="","",Master!J26)</x:f>
      </x:c>
      <x:c r="J44" s="3" t="str">
        <x:f>IF(Master!K26="","",Master!K26)</x:f>
        <x:v>No premium tier: 0</x:v>
      </x:c>
      <x:c r="K44" s="3" t="str">
        <x:f>IF(Master!L26="","",Master!L26)</x:f>
        <x:v>Future monetization planned, model TBD</x:v>
      </x:c>
      <x:c r="L44" s="3" t="str">
        <x:f>IF(Master!M26="","",Master!M26)</x:f>
      </x:c>
      <x:c r="M44" s="3" t="str">
        <x:f>IF(Master!N26="","",Master!N26)</x:f>
      </x:c>
      <x:c r="N44" s="3" t="str">
        <x:f>IF(Master!O26="","",Master!O26)</x:f>
        <x:v>Premium plan: Price not finalized</x:v>
      </x:c>
      <x:c r="O44" s="3" t="str">
        <x:f>IF(Master!P26="","",Master!P26)</x:f>
      </x:c>
      <x:c r="P44" s="3" t="str">
        <x:f>IF(Master!Q26="","",Master!Q26)</x:f>
      </x:c>
      <x:c r="Q44" s="3" t="str">
        <x:f>IF(Master!R26="","",Master!R26)</x:f>
      </x:c>
      <x:c r="R44" s="3" t="str">
        <x:f>IF(Master!S26="","",Master!S26)</x:f>
      </x:c>
      <x:c r="S44" s="3" t="str">
        <x:f>IF(Master!T26="","",Master!T26)</x:f>
      </x:c>
      <x:c r="T44" s="3" t="str">
        <x:f>IF(Master!U26="","",Master!U26)</x:f>
      </x:c>
      <x:c r="U44" s="3" t="str">
        <x:f>IF(Master!V26="","",Master!V26)</x:f>
        <x:v>Subscriptions fund operations</x:v>
      </x:c>
      <x:c r="V44" s="3" t="str">
        <x:f>IF(Master!W26="","",Master!W26)</x:f>
      </x:c>
      <x:c r="W44" s="3" t="str">
        <x:f>IF(Master!X26="","",Master!X26)</x:f>
      </x:c>
      <x:c r="X44" s="3" t="str">
        <x:f>IF(Master!Y26="","",Master!Y26)</x:f>
      </x:c>
      <x:c r="Y44" s="3" t="str">
        <x:f>IF(Master!Z26="","",Master!Z26)</x:f>
      </x:c>
      <x:c r="Z44" s="3" t="str">
        <x:f>IF(Master!AA26="","",Master!AA26)</x:f>
      </x:c>
      <x:c r="AA44" s="6" t="str">
        <x:f>IF(Master!AB26="","",Master!AB26)</x:f>
      </x:c>
      <x:c r="AB44" s="3" t="str">
        <x:f>IF(Master!AC26="","",Master!AC26)</x:f>
      </x:c>
      <x:c r="AC44" s="3" t="str">
        <x:f>IF(Master!AD26="","",Master!AD26)</x:f>
      </x:c>
      <x:c r="AD44" s="3" t="str">
        <x:f>IF(Master!AE26="","",Master!AE26)</x:f>
      </x:c>
      <x:c r="AE44" s="3" t="str">
        <x:f>IF(Master!AF26="","",Master!AF26)</x:f>
      </x:c>
      <x:c r="AF44" s="8" t="str">
        <x:f>IF(Master!AG26="","",Master!AG26)</x:f>
      </x:c>
    </x:row>
    <x:row r="45" ht="36" customHeight="1">
      <x:c r="A45" s="17" t="s">
        <x:v>137</x:v>
      </x:c>
      <x:c r="B45" s="3" t="str">
        <x:f>IF(Master!C27="","",Master!C27)</x:f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C45" s="3" t="str">
        <x:f>IF(Master!D27="","",Master!D27)</x:f>
      </x:c>
      <x:c r="D45" s="3" t="str">
        <x:f>IF(Master!E27="","",Master!E27)</x:f>
      </x:c>
      <x:c r="E45" s="3" t="str">
        <x:f>IF(Master!F27="","",Master!F27)</x:f>
      </x:c>
      <x:c r="F45" s="3" t="str">
        <x:f>IF(Master!G27="","",Master!G27)</x:f>
      </x:c>
      <x:c r="G45" s="3" t="str">
        <x:f>IF(Master!H27="","",Master!H27)</x:f>
      </x:c>
      <x:c r="H45" s="3" t="str">
        <x:f>IF(Master!I27="","",Master!I27)</x:f>
        <x:v>Silver: 4.99/mo; Gold: 9.99/mo; Diamond: 19.99/mo</x:v>
      </x:c>
      <x:c r="I45" s="3" t="str">
        <x:f>IF(Master!J27="","",Master!J27)</x:f>
      </x:c>
      <x:c r="J45" s="3" t="str">
        <x:f>IF(Master!K27="","",Master!K27)</x:f>
      </x:c>
      <x:c r="K45" s="3" t="str">
        <x:f>IF(Master!L27="","",Master!L27)</x:f>
        <x:v>No paid server/community tier currently</x:v>
      </x:c>
      <x:c r="L45" s="3" t="str">
        <x:f>IF(Master!M27="","",Master!M27)</x:f>
      </x:c>
      <x:c r="M45" s="3" t="str">
        <x:f>IF(Master!N27="","",Master!N27)</x:f>
      </x:c>
      <x:c r="N45" s="3" t="str">
        <x:f>IF(Master!O27="","",Master!O27)</x:f>
      </x:c>
      <x:c r="O45" s="3" t="str">
        <x:f>IF(Master!P27="","",Master!P27)</x:f>
      </x:c>
      <x:c r="P45" s="3" t="str">
        <x:f>IF(Master!Q27="","",Master!Q27)</x:f>
      </x:c>
      <x:c r="Q45" s="3" t="str">
        <x:f>IF(Master!R27="","",Master!R27)</x:f>
      </x:c>
      <x:c r="R45" s="3" t="str">
        <x:f>IF(Master!S27="","",Master!S27)</x:f>
      </x:c>
      <x:c r="S45" s="3" t="str">
        <x:f>IF(Master!T27="","",Master!T27)</x:f>
      </x:c>
      <x:c r="T45" s="3" t="str">
        <x:f>IF(Master!U27="","",Master!U27)</x:f>
        <x:v>None: no paid feature tier</x:v>
      </x:c>
      <x:c r="U45" s="3" t="str">
        <x:f>IF(Master!V27="","",Master!V27)</x:f>
        <x:v>Ember $10/mo; Forge $25/mo</x:v>
      </x:c>
      <x:c r="V45" s="3" t="str">
        <x:f>IF(Master!W27="","",Master!W27)</x:f>
      </x:c>
      <x:c r="W45" s="3" t="str">
        <x:f>IF(Master!X27="","",Master!X27)</x:f>
      </x:c>
      <x:c r="X45" s="3" t="str">
        <x:f>IF(Master!Y27="","",Master!Y27)</x:f>
      </x:c>
      <x:c r="Y45" s="3" t="str">
        <x:f>IF(Master!Z27="","",Master!Z27)</x:f>
      </x:c>
      <x:c r="Z45" s="3" t="str">
        <x:f>IF(Master!AA27="","",Master!AA27)</x:f>
      </x:c>
      <x:c r="AA45" s="6" t="str">
        <x:f>IF(Master!AB27="","",Master!AB27)</x:f>
        <x:v>Crew: 4.99/mo; 53.99/yr; Team: 8.99/mo; 96.99/yr; Faction: 17.99/mo; 194.99/yr</x:v>
      </x:c>
      <x:c r="AB45" s="3" t="str">
        <x:f>IF(Master!AC27="","",Master!AC27)</x:f>
      </x:c>
      <x:c r="AC45" s="3" t="str">
        <x:f>IF(Master!AD27="","",Master!AD27)</x:f>
      </x:c>
      <x:c r="AD45" s="3" t="str">
        <x:f>IF(Master!AE27="","",Master!AE27)</x:f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E45" s="3" t="str">
        <x:f>IF(Master!AF27="","",Master!AF27)</x:f>
      </x:c>
      <x:c r="AF45" s="8" t="str">
        <x:f>IF(Master!AG27="","",Master!AG27)</x:f>
      </x:c>
    </x:row>
    <x:row r="46" ht="36" customHeight="1">
      <x:c r="A46" s="17" t="s">
        <x:v>138</x:v>
      </x:c>
      <x:c r="B46" s="3" t="str">
        <x:f>IF(Master!C28="","",Master!C28)</x:f>
        <x:v>Nitro Basic: 2.99/mo; 29.99/yr; Nitro: 9.99/mo; 99.99/yr; Nitro Classic: 4.99/mo; 49.99/yr</x:v>
      </x:c>
      <x:c r="C46" s="3" t="str">
        <x:f>IF(Master!D28="","",Master!D28)</x:f>
      </x:c>
      <x:c r="D46" s="3" t="str">
        <x:f>IF(Master!E28="","",Master!E28)</x:f>
      </x:c>
      <x:c r="E46" s="3" t="str">
        <x:f>IF(Master!F28="","",Master!F28)</x:f>
      </x:c>
      <x:c r="F46" s="3" t="str">
        <x:f>IF(Master!G28="","",Master!G28)</x:f>
      </x:c>
      <x:c r="G46" s="3" t="str">
        <x:f>IF(Master!H28="","",Master!H28)</x:f>
        <x:v>Plutonium: 4.99/mo; 49.99/yr</x:v>
      </x:c>
      <x:c r="H46" s="3" t="str">
        <x:f>IF(Master!I28="","",Master!I28)</x:f>
      </x:c>
      <x:c r="I46" s="3" t="str">
        <x:f>IF(Master!J28="","",Master!J28)</x:f>
      </x:c>
      <x:c r="J46" s="3" t="str">
        <x:f>IF(Master!K28="","",Master!K28)</x:f>
      </x:c>
      <x:c r="K46" s="3" t="str">
        <x:f>IF(Master!L28="","",Master!L28)</x:f>
        <x:v>No paid user tier currently</x:v>
      </x:c>
      <x:c r="L46" s="3" t="str">
        <x:f>IF(Master!M28="","",Master!M28)</x:f>
      </x:c>
      <x:c r="M46" s="3" t="str">
        <x:f>IF(Master!N28="","",Master!N28)</x:f>
      </x:c>
      <x:c r="N46" s="3" t="str">
        <x:f>IF(Master!O28="","",Master!O28)</x:f>
      </x:c>
      <x:c r="O46" s="3" t="str">
        <x:f>IF(Master!P28="","",Master!P28)</x:f>
      </x:c>
      <x:c r="P46" s="3" t="str">
        <x:f>IF(Master!Q28="","",Master!Q28)</x:f>
      </x:c>
      <x:c r="Q46" s="3" t="str">
        <x:f>IF(Master!R28="","",Master!R28)</x:f>
      </x:c>
      <x:c r="R46" s="3" t="str">
        <x:f>IF(Master!S28="","",Master!S28)</x:f>
      </x:c>
      <x:c r="S46" s="3" t="str">
        <x:f>IF(Master!T28="","",Master!T28)</x:f>
      </x:c>
      <x:c r="T46" s="3" t="str">
        <x:f>IF(Master!U28="","",Master!U28)</x:f>
        <x:v>None: no paid feature tier</x:v>
      </x:c>
      <x:c r="U46" s="3" t="str">
        <x:f>IF(Master!V28="","",Master!V28)</x:f>
        <x:v>Rift+: 7.00/mo; 70.00/yr</x:v>
      </x:c>
      <x:c r="V46" s="3" t="str">
        <x:f>IF(Master!W28="","",Master!W28)</x:f>
      </x:c>
      <x:c r="W46" s="3" t="str">
        <x:f>IF(Master!X28="","",Master!X28)</x:f>
      </x:c>
      <x:c r="X46" s="3" t="str">
        <x:f>IF(Master!Y28="","",Master!Y28)</x:f>
      </x:c>
      <x:c r="Y46" s="3" t="str">
        <x:f>IF(Master!Z28="","",Master!Z28)</x:f>
      </x:c>
      <x:c r="Z46" s="3" t="str">
        <x:f>IF(Master!AA28="","",Master!AA28)</x:f>
      </x:c>
      <x:c r="AA46" s="6" t="str">
        <x:f>IF(Master!AB28="","",Master!AB28)</x:f>
      </x:c>
      <x:c r="AB46" s="3" t="str">
        <x:f>IF(Master!AC28="","",Master!AC28)</x:f>
      </x:c>
      <x:c r="AC46" s="3" t="str">
        <x:f>IF(Master!AD28="","",Master!AD28)</x:f>
      </x:c>
      <x:c r="AD46" s="3" t="str">
        <x:f>IF(Master!AE28="","",Master!AE28)</x:f>
      </x:c>
      <x:c r="AE46" s="3" t="str">
        <x:f>IF(Master!AF28="","",Master!AF28)</x:f>
      </x:c>
      <x:c r="AF46" s="8" t="str">
        <x:f>IF(Master!AG28="","",Master!AG28)</x:f>
      </x:c>
    </x:row>
    <x:row r="47" ht="36" customHeight="1">
      <x:c r="A47" s="17" t="s">
        <x:v>139</x:v>
      </x:c>
      <x:c r="B47" s="3" t="str">
        <x:f>IF(Master!C29="","",Master!C29)</x:f>
        <x:v>https://discord.com/terms</x:v>
      </x:c>
      <x:c r="C47" s="3" t="str">
        <x:f>IF(Master!D29="","",Master!D29)</x:f>
        <x:v>https://github.com/soapbox-pub/armada</x:v>
      </x:c>
      <x:c r="D47" s="3" t="str">
        <x:f>IF(Master!E29="","",Master!E29)</x:f>
      </x:c>
      <x:c r="E47" s="3" t="str">
        <x:f>IF(Master!F29="","",Master!F29)</x:f>
      </x:c>
      <x:c r="F47" s="3" t="str">
        <x:f>IF(Master!G29="","",Master!G29)</x:f>
        <x:v>https://fenrid.com/terms</x:v>
      </x:c>
      <x:c r="G47" s="3" t="str">
        <x:f>IF(Master!H29="","",Master!H29)</x:f>
        <x:v>https://fluxer.app/terms</x:v>
      </x:c>
      <x:c r="H47" s="3" t="str">
        <x:f>IF(Master!I29="","",Master!I29)</x:f>
        <x:v>https://gamevox.com/terms/</x:v>
      </x:c>
      <x:c r="I47" s="3" t="str">
        <x:f>IF(Master!J29="","",Master!J29)</x:f>
      </x:c>
      <x:c r="J47" s="3" t="str">
        <x:f>IF(Master!K29="","",Master!K29)</x:f>
        <x:v>https://github.com/VitalikPro13/HOLLOW</x:v>
      </x:c>
      <x:c r="K47" s="3" t="str">
        <x:f>IF(Master!L29="","",Master!L29)</x:f>
      </x:c>
      <x:c r="L47" s="3" t="str">
        <x:f>IF(Master!M29="","",Master!M29)</x:f>
        <x:v>https://kloak.app/terms</x:v>
      </x:c>
      <x:c r="M47" s="3" t="str">
        <x:f>IF(Master!N29="","",Master!N29)</x:f>
        <x:v>https://loqa.chat/terms/</x:v>
      </x:c>
      <x:c r="N47" s="3" t="str">
        <x:f>IF(Master!O29="","",Master!O29)</x:f>
        <x:v>https://matrix.org/legal/terms-and-conditions/</x:v>
      </x:c>
      <x:c r="O47" s="3" t="str">
        <x:f>IF(Master!P29="","",Master!P29)</x:f>
        <x:v>https://docs.mattermost.com/product-overview/faq-license</x:v>
      </x:c>
      <x:c r="P47" s="3" t="str">
        <x:f>IF(Master!Q29="","",Master!Q29)</x:f>
        <x:v>https://dong.mezon.ai/</x:v>
      </x:c>
      <x:c r="Q47" s="3" t="str">
        <x:f>IF(Master!R29="","",Master!R29)</x:f>
        <x:v>https://www.mumble.info/</x:v>
      </x:c>
      <x:c r="R47" s="3" t="str">
        <x:f>IF(Master!S29="","",Master!S29)</x:f>
        <x:v>https://nerimity.com/</x:v>
      </x:c>
      <x:c r="S47" s="3" t="str">
        <x:f>IF(Master!T29="","",Master!T29)</x:f>
        <x:v>https://osmium.chat/terms/</x:v>
      </x:c>
      <x:c r="T47" s="3" t="str">
        <x:f>IF(Master!U29="","",Master!U29)</x:f>
        <x:v>https://pqp.gg/terms</x:v>
      </x:c>
      <x:c r="U47" s="3" t="str">
        <x:f>IF(Master!V29="","",Master!V29)</x:f>
        <x:v>https://therift.chat/terms/</x:v>
      </x:c>
      <x:c r="V47" s="3" t="str">
        <x:f>IF(Master!W29="","",Master!W29)</x:f>
        <x:v>https://docs.rocket.chat/docs/legal-center</x:v>
      </x:c>
      <x:c r="W47" s="3" t="str">
        <x:f>IF(Master!X29="","",Master!X29)</x:f>
      </x:c>
      <x:c r="X47" s="3" t="str">
        <x:f>IF(Master!Y29="","",Master!Y29)</x:f>
        <x:v>https://www.rootapp.com/terms-of-use</x:v>
      </x:c>
      <x:c r="Y47" s="3" t="str">
        <x:f>IF(Master!Z29="","",Master!Z29)</x:f>
        <x:v>https://spacebar.chat/</x:v>
      </x:c>
      <x:c r="Z47" s="3" t="str">
        <x:f>IF(Master!AA29="","",Master!AA29)</x:f>
        <x:v>https://stoat.chat/legal/terms</x:v>
      </x:c>
      <x:c r="AA47" s="6" t="str">
        <x:f>IF(Master!AB29="","",Master!AB29)</x:f>
        <x:v>https://www.teamspeak.com/en/terms-and-conditions</x:v>
      </x:c>
      <x:c r="AB47" s="3" t="str">
        <x:f>IF(Master!AC29="","",Master!AC29)</x:f>
      </x:c>
      <x:c r="AC47" s="3" t="str">
        <x:f>IF(Master!AD29="","",Master!AD29)</x:f>
      </x:c>
      <x:c r="AD47" s="3" t="str">
        <x:f>IF(Master!AE29="","",Master!AE29)</x:f>
      </x:c>
      <x:c r="AE47" s="3" t="str">
        <x:f>IF(Master!AF29="","",Master!AF29)</x:f>
      </x:c>
      <x:c r="AF47" s="8" t="str">
        <x:f>IF(Master!AG29="","",Master!AG29)</x:f>
        <x:v>https://zulip.com/policies/terms</x:v>
      </x:c>
    </x:row>
    <x:row r="48" ht="36" customHeight="1">
      <x:c r="A48" s="17" t="s">
        <x:v>140</x:v>
      </x:c>
      <x:c r="B48" s="3" t="str">
        <x:f>IF(Master!C30="","",Master!C30)</x:f>
        <x:v>https://discord.com/privacy</x:v>
      </x:c>
      <x:c r="C48" s="3" t="str">
        <x:f>IF(Master!D30="","",Master!D30)</x:f>
        <x:v>https://github.com/soapbox-pub/armada</x:v>
      </x:c>
      <x:c r="D48" s="3" t="str">
        <x:f>IF(Master!E30="","",Master!E30)</x:f>
      </x:c>
      <x:c r="E48" s="3" t="str">
        <x:f>IF(Master!F30="","",Master!F30)</x:f>
        <x:v>https://echon-voice.com/privacy</x:v>
      </x:c>
      <x:c r="F48" s="3" t="str">
        <x:f>IF(Master!G30="","",Master!G30)</x:f>
        <x:v>https://fenrid.com/privacy</x:v>
      </x:c>
      <x:c r="G48" s="3" t="str">
        <x:f>IF(Master!H30="","",Master!H30)</x:f>
        <x:v>https://fluxer.app/privacy</x:v>
      </x:c>
      <x:c r="H48" s="3" t="str">
        <x:f>IF(Master!I30="","",Master!I30)</x:f>
        <x:v>https://gamevox.com/privacy/</x:v>
      </x:c>
      <x:c r="I48" s="3" t="str">
        <x:f>IF(Master!J30="","",Master!J30)</x:f>
      </x:c>
      <x:c r="J48" s="3" t="str">
        <x:f>IF(Master!K30="","",Master!K30)</x:f>
        <x:v>https://github.com/VitalikPro13/HOLLOW</x:v>
      </x:c>
      <x:c r="K48" s="3" t="str">
        <x:f>IF(Master!L30="","",Master!L30)</x:f>
      </x:c>
      <x:c r="L48" s="3" t="str">
        <x:f>IF(Master!M30="","",Master!M30)</x:f>
        <x:v>https://kloak.app/privacy</x:v>
      </x:c>
      <x:c r="M48" s="3" t="str">
        <x:f>IF(Master!N30="","",Master!N30)</x:f>
        <x:v>https://loqa.chat/privacy/</x:v>
      </x:c>
      <x:c r="N48" s="3" t="str">
        <x:f>IF(Master!O30="","",Master!O30)</x:f>
        <x:v>https://matrix.org/legal/privacy-notice/</x:v>
      </x:c>
      <x:c r="O48" s="3" t="str">
        <x:f>IF(Master!P30="","",Master!P30)</x:f>
        <x:v>https://mattermost.com/privacy-policy/</x:v>
      </x:c>
      <x:c r="P48" s="3" t="str">
        <x:f>IF(Master!Q30="","",Master!Q30)</x:f>
        <x:v>https://dong.mezon.ai/</x:v>
      </x:c>
      <x:c r="Q48" s="3" t="str">
        <x:f>IF(Master!R30="","",Master!R30)</x:f>
      </x:c>
      <x:c r="R48" s="3" t="str">
        <x:f>IF(Master!S30="","",Master!S30)</x:f>
        <x:v>https://nerimity.com/</x:v>
      </x:c>
      <x:c r="S48" s="3" t="str">
        <x:f>IF(Master!T30="","",Master!T30)</x:f>
        <x:v>https://osmium.chat/privacy/</x:v>
      </x:c>
      <x:c r="T48" s="3" t="str">
        <x:f>IF(Master!U30="","",Master!U30)</x:f>
        <x:v>https://pqp.gg/privacy</x:v>
      </x:c>
      <x:c r="U48" s="3" t="str">
        <x:f>IF(Master!V30="","",Master!V30)</x:f>
        <x:v>https://therift.chat/privacy/</x:v>
      </x:c>
      <x:c r="V48" s="3" t="str">
        <x:f>IF(Master!W30="","",Master!W30)</x:f>
        <x:v>https://docs.rocket.chat/docs/privacy-policy</x:v>
      </x:c>
      <x:c r="W48" s="3" t="str">
        <x:f>IF(Master!X30="","",Master!X30)</x:f>
      </x:c>
      <x:c r="X48" s="3" t="str">
        <x:f>IF(Master!Y30="","",Master!Y30)</x:f>
        <x:v>https://www.rootapp.com/privacy-policy</x:v>
      </x:c>
      <x:c r="Y48" s="3" t="str">
        <x:f>IF(Master!Z30="","",Master!Z30)</x:f>
      </x:c>
      <x:c r="Z48" s="3" t="str">
        <x:f>IF(Master!AA30="","",Master!AA30)</x:f>
        <x:v>https://stoat.chat/legal/privacy</x:v>
      </x:c>
      <x:c r="AA48" s="6" t="str">
        <x:f>IF(Master!AB30="","",Master!AB30)</x:f>
        <x:v>https://www.teamspeak.com/en/privacy-policy</x:v>
      </x:c>
      <x:c r="AB48" s="3" t="str">
        <x:f>IF(Master!AC30="","",Master!AC30)</x:f>
      </x:c>
      <x:c r="AC48" s="3" t="str">
        <x:f>IF(Master!AD30="","",Master!AD30)</x:f>
      </x:c>
      <x:c r="AD48" s="3" t="str">
        <x:f>IF(Master!AE30="","",Master!AE30)</x:f>
      </x:c>
      <x:c r="AE48" s="3" t="str">
        <x:f>IF(Master!AF30="","",Master!AF30)</x:f>
        <x:v>https://yapper.gg/privacy-policy</x:v>
      </x:c>
      <x:c r="AF48" s="8" t="str">
        <x:f>IF(Master!AG30="","",Master!AG30)</x:f>
        <x:v>https://zulip.com/policies/privacy</x:v>
      </x:c>
    </x:row>
    <x:row r="49" ht="36" customHeight="1">
      <x:c r="A49" s="17" t="s">
        <x:v>141</x:v>
      </x:c>
      <x:c r="B49" s="3" t="str">
        <x:f>IF(Master!C31="","",Master!C31)</x:f>
        <x:v>Discord-operated centralized service: Paid Services and Monetization Terms additionally govern purchases/sales.</x:v>
      </x:c>
      <x:c r="C49" s="3" t="str">
        <x:f>IF(Master!D31="","",Master!D31)</x:f>
        <x:v>Open-source Nostr/Concord client/relay ecosystem. No central consumer service terms; relay/provider policies apply.</x:v>
      </x:c>
      <x:c r="D49" s="3" t="str">
        <x:f>IF(Master!E31="","",Master!E31)</x:f>
        <x:v>Self-host-first open-source platform: No centralized consumer ToS/privacy verified; instance operator policies apply.</x:v>
      </x:c>
      <x:c r="E49" s="3" t="str">
        <x:f>IF(Master!F31="","",Master!F31)</x:f>
        <x:v>Echon-hosted centralized service: Premium/boost amounts and exact scope are not public.</x:v>
      </x:c>
      <x:c r="F49" s="3" t="str">
        <x:f>IF(Master!G31="","",Master!G31)</x:f>
        <x:v>Pre-launch waitlist policies; full production policy not yet verified: Treat these as waitlist policies, not a complete production-service legal package.</x:v>
      </x:c>
      <x:c r="G49" s="3" t="str">
        <x:f>IF(Master!H31="","",Master!H31)</x:f>
        <x:v>fluxer.app hosted service; self-host operators may have separate policies. Voice/video/screen E2EE is in development, not current.</x:v>
      </x:c>
      <x:c r="H49" s="3" t="str">
        <x:f>IF(Master!I31="","",Master!I31)</x:f>
        <x:v>Cloud account/service plus cloud-hosted or self-hosted community servers. No data sale or advertising stated.</x:v>
      </x:c>
      <x:c r="I49" s="3" t="str">
        <x:f>IF(Master!J31="","",Master!J31)</x:f>
        <x:v>Open-source Harmony platform/server; Fermi is a client. No central consumer service policy verified; self-host operator policy applies.</x:v>
      </x:c>
      <x:c r="J49" s="3" t="str">
        <x:f>IF(Master!K31="","",Master!K31)</x:f>
        <x:v>Local-first distributed app with optional relays. Repository contains Terms/Privacy documentation; exact file URLs not normalized here.</x:v>
      </x:c>
      <x:c r="K49" s="3" t="str">
        <x:f>IF(Master!L31="","",Master!L31)</x:f>
        <x:v>Operator-configurable legal pages; default self-host deploy explicitly shows a non-policy notice until operator legal fields are configured</x:v>
      </x:c>
      <x:c r="L49" s="3" t="str">
        <x:f>IF(Master!M31="","",Master!M31)</x:f>
        <x:v>Kloak-hosted privacy-focused service: Kloak states no subscriptions, ads or data harvesting.</x:v>
      </x:c>
      <x:c r="M49" s="3" t="str">
        <x:f>IF(Master!N31="","",Master!N31)</x:f>
        <x:v>Loqa-operated service plus evolving federation/self-host features. E2EE coverage varies by content type.</x:v>
      </x:c>
      <x:c r="N49" s="3" t="str">
        <x:f>IF(Master!O31="","",Master!O31)</x:f>
        <x:v>No Matrix-wide ToS; these links apply only to the matrix.org homeserver. Keep Matrix protocol, matrix.org homeserver and Element client separate.</x:v>
      </x:c>
      <x:c r="O49" s="3" t="str">
        <x:f>IF(Master!P31="","",Master!P31)</x:f>
        <x:v>Cloud and self-hosted enterprise collaboration; local org terms may apply. Obligations differ by Team Edition, Enterprise and Cloud.</x:v>
      </x:c>
      <x:c r="P49" s="3" t="str">
        <x:f>IF(Master!Q31="","",Master!Q31)</x:f>
      </x:c>
      <x:c r="Q49" s="3" t="str">
        <x:f>IF(Master!R31="","",Master!R31)</x:f>
        <x:v>Open-source self-hosted voice software: No central hosted-service ToS; third-party host/operator policies apply.</x:v>
      </x:c>
      <x:c r="R49" s="3" t="str">
        <x:f>IF(Master!S31="","",Master!S31)</x:f>
        <x:v>Nerimity-hosted service; open-source code: Homepage links Terms and Privacy; exact standalone URLs were not indexed.</x:v>
      </x:c>
      <x:c r="S49" s="3" t="str">
        <x:f>IF(Master!T31="","",Master!T31)</x:f>
        <x:v>Osmium-hosted centralized service: Encrypted transport does not itself mean E2EE.</x:v>
      </x:c>
      <x:c r="T49" s="3" t="str">
        <x:f>IF(Master!U31="","",Master!U31)</x:f>
        <x:v>Hosted service privacy policy is published; hosted in São Paulo; self-host operator controls its own deployment/policy</x:v>
      </x:c>
      <x:c r="U49" s="3" t="str">
        <x:f>IF(Master!V31="","",Master!V31)</x:f>
        <x:v>Rift-operated centralized service: No email, phone or government ID required.</x:v>
      </x:c>
      <x:c r="V49" s="3" t="str">
        <x:f>IF(Master!W31="","",Master!W31)</x:f>
        <x:v>Cloud and self-managed deployments; offering-specific terms: Use Legal Center for current agreements and archived versions.</x:v>
      </x:c>
      <x:c r="W49" s="3" t="str">
        <x:f>IF(Master!X31="","",Master!X31)</x:f>
        <x:v>Open-source ATProto application/appserver: Provider/PDS/appserver policies apply; no Roomy consumer policy verified.</x:v>
      </x:c>
      <x:c r="X49" s="3" t="str">
        <x:f>IF(Master!Y31="","",Master!Y31)</x:f>
        <x:v>Root-operated centralized service: Developer Terms separately govern Apps/Bots and hosted runtime.</x:v>
      </x:c>
      <x:c r="Y49" s="3" t="str">
        <x:f>IF(Master!Z31="","",Master!Z31)</x:f>
        <x:v>Self-hosted open-source Discord-compatible software. No central consumer service policy; operator policies apply.</x:v>
      </x:c>
      <x:c r="Z49" s="3" t="str">
        <x:f>IF(Master!AA31="","",Master!AA31)</x:f>
        <x:v>Stoat-hosted service; self-host instances are separate operators. Read shared policies together with Stoat-specific supplements.</x:v>
      </x:c>
      <x:c r="AA49" s="6" t="str">
        <x:f>IF(Master!AB31="","",Master!AB31)</x:f>
        <x:v>Software, accounts, hosted communities, licenses and related services. Authorized third-party hosts may impose additional policies.</x:v>
      </x:c>
      <x:c r="AB49" s="3" t="str">
        <x:f>IF(Master!AC31="","",Master!AC31)</x:f>
        <x:v>Valour-hosted service plus AGPL self-host/federated nodes. FAQ says no phone/ID, no ads, no data selling; AGPL client/server.</x:v>
      </x:c>
      <x:c r="AC49" s="3" t="str">
        <x:f>IF(Master!AD31="","",Master!AD31)</x:f>
        <x:v>Early hosted project moving toward self-host/federation. Formal public legal policy coverage is incomplete.</x:v>
      </x:c>
      <x:c r="AD49" s="3" t="str">
        <x:f>IF(Master!AE31="","",Master!AE31)</x:f>
        <x:v>Weered-hosted lobby/community service: No seat limits/boosts; paid model is lobby ownership/custom builds.</x:v>
      </x:c>
      <x:c r="AE49" s="3" t="str">
        <x:f>IF(Master!AF31="","",Master!AF31)</x:f>
        <x:v>yapper.gg account/license service plus self-host or managed server. Managed hosting and self-host privacy responsibilities differ.</x:v>
      </x:c>
      <x:c r="AF49" s="8" t="str">
        <x:f>IF(Master!AG31="","",Master!AG31)</x:f>
        <x:v>Zulip Cloud plus subscriptions; self-host operator policies also matter: Treat Zulip Cloud and self-hosted Zulip separately.</x:v>
      </x:c>
    </x:row>
    <x:row r="50" ht="21.950000762939453" customHeight="1">
      <x:c r="A50" s="18" t="s">
        <x:v>142</x:v>
      </x:c>
      <x:c r="B50" s="18" t="str">
        <x:f t="shared" ref="B50:AF50" si="2">IF(""="","","")</x:f>
      </x:c>
      <x:c r="C50" s="18" t="str">
        <x:f t="shared" si="2"/>
      </x:c>
      <x:c r="D50" s="18" t="str">
        <x:f t="shared" si="2"/>
      </x:c>
      <x:c r="E50" s="18" t="str">
        <x:f t="shared" si="2"/>
      </x:c>
      <x:c r="F50" s="18" t="str">
        <x:f t="shared" si="2"/>
      </x:c>
      <x:c r="G50" s="18" t="str">
        <x:f t="shared" si="2"/>
      </x:c>
      <x:c r="H50" s="18" t="str">
        <x:f t="shared" si="2"/>
      </x:c>
      <x:c r="I50" s="18" t="str">
        <x:f t="shared" si="2"/>
      </x:c>
      <x:c r="J50" s="18" t="str">
        <x:f t="shared" si="2"/>
      </x:c>
      <x:c r="K50" s="18" t="str">
        <x:f t="shared" si="2"/>
      </x:c>
      <x:c r="L50" s="18" t="str">
        <x:f t="shared" si="2"/>
      </x:c>
      <x:c r="M50" s="18" t="str">
        <x:f t="shared" si="2"/>
      </x:c>
      <x:c r="N50" s="18" t="str">
        <x:f t="shared" si="2"/>
      </x:c>
      <x:c r="O50" s="18" t="str">
        <x:f t="shared" si="2"/>
      </x:c>
      <x:c r="P50" s="18" t="str">
        <x:f t="shared" si="2"/>
      </x:c>
      <x:c r="Q50" s="18" t="str">
        <x:f t="shared" si="2"/>
      </x:c>
      <x:c r="R50" s="18" t="str">
        <x:f t="shared" si="2"/>
      </x:c>
      <x:c r="S50" s="18" t="str">
        <x:f t="shared" si="2"/>
      </x:c>
      <x:c r="T50" s="18" t="str">
        <x:f t="shared" si="2"/>
      </x:c>
      <x:c r="U50" s="18" t="str">
        <x:f t="shared" si="2"/>
      </x:c>
      <x:c r="V50" s="18" t="str">
        <x:f t="shared" si="2"/>
      </x:c>
      <x:c r="W50" s="18" t="str">
        <x:f t="shared" si="2"/>
      </x:c>
      <x:c r="X50" s="18" t="str">
        <x:f t="shared" si="2"/>
      </x:c>
      <x:c r="Y50" s="18" t="str">
        <x:f t="shared" si="2"/>
      </x:c>
      <x:c r="Z50" s="18" t="str">
        <x:f t="shared" si="2"/>
      </x:c>
      <x:c r="AA50" s="18" t="str">
        <x:f t="shared" si="2"/>
      </x:c>
      <x:c r="AB50" s="18" t="str">
        <x:f t="shared" si="2"/>
      </x:c>
      <x:c r="AC50" s="18" t="str">
        <x:f t="shared" si="2"/>
      </x:c>
      <x:c r="AD50" s="18" t="str">
        <x:f t="shared" si="2"/>
      </x:c>
      <x:c r="AE50" s="18" t="str">
        <x:f t="shared" si="2"/>
      </x:c>
      <x:c r="AF50" s="19" t="str">
        <x:f t="shared" si="2"/>
      </x:c>
    </x:row>
    <x:row r="51" ht="36" customHeight="1">
      <x:c r="A51" s="17" t="s">
        <x:v>143</x:v>
      </x:c>
      <x:c r="B51" s="3" t="str">
        <x:f>IF(Master!C32="","",Master!C32)</x:f>
        <x:v>Yes: Forum Channels</x:v>
      </x:c>
      <x:c r="C51" s="3" t="str">
        <x:f>IF(Master!D32="","",Master!D32)</x:f>
        <x:v>Yes: threads; Buzz compatibility also exposes forums</x:v>
      </x:c>
      <x:c r="D51" s="3" t="str">
        <x:f>IF(Master!E32="","",Master!E32)</x:f>
      </x:c>
      <x:c r="E51" s="3" t="str">
        <x:f>IF(Master!F32="","",Master!F32)</x:f>
      </x:c>
      <x:c r="F51" s="3" t="str">
        <x:f>IF(Master!G32="","",Master!G32)</x:f>
      </x:c>
      <x:c r="G51" s="3" t="str">
        <x:f>IF(Master!H32="","",Master!H32)</x:f>
      </x:c>
      <x:c r="H51" s="3" t="str">
        <x:f>IF(Master!I32="","",Master!I32)</x:f>
      </x:c>
      <x:c r="I51" s="3" t="str">
        <x:f>IF(Master!J32="","",Master!J32)</x:f>
      </x:c>
      <x:c r="J51" s="3" t="str">
        <x:f>IF(Master!K32="","",Master!K32)</x:f>
      </x:c>
      <x:c r="K51" s="3" t="str">
        <x:f>IF(Master!L32="","",Master!L32)</x:f>
        <x:v>Yes</x:v>
      </x:c>
      <x:c r="L51" s="3" t="str">
        <x:f>IF(Master!M32="","",Master!M32)</x:f>
        <x:v>Yes</x:v>
      </x:c>
      <x:c r="M51" s="3" t="str">
        <x:f>IF(Master!N32="","",Master!N32)</x:f>
        <x:v>Yes: threads and forums</x:v>
      </x:c>
      <x:c r="N51" s="3" t="str">
        <x:f>IF(Master!O32="","",Master!O32)</x:f>
        <x:v>Client/room conventions</x:v>
      </x:c>
      <x:c r="O51" s="3" t="str">
        <x:f>IF(Master!P32="","",Master!P32)</x:f>
      </x:c>
      <x:c r="P51" s="3" t="str">
        <x:f>IF(Master!Q32="","",Master!Q32)</x:f>
      </x:c>
      <x:c r="Q51" s="3" t="str">
        <x:f>IF(Master!R32="","",Master!R32)</x:f>
      </x:c>
      <x:c r="R51" s="3" t="str">
        <x:f>IF(Master!S32="","",Master!S32)</x:f>
      </x:c>
      <x:c r="S51" s="3" t="str">
        <x:f>IF(Master!T32="","",Master!T32)</x:f>
      </x:c>
      <x:c r="T51" s="3" t="str">
        <x:f>IF(Master!U32="","",Master!U32)</x:f>
      </x:c>
      <x:c r="U51" s="3" t="str">
        <x:f>IF(Master!V32="","",Master!V32)</x:f>
        <x:v>Yes: Forum channels</x:v>
      </x:c>
      <x:c r="V51" s="3" t="str">
        <x:f>IF(Master!W32="","",Master!W32)</x:f>
      </x:c>
      <x:c r="W51" s="3" t="str">
        <x:f>IF(Master!X32="","",Master!X32)</x:f>
        <x:v>Yes/Partial: forum/group-chat model</x:v>
      </x:c>
      <x:c r="X51" s="3" t="str">
        <x:f>IF(Master!Y32="","",Master!Y32)</x:f>
      </x:c>
      <x:c r="Y51" s="3" t="str">
        <x:f>IF(Master!Z32="","",Master!Z32)</x:f>
      </x:c>
      <x:c r="Z51" s="3" t="str">
        <x:f>IF(Master!AA32="","",Master!AA32)</x:f>
      </x:c>
      <x:c r="AA51" s="6" t="str">
        <x:f>IF(Master!AB32="","",Master!AB32)</x:f>
      </x:c>
      <x:c r="AB51" s="3" t="str">
        <x:f>IF(Master!AC32="","",Master!AC32)</x:f>
        <x:v>Yes: thread feed</x:v>
      </x:c>
      <x:c r="AC51" s="3" t="str">
        <x:f>IF(Master!AD32="","",Master!AD32)</x:f>
      </x:c>
      <x:c r="AD51" s="3" t="str">
        <x:f>IF(Master!AE32="","",Master!AE32)</x:f>
        <x:v>Yes</x:v>
      </x:c>
      <x:c r="AE51" s="3" t="str">
        <x:f>IF(Master!AF32="","",Master!AF32)</x:f>
      </x:c>
      <x:c r="AF51" s="8" t="str">
        <x:f>IF(Master!AG32="","",Master!AG32)</x:f>
        <x:v>Topics rather than forum channel</x:v>
      </x:c>
    </x:row>
    <x:row r="52" ht="36" customHeight="1">
      <x:c r="A52" s="17" t="s">
        <x:v>144</x:v>
      </x:c>
      <x:c r="B52" s="3" t="str">
        <x:f>IF(Master!C33="","",Master!C33)</x:f>
        <x:v>Partial: Forum Gallery View</x:v>
      </x:c>
      <x:c r="C52" s="3" t="str">
        <x:f>IF(Master!D33="","",Master!D33)</x:f>
      </x:c>
      <x:c r="D52" s="3" t="str">
        <x:f>IF(Master!E33="","",Master!E33)</x:f>
      </x:c>
      <x:c r="E52" s="3" t="str">
        <x:f>IF(Master!F33="","",Master!F33)</x:f>
      </x:c>
      <x:c r="F52" s="3" t="str">
        <x:f>IF(Master!G33="","",Master!G33)</x:f>
      </x:c>
      <x:c r="G52" s="3" t="str">
        <x:f>IF(Master!H33="","",Master!H33)</x:f>
      </x:c>
      <x:c r="H52" s="3" t="str">
        <x:f>IF(Master!I33="","",Master!I33)</x:f>
      </x:c>
      <x:c r="I52" s="3" t="str">
        <x:f>IF(Master!J33="","",Master!J33)</x:f>
      </x:c>
      <x:c r="J52" s="3" t="str">
        <x:f>IF(Master!K33="","",Master!K33)</x:f>
      </x:c>
      <x:c r="K52" s="3" t="str">
        <x:f>IF(Master!L33="","",Master!L33)</x:f>
        <x:v>No dedicated gallery channel</x:v>
      </x:c>
      <x:c r="L52" s="3" t="str">
        <x:f>IF(Master!M33="","",Master!M33)</x:f>
      </x:c>
      <x:c r="M52" s="3" t="str">
        <x:f>IF(Master!N33="","",Master!N33)</x:f>
      </x:c>
      <x:c r="N52" s="3" t="str">
        <x:f>IF(Master!O33="","",Master!O33)</x:f>
      </x:c>
      <x:c r="O52" s="3" t="str">
        <x:f>IF(Master!P33="","",Master!P33)</x:f>
      </x:c>
      <x:c r="P52" s="3" t="str">
        <x:f>IF(Master!Q33="","",Master!Q33)</x:f>
      </x:c>
      <x:c r="Q52" s="3" t="str">
        <x:f>IF(Master!R33="","",Master!R33)</x:f>
      </x:c>
      <x:c r="R52" s="3" t="str">
        <x:f>IF(Master!S33="","",Master!S33)</x:f>
      </x:c>
      <x:c r="S52" s="3" t="str">
        <x:f>IF(Master!T33="","",Master!T33)</x:f>
      </x:c>
      <x:c r="T52" s="3" t="str">
        <x:f>IF(Master!U33="","",Master!U33)</x:f>
      </x:c>
      <x:c r="U52" s="3" t="str">
        <x:f>IF(Master!V33="","",Master!V33)</x:f>
        <x:v>Yes: Gallery channel</x:v>
      </x:c>
      <x:c r="V52" s="3" t="str">
        <x:f>IF(Master!W33="","",Master!W33)</x:f>
      </x:c>
      <x:c r="W52" s="3" t="str">
        <x:f>IF(Master!X33="","",Master!X33)</x:f>
      </x:c>
      <x:c r="X52" s="3" t="str">
        <x:f>IF(Master!Y33="","",Master!Y33)</x:f>
      </x:c>
      <x:c r="Y52" s="3" t="str">
        <x:f>IF(Master!Z33="","",Master!Z33)</x:f>
      </x:c>
      <x:c r="Z52" s="3" t="str">
        <x:f>IF(Master!AA33="","",Master!AA33)</x:f>
      </x:c>
      <x:c r="AA52" s="6" t="str">
        <x:f>IF(Master!AB33="","",Master!AB33)</x:f>
      </x:c>
      <x:c r="AB52" s="3" t="str">
        <x:f>IF(Master!AC33="","",Master!AC33)</x:f>
      </x:c>
      <x:c r="AC52" s="3" t="str">
        <x:f>IF(Master!AD33="","",Master!AD33)</x:f>
      </x:c>
      <x:c r="AD52" s="3" t="str">
        <x:f>IF(Master!AE33="","",Master!AE33)</x:f>
      </x:c>
      <x:c r="AE52" s="3" t="str">
        <x:f>IF(Master!AF33="","",Master!AF33)</x:f>
      </x:c>
      <x:c r="AF52" s="8" t="str">
        <x:f>IF(Master!AG33="","",Master!AG33)</x:f>
      </x:c>
    </x:row>
    <x:row r="53" ht="36" customHeight="1">
      <x:c r="A53" s="17" t="s">
        <x:v>145</x:v>
      </x:c>
      <x:c r="B53" s="3" t="str">
        <x:f>IF(Master!C34="","",Master!C34)</x:f>
        <x:v>No native; apps/bots</x:v>
      </x:c>
      <x:c r="C53" s="3" t="str">
        <x:f>IF(Master!D34="","",Master!D34)</x:f>
      </x:c>
      <x:c r="D53" s="3" t="str">
        <x:f>IF(Master!E34="","",Master!E34)</x:f>
      </x:c>
      <x:c r="E53" s="3" t="str">
        <x:f>IF(Master!F34="","",Master!F34)</x:f>
      </x:c>
      <x:c r="F53" s="3" t="str">
        <x:f>IF(Master!G34="","",Master!G34)</x:f>
      </x:c>
      <x:c r="G53" s="3" t="str">
        <x:f>IF(Master!H34="","",Master!H34)</x:f>
      </x:c>
      <x:c r="H53" s="3" t="str">
        <x:f>IF(Master!I34="","",Master!I34)</x:f>
      </x:c>
      <x:c r="I53" s="3" t="str">
        <x:f>IF(Master!J34="","",Master!J34)</x:f>
      </x:c>
      <x:c r="J53" s="3" t="str">
        <x:f>IF(Master!K34="","",Master!K34)</x:f>
      </x:c>
      <x:c r="K53" s="3" t="str">
        <x:f>IF(Master!L34="","",Master!L34)</x:f>
        <x:v>No dedicated ticket/support channel</x:v>
      </x:c>
      <x:c r="L53" s="3" t="str">
        <x:f>IF(Master!M34="","",Master!M34)</x:f>
      </x:c>
      <x:c r="M53" s="3" t="str">
        <x:f>IF(Master!N34="","",Master!N34)</x:f>
      </x:c>
      <x:c r="N53" s="3" t="str">
        <x:f>IF(Master!O34="","",Master!O34)</x:f>
      </x:c>
      <x:c r="O53" s="3" t="str">
        <x:f>IF(Master!P34="","",Master!P34)</x:f>
        <x:v>Plugins/integrations</x:v>
      </x:c>
      <x:c r="P53" s="3" t="str">
        <x:f>IF(Master!Q34="","",Master!Q34)</x:f>
      </x:c>
      <x:c r="Q53" s="3" t="str">
        <x:f>IF(Master!R34="","",Master!R34)</x:f>
      </x:c>
      <x:c r="R53" s="3" t="str">
        <x:f>IF(Master!S34="","",Master!S34)</x:f>
      </x:c>
      <x:c r="S53" s="3" t="str">
        <x:f>IF(Master!T34="","",Master!T34)</x:f>
      </x:c>
      <x:c r="T53" s="3" t="str">
        <x:f>IF(Master!U34="","",Master!U34)</x:f>
      </x:c>
      <x:c r="U53" s="3" t="str">
        <x:f>IF(Master!V34="","",Master!V34)</x:f>
        <x:v>Yes: built-in Ticket channel</x:v>
      </x:c>
      <x:c r="V53" s="3" t="str">
        <x:f>IF(Master!W34="","",Master!W34)</x:f>
        <x:v>Apps/integrations</x:v>
      </x:c>
      <x:c r="W53" s="3" t="str">
        <x:f>IF(Master!X34="","",Master!X34)</x:f>
      </x:c>
      <x:c r="X53" s="3" t="str">
        <x:f>IF(Master!Y34="","",Master!Y34)</x:f>
      </x:c>
      <x:c r="Y53" s="3" t="str">
        <x:f>IF(Master!Z34="","",Master!Z34)</x:f>
      </x:c>
      <x:c r="Z53" s="3" t="str">
        <x:f>IF(Master!AA34="","",Master!AA34)</x:f>
      </x:c>
      <x:c r="AA53" s="6" t="str">
        <x:f>IF(Master!AB34="","",Master!AB34)</x:f>
      </x:c>
      <x:c r="AB53" s="3" t="str">
        <x:f>IF(Master!AC34="","",Master!AC34)</x:f>
      </x:c>
      <x:c r="AC53" s="3" t="str">
        <x:f>IF(Master!AD34="","",Master!AD34)</x:f>
      </x:c>
      <x:c r="AD53" s="3" t="str">
        <x:f>IF(Master!AE34="","",Master!AE34)</x:f>
      </x:c>
      <x:c r="AE53" s="3" t="str">
        <x:f>IF(Master!AF34="","",Master!AF34)</x:f>
      </x:c>
      <x:c r="AF53" s="8" t="str">
        <x:f>IF(Master!AG34="","",Master!AG34)</x:f>
      </x:c>
    </x:row>
    <x:row r="54" ht="36" customHeight="1">
      <x:c r="A54" s="17" t="s">
        <x:v>146</x:v>
      </x:c>
      <x:c r="B54" s="3" t="str">
        <x:f>IF(Master!C121="","",Master!C121)</x:f>
        <x:v>Yes: Activities / Embedded App SDK</x:v>
      </x:c>
      <x:c r="C54" s="3" t="str">
        <x:f>IF(Master!D121="","",Master!D121)</x:f>
      </x:c>
      <x:c r="D54" s="3" t="str">
        <x:f>IF(Master!E121="","",Master!E121)</x:f>
      </x:c>
      <x:c r="E54" s="3" t="str">
        <x:f>IF(Master!F121="","",Master!F121)</x:f>
      </x:c>
      <x:c r="F54" s="3" t="str">
        <x:f>IF(Master!G121="","",Master!G121)</x:f>
      </x:c>
      <x:c r="G54" s="3" t="str">
        <x:f>IF(Master!H121="","",Master!H121)</x:f>
      </x:c>
      <x:c r="H54" s="3" t="str">
        <x:f>IF(Master!I121="","",Master!I121)</x:f>
      </x:c>
      <x:c r="I54" s="3" t="str">
        <x:f>IF(Master!J121="","",Master!J121)</x:f>
      </x:c>
      <x:c r="J54" s="3" t="str">
        <x:f>IF(Master!K121="","",Master!K121)</x:f>
      </x:c>
      <x:c r="K54" s="3" t="str">
        <x:f>IF(Master!L121="","",Master!L121)</x:f>
        <x:v>No embedded widget/activity runtime; bot/application ecosystem instead</x:v>
      </x:c>
      <x:c r="L54" s="3" t="str">
        <x:f>IF(Master!M121="","",Master!M121)</x:f>
      </x:c>
      <x:c r="M54" s="3" t="str">
        <x:f>IF(Master!N121="","",Master!N121)</x:f>
      </x:c>
      <x:c r="N54" s="3" t="str">
        <x:f>IF(Master!O121="","",Master!O121)</x:f>
        <x:v>Client-dependent: Element supports room widgets/custom embedded web pages; not Matrix-wide</x:v>
      </x:c>
      <x:c r="O54" s="3" t="str">
        <x:f>IF(Master!P121="","",Master!P121)</x:f>
        <x:v>Yes: webapp plugins can inject React/root components</x:v>
      </x:c>
      <x:c r="P54" s="3" t="str">
        <x:f>IF(Master!Q121="","",Master!Q121)</x:f>
      </x:c>
      <x:c r="Q54" s="3" t="str">
        <x:f>IF(Master!R121="","",Master!R121)</x:f>
      </x:c>
      <x:c r="R54" s="3" t="str">
        <x:f>IF(Master!S121="","",Master!S121)</x:f>
      </x:c>
      <x:c r="S54" s="3" t="str">
        <x:f>IF(Master!T121="","",Master!T121)</x:f>
      </x:c>
      <x:c r="T54" s="3" t="str">
        <x:f>IF(Master!U121="","",Master!U121)</x:f>
      </x:c>
      <x:c r="U54" s="3" t="str">
        <x:f>IF(Master!V121="","",Master!V121)</x:f>
        <x:v>Yes: Portals + built-in workspaces</x:v>
      </x:c>
      <x:c r="V54" s="3" t="str">
        <x:f>IF(Master!W121="","",Master!W121)</x:f>
        <x:v>Yes: Apps-Engine packages install directly into workspace</x:v>
      </x:c>
      <x:c r="W54" s="3" t="str">
        <x:f>IF(Master!X121="","",Master!X121)</x:f>
        <x:v>No dedicated embedded-app marketplace documented</x:v>
      </x:c>
      <x:c r="X54" s="3" t="str">
        <x:f>IF(Master!Y121="","",Master!Y121)</x:f>
        <x:v>Yes: hosted Root Apps can provide GUI surfaces</x:v>
      </x:c>
      <x:c r="Y54" s="3" t="str">
        <x:f>IF(Master!Z121="","",Master!Z121)</x:f>
      </x:c>
      <x:c r="Z54" s="3" t="str">
        <x:f>IF(Master!AA121="","",Master!AA121)</x:f>
      </x:c>
      <x:c r="AA54" s="6" t="str">
        <x:f>IF(Master!AB121="","",Master!AB121)</x:f>
      </x:c>
      <x:c r="AB54" s="3" t="str">
        <x:f>IF(Master!AC121="","",Master!AC121)</x:f>
        <x:v>No dedicated embedded-app framework documented</x:v>
      </x:c>
      <x:c r="AC54" s="3" t="str">
        <x:f>IF(Master!AD121="","",Master!AD121)</x:f>
      </x:c>
      <x:c r="AD54" s="3" t="str">
        <x:f>IF(Master!AE121="","",Master!AE121)</x:f>
      </x:c>
      <x:c r="AE54" s="3" t="str">
        <x:f>IF(Master!AF121="","",Master!AF121)</x:f>
      </x:c>
      <x:c r="AF54" s="8" t="str">
        <x:f>IF(Master!AG121="","",Master!AG121)</x:f>
        <x:v>No comparable embedded UI framework; bots/integrations instead</x:v>
      </x:c>
    </x:row>
    <x:row r="55" ht="36" customHeight="1">
      <x:c r="A55" s="17" t="s">
        <x:v>147</x:v>
      </x:c>
      <x:c r="B55" s="3" t="str">
        <x:f>IF(Master!C35="","",Master!C35)</x:f>
        <x:v>No general user-arranged workspace</x:v>
      </x:c>
      <x:c r="C55" s="3" t="str">
        <x:f>IF(Master!D35="","",Master!D35)</x:f>
      </x:c>
      <x:c r="D55" s="3" t="str">
        <x:f>IF(Master!E35="","",Master!E35)</x:f>
      </x:c>
      <x:c r="E55" s="3" t="str">
        <x:f>IF(Master!F35="","",Master!F35)</x:f>
      </x:c>
      <x:c r="F55" s="3" t="str">
        <x:f>IF(Master!G35="","",Master!G35)</x:f>
      </x:c>
      <x:c r="G55" s="3" t="str">
        <x:f>IF(Master!H35="","",Master!H35)</x:f>
      </x:c>
      <x:c r="H55" s="3" t="str">
        <x:f>IF(Master!I35="","",Master!I35)</x:f>
      </x:c>
      <x:c r="I55" s="3" t="str">
        <x:f>IF(Master!J35="","",Master!J35)</x:f>
      </x:c>
      <x:c r="J55" s="3" t="str">
        <x:f>IF(Master!K35="","",Master!K35)</x:f>
      </x:c>
      <x:c r="K55" s="3" t="str">
        <x:f>IF(Master!L35="","",Master!L35)</x:f>
        <x:v>No saved multi-panel workspace/layout feature documented</x:v>
      </x:c>
      <x:c r="L55" s="3" t="str">
        <x:f>IF(Master!M35="","",Master!M35)</x:f>
      </x:c>
      <x:c r="M55" s="3" t="str">
        <x:f>IF(Master!N35="","",Master!N35)</x:f>
      </x:c>
      <x:c r="N55" s="3" t="str">
        <x:f>IF(Master!O35="","",Master!O35)</x:f>
        <x:v>Client-dependent</x:v>
      </x:c>
      <x:c r="O55" s="3" t="str">
        <x:f>IF(Master!P35="","",Master!P35)</x:f>
      </x:c>
      <x:c r="P55" s="3" t="str">
        <x:f>IF(Master!Q35="","",Master!Q35)</x:f>
      </x:c>
      <x:c r="Q55" s="3" t="str">
        <x:f>IF(Master!R35="","",Master!R35)</x:f>
      </x:c>
      <x:c r="R55" s="3" t="str">
        <x:f>IF(Master!S35="","",Master!S35)</x:f>
      </x:c>
      <x:c r="S55" s="3" t="str">
        <x:f>IF(Master!T35="","",Master!T35)</x:f>
      </x:c>
      <x:c r="T55" s="3" t="str">
        <x:f>IF(Master!U35="","",Master!U35)</x:f>
      </x:c>
      <x:c r="U55" s="3" t="str">
        <x:f>IF(Master!V35="","",Master!V35)</x:f>
        <x:v>Yes: drag/resize/save named layouts</x:v>
      </x:c>
      <x:c r="V55" s="3" t="str">
        <x:f>IF(Master!W35="","",Master!W35)</x:f>
      </x:c>
      <x:c r="W55" s="3" t="str">
        <x:f>IF(Master!X35="","",Master!X35)</x:f>
      </x:c>
      <x:c r="X55" s="3" t="str">
        <x:f>IF(Master!Y35="","",Master!Y35)</x:f>
      </x:c>
      <x:c r="Y55" s="3" t="str">
        <x:f>IF(Master!Z35="","",Master!Z35)</x:f>
      </x:c>
      <x:c r="Z55" s="3" t="str">
        <x:f>IF(Master!AA35="","",Master!AA35)</x:f>
      </x:c>
      <x:c r="AA55" s="6" t="str">
        <x:f>IF(Master!AB35="","",Master!AB35)</x:f>
      </x:c>
      <x:c r="AB55" s="3" t="str">
        <x:f>IF(Master!AC35="","",Master!AC35)</x:f>
      </x:c>
      <x:c r="AC55" s="3" t="str">
        <x:f>IF(Master!AD35="","",Master!AD35)</x:f>
      </x:c>
      <x:c r="AD55" s="3" t="str">
        <x:f>IF(Master!AE35="","",Master!AE35)</x:f>
      </x:c>
      <x:c r="AE55" s="3" t="str">
        <x:f>IF(Master!AF35="","",Master!AF35)</x:f>
      </x:c>
      <x:c r="AF55" s="8" t="str">
        <x:f>IF(Master!AG35="","",Master!AG35)</x:f>
      </x:c>
    </x:row>
  </x:sheetData>
  <x:mergeCells>
    <x:mergeCell ref="A1:A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customWidth="1"/>
    <x:col min="2" max="3" width="36" customWidth="1"/>
  </x:cols>
  <x:sheetData>
    <x:row r="1" ht="27.950000762939453" customHeight="1">
      <x:c r="A1" s="24" t="str">
        <x:f>IFERROR(HYPERLINK("#'Sheet Directory'!A1","Comparison Guide: field conventions and modeling rules"),"Comparison Guide: field conventions and modeling rules")</x:f>
        <x:v>Comparison Guide: field conventions and modeling rules</x:v>
      </x:c>
      <x:c r="B1" s="24"/>
      <x:c r="C1" s="24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148</x:v>
      </x:c>
      <x:c r="B2" s="11" t="s">
        <x:v>149</x:v>
      </x:c>
      <x:c r="C2" s="11" t="s">
        <x:v>150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151</x:v>
      </x:c>
      <x:c r="B3" s="8" t="s">
        <x:v>152</x:v>
      </x:c>
      <x:c r="C3" s="8" t="s">
        <x:v>153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60">
      <x:c r="A4" s="8" t="s">
        <x:v>154</x:v>
      </x:c>
      <x:c r="B4" s="8" t="s">
        <x:v>155</x:v>
      </x:c>
      <x:c r="C4" s="8" t="str">
        <x:v>Use when the category does not apply, such as 4K access on a voice-only platform or paid-tier rows for a platform without a fixed paid tier.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30">
      <x:c r="A5" s="8" t="s">
        <x:v>156</x:v>
      </x:c>
      <x:c r="B5" s="8" t="s">
        <x:v>157</x:v>
      </x:c>
      <x:c r="C5" s="8" t="s">
        <x:v>158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>
      <x:c r="A6" s="8" t="s">
        <x:v>159</x:v>
      </x:c>
      <x:c r="B6" s="8" t="s">
        <x:v>160</x:v>
      </x:c>
      <x:c r="C6" s="8" t="s">
        <x:v>161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162</x:v>
      </x:c>
      <x:c r="B7" s="8" t="s">
        <x:v>163</x:v>
      </x:c>
      <x:c r="C7" s="8" t="s">
        <x:v>164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30">
      <x:c r="A8" s="8" t="s">
        <x:v>165</x:v>
      </x:c>
      <x:c r="B8" s="8" t="s">
        <x:v>166</x:v>
      </x:c>
      <x:c r="C8" s="8" t="s">
        <x:v>167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>
      <x:c r="A9" s="8" t="s">
        <x:v>168</x:v>
      </x:c>
      <x:c r="B9" s="8" t="s">
        <x:v>169</x:v>
      </x:c>
      <x:c r="C9" s="8" t="s">
        <x:v>170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30">
      <x:c r="A10" s="8" t="s">
        <x:v>171</x:v>
      </x:c>
      <x:c r="B10" s="8" t="s">
        <x:v>172</x:v>
      </x:c>
      <x:c r="C10" s="8" t="s">
        <x:v>173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45">
      <x:c r="A11" s="8" t="s">
        <x:v>76</x:v>
      </x:c>
      <x:c r="B11" s="8" t="s">
        <x:v>174</x:v>
      </x:c>
      <x:c r="C11" s="8" t="s">
        <x:v>175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30">
      <x:c r="A12" s="8" t="s">
        <x:v>176</x:v>
      </x:c>
      <x:c r="B12" s="8" t="s">
        <x:v>177</x:v>
      </x:c>
      <x:c r="C12" s="8" t="s">
        <x:v>178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30">
      <x:c r="A13" s="8" t="s">
        <x:v>179</x:v>
      </x:c>
      <x:c r="B13" s="8" t="s">
        <x:v>180</x:v>
      </x:c>
      <x:c r="C13" s="8" t="s">
        <x:v>181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182</x:v>
      </x:c>
      <x:c r="B14" s="8" t="s">
        <x:v>183</x:v>
      </x:c>
      <x:c r="C14" s="8" t="s">
        <x:v>184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45">
      <x:c r="A15" s="8" t="s">
        <x:v>185</x:v>
      </x:c>
      <x:c r="B15" s="8" t="s">
        <x:v>186</x:v>
      </x:c>
      <x:c r="C15" s="8" t="s">
        <x:v>187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30">
      <x:c r="A16" s="8" t="s">
        <x:v>188</x:v>
      </x:c>
      <x:c r="B16" s="8" t="s">
        <x:v>189</x:v>
      </x:c>
      <x:c r="C16" s="8" t="s">
        <x:v>190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30">
      <x:c r="A17" s="8" t="s">
        <x:v>191</x:v>
      </x:c>
      <x:c r="B17" s="8" t="s">
        <x:v>192</x:v>
      </x:c>
      <x:c r="C17" s="8" t="s">
        <x:v>193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194</x:v>
      </x:c>
      <x:c r="B18" s="8" t="s">
        <x:v>195</x:v>
      </x:c>
      <x:c r="C18" s="8" t="s">
        <x:v>196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30">
      <x:c r="A19" s="8" t="s">
        <x:v>197</x:v>
      </x:c>
      <x:c r="B19" s="8" t="str">
        <x:v>Official site, documentation, pricing page, privacy policy, or source repository</x:v>
      </x:c>
      <x:c r="C19" s="8" t="s">
        <x:v>198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30">
      <x:c r="A20" s="8" t="s">
        <x:v>199</x:v>
      </x:c>
      <x:c r="B20" s="8" t="s">
        <x:v>200</x:v>
      </x:c>
      <x:c r="C20" s="8" t="s">
        <x:v>201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30">
      <x:c r="A21" s="8" t="s">
        <x:v>202</x:v>
      </x:c>
      <x:c r="B21" s="8" t="s">
        <x:v>203</x:v>
      </x:c>
      <x:c r="C21" s="8" t="s">
        <x:v>204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205</x:v>
      </x:c>
      <x:c r="B22" s="8" t="str">
        <x:v>2026-09-16</x:v>
      </x:c>
      <x:c r="C22" s="8" t="s">
        <x:v>206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207</x:v>
      </x:c>
      <x:c r="B23" s="8" t="s">
        <x:v>208</x:v>
      </x:c>
      <x:c r="C23" s="8" t="str">
        <x:v>Use when a platform has a related capability, such as Discord Forum Gallery View instead of a dedicated Gallery channel.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30">
      <x:c r="A24" s="8" t="s">
        <x:v>209</x:v>
      </x:c>
      <x:c r="B24" s="8" t="s">
        <x:v>210</x:v>
      </x:c>
      <x:c r="C24" s="8" t="s">
        <x:v>211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30">
      <x:c r="A25" s="8" t="s">
        <x:v>212</x:v>
      </x:c>
      <x:c r="B25" s="8" t="s">
        <x:v>213</x:v>
      </x:c>
      <x:c r="C25" s="8" t="s">
        <x:v>214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30">
      <x:c r="A26" s="8" t="s">
        <x:v>215</x:v>
      </x:c>
      <x:c r="B26" s="8" t="s">
        <x:v>216</x:v>
      </x:c>
      <x:c r="C26" s="8" t="s">
        <x:v>217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218</x:v>
      </x:c>
      <x:c r="B27" s="8" t="s">
        <x:v>219</x:v>
      </x:c>
      <x:c r="C27" s="8" t="s">
        <x:v>220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45">
      <x:c r="A28" s="8" t="s">
        <x:v>221</x:v>
      </x:c>
      <x:c r="B28" s="8" t="s">
        <x:v>222</x:v>
      </x:c>
      <x:c r="C28" s="8" t="s">
        <x:v>223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">
        <x:v>224</x:v>
      </x:c>
      <x:c r="B29" s="8" t="s">
        <x:v>225</x:v>
      </x:c>
      <x:c r="C29" s="8" t="s">
        <x:v>226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45">
      <x:c r="A30" s="8" t="s">
        <x:v>227</x:v>
      </x:c>
      <x:c r="B30" s="8" t="s">
        <x:v>228</x:v>
      </x:c>
      <x:c r="C30" s="8" t="s">
        <x:v>229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230</x:v>
      </x:c>
      <x:c r="B31" s="8" t="s">
        <x:v>231</x:v>
      </x:c>
      <x:c r="C31" s="8" t="s">
        <x:v>232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60">
      <x:c r="A32" s="8" t="s">
        <x:v>233</x:v>
      </x:c>
      <x:c r="B32" s="8" t="s">
        <x:v>234</x:v>
      </x:c>
      <x:c r="C32" s="8" t="str">
        <x:v>Blank cells mean reviewed official/project sources did not establish an answer. Blank does not mean No.</x:v>
      </x:c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">
        <x:v>235</x:v>
      </x:c>
      <x:c r="B33" s="8" t="s">
        <x:v>236</x:v>
      </x:c>
      <x:c r="C33" s="8" t="s">
        <x:v>237</x:v>
      </x:c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90">
      <x:c r="A34" s="8" t="s">
        <x:v>238</x:v>
      </x:c>
      <x:c r="B34" s="8" t="s">
        <x:v>239</x:v>
      </x:c>
      <x:c r="C34" s="8" t="str">
        <x:v>Use when public documentation does not expose a value. If it conflicts with a developer operational claim, the comparison cell follows current public documentation and the source notes preserve the developer claim.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Directory'!A1","Core Features: expanded communication, content, and project baseline"),"Core Features: expanded communication, content, and project baseline")</x:f>
        <x:v>Core Features: expanded communication, content, and project baseline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240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241</x:v>
      </x:c>
      <x:c r="B4" s="3" t="str">
        <x:f>IF(Master!C36="","",Master!C36)</x:f>
        <x:v>Yes</x:v>
      </x:c>
      <x:c r="C4" s="3" t="str">
        <x:f>IF(Master!D36="","",Master!D36)</x:f>
        <x:v>Yes</x:v>
      </x:c>
      <x:c r="D4" s="3" t="str">
        <x:f>IF(Master!E36="","",Master!E36)</x:f>
        <x:v>Yes</x:v>
      </x:c>
      <x:c r="E4" s="3" t="str">
        <x:f>IF(Master!F36="","",Master!F36)</x:f>
        <x:v>Yes</x:v>
      </x:c>
      <x:c r="F4" s="3" t="str">
        <x:f>IF(Master!G36="","",Master!G36)</x:f>
        <x:v>Yes</x:v>
      </x:c>
      <x:c r="G4" s="3" t="str">
        <x:f>IF(Master!H36="","",Master!H36)</x:f>
        <x:v>Yes</x:v>
      </x:c>
      <x:c r="H4" s="3" t="str">
        <x:f>IF(Master!I36="","",Master!I36)</x:f>
        <x:v>Yes</x:v>
      </x:c>
      <x:c r="I4" s="3" t="str">
        <x:f>IF(Master!J36="","",Master!J36)</x:f>
        <x:v>Yes</x:v>
      </x:c>
      <x:c r="J4" s="3" t="str">
        <x:f>IF(Master!K36="","",Master!K36)</x:f>
        <x:v>Yes</x:v>
      </x:c>
      <x:c r="K4" s="3" t="str">
        <x:f>IF(Master!L36="","",Master!L36)</x:f>
        <x:v>Yes</x:v>
      </x:c>
      <x:c r="L4" s="3" t="str">
        <x:f>IF(Master!M36="","",Master!M36)</x:f>
        <x:v>Yes</x:v>
      </x:c>
      <x:c r="M4" s="3" t="str">
        <x:f>IF(Master!N36="","",Master!N36)</x:f>
        <x:v>Yes</x:v>
      </x:c>
      <x:c r="N4" s="3" t="str">
        <x:f>IF(Master!O36="","",Master!O36)</x:f>
        <x:v>Yes: rooms/DMs</x:v>
      </x:c>
      <x:c r="O4" s="3" t="str">
        <x:f>IF(Master!P36="","",Master!P36)</x:f>
        <x:v>Yes</x:v>
      </x:c>
      <x:c r="P4" s="3" t="str">
        <x:f>IF(Master!Q36="","",Master!Q36)</x:f>
        <x:v>Yes</x:v>
      </x:c>
      <x:c r="Q4" s="3" t="str">
        <x:f>IF(Master!R36="","",Master!R36)</x:f>
        <x:v>Limited user text messages</x:v>
      </x:c>
      <x:c r="R4" s="3" t="str">
        <x:f>IF(Master!S36="","",Master!S36)</x:f>
        <x:v>Yes</x:v>
      </x:c>
      <x:c r="S4" s="3" t="str">
        <x:f>IF(Master!T36="","",Master!T36)</x:f>
        <x:v>Yes</x:v>
      </x:c>
      <x:c r="T4" s="3" t="str">
        <x:f>IF(Master!U36="","",Master!U36)</x:f>
        <x:v>Yes</x:v>
      </x:c>
      <x:c r="U4" s="3" t="str">
        <x:f>IF(Master!V36="","",Master!V36)</x:f>
        <x:v>Yes</x:v>
      </x:c>
      <x:c r="V4" s="3" t="str">
        <x:f>IF(Master!W36="","",Master!W36)</x:f>
        <x:v>Yes</x:v>
      </x:c>
      <x:c r="W4" s="3" t="str">
        <x:f>IF(Master!X36="","",Master!X36)</x:f>
      </x:c>
      <x:c r="X4" s="3" t="str">
        <x:f>IF(Master!Y36="","",Master!Y36)</x:f>
        <x:v>Yes</x:v>
      </x:c>
      <x:c r="Y4" s="3" t="str">
        <x:f>IF(Master!Z36="","",Master!Z36)</x:f>
        <x:v>Yes</x:v>
      </x:c>
      <x:c r="Z4" s="3" t="str">
        <x:f>IF(Master!AA36="","",Master!AA36)</x:f>
        <x:v>Yes</x:v>
      </x:c>
      <x:c r="AA4" s="6" t="str">
        <x:f>IF(Master!AB36="","",Master!AB36)</x:f>
        <x:v>Yes/TS6 chat</x:v>
      </x:c>
      <x:c r="AB4" s="3" t="str">
        <x:f>IF(Master!AC36="","",Master!AC36)</x:f>
        <x:v>Yes</x:v>
      </x:c>
      <x:c r="AC4" s="3" t="str">
        <x:f>IF(Master!AD36="","",Master!AD36)</x:f>
        <x:v>Yes</x:v>
      </x:c>
      <x:c r="AD4" s="3" t="str">
        <x:f>IF(Master!AE36="","",Master!AE36)</x:f>
        <x:v>Yes</x:v>
      </x:c>
      <x:c r="AE4" s="3" t="str">
        <x:f>IF(Master!AF36="","",Master!AF36)</x:f>
        <x:v>Yes</x:v>
      </x:c>
      <x:c r="AF4" s="8" t="str">
        <x:f>IF(Master!AG36="","",Master!AG36)</x:f>
        <x:v>Yes</x:v>
      </x:c>
    </x:row>
    <x:row r="5" ht="36" customHeight="1">
      <x:c r="A5" s="17" t="s">
        <x:v>242</x:v>
      </x:c>
      <x:c r="B5" s="3" t="str">
        <x:f>IF(Master!C37="","",Master!C37)</x:f>
        <x:v>Yes</x:v>
      </x:c>
      <x:c r="C5" s="3" t="str">
        <x:f>IF(Master!D37="","",Master!D37)</x:f>
        <x:v>Yes</x:v>
      </x:c>
      <x:c r="D5" s="3" t="str">
        <x:f>IF(Master!E37="","",Master!E37)</x:f>
      </x:c>
      <x:c r="E5" s="3" t="str">
        <x:f>IF(Master!F37="","",Master!F37)</x:f>
        <x:v>Yes</x:v>
      </x:c>
      <x:c r="F5" s="3" t="str">
        <x:f>IF(Master!G37="","",Master!G37)</x:f>
        <x:v>Yes</x:v>
      </x:c>
      <x:c r="G5" s="3" t="str">
        <x:f>IF(Master!H37="","",Master!H37)</x:f>
        <x:v>Yes</x:v>
      </x:c>
      <x:c r="H5" s="3" t="str">
        <x:f>IF(Master!I37="","",Master!I37)</x:f>
        <x:v>Yes</x:v>
      </x:c>
      <x:c r="I5" s="3" t="str">
        <x:f>IF(Master!J37="","",Master!J37)</x:f>
      </x:c>
      <x:c r="J5" s="3" t="str">
        <x:f>IF(Master!K37="","",Master!K37)</x:f>
      </x:c>
      <x:c r="K5" s="3" t="str">
        <x:f>IF(Master!L37="","",Master!L37)</x:f>
        <x:v>Yes</x:v>
      </x:c>
      <x:c r="L5" s="3" t="str">
        <x:f>IF(Master!M37="","",Master!M37)</x:f>
        <x:v>Yes</x:v>
      </x:c>
      <x:c r="M5" s="3" t="str">
        <x:f>IF(Master!N37="","",Master!N37)</x:f>
        <x:v>Yes</x:v>
      </x:c>
      <x:c r="N5" s="3" t="str">
        <x:f>IF(Master!O37="","",Master!O37)</x:f>
        <x:v>Yes: rooms can be private multi-user</x:v>
      </x:c>
      <x:c r="O5" s="3" t="str">
        <x:f>IF(Master!P37="","",Master!P37)</x:f>
        <x:v>Yes</x:v>
      </x:c>
      <x:c r="P5" s="3" t="str">
        <x:f>IF(Master!Q37="","",Master!Q37)</x:f>
        <x:v>Yes</x:v>
      </x:c>
      <x:c r="Q5" s="3" t="str">
        <x:f>IF(Master!R37="","",Master!R37)</x:f>
        <x:v>No persistent group-DM model</x:v>
      </x:c>
      <x:c r="R5" s="3" t="str">
        <x:f>IF(Master!S37="","",Master!S37)</x:f>
        <x:v>Yes</x:v>
      </x:c>
      <x:c r="S5" s="3" t="str">
        <x:f>IF(Master!T37="","",Master!T37)</x:f>
        <x:v>Yes</x:v>
      </x:c>
      <x:c r="T5" s="3" t="str">
        <x:f>IF(Master!U37="","",Master!U37)</x:f>
        <x:v>Yes</x:v>
      </x:c>
      <x:c r="U5" s="3" t="str">
        <x:f>IF(Master!V37="","",Master!V37)</x:f>
        <x:v>Yes</x:v>
      </x:c>
      <x:c r="V5" s="3" t="str">
        <x:f>IF(Master!W37="","",Master!W37)</x:f>
        <x:v>Yes</x:v>
      </x:c>
      <x:c r="W5" s="3" t="str">
        <x:f>IF(Master!X37="","",Master!X37)</x:f>
        <x:v>Group spaces</x:v>
      </x:c>
      <x:c r="X5" s="3" t="str">
        <x:f>IF(Master!Y37="","",Master!Y37)</x:f>
        <x:v>Yes</x:v>
      </x:c>
      <x:c r="Y5" s="3" t="str">
        <x:f>IF(Master!Z37="","",Master!Z37)</x:f>
        <x:v>Yes</x:v>
      </x:c>
      <x:c r="Z5" s="3" t="str">
        <x:f>IF(Master!AA37="","",Master!AA37)</x:f>
        <x:v>Yes</x:v>
      </x:c>
      <x:c r="AA5" s="6" t="str">
        <x:f>IF(Master!AB37="","",Master!AB37)</x:f>
      </x:c>
      <x:c r="AB5" s="3" t="str">
        <x:f>IF(Master!AC37="","",Master!AC37)</x:f>
        <x:v>Yes</x:v>
      </x:c>
      <x:c r="AC5" s="3" t="str">
        <x:f>IF(Master!AD37="","",Master!AD37)</x:f>
      </x:c>
      <x:c r="AD5" s="3" t="str">
        <x:f>IF(Master!AE37="","",Master!AE37)</x:f>
        <x:v>Yes</x:v>
      </x:c>
      <x:c r="AE5" s="3" t="str">
        <x:f>IF(Master!AF37="","",Master!AF37)</x:f>
      </x:c>
      <x:c r="AF5" s="8" t="str">
        <x:f>IF(Master!AG37="","",Master!AG37)</x:f>
        <x:v>Yes</x:v>
      </x:c>
    </x:row>
    <x:row r="6" ht="36" customHeight="1">
      <x:c r="A6" s="17" t="s">
        <x:v>243</x:v>
      </x:c>
      <x:c r="B6" s="3" t="str">
        <x:f>IF(Master!C38="","",Master!C38)</x:f>
        <x:v>Yes: servers/guilds</x:v>
      </x:c>
      <x:c r="C6" s="3" t="str">
        <x:f>IF(Master!D38="","",Master!D38)</x:f>
        <x:v>Yes</x:v>
      </x:c>
      <x:c r="D6" s="3" t="str">
        <x:f>IF(Master!E38="","",Master!E38)</x:f>
      </x:c>
      <x:c r="E6" s="3" t="str">
        <x:f>IF(Master!F38="","",Master!F38)</x:f>
        <x:v>Yes: servers</x:v>
      </x:c>
      <x:c r="F6" s="3" t="str">
        <x:f>IF(Master!G38="","",Master!G38)</x:f>
        <x:v>Yes</x:v>
      </x:c>
      <x:c r="G6" s="3" t="str">
        <x:f>IF(Master!H38="","",Master!H38)</x:f>
      </x:c>
      <x:c r="H6" s="3" t="str">
        <x:f>IF(Master!I38="","",Master!I38)</x:f>
        <x:v>Yes: servers</x:v>
      </x:c>
      <x:c r="I6" s="3" t="str">
        <x:f>IF(Master!J38="","",Master!J38)</x:f>
      </x:c>
      <x:c r="J6" s="3" t="str">
        <x:f>IF(Master!K38="","",Master!K38)</x:f>
        <x:v>Yes: servers</x:v>
      </x:c>
      <x:c r="K6" s="3" t="str">
        <x:f>IF(Master!L38="","",Master!L38)</x:f>
        <x:v>Yes</x:v>
      </x:c>
      <x:c r="L6" s="3" t="str">
        <x:f>IF(Master!M38="","",Master!M38)</x:f>
        <x:v>Yes</x:v>
      </x:c>
      <x:c r="M6" s="3" t="str">
        <x:f>IF(Master!N38="","",Master!N38)</x:f>
        <x:v>Yes: servers/categories</x:v>
      </x:c>
      <x:c r="N6" s="3" t="str">
        <x:f>IF(Master!O38="","",Master!O38)</x:f>
        <x:v>Yes: rooms/spaces</x:v>
      </x:c>
      <x:c r="O6" s="3" t="str">
        <x:f>IF(Master!P38="","",Master!P38)</x:f>
        <x:v>Yes: workspaces/teams</x:v>
      </x:c>
      <x:c r="P6" s="3" t="str">
        <x:f>IF(Master!Q38="","",Master!Q38)</x:f>
        <x:v>Yes: Clans</x:v>
      </x:c>
      <x:c r="Q6" s="3" t="str">
        <x:f>IF(Master!R38="","",Master!R38)</x:f>
        <x:v>Yes: servers/channels</x:v>
      </x:c>
      <x:c r="R6" s="3" t="str">
        <x:f>IF(Master!S38="","",Master!S38)</x:f>
        <x:v>Yes: servers</x:v>
      </x:c>
      <x:c r="S6" s="3" t="str">
        <x:f>IF(Master!T38="","",Master!T38)</x:f>
        <x:v>Yes: communities</x:v>
      </x:c>
      <x:c r="T6" s="3" t="str">
        <x:f>IF(Master!U38="","",Master!U38)</x:f>
        <x:v>Yes</x:v>
      </x:c>
      <x:c r="U6" s="3" t="str">
        <x:f>IF(Master!V38="","",Master!V38)</x:f>
        <x:v>Yes: Shards</x:v>
      </x:c>
      <x:c r="V6" s="3" t="str">
        <x:f>IF(Master!W38="","",Master!W38)</x:f>
        <x:v>Yes: workspaces</x:v>
      </x:c>
      <x:c r="W6" s="3" t="str">
        <x:f>IF(Master!X38="","",Master!X38)</x:f>
        <x:v>Yes: Roomy spaces</x:v>
      </x:c>
      <x:c r="X6" s="3" t="str">
        <x:f>IF(Master!Y38="","",Master!Y38)</x:f>
        <x:v>Yes</x:v>
      </x:c>
      <x:c r="Y6" s="3" t="str">
        <x:f>IF(Master!Z38="","",Master!Z38)</x:f>
        <x:v>Discord-compatible server model</x:v>
      </x:c>
      <x:c r="Z6" s="3" t="str">
        <x:f>IF(Master!AA38="","",Master!AA38)</x:f>
        <x:v>Yes</x:v>
      </x:c>
      <x:c r="AA6" s="6" t="str">
        <x:f>IF(Master!AB38="","",Master!AB38)</x:f>
        <x:v>Yes: servers/communities</x:v>
      </x:c>
      <x:c r="AB6" s="3" t="str">
        <x:f>IF(Master!AC38="","",Master!AC38)</x:f>
        <x:v>Yes: planets</x:v>
      </x:c>
      <x:c r="AC6" s="3" t="str">
        <x:f>IF(Master!AD38="","",Master!AD38)</x:f>
      </x:c>
      <x:c r="AD6" s="3" t="str">
        <x:f>IF(Master!AE38="","",Master!AE38)</x:f>
        <x:v>Yes: lobbies/crews</x:v>
      </x:c>
      <x:c r="AE6" s="3" t="str">
        <x:f>IF(Master!AF38="","",Master!AF38)</x:f>
        <x:v>Yes: self-hosted servers</x:v>
      </x:c>
      <x:c r="AF6" s="8" t="str">
        <x:f>IF(Master!AG38="","",Master!AG38)</x:f>
        <x:v>Yes: organizations</x:v>
      </x:c>
    </x:row>
    <x:row r="7" ht="36" customHeight="1">
      <x:c r="A7" s="17" t="s">
        <x:v>244</x:v>
      </x:c>
      <x:c r="B7" s="3" t="str">
        <x:f>IF(Master!C39="","",Master!C39)</x:f>
        <x:v>Yes</x:v>
      </x:c>
      <x:c r="C7" s="3" t="str">
        <x:f>IF(Master!D39="","",Master!D39)</x:f>
        <x:v>Yes</x:v>
      </x:c>
      <x:c r="D7" s="3" t="str">
        <x:f>IF(Master!E39="","",Master!E39)</x:f>
      </x:c>
      <x:c r="E7" s="3" t="str">
        <x:f>IF(Master!F39="","",Master!F39)</x:f>
        <x:v>Yes</x:v>
      </x:c>
      <x:c r="F7" s="3" t="str">
        <x:f>IF(Master!G39="","",Master!G39)</x:f>
        <x:v>Yes</x:v>
      </x:c>
      <x:c r="G7" s="3" t="str">
        <x:f>IF(Master!H39="","",Master!H39)</x:f>
      </x:c>
      <x:c r="H7" s="3" t="str">
        <x:f>IF(Master!I39="","",Master!I39)</x:f>
        <x:v>Yes</x:v>
      </x:c>
      <x:c r="I7" s="3" t="str">
        <x:f>IF(Master!J39="","",Master!J39)</x:f>
      </x:c>
      <x:c r="J7" s="3" t="str">
        <x:f>IF(Master!K39="","",Master!K39)</x:f>
        <x:v>Yes</x:v>
      </x:c>
      <x:c r="K7" s="3" t="str">
        <x:f>IF(Master!L39="","",Master!L39)</x:f>
        <x:v>Yes</x:v>
      </x:c>
      <x:c r="L7" s="3" t="str">
        <x:f>IF(Master!M39="","",Master!M39)</x:f>
        <x:v>Yes</x:v>
      </x:c>
      <x:c r="M7" s="3" t="str">
        <x:f>IF(Master!N39="","",Master!N39)</x:f>
        <x:v>Yes</x:v>
      </x:c>
      <x:c r="N7" s="3" t="str">
        <x:f>IF(Master!O39="","",Master!O39)</x:f>
        <x:v>Yes</x:v>
      </x:c>
      <x:c r="O7" s="3" t="str">
        <x:f>IF(Master!P39="","",Master!P39)</x:f>
        <x:v>Yes: public/private channels</x:v>
      </x:c>
      <x:c r="P7" s="3" t="str">
        <x:f>IF(Master!Q39="","",Master!Q39)</x:f>
        <x:v>Yes</x:v>
      </x:c>
      <x:c r="Q7" s="3" t="str">
        <x:f>IF(Master!R39="","",Master!R39)</x:f>
        <x:v>Partial: channel text chat; voice-first</x:v>
      </x:c>
      <x:c r="R7" s="3" t="str">
        <x:f>IF(Master!S39="","",Master!S39)</x:f>
        <x:v>Yes: server channels</x:v>
      </x:c>
      <x:c r="S7" s="3" t="str">
        <x:f>IF(Master!T39="","",Master!T39)</x:f>
        <x:v>Yes: real-time messaging</x:v>
      </x:c>
      <x:c r="T7" s="3" t="str">
        <x:f>IF(Master!U39="","",Master!U39)</x:f>
        <x:v>Yes</x:v>
      </x:c>
      <x:c r="U7" s="3" t="str">
        <x:f>IF(Master!V39="","",Master!V39)</x:f>
        <x:v>Yes</x:v>
      </x:c>
      <x:c r="V7" s="3" t="str">
        <x:f>IF(Master!W39="","",Master!W39)</x:f>
        <x:v>Yes: channels/groups/DMs</x:v>
      </x:c>
      <x:c r="W7" s="3" t="str">
        <x:f>IF(Master!X39="","",Master!X39)</x:f>
        <x:v>Yes: group chat</x:v>
      </x:c>
      <x:c r="X7" s="3" t="str">
        <x:f>IF(Master!Y39="","",Master!Y39)</x:f>
        <x:v>Yes</x:v>
      </x:c>
      <x:c r="Y7" s="3" t="str">
        <x:f>IF(Master!Z39="","",Master!Z39)</x:f>
        <x:v>Yes/Partial: Discord API parity varies by implementation</x:v>
      </x:c>
      <x:c r="Z7" s="3" t="str">
        <x:f>IF(Master!AA39="","",Master!AA39)</x:f>
        <x:v>Yes</x:v>
      </x:c>
      <x:c r="AA7" s="6" t="str">
        <x:f>IF(Master!AB39="","",Master!AB39)</x:f>
        <x:v>Partial: chat exists; persistent server text channels remain limited/planned in TS6</x:v>
      </x:c>
      <x:c r="AB7" s="3" t="str">
        <x:f>IF(Master!AC39="","",Master!AC39)</x:f>
        <x:v>Yes</x:v>
      </x:c>
      <x:c r="AC7" s="3" t="str">
        <x:f>IF(Master!AD39="","",Master!AD39)</x:f>
      </x:c>
      <x:c r="AD7" s="3" t="str">
        <x:f>IF(Master!AE39="","",Master!AE39)</x:f>
        <x:v>Yes</x:v>
      </x:c>
      <x:c r="AE7" s="3" t="str">
        <x:f>IF(Master!AF39="","",Master!AF39)</x:f>
        <x:v>Yes</x:v>
      </x:c>
      <x:c r="AF7" s="8" t="str">
        <x:f>IF(Master!AG39="","",Master!AG39)</x:f>
        <x:v>Yes</x:v>
      </x:c>
    </x:row>
    <x:row r="8" ht="36" customHeight="1">
      <x:c r="A8" s="17" t="s">
        <x:v>245</x:v>
      </x:c>
      <x:c r="B8" s="3" t="str">
        <x:f>IF(Master!C40="","",Master!C40)</x:f>
        <x:v>Yes</x:v>
      </x:c>
      <x:c r="C8" s="3" t="str">
        <x:f>IF(Master!D40="","",Master!D40)</x:f>
        <x:v>Yes</x:v>
      </x:c>
      <x:c r="D8" s="3" t="str">
        <x:f>IF(Master!E40="","",Master!E40)</x:f>
        <x:v>Yes</x:v>
      </x:c>
      <x:c r="E8" s="3" t="str">
        <x:f>IF(Master!F40="","",Master!F40)</x:f>
        <x:v>Yes</x:v>
      </x:c>
      <x:c r="F8" s="3" t="str">
        <x:f>IF(Master!G40="","",Master!G40)</x:f>
        <x:v>Yes</x:v>
      </x:c>
      <x:c r="G8" s="3" t="str">
        <x:f>IF(Master!H40="","",Master!H40)</x:f>
      </x:c>
      <x:c r="H8" s="3" t="str">
        <x:f>IF(Master!I40="","",Master!I40)</x:f>
        <x:v>Yes</x:v>
      </x:c>
      <x:c r="I8" s="3" t="str">
        <x:f>IF(Master!J40="","",Master!J40)</x:f>
      </x:c>
      <x:c r="J8" s="3" t="str">
        <x:f>IF(Master!K40="","",Master!K40)</x:f>
        <x:v>Yes</x:v>
      </x:c>
      <x:c r="K8" s="3" t="str">
        <x:f>IF(Master!L40="","",Master!L40)</x:f>
        <x:v>Yes</x:v>
      </x:c>
      <x:c r="L8" s="3" t="str">
        <x:f>IF(Master!M40="","",Master!M40)</x:f>
        <x:v>Yes</x:v>
      </x:c>
      <x:c r="M8" s="3" t="str">
        <x:f>IF(Master!N40="","",Master!N40)</x:f>
        <x:v>Yes</x:v>
      </x:c>
      <x:c r="N8" s="3" t="str">
        <x:f>IF(Master!O40="","",Master!O40)</x:f>
        <x:v>Yes: client-dependent</x:v>
      </x:c>
      <x:c r="O8" s="3" t="str">
        <x:f>IF(Master!P40="","",Master!P40)</x:f>
        <x:v>Yes: calls</x:v>
      </x:c>
      <x:c r="P8" s="3" t="str">
        <x:f>IF(Master!Q40="","",Master!Q40)</x:f>
        <x:v>Yes</x:v>
      </x:c>
      <x:c r="Q8" s="3" t="str">
        <x:f>IF(Master!R40="","",Master!R40)</x:f>
        <x:v>Yes</x:v>
      </x:c>
      <x:c r="R8" s="3" t="str">
        <x:f>IF(Master!S40="","",Master!S40)</x:f>
      </x:c>
      <x:c r="S8" s="3" t="str">
        <x:f>IF(Master!T40="","",Master!T40)</x:f>
        <x:v>Yes</x:v>
      </x:c>
      <x:c r="T8" s="3" t="str">
        <x:f>IF(Master!U40="","",Master!U40)</x:f>
        <x:v>Yes</x:v>
      </x:c>
      <x:c r="U8" s="3" t="str">
        <x:f>IF(Master!V40="","",Master!V40)</x:f>
        <x:v>Yes</x:v>
      </x:c>
      <x:c r="V8" s="3" t="str">
        <x:f>IF(Master!W40="","",Master!W40)</x:f>
        <x:v>Yes: Rocket.Chat Voice + conference integrations</x:v>
      </x:c>
      <x:c r="W8" s="3" t="str">
        <x:f>IF(Master!X40="","",Master!X40)</x:f>
      </x:c>
      <x:c r="X8" s="3" t="str">
        <x:f>IF(Master!Y40="","",Master!Y40)</x:f>
        <x:v>Yes</x:v>
      </x:c>
      <x:c r="Y8" s="3" t="str">
        <x:f>IF(Master!Z40="","",Master!Z40)</x:f>
        <x:v>Optional WebRTC media implementation</x:v>
      </x:c>
      <x:c r="Z8" s="3" t="str">
        <x:f>IF(Master!AA40="","",Master!AA40)</x:f>
        <x:v>Yes</x:v>
      </x:c>
      <x:c r="AA8" s="6" t="str">
        <x:f>IF(Master!AB40="","",Master!AB40)</x:f>
        <x:v>Yes</x:v>
      </x:c>
      <x:c r="AB8" s="3" t="str">
        <x:f>IF(Master!AC40="","",Master!AC40)</x:f>
        <x:v>Yes</x:v>
      </x:c>
      <x:c r="AC8" s="3" t="str">
        <x:f>IF(Master!AD40="","",Master!AD40)</x:f>
      </x:c>
      <x:c r="AD8" s="3" t="str">
        <x:f>IF(Master!AE40="","",Master!AE40)</x:f>
        <x:v>Yes</x:v>
      </x:c>
      <x:c r="AE8" s="3" t="str">
        <x:f>IF(Master!AF40="","",Master!AF40)</x:f>
        <x:v>Yes</x:v>
      </x:c>
      <x:c r="AF8" s="8" t="str">
        <x:f>IF(Master!AG40="","",Master!AG40)</x:f>
        <x:v>Provider integration (Zoom/Jitsi/etc.), not a persistent native voice-room model</x:v>
      </x:c>
    </x:row>
    <x:row r="9" ht="36" customHeight="1">
      <x:c r="A9" s="17" t="s">
        <x:v>246</x:v>
      </x:c>
      <x:c r="B9" s="3" t="str">
        <x:f>IF(Master!C41="","",Master!C41)</x:f>
        <x:v>Yes: servers, categories, text/voice/forum/stage channels</x:v>
      </x:c>
      <x:c r="C9" s="3" t="str">
        <x:f>IF(Master!D41="","",Master!D41)</x:f>
        <x:v>Yes: communities/channels/threads</x:v>
      </x:c>
      <x:c r="D9" s="3" t="str">
        <x:f>IF(Master!E41="","",Master!E41)</x:f>
        <x:v>Yes: servers/channels</x:v>
      </x:c>
      <x:c r="E9" s="3" t="str">
        <x:f>IF(Master!F41="","",Master!F41)</x:f>
        <x:v>Yes: servers/channels/roles</x:v>
      </x:c>
      <x:c r="F9" s="3" t="str">
        <x:f>IF(Master!G41="","",Master!G41)</x:f>
        <x:v>Yes: communities/categories/text/voice</x:v>
      </x:c>
      <x:c r="G9" s="3" t="str">
        <x:f>IF(Master!H41="","",Master!H41)</x:f>
        <x:v>Yes</x:v>
      </x:c>
      <x:c r="H9" s="3" t="str">
        <x:f>IF(Master!I41="","",Master!I41)</x:f>
        <x:v>Yes: servers/categories/text/voice</x:v>
      </x:c>
      <x:c r="I9" s="3" t="str">
        <x:f>IF(Master!J41="","",Master!J41)</x:f>
        <x:v>Yes: guild/channel model</x:v>
      </x:c>
      <x:c r="J9" s="3" t="str">
        <x:f>IF(Master!K41="","",Master!K41)</x:f>
        <x:v>Yes: encrypted communities/public channels</x:v>
      </x:c>
      <x:c r="K9" s="3" t="str">
        <x:f>IF(Master!L41="","",Master!L41)</x:f>
        <x:v>Yes</x:v>
      </x:c>
      <x:c r="L9" s="3" t="str">
        <x:f>IF(Master!M41="","",Master!M41)</x:f>
        <x:v>Yes: servers/channels/roles</x:v>
      </x:c>
      <x:c r="M9" s="3" t="str">
        <x:f>IF(Master!N41="","",Master!N41)</x:f>
        <x:v>Yes: servers/categories/text/voice/forum/stage</x:v>
      </x:c>
      <x:c r="N9" s="3" t="str">
        <x:f>IF(Master!O41="","",Master!O41)</x:f>
        <x:v>Yes: rooms + Spaces; exact UX client-dependent</x:v>
      </x:c>
      <x:c r="O9" s="3" t="str">
        <x:f>IF(Master!P41="","",Master!P41)</x:f>
        <x:v>Yes: teams/channels</x:v>
      </x:c>
      <x:c r="P9" s="3" t="str">
        <x:f>IF(Master!Q41="","",Master!Q41)</x:f>
        <x:v>Yes: clans/channels</x:v>
      </x:c>
      <x:c r="Q9" s="3" t="str">
        <x:f>IF(Master!R41="","",Master!R41)</x:f>
        <x:v>Yes: hierarchical voice channels</x:v>
      </x:c>
      <x:c r="R9" s="3" t="str">
        <x:f>IF(Master!S41="","",Master!S41)</x:f>
        <x:v>Yes: communities/channels</x:v>
      </x:c>
      <x:c r="S9" s="3" t="str">
        <x:f>IF(Master!T41="","",Master!T41)</x:f>
        <x:v>Yes: communities/channels</x:v>
      </x:c>
      <x:c r="T9" s="3" t="str">
        <x:f>IF(Master!U41="","",Master!U41)</x:f>
        <x:v>Yes: communities/channels</x:v>
      </x:c>
      <x:c r="U9" s="3" t="str">
        <x:f>IF(Master!V41="","",Master!V41)</x:f>
        <x:v>Yes: communities/channels/threads/voice</x:v>
      </x:c>
      <x:c r="V9" s="3" t="str">
        <x:f>IF(Master!W41="","",Master!W41)</x:f>
        <x:v>Yes: workspaces/teams/channels</x:v>
      </x:c>
      <x:c r="W9" s="3" t="str">
        <x:f>IF(Master!X41="","",Master!X41)</x:f>
        <x:v>Yes: spaces/group chat</x:v>
      </x:c>
      <x:c r="X9" s="3" t="str">
        <x:f>IF(Master!Y41="","",Master!Y41)</x:f>
        <x:v>Yes: communities/channel groups/text/voice</x:v>
      </x:c>
      <x:c r="Y9" s="3" t="str">
        <x:f>IF(Master!Z41="","",Master!Z41)</x:f>
        <x:v>Yes: Discord-compatible model</x:v>
      </x:c>
      <x:c r="Z9" s="3" t="str">
        <x:f>IF(Master!AA41="","",Master!AA41)</x:f>
        <x:v>Yes: servers/categories/text/voice</x:v>
      </x:c>
      <x:c r="AA9" s="6" t="str">
        <x:f>IF(Master!AB41="","",Master!AB41)</x:f>
        <x:v>Yes: servers/channels</x:v>
      </x:c>
      <x:c r="AB9" s="3" t="str">
        <x:f>IF(Master!AC41="","",Master!AC41)</x:f>
        <x:v>Yes: planets/channels</x:v>
      </x:c>
      <x:c r="AC9" s="3" t="str">
        <x:f>IF(Master!AD41="","",Master!AD41)</x:f>
        <x:v>Yes: Discord-like guild/channel model</x:v>
      </x:c>
      <x:c r="AD9" s="3" t="str">
        <x:f>IF(Master!AE41="","",Master!AE41)</x:f>
        <x:v>Lobby/room model rather than servers/channels</x:v>
      </x:c>
      <x:c r="AE9" s="3" t="str">
        <x:f>IF(Master!AF41="","",Master!AF41)</x:f>
        <x:v>Yes: rooms/channels</x:v>
      </x:c>
      <x:c r="AF9" s="8" t="str">
        <x:f>IF(Master!AG41="","",Master!AG41)</x:f>
        <x:v>Yes: organizations/streams/topics</x:v>
      </x:c>
    </x:row>
    <x:row r="10" ht="36" customHeight="1">
      <x:c r="A10" s="17" t="s">
        <x:v>247</x:v>
      </x:c>
      <x:c r="B10" s="3" t="str">
        <x:f>IF(Master!C42="","",Master!C42)</x:f>
        <x:v>Yes: Discord Markdown subset</x:v>
      </x:c>
      <x:c r="C10" s="3" t="str">
        <x:f>IF(Master!D42="","",Master!D42)</x:f>
      </x:c>
      <x:c r="D10" s="3" t="str">
        <x:f>IF(Master!E42="","",Master!E42)</x:f>
        <x:v>Yes</x:v>
      </x:c>
      <x:c r="E10" s="3" t="str">
        <x:f>IF(Master!F42="","",Master!F42)</x:f>
        <x:v>Yes</x:v>
      </x:c>
      <x:c r="F10" s="3" t="str">
        <x:f>IF(Master!G42="","",Master!G42)</x:f>
        <x:v>Yes</x:v>
      </x:c>
      <x:c r="G10" s="3" t="str">
        <x:f>IF(Master!H42="","",Master!H42)</x:f>
        <x:v>Yes</x:v>
      </x:c>
      <x:c r="H10" s="3" t="str">
        <x:f>IF(Master!I42="","",Master!I42)</x:f>
        <x:v>Yes</x:v>
      </x:c>
      <x:c r="I10" s="3" t="str">
        <x:f>IF(Master!J42="","",Master!J42)</x:f>
        <x:v>Yes/Discord-like</x:v>
      </x:c>
      <x:c r="J10" s="3" t="str">
        <x:f>IF(Master!K42="","",Master!K42)</x:f>
      </x:c>
      <x:c r="K10" s="3" t="str">
        <x:f>IF(Master!L42="","",Master!L42)</x:f>
        <x:v>Yes</x:v>
      </x:c>
      <x:c r="L10" s="3" t="str">
        <x:f>IF(Master!M42="","",Master!M42)</x:f>
      </x:c>
      <x:c r="M10" s="3" t="str">
        <x:f>IF(Master!N42="","",Master!N42)</x:f>
        <x:v>Yes</x:v>
      </x:c>
      <x:c r="N10" s="3" t="str">
        <x:f>IF(Master!O42="","",Master!O42)</x:f>
        <x:v>Client-dependent</x:v>
      </x:c>
      <x:c r="O10" s="3" t="str">
        <x:f>IF(Master!P42="","",Master!P42)</x:f>
        <x:v>Yes</x:v>
      </x:c>
      <x:c r="P10" s="3" t="str">
        <x:f>IF(Master!Q42="","",Master!Q42)</x:f>
        <x:v>Yes</x:v>
      </x:c>
      <x:c r="Q10" s="3" t="str">
        <x:f>IF(Master!R42="","",Master!R42)</x:f>
        <x:v>No</x:v>
      </x:c>
      <x:c r="R10" s="3" t="str">
        <x:f>IF(Master!S42="","",Master!S42)</x:f>
        <x:v>Yes</x:v>
      </x:c>
      <x:c r="S10" s="3" t="str">
        <x:f>IF(Master!T42="","",Master!T42)</x:f>
      </x:c>
      <x:c r="T10" s="3" t="str">
        <x:f>IF(Master!U42="","",Master!U42)</x:f>
        <x:v>Yes</x:v>
      </x:c>
      <x:c r="U10" s="3" t="str">
        <x:f>IF(Master!V42="","",Master!V42)</x:f>
        <x:v>Yes</x:v>
      </x:c>
      <x:c r="V10" s="3" t="str">
        <x:f>IF(Master!W42="","",Master!W42)</x:f>
        <x:v>Yes</x:v>
      </x:c>
      <x:c r="W10" s="3" t="str">
        <x:f>IF(Master!X42="","",Master!X42)</x:f>
      </x:c>
      <x:c r="X10" s="3" t="str">
        <x:f>IF(Master!Y42="","",Master!Y42)</x:f>
        <x:v>Yes</x:v>
      </x:c>
      <x:c r="Y10" s="3" t="str">
        <x:f>IF(Master!Z42="","",Master!Z42)</x:f>
        <x:v>Yes/Discord-compatible target</x:v>
      </x:c>
      <x:c r="Z10" s="3" t="str">
        <x:f>IF(Master!AA42="","",Master!AA42)</x:f>
        <x:v>Yes</x:v>
      </x:c>
      <x:c r="AA10" s="6" t="str">
        <x:f>IF(Master!AB42="","",Master!AB42)</x:f>
      </x:c>
      <x:c r="AB10" s="3" t="str">
        <x:f>IF(Master!AC42="","",Master!AC42)</x:f>
        <x:v>Yes</x:v>
      </x:c>
      <x:c r="AC10" s="3" t="str">
        <x:f>IF(Master!AD42="","",Master!AD42)</x:f>
      </x:c>
      <x:c r="AD10" s="3" t="str">
        <x:f>IF(Master!AE42="","",Master!AE42)</x:f>
        <x:v>Yes</x:v>
      </x:c>
      <x:c r="AE10" s="3" t="str">
        <x:f>IF(Master!AF42="","",Master!AF42)</x:f>
      </x:c>
      <x:c r="AF10" s="8" t="str">
        <x:f>IF(Master!AG42="","",Master!AG42)</x:f>
        <x:v>Yes</x:v>
      </x:c>
    </x:row>
    <x:row r="11" ht="36" customHeight="1">
      <x:c r="A11" s="17" t="s">
        <x:v>248</x:v>
      </x:c>
      <x:c r="B11" s="3" t="str">
        <x:f>IF(Master!C43="","",Master!C43)</x:f>
        <x:v>Yes</x:v>
      </x:c>
      <x:c r="C11" s="3" t="str">
        <x:f>IF(Master!D43="","",Master!D43)</x:f>
        <x:v>Yes</x:v>
      </x:c>
      <x:c r="D11" s="3" t="str">
        <x:f>IF(Master!E43="","",Master!E43)</x:f>
        <x:v>Yes</x:v>
      </x:c>
      <x:c r="E11" s="3" t="str">
        <x:f>IF(Master!F43="","",Master!F43)</x:f>
        <x:v>Yes</x:v>
      </x:c>
      <x:c r="F11" s="3" t="str">
        <x:f>IF(Master!G43="","",Master!G43)</x:f>
        <x:v>Yes</x:v>
      </x:c>
      <x:c r="G11" s="3" t="str">
        <x:f>IF(Master!H43="","",Master!H43)</x:f>
        <x:v>Yes</x:v>
      </x:c>
      <x:c r="H11" s="3" t="str">
        <x:f>IF(Master!I43="","",Master!I43)</x:f>
        <x:v>Yes</x:v>
      </x:c>
      <x:c r="I11" s="3" t="str">
        <x:f>IF(Master!J43="","",Master!J43)</x:f>
      </x:c>
      <x:c r="J11" s="3" t="str">
        <x:f>IF(Master!K43="","",Master!K43)</x:f>
        <x:v>Local notifications</x:v>
      </x:c>
      <x:c r="K11" s="3" t="str">
        <x:f>IF(Master!L43="","",Master!L43)</x:f>
        <x:v>Yes</x:v>
      </x:c>
      <x:c r="L11" s="3" t="str">
        <x:f>IF(Master!M43="","",Master!M43)</x:f>
        <x:v>Yes</x:v>
      </x:c>
      <x:c r="M11" s="3" t="str">
        <x:f>IF(Master!N43="","",Master!N43)</x:f>
        <x:v>Yes</x:v>
      </x:c>
      <x:c r="N11" s="3" t="str">
        <x:f>IF(Master!O43="","",Master!O43)</x:f>
        <x:v>Client-dependent</x:v>
      </x:c>
      <x:c r="O11" s="3" t="str">
        <x:f>IF(Master!P43="","",Master!P43)</x:f>
        <x:v>Yes</x:v>
      </x:c>
      <x:c r="P11" s="3" t="str">
        <x:f>IF(Master!Q43="","",Master!Q43)</x:f>
        <x:v>Yes</x:v>
      </x:c>
      <x:c r="Q11" s="3" t="str">
        <x:f>IF(Master!R43="","",Master!R43)</x:f>
        <x:v>Client notifications</x:v>
      </x:c>
      <x:c r="R11" s="3" t="str">
        <x:f>IF(Master!S43="","",Master!S43)</x:f>
        <x:v>Yes</x:v>
      </x:c>
      <x:c r="S11" s="3" t="str">
        <x:f>IF(Master!T43="","",Master!T43)</x:f>
        <x:v>Yes</x:v>
      </x:c>
      <x:c r="T11" s="3" t="str">
        <x:f>IF(Master!U43="","",Master!U43)</x:f>
        <x:v>Yes</x:v>
      </x:c>
      <x:c r="U11" s="3" t="str">
        <x:f>IF(Master!V43="","",Master!V43)</x:f>
        <x:v>Yes</x:v>
      </x:c>
      <x:c r="V11" s="3" t="str">
        <x:f>IF(Master!W43="","",Master!W43)</x:f>
        <x:v>Yes</x:v>
      </x:c>
      <x:c r="W11" s="3" t="str">
        <x:f>IF(Master!X43="","",Master!X43)</x:f>
      </x:c>
      <x:c r="X11" s="3" t="str">
        <x:f>IF(Master!Y43="","",Master!Y43)</x:f>
        <x:v>Yes</x:v>
      </x:c>
      <x:c r="Y11" s="3" t="str">
        <x:f>IF(Master!Z43="","",Master!Z43)</x:f>
        <x:v>Yes</x:v>
      </x:c>
      <x:c r="Z11" s="3" t="str">
        <x:f>IF(Master!AA43="","",Master!AA43)</x:f>
        <x:v>Yes</x:v>
      </x:c>
      <x:c r="AA11" s="6" t="str">
        <x:f>IF(Master!AB43="","",Master!AB43)</x:f>
        <x:v>Yes</x:v>
      </x:c>
      <x:c r="AB11" s="3" t="str">
        <x:f>IF(Master!AC43="","",Master!AC43)</x:f>
        <x:v>Yes</x:v>
      </x:c>
      <x:c r="AC11" s="3" t="str">
        <x:f>IF(Master!AD43="","",Master!AD43)</x:f>
      </x:c>
      <x:c r="AD11" s="3" t="str">
        <x:f>IF(Master!AE43="","",Master!AE43)</x:f>
        <x:v>Yes</x:v>
      </x:c>
      <x:c r="AE11" s="3" t="str">
        <x:f>IF(Master!AF43="","",Master!AF43)</x:f>
        <x:v>Yes</x:v>
      </x:c>
      <x:c r="AF11" s="8" t="str">
        <x:f>IF(Master!AG43="","",Master!AG43)</x:f>
        <x:v>Yes</x:v>
      </x:c>
    </x:row>
    <x:row r="12" ht="21.950000762939453" customHeight="1">
      <x:c r="A12" s="18" t="s">
        <x:v>249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250</x:v>
      </x:c>
      <x:c r="B13" s="3" t="str">
        <x:f>IF(Master!C44="","",Master!C44)</x:f>
        <x:v>Yes</x:v>
      </x:c>
      <x:c r="C13" s="3" t="str">
        <x:f>IF(Master!D44="","",Master!D44)</x:f>
        <x:v>Yes</x:v>
      </x:c>
      <x:c r="D13" s="3" t="str">
        <x:f>IF(Master!E44="","",Master!E44)</x:f>
        <x:v>Yes</x:v>
      </x:c>
      <x:c r="E13" s="3" t="str">
        <x:f>IF(Master!F44="","",Master!F44)</x:f>
        <x:v>Yes</x:v>
      </x:c>
      <x:c r="F13" s="3" t="str">
        <x:f>IF(Master!G44="","",Master!G44)</x:f>
        <x:v>Yes</x:v>
      </x:c>
      <x:c r="G13" s="3" t="str">
        <x:f>IF(Master!H44="","",Master!H44)</x:f>
        <x:v>Yes</x:v>
      </x:c>
      <x:c r="H13" s="3" t="str">
        <x:f>IF(Master!I44="","",Master!I44)</x:f>
        <x:v>Yes</x:v>
      </x:c>
      <x:c r="I13" s="3" t="str">
        <x:f>IF(Master!J44="","",Master!J44)</x:f>
        <x:v>Yes</x:v>
      </x:c>
      <x:c r="J13" s="3" t="str">
        <x:f>IF(Master!K44="","",Master!K44)</x:f>
        <x:v>Yes/local files</x:v>
      </x:c>
      <x:c r="K13" s="3" t="str">
        <x:f>IF(Master!L44="","",Master!L44)</x:f>
        <x:v>Yes</x:v>
      </x:c>
      <x:c r="L13" s="3" t="str">
        <x:f>IF(Master!M44="","",Master!M44)</x:f>
        <x:v>Yes</x:v>
      </x:c>
      <x:c r="M13" s="3" t="str">
        <x:f>IF(Master!N44="","",Master!N44)</x:f>
        <x:v>Yes</x:v>
      </x:c>
      <x:c r="N13" s="3" t="str">
        <x:f>IF(Master!O44="","",Master!O44)</x:f>
        <x:v>Yes</x:v>
      </x:c>
      <x:c r="O13" s="3" t="str">
        <x:f>IF(Master!P44="","",Master!P44)</x:f>
        <x:v>Yes</x:v>
      </x:c>
      <x:c r="P13" s="3" t="str">
        <x:f>IF(Master!Q44="","",Master!Q44)</x:f>
        <x:v>Yes</x:v>
      </x:c>
      <x:c r="Q13" s="3" t="str">
        <x:f>IF(Master!R44="","",Master!R44)</x:f>
        <x:v>No</x:v>
      </x:c>
      <x:c r="R13" s="3" t="str">
        <x:f>IF(Master!S44="","",Master!S44)</x:f>
        <x:v>Yes</x:v>
      </x:c>
      <x:c r="S13" s="3" t="str">
        <x:f>IF(Master!T44="","",Master!T44)</x:f>
        <x:v>Yes</x:v>
      </x:c>
      <x:c r="T13" s="3" t="str">
        <x:f>IF(Master!U44="","",Master!U44)</x:f>
        <x:v>Yes</x:v>
      </x:c>
      <x:c r="U13" s="3" t="str">
        <x:f>IF(Master!V44="","",Master!V44)</x:f>
        <x:v>Yes</x:v>
      </x:c>
      <x:c r="V13" s="3" t="str">
        <x:f>IF(Master!W44="","",Master!W44)</x:f>
        <x:v>Yes</x:v>
      </x:c>
      <x:c r="W13" s="3" t="str">
        <x:f>IF(Master!X44="","",Master!X44)</x:f>
        <x:v>Yes</x:v>
      </x:c>
      <x:c r="X13" s="3" t="str">
        <x:f>IF(Master!Y44="","",Master!Y44)</x:f>
        <x:v>Yes</x:v>
      </x:c>
      <x:c r="Y13" s="3" t="str">
        <x:f>IF(Master!Z44="","",Master!Z44)</x:f>
        <x:v>Yes</x:v>
      </x:c>
      <x:c r="Z13" s="3" t="str">
        <x:f>IF(Master!AA44="","",Master!AA44)</x:f>
        <x:v>Yes</x:v>
      </x:c>
      <x:c r="AA13" s="6" t="str">
        <x:f>IF(Master!AB44="","",Master!AB44)</x:f>
      </x:c>
      <x:c r="AB13" s="3" t="str">
        <x:f>IF(Master!AC44="","",Master!AC44)</x:f>
        <x:v>Yes</x:v>
      </x:c>
      <x:c r="AC13" s="3" t="str">
        <x:f>IF(Master!AD44="","",Master!AD44)</x:f>
        <x:v>Yes</x:v>
      </x:c>
      <x:c r="AD13" s="3" t="str">
        <x:f>IF(Master!AE44="","",Master!AE44)</x:f>
        <x:v>Yes</x:v>
      </x:c>
      <x:c r="AE13" s="3" t="str">
        <x:f>IF(Master!AF44="","",Master!AF44)</x:f>
        <x:v>Yes</x:v>
      </x:c>
      <x:c r="AF13" s="8" t="str">
        <x:f>IF(Master!AG44="","",Master!AG44)</x:f>
        <x:v>Yes</x:v>
      </x:c>
    </x:row>
    <x:row r="14" ht="36" customHeight="1">
      <x:c r="A14" s="17" t="s">
        <x:v>251</x:v>
      </x:c>
      <x:c r="B14" s="3" t="str">
        <x:f>IF(Master!C45="","",Master!C45)</x:f>
        <x:v>20 MB</x:v>
      </x:c>
      <x:c r="C14" s="3" t="str">
        <x:f>IF(Master!D45="","",Master!D45)</x:f>
        <x:v>Relay-dependent</x:v>
      </x:c>
      <x:c r="D14" s="3" t="str">
        <x:f>IF(Master!E45="","",Master!E45)</x:f>
        <x:v>Operator configured</x:v>
      </x:c>
      <x:c r="E14" s="3" t="str">
        <x:f>IF(Master!F45="","",Master!F45)</x:f>
      </x:c>
      <x:c r="F14" s="3" t="str">
        <x:f>IF(Master!G45="","",Master!G45)</x:f>
      </x:c>
      <x:c r="G14" s="3" t="str">
        <x:f>IF(Master!H45="","",Master!H45)</x:f>
        <x:v>25 MB free</x:v>
      </x:c>
      <x:c r="H14" s="3" t="str">
        <x:f>IF(Master!I45="","",Master!I45)</x:f>
        <x:v>500 MB free</x:v>
      </x:c>
      <x:c r="I14" s="3" t="str">
        <x:f>IF(Master!J45="","",Master!J45)</x:f>
        <x:v>8 MB on hosted Free tier</x:v>
      </x:c>
      <x:c r="J14" s="3" t="str">
        <x:f>IF(Master!K45="","",Master!K45)</x:f>
        <x:v>Local/device storage</x:v>
      </x:c>
      <x:c r="K14" s="3" t="str">
        <x:f>IF(Master!L45="","",Master!L45)</x:f>
        <x:v>15 MB on official federated instance; self-host limits are configurable (developer report)</x:v>
      </x:c>
      <x:c r="L14" s="3" t="str">
        <x:f>IF(Master!M45="","",Master!M45)</x:f>
      </x:c>
      <x:c r="M14" s="3" t="str">
        <x:f>IF(Master!N45="","",Master!N45)</x:f>
      </x:c>
      <x:c r="N14" s="3" t="str">
        <x:f>IF(Master!O45="","",Master!O45)</x:f>
        <x:v>Homeserver-dependent</x:v>
      </x:c>
      <x:c r="O14" s="3" t="str">
        <x:f>IF(Master!P45="","",Master!P45)</x:f>
        <x:v>100 MB hard limit; configurable</x:v>
      </x:c>
      <x:c r="P14" s="3" t="str">
        <x:f>IF(Master!Q45="","",Master!Q45)</x:f>
        <x:v>50 MB images; 100 MB video/other files</x:v>
      </x:c>
      <x:c r="Q14" s="3" t="str">
        <x:f>IF(Master!R45="","",Master!R45)</x:f>
        <x:v>N/A</x:v>
      </x:c>
      <x:c r="R14" s="3" t="str">
        <x:f>IF(Master!S45="","",Master!S45)</x:f>
      </x:c>
      <x:c r="S14" s="3" t="str">
        <x:f>IF(Master!T45="","",Master!T45)</x:f>
      </x:c>
      <x:c r="T14" s="3" t="str">
        <x:f>IF(Master!U45="","",Master!U45)</x:f>
        <x:v>Not publicly claimed</x:v>
      </x:c>
      <x:c r="U14" s="3" t="str">
        <x:f>IF(Master!V45="","",Master!V45)</x:f>
        <x:v>50 MB free; Rift+ 300 MB personal uploads; Shard tiers vary</x:v>
      </x:c>
      <x:c r="V14" s="3" t="str">
        <x:f>IF(Master!W45="","",Master!W45)</x:f>
        <x:v>Configurable by workspace / proxy</x:v>
      </x:c>
      <x:c r="W14" s="3" t="str">
        <x:f>IF(Master!X45="","",Master!X45)</x:f>
      </x:c>
      <x:c r="X14" s="3" t="str">
        <x:f>IF(Master!Y45="","",Master!Y45)</x:f>
        <x:v>25 MB</x:v>
      </x:c>
      <x:c r="Y14" s="3" t="str">
        <x:f>IF(Master!Z45="","",Master!Z45)</x:f>
        <x:v>Operator-configurable</x:v>
      </x:c>
      <x:c r="Z14" s="3" t="str">
        <x:f>IF(Master!AA45="","",Master!AA45)</x:f>
        <x:v>20 MB</x:v>
      </x:c>
      <x:c r="AA14" s="6" t="str">
        <x:f>IF(Master!AB45="","",Master!AB45)</x:f>
        <x:v>10 MB</x:v>
      </x:c>
      <x:c r="AB14" s="3" t="str">
        <x:f>IF(Master!AC45="","",Master!AC45)</x:f>
      </x:c>
      <x:c r="AC14" s="3" t="str">
        <x:f>IF(Master!AD45="","",Master!AD45)</x:f>
      </x:c>
      <x:c r="AD14" s="3" t="str">
        <x:f>IF(Master!AE45="","",Master!AE45)</x:f>
      </x:c>
      <x:c r="AE14" s="3" t="str">
        <x:f>IF(Master!AF45="","",Master!AF45)</x:f>
        <x:v>Configurable by server operator</x:v>
      </x:c>
      <x:c r="AF14" s="8" t="str">
        <x:f>IF(Master!AG45="","",Master!AG45)</x:f>
        <x:v>Plan/server configurable</x:v>
      </x:c>
    </x:row>
    <x:row r="15" ht="36" customHeight="1">
      <x:c r="A15" s="17" t="s">
        <x:v>252</x:v>
      </x:c>
      <x:c r="B15" s="3" t="str">
        <x:f>IF(Master!C52="","",Master!C52)</x:f>
        <x:v>Yes</x:v>
      </x:c>
      <x:c r="C15" s="3" t="str">
        <x:f>IF(Master!D52="","",Master!D52)</x:f>
        <x:v>Yes</x:v>
      </x:c>
      <x:c r="D15" s="3" t="str">
        <x:f>IF(Master!E52="","",Master!E52)</x:f>
      </x:c>
      <x:c r="E15" s="3" t="str">
        <x:f>IF(Master!F52="","",Master!F52)</x:f>
        <x:v>Yes</x:v>
      </x:c>
      <x:c r="F15" s="3" t="str">
        <x:f>IF(Master!G52="","",Master!G52)</x:f>
        <x:v>Yes</x:v>
      </x:c>
      <x:c r="G15" s="3" t="str">
        <x:f>IF(Master!H52="","",Master!H52)</x:f>
      </x:c>
      <x:c r="H15" s="3" t="str">
        <x:f>IF(Master!I52="","",Master!I52)</x:f>
        <x:v>Yes</x:v>
      </x:c>
      <x:c r="I15" s="3" t="str">
        <x:f>IF(Master!J52="","",Master!J52)</x:f>
      </x:c>
      <x:c r="J15" s="3" t="str">
        <x:f>IF(Master!K52="","",Master!K52)</x:f>
      </x:c>
      <x:c r="K15" s="3" t="str">
        <x:f>IF(Master!L52="","",Master!L52)</x:f>
        <x:v>Yes</x:v>
      </x:c>
      <x:c r="L15" s="3" t="str">
        <x:f>IF(Master!M52="","",Master!M52)</x:f>
      </x:c>
      <x:c r="M15" s="3" t="str">
        <x:f>IF(Master!N52="","",Master!N52)</x:f>
        <x:v>Yes</x:v>
      </x:c>
      <x:c r="N15" s="3" t="str">
        <x:f>IF(Master!O52="","",Master!O52)</x:f>
        <x:v>Yes</x:v>
      </x:c>
      <x:c r="O15" s="3" t="str">
        <x:f>IF(Master!P52="","",Master!P52)</x:f>
      </x:c>
      <x:c r="P15" s="3" t="str">
        <x:f>IF(Master!Q52="","",Master!Q52)</x:f>
        <x:v>Yes</x:v>
      </x:c>
      <x:c r="Q15" s="3" t="str">
        <x:f>IF(Master!R52="","",Master!R52)</x:f>
      </x:c>
      <x:c r="R15" s="3" t="str">
        <x:f>IF(Master!S52="","",Master!S52)</x:f>
        <x:v>Yes</x:v>
      </x:c>
      <x:c r="S15" s="3" t="str">
        <x:f>IF(Master!T52="","",Master!T52)</x:f>
      </x:c>
      <x:c r="T15" s="3" t="str">
        <x:f>IF(Master!U52="","",Master!U52)</x:f>
        <x:v>Yes</x:v>
      </x:c>
      <x:c r="U15" s="3" t="str">
        <x:f>IF(Master!V52="","",Master!V52)</x:f>
        <x:v>Yes</x:v>
      </x:c>
      <x:c r="V15" s="3" t="str">
        <x:f>IF(Master!W52="","",Master!W52)</x:f>
        <x:v>Yes</x:v>
      </x:c>
      <x:c r="W15" s="3" t="str">
        <x:f>IF(Master!X52="","",Master!X52)</x:f>
      </x:c>
      <x:c r="X15" s="3" t="str">
        <x:f>IF(Master!Y52="","",Master!Y52)</x:f>
        <x:v>Yes</x:v>
      </x:c>
      <x:c r="Y15" s="3" t="str">
        <x:f>IF(Master!Z52="","",Master!Z52)</x:f>
      </x:c>
      <x:c r="Z15" s="3" t="str">
        <x:f>IF(Master!AA52="","",Master!AA52)</x:f>
        <x:v>Yes</x:v>
      </x:c>
      <x:c r="AA15" s="6" t="str">
        <x:f>IF(Master!AB52="","",Master!AB52)</x:f>
      </x:c>
      <x:c r="AB15" s="3" t="str">
        <x:f>IF(Master!AC52="","",Master!AC52)</x:f>
      </x:c>
      <x:c r="AC15" s="3" t="str">
        <x:f>IF(Master!AD52="","",Master!AD52)</x:f>
      </x:c>
      <x:c r="AD15" s="3" t="str">
        <x:f>IF(Master!AE52="","",Master!AE52)</x:f>
        <x:v>Yes</x:v>
      </x:c>
      <x:c r="AE15" s="3" t="str">
        <x:f>IF(Master!AF52="","",Master!AF52)</x:f>
      </x:c>
      <x:c r="AF15" s="8" t="str">
        <x:f>IF(Master!AG52="","",Master!AG52)</x:f>
        <x:v>Yes</x:v>
      </x:c>
    </x:row>
    <x:row r="16" ht="36" customHeight="1">
      <x:c r="A16" s="17" t="s">
        <x:v>253</x:v>
      </x:c>
      <x:c r="B16" s="3" t="str">
        <x:f>IF(Master!C54="","",Master!C54)</x:f>
        <x:v>Yes</x:v>
      </x:c>
      <x:c r="C16" s="3" t="str">
        <x:f>IF(Master!D54="","",Master!D54)</x:f>
      </x:c>
      <x:c r="D16" s="3" t="str">
        <x:f>IF(Master!E54="","",Master!E54)</x:f>
      </x:c>
      <x:c r="E16" s="3" t="str">
        <x:f>IF(Master!F54="","",Master!F54)</x:f>
      </x:c>
      <x:c r="F16" s="3" t="str">
        <x:f>IF(Master!G54="","",Master!G54)</x:f>
      </x:c>
      <x:c r="G16" s="3" t="str">
        <x:f>IF(Master!H54="","",Master!H54)</x:f>
      </x:c>
      <x:c r="H16" s="3" t="str">
        <x:f>IF(Master!I54="","",Master!I54)</x:f>
      </x:c>
      <x:c r="I16" s="3" t="str">
        <x:f>IF(Master!J54="","",Master!J54)</x:f>
      </x:c>
      <x:c r="J16" s="3" t="str">
        <x:f>IF(Master!K54="","",Master!K54)</x:f>
      </x:c>
      <x:c r="K16" s="3" t="str">
        <x:f>IF(Master!L54="","",Master!L54)</x:f>
        <x:v>Yes</x:v>
      </x:c>
      <x:c r="L16" s="3" t="str">
        <x:f>IF(Master!M54="","",Master!M54)</x:f>
      </x:c>
      <x:c r="M16" s="3" t="str">
        <x:f>IF(Master!N54="","",Master!N54)</x:f>
      </x:c>
      <x:c r="N16" s="3" t="str">
        <x:f>IF(Master!O54="","",Master!O54)</x:f>
        <x:v>Yes</x:v>
      </x:c>
      <x:c r="O16" s="3" t="str">
        <x:f>IF(Master!P54="","",Master!P54)</x:f>
      </x:c>
      <x:c r="P16" s="3" t="str">
        <x:f>IF(Master!Q54="","",Master!Q54)</x:f>
      </x:c>
      <x:c r="Q16" s="3" t="str">
        <x:f>IF(Master!R54="","",Master!R54)</x:f>
      </x:c>
      <x:c r="R16" s="3" t="str">
        <x:f>IF(Master!S54="","",Master!S54)</x:f>
        <x:v>Yes</x:v>
      </x:c>
      <x:c r="S16" s="3" t="str">
        <x:f>IF(Master!T54="","",Master!T54)</x:f>
      </x:c>
      <x:c r="T16" s="3" t="str">
        <x:f>IF(Master!U54="","",Master!U54)</x:f>
      </x:c>
      <x:c r="U16" s="3" t="str">
        <x:f>IF(Master!V54="","",Master!V54)</x:f>
        <x:v>Yes</x:v>
      </x:c>
      <x:c r="V16" s="3" t="str">
        <x:f>IF(Master!W54="","",Master!W54)</x:f>
      </x:c>
      <x:c r="W16" s="3" t="str">
        <x:f>IF(Master!X54="","",Master!X54)</x:f>
      </x:c>
      <x:c r="X16" s="3" t="str">
        <x:f>IF(Master!Y54="","",Master!Y54)</x:f>
        <x:v>Yes</x:v>
      </x:c>
      <x:c r="Y16" s="3" t="str">
        <x:f>IF(Master!Z54="","",Master!Z54)</x:f>
      </x:c>
      <x:c r="Z16" s="3" t="str">
        <x:f>IF(Master!AA54="","",Master!AA54)</x:f>
        <x:v>Yes</x:v>
      </x:c>
      <x:c r="AA16" s="6" t="str">
        <x:f>IF(Master!AB54="","",Master!AB54)</x:f>
      </x:c>
      <x:c r="AB16" s="3" t="str">
        <x:f>IF(Master!AC54="","",Master!AC54)</x:f>
      </x:c>
      <x:c r="AC16" s="3" t="str">
        <x:f>IF(Master!AD54="","",Master!AD54)</x:f>
      </x:c>
      <x:c r="AD16" s="3" t="str">
        <x:f>IF(Master!AE54="","",Master!AE54)</x:f>
      </x:c>
      <x:c r="AE16" s="3" t="str">
        <x:f>IF(Master!AF54="","",Master!AF54)</x:f>
      </x:c>
      <x:c r="AF16" s="8" t="str">
        <x:f>IF(Master!AG54="","",Master!AG54)</x:f>
        <x:v>Yes</x:v>
      </x:c>
    </x:row>
    <x:row r="17" ht="36" customHeight="1">
      <x:c r="A17" s="17" t="s">
        <x:v>254</x:v>
      </x:c>
      <x:c r="B17" s="3" t="str">
        <x:f>IF(Master!C55="","",Master!C55)</x:f>
        <x:v>Yes</x:v>
      </x:c>
      <x:c r="C17" s="3" t="str">
        <x:f>IF(Master!D55="","",Master!D55)</x:f>
      </x:c>
      <x:c r="D17" s="3" t="str">
        <x:f>IF(Master!E55="","",Master!E55)</x:f>
      </x:c>
      <x:c r="E17" s="3" t="str">
        <x:f>IF(Master!F55="","",Master!F55)</x:f>
      </x:c>
      <x:c r="F17" s="3" t="str">
        <x:f>IF(Master!G55="","",Master!G55)</x:f>
      </x:c>
      <x:c r="G17" s="3" t="str">
        <x:f>IF(Master!H55="","",Master!H55)</x:f>
      </x:c>
      <x:c r="H17" s="3" t="str">
        <x:f>IF(Master!I55="","",Master!I55)</x:f>
      </x:c>
      <x:c r="I17" s="3" t="str">
        <x:f>IF(Master!J55="","",Master!J55)</x:f>
      </x:c>
      <x:c r="J17" s="3" t="str">
        <x:f>IF(Master!K55="","",Master!K55)</x:f>
      </x:c>
      <x:c r="K17" s="3" t="str">
        <x:f>IF(Master!L55="","",Master!L55)</x:f>
        <x:v>Yes</x:v>
      </x:c>
      <x:c r="L17" s="3" t="str">
        <x:f>IF(Master!M55="","",Master!M55)</x:f>
      </x:c>
      <x:c r="M17" s="3" t="str">
        <x:f>IF(Master!N55="","",Master!N55)</x:f>
      </x:c>
      <x:c r="N17" s="3" t="str">
        <x:f>IF(Master!O55="","",Master!O55)</x:f>
        <x:v>Yes</x:v>
      </x:c>
      <x:c r="O17" s="3" t="str">
        <x:f>IF(Master!P55="","",Master!P55)</x:f>
      </x:c>
      <x:c r="P17" s="3" t="str">
        <x:f>IF(Master!Q55="","",Master!Q55)</x:f>
      </x:c>
      <x:c r="Q17" s="3" t="str">
        <x:f>IF(Master!R55="","",Master!R55)</x:f>
      </x:c>
      <x:c r="R17" s="3" t="str">
        <x:f>IF(Master!S55="","",Master!S55)</x:f>
      </x:c>
      <x:c r="S17" s="3" t="str">
        <x:f>IF(Master!T55="","",Master!T55)</x:f>
      </x:c>
      <x:c r="T17" s="3" t="str">
        <x:f>IF(Master!U55="","",Master!U55)</x:f>
      </x:c>
      <x:c r="U17" s="3" t="str">
        <x:f>IF(Master!V55="","",Master!V55)</x:f>
        <x:v>Yes</x:v>
      </x:c>
      <x:c r="V17" s="3" t="str">
        <x:f>IF(Master!W55="","",Master!W55)</x:f>
      </x:c>
      <x:c r="W17" s="3" t="str">
        <x:f>IF(Master!X55="","",Master!X55)</x:f>
      </x:c>
      <x:c r="X17" s="3" t="str">
        <x:f>IF(Master!Y55="","",Master!Y55)</x:f>
        <x:v>Yes</x:v>
      </x:c>
      <x:c r="Y17" s="3" t="str">
        <x:f>IF(Master!Z55="","",Master!Z55)</x:f>
      </x:c>
      <x:c r="Z17" s="3" t="str">
        <x:f>IF(Master!AA55="","",Master!AA55)</x:f>
        <x:v>Yes</x:v>
      </x:c>
      <x:c r="AA17" s="6" t="str">
        <x:f>IF(Master!AB55="","",Master!AB55)</x:f>
      </x:c>
      <x:c r="AB17" s="3" t="str">
        <x:f>IF(Master!AC55="","",Master!AC55)</x:f>
      </x:c>
      <x:c r="AC17" s="3" t="str">
        <x:f>IF(Master!AD55="","",Master!AD55)</x:f>
      </x:c>
      <x:c r="AD17" s="3" t="str">
        <x:f>IF(Master!AE55="","",Master!AE55)</x:f>
      </x:c>
      <x:c r="AE17" s="3" t="str">
        <x:f>IF(Master!AF55="","",Master!AF55)</x:f>
      </x:c>
      <x:c r="AF17" s="8" t="str">
        <x:f>IF(Master!AG55="","",Master!AG55)</x:f>
        <x:v>Yes</x:v>
      </x:c>
    </x:row>
    <x:row r="18" ht="36" customHeight="1">
      <x:c r="A18" s="17" t="s">
        <x:v>255</x:v>
      </x:c>
      <x:c r="B18" s="3" t="str">
        <x:f>IF(Master!C53="","",Master!C53)</x:f>
        <x:v>Yes</x:v>
      </x:c>
      <x:c r="C18" s="3" t="str">
        <x:f>IF(Master!D53="","",Master!D53)</x:f>
        <x:v>Yes</x:v>
      </x:c>
      <x:c r="D18" s="3" t="str">
        <x:f>IF(Master!E53="","",Master!E53)</x:f>
        <x:v>Yes</x:v>
      </x:c>
      <x:c r="E18" s="3" t="str">
        <x:f>IF(Master!F53="","",Master!F53)</x:f>
        <x:v>Yes</x:v>
      </x:c>
      <x:c r="F18" s="3" t="str">
        <x:f>IF(Master!G53="","",Master!G53)</x:f>
        <x:v>Yes</x:v>
      </x:c>
      <x:c r="G18" s="3" t="str">
        <x:f>IF(Master!H53="","",Master!H53)</x:f>
        <x:v>Yes</x:v>
      </x:c>
      <x:c r="H18" s="3" t="str">
        <x:f>IF(Master!I53="","",Master!I53)</x:f>
        <x:v>Yes</x:v>
      </x:c>
      <x:c r="I18" s="3" t="str">
        <x:f>IF(Master!J53="","",Master!J53)</x:f>
      </x:c>
      <x:c r="J18" s="3" t="str">
        <x:f>IF(Master!K53="","",Master!K53)</x:f>
        <x:v>Yes</x:v>
      </x:c>
      <x:c r="K18" s="3" t="str">
        <x:f>IF(Master!L53="","",Master!L53)</x:f>
        <x:v>Yes</x:v>
      </x:c>
      <x:c r="L18" s="3" t="str">
        <x:f>IF(Master!M53="","",Master!M53)</x:f>
      </x:c>
      <x:c r="M18" s="3" t="str">
        <x:f>IF(Master!N53="","",Master!N53)</x:f>
        <x:v>Yes</x:v>
      </x:c>
      <x:c r="N18" s="3" t="str">
        <x:f>IF(Master!O53="","",Master!O53)</x:f>
        <x:v>Yes via reply relation</x:v>
      </x:c>
      <x:c r="O18" s="3" t="str">
        <x:f>IF(Master!P53="","",Master!P53)</x:f>
        <x:v>Yes</x:v>
      </x:c>
      <x:c r="P18" s="3" t="str">
        <x:f>IF(Master!Q53="","",Master!Q53)</x:f>
        <x:v>Yes</x:v>
      </x:c>
      <x:c r="Q18" s="3" t="str">
        <x:f>IF(Master!R53="","",Master!R53)</x:f>
        <x:v>Limited text replies N/A</x:v>
      </x:c>
      <x:c r="R18" s="3" t="str">
        <x:f>IF(Master!S53="","",Master!S53)</x:f>
        <x:v>Yes</x:v>
      </x:c>
      <x:c r="S18" s="3" t="str">
        <x:f>IF(Master!T53="","",Master!T53)</x:f>
        <x:v>Yes</x:v>
      </x:c>
      <x:c r="T18" s="3" t="str">
        <x:f>IF(Master!U53="","",Master!U53)</x:f>
        <x:v>Yes</x:v>
      </x:c>
      <x:c r="U18" s="3" t="str">
        <x:f>IF(Master!V53="","",Master!V53)</x:f>
        <x:v>Yes</x:v>
      </x:c>
      <x:c r="V18" s="3" t="str">
        <x:f>IF(Master!W53="","",Master!W53)</x:f>
        <x:v>Yes</x:v>
      </x:c>
      <x:c r="W18" s="3" t="str">
        <x:f>IF(Master!X53="","",Master!X53)</x:f>
      </x:c>
      <x:c r="X18" s="3" t="str">
        <x:f>IF(Master!Y53="","",Master!Y53)</x:f>
        <x:v>Yes</x:v>
      </x:c>
      <x:c r="Y18" s="3" t="str">
        <x:f>IF(Master!Z53="","",Master!Z53)</x:f>
        <x:v>Yes</x:v>
      </x:c>
      <x:c r="Z18" s="3" t="str">
        <x:f>IF(Master!AA53="","",Master!AA53)</x:f>
        <x:v>Yes</x:v>
      </x:c>
      <x:c r="AA18" s="6" t="str">
        <x:f>IF(Master!AB53="","",Master!AB53)</x:f>
      </x:c>
      <x:c r="AB18" s="3" t="str">
        <x:f>IF(Master!AC53="","",Master!AC53)</x:f>
        <x:v>Yes</x:v>
      </x:c>
      <x:c r="AC18" s="3" t="str">
        <x:f>IF(Master!AD53="","",Master!AD53)</x:f>
      </x:c>
      <x:c r="AD18" s="3" t="str">
        <x:f>IF(Master!AE53="","",Master!AE53)</x:f>
        <x:v>Yes</x:v>
      </x:c>
      <x:c r="AE18" s="3" t="str">
        <x:f>IF(Master!AF53="","",Master!AF53)</x:f>
      </x:c>
      <x:c r="AF18" s="8" t="str">
        <x:f>IF(Master!AG53="","",Master!AG53)</x:f>
        <x:v>Yes</x:v>
      </x:c>
    </x:row>
    <x:row r="19" ht="36" customHeight="1">
      <x:c r="A19" s="17" t="s">
        <x:v>256</x:v>
      </x:c>
      <x:c r="B19" s="3" t="str">
        <x:f>IF(Master!C46="","",Master!C46)</x:f>
        <x:v>Yes</x:v>
      </x:c>
      <x:c r="C19" s="3" t="str">
        <x:f>IF(Master!D46="","",Master!D46)</x:f>
      </x:c>
      <x:c r="D19" s="3" t="str">
        <x:f>IF(Master!E46="","",Master!E46)</x:f>
      </x:c>
      <x:c r="E19" s="3" t="str">
        <x:f>IF(Master!F46="","",Master!F46)</x:f>
        <x:v>Yes</x:v>
      </x:c>
      <x:c r="F19" s="3" t="str">
        <x:f>IF(Master!G46="","",Master!G46)</x:f>
      </x:c>
      <x:c r="G19" s="3" t="str">
        <x:f>IF(Master!H46="","",Master!H46)</x:f>
        <x:v>Yes</x:v>
      </x:c>
      <x:c r="H19" s="3" t="str">
        <x:f>IF(Master!I46="","",Master!I46)</x:f>
        <x:v>Yes</x:v>
      </x:c>
      <x:c r="I19" s="3" t="str">
        <x:f>IF(Master!J46="","",Master!J46)</x:f>
      </x:c>
      <x:c r="J19" s="3" t="str">
        <x:f>IF(Master!K46="","",Master!K46)</x:f>
      </x:c>
      <x:c r="K19" s="3" t="str">
        <x:f>IF(Master!L46="","",Master!L46)</x:f>
        <x:v>Yes</x:v>
      </x:c>
      <x:c r="L19" s="3" t="str">
        <x:f>IF(Master!M46="","",Master!M46)</x:f>
      </x:c>
      <x:c r="M19" s="3" t="str">
        <x:f>IF(Master!N46="","",Master!N46)</x:f>
        <x:v>Yes</x:v>
      </x:c>
      <x:c r="N19" s="3" t="str">
        <x:f>IF(Master!O46="","",Master!O46)</x:f>
        <x:v>Client-dependent</x:v>
      </x:c>
      <x:c r="O19" s="3" t="str">
        <x:f>IF(Master!P46="","",Master!P46)</x:f>
        <x:v>Yes</x:v>
      </x:c>
      <x:c r="P19" s="3" t="str">
        <x:f>IF(Master!Q46="","",Master!Q46)</x:f>
        <x:v>Yes</x:v>
      </x:c>
      <x:c r="Q19" s="3" t="str">
        <x:f>IF(Master!R46="","",Master!R46)</x:f>
        <x:v>N/A</x:v>
      </x:c>
      <x:c r="R19" s="3" t="str">
        <x:f>IF(Master!S46="","",Master!S46)</x:f>
        <x:v>Yes</x:v>
      </x:c>
      <x:c r="S19" s="3" t="str">
        <x:f>IF(Master!T46="","",Master!T46)</x:f>
        <x:v>Yes</x:v>
      </x:c>
      <x:c r="T19" s="3" t="str">
        <x:f>IF(Master!U46="","",Master!U46)</x:f>
        <x:v>Yes</x:v>
      </x:c>
      <x:c r="U19" s="3" t="str">
        <x:f>IF(Master!V46="","",Master!V46)</x:f>
        <x:v>Yes: channel pins + Shard pin feed</x:v>
      </x:c>
      <x:c r="V19" s="3" t="str">
        <x:f>IF(Master!W46="","",Master!W46)</x:f>
        <x:v>Yes</x:v>
      </x:c>
      <x:c r="W19" s="3" t="str">
        <x:f>IF(Master!X46="","",Master!X46)</x:f>
      </x:c>
      <x:c r="X19" s="3" t="str">
        <x:f>IF(Master!Y46="","",Master!Y46)</x:f>
        <x:v>Yes</x:v>
      </x:c>
      <x:c r="Y19" s="3" t="str">
        <x:f>IF(Master!Z46="","",Master!Z46)</x:f>
        <x:v>Yes</x:v>
      </x:c>
      <x:c r="Z19" s="3" t="str">
        <x:f>IF(Master!AA46="","",Master!AA46)</x:f>
        <x:v>Yes</x:v>
      </x:c>
      <x:c r="AA19" s="6" t="str">
        <x:f>IF(Master!AB46="","",Master!AB46)</x:f>
      </x:c>
      <x:c r="AB19" s="3" t="str">
        <x:f>IF(Master!AC46="","",Master!AC46)</x:f>
        <x:v>Yes</x:v>
      </x:c>
      <x:c r="AC19" s="3" t="str">
        <x:f>IF(Master!AD46="","",Master!AD46)</x:f>
      </x:c>
      <x:c r="AD19" s="3" t="str">
        <x:f>IF(Master!AE46="","",Master!AE46)</x:f>
      </x:c>
      <x:c r="AE19" s="3" t="str">
        <x:f>IF(Master!AF46="","",Master!AF46)</x:f>
      </x:c>
      <x:c r="AF19" s="8" t="str">
        <x:f>IF(Master!AG46="","",Master!AG46)</x:f>
        <x:v>Yes</x:v>
      </x:c>
    </x:row>
    <x:row r="20" ht="36" customHeight="1">
      <x:c r="A20" s="17" t="s">
        <x:v>257</x:v>
      </x:c>
      <x:c r="B20" s="3" t="str">
        <x:f>IF(Master!C47="","",Master!C47)</x:f>
        <x:v>Yes: server message search; Server Discovery exists for eligible public communities</x:v>
      </x:c>
      <x:c r="C20" s="3" t="str">
        <x:f>IF(Master!D47="","",Master!D47)</x:f>
      </x:c>
      <x:c r="D20" s="3" t="str">
        <x:f>IF(Master!E47="","",Master!E47)</x:f>
        <x:v>Yes</x:v>
      </x:c>
      <x:c r="E20" s="3" t="str">
        <x:f>IF(Master!F47="","",Master!F47)</x:f>
        <x:v>Yes</x:v>
      </x:c>
      <x:c r="F20" s="3" t="str">
        <x:f>IF(Master!G47="","",Master!G47)</x:f>
        <x:v>Yes</x:v>
      </x:c>
      <x:c r="G20" s="3" t="str">
        <x:f>IF(Master!H47="","",Master!H47)</x:f>
        <x:v>Yes</x:v>
      </x:c>
      <x:c r="H20" s="3" t="str">
        <x:f>IF(Master!I47="","",Master!I47)</x:f>
        <x:v>Yes</x:v>
      </x:c>
      <x:c r="I20" s="3" t="str">
        <x:f>IF(Master!J47="","",Master!J47)</x:f>
      </x:c>
      <x:c r="J20" s="3" t="str">
        <x:f>IF(Master!K47="","",Master!K47)</x:f>
      </x:c>
      <x:c r="K20" s="3" t="str">
        <x:f>IF(Master!L47="","",Master!L47)</x:f>
        <x:v>Yes: typo-tolerant search with filters; federated authorities are queried directly; developer reports no search-depth cap</x:v>
      </x:c>
      <x:c r="L20" s="3" t="str">
        <x:f>IF(Master!M47="","",Master!M47)</x:f>
      </x:c>
      <x:c r="M20" s="3" t="str">
        <x:f>IF(Master!N47="","",Master!N47)</x:f>
        <x:v>Yes</x:v>
      </x:c>
      <x:c r="N20" s="3" t="str">
        <x:f>IF(Master!O47="","",Master!O47)</x:f>
        <x:v>Client-dependent</x:v>
      </x:c>
      <x:c r="O20" s="3" t="str">
        <x:f>IF(Master!P47="","",Master!P47)</x:f>
        <x:v>Yes</x:v>
      </x:c>
      <x:c r="P20" s="3" t="str">
        <x:f>IF(Master!Q47="","",Master!Q47)</x:f>
        <x:v>Yes</x:v>
      </x:c>
      <x:c r="Q20" s="3" t="str">
        <x:f>IF(Master!R47="","",Master!R47)</x:f>
        <x:v>N/A</x:v>
      </x:c>
      <x:c r="R20" s="3" t="str">
        <x:f>IF(Master!S47="","",Master!S47)</x:f>
        <x:v>Yes</x:v>
      </x:c>
      <x:c r="S20" s="3" t="str">
        <x:f>IF(Master!T47="","",Master!T47)</x:f>
        <x:v>Yes</x:v>
      </x:c>
      <x:c r="T20" s="3" t="str">
        <x:f>IF(Master!U47="","",Master!U47)</x:f>
        <x:v>Yes</x:v>
      </x:c>
      <x:c r="U20" s="3" t="str">
        <x:f>IF(Master!V47="","",Master!V47)</x:f>
        <x:v>Yes - Limited to Shards</x:v>
      </x:c>
      <x:c r="V20" s="3" t="str">
        <x:f>IF(Master!W47="","",Master!W47)</x:f>
        <x:v>Yes</x:v>
      </x:c>
      <x:c r="W20" s="3" t="str">
        <x:f>IF(Master!X47="","",Master!X47)</x:f>
      </x:c>
      <x:c r="X20" s="3" t="str">
        <x:f>IF(Master!Y47="","",Master!Y47)</x:f>
        <x:v>Yes</x:v>
      </x:c>
      <x:c r="Y20" s="3" t="str">
        <x:f>IF(Master!Z47="","",Master!Z47)</x:f>
        <x:v>Yes/target</x:v>
      </x:c>
      <x:c r="Z20" s="3" t="str">
        <x:f>IF(Master!AA47="","",Master!AA47)</x:f>
        <x:v>Yes</x:v>
      </x:c>
      <x:c r="AA20" s="6" t="str">
        <x:f>IF(Master!AB47="","",Master!AB47)</x:f>
      </x:c>
      <x:c r="AB20" s="3" t="str">
        <x:f>IF(Master!AC47="","",Master!AC47)</x:f>
        <x:v>Yes</x:v>
      </x:c>
      <x:c r="AC20" s="3" t="str">
        <x:f>IF(Master!AD47="","",Master!AD47)</x:f>
      </x:c>
      <x:c r="AD20" s="3" t="str">
        <x:f>IF(Master!AE47="","",Master!AE47)</x:f>
        <x:v>Yes</x:v>
      </x:c>
      <x:c r="AE20" s="3" t="str">
        <x:f>IF(Master!AF47="","",Master!AF47)</x:f>
      </x:c>
      <x:c r="AF20" s="8" t="str">
        <x:f>IF(Master!AG47="","",Master!AG47)</x:f>
        <x:v>Yes</x:v>
      </x:c>
    </x:row>
    <x:row r="21" ht="36" customHeight="1">
      <x:c r="A21" s="17" t="s">
        <x:v>258</x:v>
      </x:c>
      <x:c r="B21" s="3" t="str">
        <x:f>IF(Master!C48="","",Master!C48)</x:f>
        <x:v>Yes</x:v>
      </x:c>
      <x:c r="C21" s="3" t="str">
        <x:f>IF(Master!D48="","",Master!D48)</x:f>
      </x:c>
      <x:c r="D21" s="3" t="str">
        <x:f>IF(Master!E48="","",Master!E48)</x:f>
      </x:c>
      <x:c r="E21" s="3" t="str">
        <x:f>IF(Master!F48="","",Master!F48)</x:f>
      </x:c>
      <x:c r="F21" s="3" t="str">
        <x:f>IF(Master!G48="","",Master!G48)</x:f>
      </x:c>
      <x:c r="G21" s="3" t="str">
        <x:f>IF(Master!H48="","",Master!H48)</x:f>
      </x:c>
      <x:c r="H21" s="3" t="str">
        <x:f>IF(Master!I48="","",Master!I48)</x:f>
      </x:c>
      <x:c r="I21" s="3" t="str">
        <x:f>IF(Master!J48="","",Master!J48)</x:f>
      </x:c>
      <x:c r="J21" s="3" t="str">
        <x:f>IF(Master!K48="","",Master!K48)</x:f>
      </x:c>
      <x:c r="K21" s="3" t="str">
        <x:f>IF(Master!L48="","",Master!L48)</x:f>
        <x:v>Yes</x:v>
      </x:c>
      <x:c r="L21" s="3" t="str">
        <x:f>IF(Master!M48="","",Master!M48)</x:f>
      </x:c>
      <x:c r="M21" s="3" t="str">
        <x:f>IF(Master!N48="","",Master!N48)</x:f>
      </x:c>
      <x:c r="N21" s="3" t="str">
        <x:f>IF(Master!O48="","",Master!O48)</x:f>
        <x:v>Yes</x:v>
      </x:c>
      <x:c r="O21" s="3" t="str">
        <x:f>IF(Master!P48="","",Master!P48)</x:f>
      </x:c>
      <x:c r="P21" s="3" t="str">
        <x:f>IF(Master!Q48="","",Master!Q48)</x:f>
      </x:c>
      <x:c r="Q21" s="3" t="str">
        <x:f>IF(Master!R48="","",Master!R48)</x:f>
      </x:c>
      <x:c r="R21" s="3" t="str">
        <x:f>IF(Master!S48="","",Master!S48)</x:f>
        <x:v>Yes</x:v>
      </x:c>
      <x:c r="S21" s="3" t="str">
        <x:f>IF(Master!T48="","",Master!T48)</x:f>
      </x:c>
      <x:c r="T21" s="3" t="str">
        <x:f>IF(Master!U48="","",Master!U48)</x:f>
      </x:c>
      <x:c r="U21" s="3" t="str">
        <x:f>IF(Master!V48="","",Master!V48)</x:f>
        <x:v>Yes</x:v>
      </x:c>
      <x:c r="V21" s="3" t="str">
        <x:f>IF(Master!W48="","",Master!W48)</x:f>
      </x:c>
      <x:c r="W21" s="3" t="str">
        <x:f>IF(Master!X48="","",Master!X48)</x:f>
      </x:c>
      <x:c r="X21" s="3" t="str">
        <x:f>IF(Master!Y48="","",Master!Y48)</x:f>
        <x:v>Yes</x:v>
      </x:c>
      <x:c r="Y21" s="3" t="str">
        <x:f>IF(Master!Z48="","",Master!Z48)</x:f>
      </x:c>
      <x:c r="Z21" s="3" t="str">
        <x:f>IF(Master!AA48="","",Master!AA48)</x:f>
        <x:v>Yes</x:v>
      </x:c>
      <x:c r="AA21" s="6" t="str">
        <x:f>IF(Master!AB48="","",Master!AB48)</x:f>
      </x:c>
      <x:c r="AB21" s="3" t="str">
        <x:f>IF(Master!AC48="","",Master!AC48)</x:f>
      </x:c>
      <x:c r="AC21" s="3" t="str">
        <x:f>IF(Master!AD48="","",Master!AD48)</x:f>
      </x:c>
      <x:c r="AD21" s="3" t="str">
        <x:f>IF(Master!AE48="","",Master!AE48)</x:f>
      </x:c>
      <x:c r="AE21" s="3" t="str">
        <x:f>IF(Master!AF48="","",Master!AF48)</x:f>
      </x:c>
      <x:c r="AF21" s="8" t="str">
        <x:f>IF(Master!AG48="","",Master!AG48)</x:f>
        <x:v>Yes</x:v>
      </x:c>
    </x:row>
    <x:row r="22" ht="21.950000762939453" customHeight="1">
      <x:c r="A22" s="18" t="s">
        <x:v>259</x:v>
      </x:c>
      <x:c r="B22" s="18" t="str">
        <x:f t="shared" ref="B22:AF22" si="2">IF(""="","","")</x:f>
      </x:c>
      <x:c r="C22" s="18" t="str">
        <x:f t="shared" si="2"/>
      </x:c>
      <x:c r="D22" s="18" t="str">
        <x:f t="shared" si="2"/>
      </x:c>
      <x:c r="E22" s="18" t="str">
        <x:f t="shared" si="2"/>
      </x:c>
      <x:c r="F22" s="18" t="str">
        <x:f t="shared" si="2"/>
      </x:c>
      <x:c r="G22" s="18" t="str">
        <x:f t="shared" si="2"/>
      </x:c>
      <x:c r="H22" s="18" t="str">
        <x:f t="shared" si="2"/>
      </x:c>
      <x:c r="I22" s="18" t="str">
        <x:f t="shared" si="2"/>
      </x:c>
      <x:c r="J22" s="18" t="str">
        <x:f t="shared" si="2"/>
      </x:c>
      <x:c r="K22" s="18" t="str">
        <x:f t="shared" si="2"/>
      </x:c>
      <x:c r="L22" s="18" t="str">
        <x:f t="shared" si="2"/>
      </x:c>
      <x:c r="M22" s="18" t="str">
        <x:f t="shared" si="2"/>
      </x:c>
      <x:c r="N22" s="18" t="str">
        <x:f t="shared" si="2"/>
      </x:c>
      <x:c r="O22" s="18" t="str">
        <x:f t="shared" si="2"/>
      </x:c>
      <x:c r="P22" s="18" t="str">
        <x:f t="shared" si="2"/>
      </x:c>
      <x:c r="Q22" s="18" t="str">
        <x:f t="shared" si="2"/>
      </x:c>
      <x:c r="R22" s="18" t="str">
        <x:f t="shared" si="2"/>
      </x:c>
      <x:c r="S22" s="18" t="str">
        <x:f t="shared" si="2"/>
      </x:c>
      <x:c r="T22" s="18" t="str">
        <x:f t="shared" si="2"/>
      </x:c>
      <x:c r="U22" s="18" t="str">
        <x:f t="shared" si="2"/>
      </x:c>
      <x:c r="V22" s="18" t="str">
        <x:f t="shared" si="2"/>
      </x:c>
      <x:c r="W22" s="18" t="str">
        <x:f t="shared" si="2"/>
      </x:c>
      <x:c r="X22" s="18" t="str">
        <x:f t="shared" si="2"/>
      </x:c>
      <x:c r="Y22" s="18" t="str">
        <x:f t="shared" si="2"/>
      </x:c>
      <x:c r="Z22" s="18" t="str">
        <x:f t="shared" si="2"/>
      </x:c>
      <x:c r="AA22" s="18" t="str">
        <x:f t="shared" si="2"/>
      </x:c>
      <x:c r="AB22" s="18" t="str">
        <x:f t="shared" si="2"/>
      </x:c>
      <x:c r="AC22" s="18" t="str">
        <x:f t="shared" si="2"/>
      </x:c>
      <x:c r="AD22" s="18" t="str">
        <x:f t="shared" si="2"/>
      </x:c>
      <x:c r="AE22" s="18" t="str">
        <x:f t="shared" si="2"/>
      </x:c>
      <x:c r="AF22" s="19" t="str">
        <x:f t="shared" si="2"/>
      </x:c>
    </x:row>
    <x:row r="23" ht="36" customHeight="1">
      <x:c r="A23" s="17" t="s">
        <x:v>96</x:v>
      </x:c>
      <x:c r="B23" s="3" t="str">
        <x:f>IF(Master!C580="","",Master!C580)</x:f>
        <x:v>May 2015</x:v>
      </x:c>
      <x:c r="C23" s="3" t="str">
        <x:f>IF(Master!D580="","",Master!D580)</x:f>
        <x:v>2026-era project</x:v>
      </x:c>
      <x:c r="D23" s="3" t="str">
        <x:f>IF(Master!E580="","",Master!E580)</x:f>
        <x:v>2023</x:v>
      </x:c>
      <x:c r="E23" s="3" t="str">
        <x:f>IF(Master!F580="","",Master!F580)</x:f>
        <x:v>2026</x:v>
      </x:c>
      <x:c r="F23" s="3" t="str">
        <x:f>IF(Master!G580="","",Master!G580)</x:f>
        <x:v>November 2025</x:v>
      </x:c>
      <x:c r="G23" s="3" t="str">
        <x:f>IF(Master!H580="","",Master!H580)</x:f>
        <x:v>2020</x:v>
      </x:c>
      <x:c r="H23" s="3" t="str">
        <x:f>IF(Master!I580="","",Master!I580)</x:f>
        <x:v>2026 ground-up rebuild</x:v>
      </x:c>
      <x:c r="I23" s="3" t="str">
        <x:f>IF(Master!J580="","",Master!J580)</x:f>
        <x:v>2026 fork era</x:v>
      </x:c>
      <x:c r="J23" s="3" t="str">
        <x:f>IF(Master!K580="","",Master!K580)</x:f>
        <x:v>2026-era public project</x:v>
      </x:c>
      <x:c r="K23" s="3" t="str">
        <x:f>IF(Master!L580="","",Master!L580)</x:f>
        <x:v>≈ late 2025 (developer report: private use for nearly a year as of Sep 2026)</x:v>
      </x:c>
      <x:c r="L23" s="3" t="str">
        <x:f>IF(Master!M580="","",Master!M580)</x:f>
      </x:c>
      <x:c r="M23" s="3" t="str">
        <x:f>IF(Master!N580="","",Master!N580)</x:f>
        <x:v>2026-era project</x:v>
      </x:c>
      <x:c r="N23" s="3" t="str">
        <x:f>IF(Master!O580="","",Master!O580)</x:f>
        <x:v>2014</x:v>
      </x:c>
      <x:c r="O23" s="3" t="str">
        <x:f>IF(Master!P580="","",Master!P580)</x:f>
        <x:v>2015</x:v>
      </x:c>
      <x:c r="P23" s="3" t="str">
        <x:f>IF(Master!Q580="","",Master!Q580)</x:f>
      </x:c>
      <x:c r="Q23" s="3" t="str">
        <x:f>IF(Master!R580="","",Master!R580)</x:f>
        <x:v>2005</x:v>
      </x:c>
      <x:c r="R23" s="3" t="str">
        <x:f>IF(Master!S580="","",Master!S580)</x:f>
      </x:c>
      <x:c r="S23" s="3" t="str">
        <x:f>IF(Master!T580="","",Master!T580)</x:f>
        <x:v>Summer 2024</x:v>
      </x:c>
      <x:c r="T23" s="3" t="str">
        <x:f>IF(Master!U580="","",Master!U580)</x:f>
        <x:v>Young open beta; exact first-commit date is available in the GitHub history</x:v>
      </x:c>
      <x:c r="U23" s="3" t="str">
        <x:f>IF(Master!V580="","",Master!V580)</x:f>
        <x:v>2026</x:v>
      </x:c>
      <x:c r="V23" s="3" t="str">
        <x:f>IF(Master!W580="","",Master!W580)</x:f>
        <x:v>2015</x:v>
      </x:c>
      <x:c r="W23" s="3" t="str">
        <x:f>IF(Master!X580="","",Master!X580)</x:f>
      </x:c>
      <x:c r="X23" s="3" t="str">
        <x:f>IF(Master!Y580="","",Master!Y580)</x:f>
      </x:c>
      <x:c r="Y23" s="3" t="str">
        <x:f>IF(Master!Z580="","",Master!Z580)</x:f>
        <x:v>2021 (as Fosscord/Spacebar project era)</x:v>
      </x:c>
      <x:c r="Z23" s="3" t="str">
        <x:f>IF(Master!AA580="","",Master!AA580)</x:f>
        <x:v>2021 (as Revolt; rebranded Stoat in 2025)</x:v>
      </x:c>
      <x:c r="AA23" s="6" t="str">
        <x:f>IF(Master!AB580="","",Master!AB580)</x:f>
        <x:v>1999 project origin</x:v>
      </x:c>
      <x:c r="AB23" s="3" t="str">
        <x:f>IF(Master!AC580="","",Master!AC580)</x:f>
      </x:c>
      <x:c r="AC23" s="3" t="str">
        <x:f>IF(Master!AD580="","",Master!AD580)</x:f>
        <x:v>Early 2026</x:v>
      </x:c>
      <x:c r="AD23" s="3" t="str">
        <x:f>IF(Master!AE580="","",Master!AE580)</x:f>
        <x:v>~2025</x:v>
      </x:c>
      <x:c r="AE23" s="3" t="str">
        <x:f>IF(Master!AF580="","",Master!AF580)</x:f>
        <x:v>2026-era project</x:v>
      </x:c>
      <x:c r="AF23" s="8" t="str">
        <x:f>IF(Master!AG580="","",Master!AG580)</x:f>
        <x:v>2012</x:v>
      </x:c>
    </x:row>
    <x:row r="24" ht="36" customHeight="1">
      <x:c r="A24" s="17" t="s">
        <x:v>260</x:v>
      </x:c>
      <x:c r="B24" s="3" t="str">
        <x:f>IF(Master!C581="","",Master!C581)</x:f>
        <x:v>2015-05-13</x:v>
      </x:c>
      <x:c r="C24" s="3" t="str">
        <x:f>IF(Master!D581="","",Master!D581)</x:f>
        <x:v>Public beta/dev 2026</x:v>
      </x:c>
      <x:c r="D24" s="3" t="str">
        <x:f>IF(Master!E581="","",Master!E581)</x:f>
        <x:v>Public project by 2024</x:v>
      </x:c>
      <x:c r="E24" s="3" t="str">
        <x:f>IF(Master!F581="","",Master!F581)</x:f>
        <x:v>Public 2026</x:v>
      </x:c>
      <x:c r="F24" s="3" t="str">
        <x:f>IF(Master!G581="","",Master!G581)</x:f>
        <x:v>Alpha access in 2026; public v1 release not yet</x:v>
      </x:c>
      <x:c r="G24" s="3" t="str">
        <x:f>IF(Master!H581="","",Master!H581)</x:f>
        <x:v>2026-01-02 public release</x:v>
      </x:c>
      <x:c r="H24" s="3" t="str">
        <x:f>IF(Master!I581="","",Master!I581)</x:f>
        <x:v>2026 open beta</x:v>
      </x:c>
      <x:c r="I24" s="3" t="str">
        <x:f>IF(Master!J581="","",Master!J581)</x:f>
        <x:v>Early public 2026</x:v>
      </x:c>
      <x:c r="J24" s="3" t="str">
        <x:f>IF(Master!K581="","",Master!K581)</x:f>
        <x:v>Public alpha/beta 2026</x:v>
      </x:c>
      <x:c r="K24" s="3" t="str">
        <x:f>IF(Master!L581="","",Master!L581)</x:f>
        <x:v>No formal public launch</x:v>
      </x:c>
      <x:c r="L24" s="3" t="str">
        <x:f>IF(Master!M581="","",Master!M581)</x:f>
        <x:v>Alpha/public 2026</x:v>
      </x:c>
      <x:c r="M24" s="3" t="str">
        <x:f>IF(Master!N581="","",Master!N581)</x:f>
        <x:v>Open beta 2026</x:v>
      </x:c>
      <x:c r="N24" s="3" t="str">
        <x:f>IF(Master!O581="","",Master!O581)</x:f>
        <x:v>2014-09-03 (first public alpha)</x:v>
      </x:c>
      <x:c r="O24" s="3" t="str">
        <x:f>IF(Master!P581="","",Master!P581)</x:f>
        <x:v>2015</x:v>
      </x:c>
      <x:c r="P24" s="3" t="str">
        <x:f>IF(Master!Q581="","",Master!Q581)</x:f>
      </x:c>
      <x:c r="Q24" s="3" t="str">
        <x:f>IF(Master!R581="","",Master!R581)</x:f>
      </x:c>
      <x:c r="R24" s="3" t="str">
        <x:f>IF(Master!S581="","",Master!S581)</x:f>
      </x:c>
      <x:c r="S24" s="3" t="str">
        <x:f>IF(Master!T581="","",Master!T581)</x:f>
        <x:v>Public beta in 2026</x:v>
      </x:c>
      <x:c r="T24" s="3" t="str">
        <x:f>IF(Master!U581="","",Master!U581)</x:f>
        <x:v>Open beta; exact public-beta launch date not stated</x:v>
      </x:c>
      <x:c r="U24" s="3" t="str">
        <x:f>IF(Master!V581="","",Master!V581)</x:f>
        <x:v>Public Beta 2026</x:v>
      </x:c>
      <x:c r="V24" s="3" t="str">
        <x:f>IF(Master!W581="","",Master!W581)</x:f>
        <x:v>2015</x:v>
      </x:c>
      <x:c r="W24" s="3" t="str">
        <x:f>IF(Master!X581="","",Master!X581)</x:f>
        <x:v>Early public project</x:v>
      </x:c>
      <x:c r="X24" s="3" t="str">
        <x:f>IF(Master!Y581="","",Master!Y581)</x:f>
      </x:c>
      <x:c r="Y24" s="3" t="str">
        <x:f>IF(Master!Z581="","",Master!Z581)</x:f>
      </x:c>
      <x:c r="Z24" s="3" t="str">
        <x:f>IF(Master!AA581="","",Master!AA581)</x:f>
      </x:c>
      <x:c r="AA24" s="6" t="str">
        <x:f>IF(Master!AB581="","",Master!AB581)</x:f>
        <x:v>2001 first public release</x:v>
      </x:c>
      <x:c r="AB24" s="3" t="str">
        <x:f>IF(Master!AC581="","",Master!AC581)</x:f>
        <x:v>Alpha/public before 2026</x:v>
      </x:c>
      <x:c r="AC24" s="3" t="str">
        <x:f>IF(Master!AD581="","",Master!AD581)</x:f>
        <x:v>Alpha/beta 2026</x:v>
      </x:c>
      <x:c r="AD24" s="3" t="str">
        <x:f>IF(Master!AE581="","",Master!AE581)</x:f>
        <x:v>Public beta 2026</x:v>
      </x:c>
      <x:c r="AE24" s="3" t="str">
        <x:f>IF(Master!AF581="","",Master!AF581)</x:f>
        <x:v>Public beta/service 2026</x:v>
      </x:c>
      <x:c r="AF24" s="8" t="str">
        <x:f>IF(Master!AG581="","",Master!AG581)</x:f>
        <x:v>2012 hosted; open-sourced 2015</x:v>
      </x:c>
    </x:row>
    <x:row r="25" ht="36" customHeight="1">
      <x:c r="A25" s="17" t="s">
        <x:v>261</x:v>
      </x:c>
      <x:c r="B25" s="3" t="str">
        <x:f>IF(Master!C583="","",Master!C583)</x:f>
        <x:v>Stable</x:v>
      </x:c>
      <x:c r="C25" s="3" t="str">
        <x:f>IF(Master!D583="","",Master!D583)</x:f>
        <x:v>Beta / active development</x:v>
      </x:c>
      <x:c r="D25" s="3" t="str">
        <x:f>IF(Master!E583="","",Master!E583)</x:f>
        <x:v>Beta / active development</x:v>
      </x:c>
      <x:c r="E25" s="3" t="str">
        <x:f>IF(Master!F583="","",Master!F583)</x:f>
        <x:v>Beta / public</x:v>
      </x:c>
      <x:c r="F25" s="3" t="str">
        <x:f>IF(Master!G583="","",Master!G583)</x:f>
        <x:v>Alpha</x:v>
      </x:c>
      <x:c r="G25" s="3" t="str">
        <x:f>IF(Master!H583="","",Master!H583)</x:f>
        <x:v>Public Beta</x:v>
      </x:c>
      <x:c r="H25" s="3" t="str">
        <x:f>IF(Master!I583="","",Master!I583)</x:f>
        <x:v>Open Beta</x:v>
      </x:c>
      <x:c r="I25" s="3" t="str">
        <x:f>IF(Master!J583="","",Master!J583)</x:f>
        <x:v>Active development; core text/voice/DMs/roles/moderation live</x:v>
      </x:c>
      <x:c r="J25" s="3" t="str">
        <x:f>IF(Master!K583="","",Master!K583)</x:f>
        <x:v>Alpha / Beta</x:v>
      </x:c>
      <x:c r="K25" s="3" t="str">
        <x:f>IF(Master!L583="","",Master!L583)</x:f>
        <x:v>Pre-launch / active development</x:v>
      </x:c>
      <x:c r="L25" s="3" t="str">
        <x:f>IF(Master!M583="","",Master!M583)</x:f>
        <x:v>Alpha</x:v>
      </x:c>
      <x:c r="M25" s="3" t="str">
        <x:f>IF(Master!N583="","",Master!N583)</x:f>
        <x:v>Open Beta</x:v>
      </x:c>
      <x:c r="N25" s="3" t="str">
        <x:f>IF(Master!O583="","",Master!O583)</x:f>
        <x:v>Stable open standard (spec v1.x)</x:v>
      </x:c>
      <x:c r="O25" s="3" t="str">
        <x:f>IF(Master!P583="","",Master!P583)</x:f>
        <x:v>Stable</x:v>
      </x:c>
      <x:c r="P25" s="3" t="str">
        <x:f>IF(Master!Q583="","",Master!Q583)</x:f>
        <x:v>Stable/public</x:v>
      </x:c>
      <x:c r="Q25" s="3" t="str">
        <x:f>IF(Master!R583="","",Master!R583)</x:f>
        <x:v>Stable</x:v>
      </x:c>
      <x:c r="R25" s="3" t="str">
        <x:f>IF(Master!S583="","",Master!S583)</x:f>
        <x:v>Stable/public</x:v>
      </x:c>
      <x:c r="S25" s="3" t="str">
        <x:f>IF(Master!T583="","",Master!T583)</x:f>
        <x:v>Public Beta</x:v>
      </x:c>
      <x:c r="T25" s="3" t="str">
        <x:f>IF(Master!U583="","",Master!U583)</x:f>
        <x:v>Open beta</x:v>
      </x:c>
      <x:c r="U25" s="3" t="str">
        <x:f>IF(Master!V583="","",Master!V583)</x:f>
        <x:v>Public Beta 2026</x:v>
      </x:c>
      <x:c r="V25" s="3" t="str">
        <x:f>IF(Master!W583="","",Master!W583)</x:f>
        <x:v>Stable</x:v>
      </x:c>
      <x:c r="W25" s="3" t="str">
        <x:f>IF(Master!X583="","",Master!X583)</x:f>
        <x:v>Alpha / experimental</x:v>
      </x:c>
      <x:c r="X25" s="3" t="str">
        <x:f>IF(Master!Y583="","",Master!Y583)</x:f>
        <x:v>Beta</x:v>
      </x:c>
      <x:c r="Y25" s="3" t="str">
        <x:f>IF(Master!Z583="","",Master!Z583)</x:f>
        <x:v>Alpha / WIP</x:v>
      </x:c>
      <x:c r="Z25" s="3" t="str">
        <x:f>IF(Master!AA583="","",Master!AA583)</x:f>
        <x:v>Beta / pre-1.0</x:v>
      </x:c>
      <x:c r="AA25" s="6" t="str">
        <x:f>IF(Master!AB583="","",Master!AB583)</x:f>
        <x:v>TS6 Beta; TS3 stable</x:v>
      </x:c>
      <x:c r="AB25" s="3" t="str">
        <x:f>IF(Master!AC583="","",Master!AC583)</x:f>
        <x:v>Alpha</x:v>
      </x:c>
      <x:c r="AC25" s="3" t="str">
        <x:f>IF(Master!AD583="","",Master!AD583)</x:f>
        <x:v>Alpha / Beta</x:v>
      </x:c>
      <x:c r="AD25" s="3" t="str">
        <x:f>IF(Master!AE583="","",Master!AE583)</x:f>
        <x:v>Public Beta</x:v>
      </x:c>
      <x:c r="AE25" s="3" t="str">
        <x:f>IF(Master!AF583="","",Master!AF583)</x:f>
        <x:v>Beta</x:v>
      </x:c>
      <x:c r="AF25" s="8" t="str">
        <x:f>IF(Master!AG583="","",Master!AG583)</x:f>
        <x:v>Stable</x:v>
      </x:c>
    </x:row>
    <x:row r="26" ht="36" customHeight="1">
      <x:c r="A26" s="17" t="s">
        <x:v>262</x:v>
      </x:c>
      <x:c r="B26" s="3" t="str">
        <x:f>IF(Master!C594="","",Master!C594)</x:f>
        <x:v>Active development</x:v>
      </x:c>
      <x:c r="C26" s="3" t="str">
        <x:f>IF(Master!D594="","",Master!D594)</x:f>
        <x:v>Active</x:v>
      </x:c>
      <x:c r="D26" s="3" t="str">
        <x:f>IF(Master!E594="","",Master!E594)</x:f>
        <x:v>Active</x:v>
      </x:c>
      <x:c r="E26" s="3" t="str">
        <x:f>IF(Master!F594="","",Master!F594)</x:f>
        <x:v>Active</x:v>
      </x:c>
      <x:c r="F26" s="3" t="str">
        <x:f>IF(Master!G594="","",Master!G594)</x:f>
        <x:v>Active alpha</x:v>
      </x:c>
      <x:c r="G26" s="3" t="str">
        <x:f>IF(Master!H594="","",Master!H594)</x:f>
        <x:v>Active</x:v>
      </x:c>
      <x:c r="H26" s="3" t="str">
        <x:f>IF(Master!I594="","",Master!I594)</x:f>
        <x:v>Active</x:v>
      </x:c>
      <x:c r="I26" s="3" t="str">
        <x:f>IF(Master!J594="","",Master!J594)</x:f>
        <x:v>Active</x:v>
      </x:c>
      <x:c r="J26" s="3" t="str">
        <x:f>IF(Master!K594="","",Master!K594)</x:f>
        <x:v>Active</x:v>
      </x:c>
      <x:c r="K26" s="3" t="str">
        <x:f>IF(Master!L594="","",Master!L594)</x:f>
        <x:v>Actively developed; pre-launch</x:v>
      </x:c>
      <x:c r="L26" s="3" t="str">
        <x:f>IF(Master!M594="","",Master!M594)</x:f>
        <x:v>Active</x:v>
      </x:c>
      <x:c r="M26" s="3" t="str">
        <x:f>IF(Master!N594="","",Master!N594)</x:f>
        <x:v>Active</x:v>
      </x:c>
      <x:c r="N26" s="3" t="str">
        <x:f>IF(Master!O594="","",Master!O594)</x:f>
        <x:v>Active standard + ecosystem</x:v>
      </x:c>
      <x:c r="O26" s="3" t="str">
        <x:f>IF(Master!P594="","",Master!P594)</x:f>
        <x:v>Active</x:v>
      </x:c>
      <x:c r="P26" s="3" t="str">
        <x:f>IF(Master!Q594="","",Master!Q594)</x:f>
        <x:v>Active</x:v>
      </x:c>
      <x:c r="Q26" s="3" t="str">
        <x:f>IF(Master!R594="","",Master!R594)</x:f>
        <x:v>Active</x:v>
      </x:c>
      <x:c r="R26" s="3" t="str">
        <x:f>IF(Master!S594="","",Master!S594)</x:f>
        <x:v>Active</x:v>
      </x:c>
      <x:c r="S26" s="3" t="str">
        <x:f>IF(Master!T594="","",Master!T594)</x:f>
        <x:v>Active</x:v>
      </x:c>
      <x:c r="T26" s="3" t="str">
        <x:f>IF(Master!U594="","",Master!U594)</x:f>
        <x:v>Active</x:v>
      </x:c>
      <x:c r="U26" s="3" t="str">
        <x:f>IF(Master!V594="","",Master!V594)</x:f>
        <x:v>Active</x:v>
      </x:c>
      <x:c r="V26" s="3" t="str">
        <x:f>IF(Master!W594="","",Master!W594)</x:f>
        <x:v>Active</x:v>
      </x:c>
      <x:c r="W26" s="3" t="str">
        <x:f>IF(Master!X594="","",Master!X594)</x:f>
        <x:v>Active</x:v>
      </x:c>
      <x:c r="X26" s="3" t="str">
        <x:f>IF(Master!Y594="","",Master!Y594)</x:f>
        <x:v>Active</x:v>
      </x:c>
      <x:c r="Y26" s="3" t="str">
        <x:f>IF(Master!Z594="","",Master!Z594)</x:f>
        <x:v>Active</x:v>
      </x:c>
      <x:c r="Z26" s="3" t="str">
        <x:f>IF(Master!AA594="","",Master!AA594)</x:f>
        <x:v>Active</x:v>
      </x:c>
      <x:c r="AA26" s="6" t="str">
        <x:f>IF(Master!AB594="","",Master!AB594)</x:f>
        <x:v>Active</x:v>
      </x:c>
      <x:c r="AB26" s="3" t="str">
        <x:f>IF(Master!AC594="","",Master!AC594)</x:f>
        <x:v>Active</x:v>
      </x:c>
      <x:c r="AC26" s="3" t="str">
        <x:f>IF(Master!AD594="","",Master!AD594)</x:f>
        <x:v>Active experimental</x:v>
      </x:c>
      <x:c r="AD26" s="3" t="str">
        <x:f>IF(Master!AE594="","",Master!AE594)</x:f>
        <x:v>Active</x:v>
      </x:c>
      <x:c r="AE26" s="3" t="str">
        <x:f>IF(Master!AF594="","",Master!AF594)</x:f>
        <x:v>Active</x:v>
      </x:c>
      <x:c r="AF26" s="8" t="str">
        <x:f>IF(Master!AG594="","",Master!AG594)</x:f>
        <x:v>Active</x:v>
      </x:c>
    </x:row>
    <x:row r="27" ht="36" customHeight="1">
      <x:c r="A27" s="17" t="s">
        <x:v>263</x:v>
      </x:c>
      <x:c r="B27" s="3" t="str">
        <x:f>IF(Master!C596="","",Master!C596)</x:f>
      </x:c>
      <x:c r="C27" s="3" t="str">
        <x:f>IF(Master!D596="","",Master!D596)</x:f>
        <x:v>Small open-source team</x:v>
      </x:c>
      <x:c r="D27" s="3" t="str">
        <x:f>IF(Master!E596="","",Master!E596)</x:f>
        <x:v>Solo/very small contributor group</x:v>
      </x:c>
      <x:c r="E27" s="3" t="str">
        <x:f>IF(Master!F596="","",Master!F596)</x:f>
        <x:v>Tiny Canadian team</x:v>
      </x:c>
      <x:c r="F27" s="3" t="str">
        <x:f>IF(Master!G596="","",Master!G596)</x:f>
        <x:v>Solo founder-led / very small team</x:v>
      </x:c>
      <x:c r="G27" s="3" t="str">
        <x:f>IF(Master!H596="","",Master!H596)</x:f>
      </x:c>
      <x:c r="H27" s="3" t="str">
        <x:f>IF(Master!I596="","",Master!I596)</x:f>
        <x:v>Founder-led / small team</x:v>
      </x:c>
      <x:c r="I27" s="3" t="str">
        <x:f>IF(Master!J596="","",Master!J596)</x:f>
        <x:v>Small volunteer team</x:v>
      </x:c>
      <x:c r="J27" s="3" t="str">
        <x:f>IF(Master!K596="","",Master!K596)</x:f>
        <x:v>Solo developer</x:v>
      </x:c>
      <x:c r="K27" s="3" t="str">
        <x:f>IF(Master!L596="","",Master!L596)</x:f>
        <x:v>1 primary developer; security-researcher friend provides private review/bug reports (developer report)</x:v>
      </x:c>
      <x:c r="L27" s="3" t="str">
        <x:f>IF(Master!M596="","",Master!M596)</x:f>
        <x:v>Small team</x:v>
      </x:c>
      <x:c r="M27" s="3" t="str">
        <x:f>IF(Master!N596="","",Master!N596)</x:f>
        <x:v>Small team</x:v>
      </x:c>
      <x:c r="N27" s="3" t="str">
        <x:f>IF(Master!O596="","",Master!O596)</x:f>
        <x:v>Matrix.org Foundation + many independent implementers</x:v>
      </x:c>
      <x:c r="O27" s="3" t="str">
        <x:f>IF(Master!P596="","",Master!P596)</x:f>
        <x:v>Mattermost, Inc. + open-source community</x:v>
      </x:c>
      <x:c r="P27" s="3" t="str">
        <x:f>IF(Master!Q596="","",Master!Q596)</x:f>
        <x:v>Company/open-source team</x:v>
      </x:c>
      <x:c r="Q27" s="3" t="str">
        <x:f>IF(Master!R596="","",Master!R596)</x:f>
        <x:v>Community open-source project</x:v>
      </x:c>
      <x:c r="R27" s="3" t="str">
        <x:f>IF(Master!S596="","",Master!S596)</x:f>
        <x:v>Small hobby/community project</x:v>
      </x:c>
      <x:c r="S27" s="3" t="str">
        <x:f>IF(Master!T596="","",Master!T596)</x:f>
        <x:v>Small startup team</x:v>
      </x:c>
      <x:c r="T27" s="3" t="str">
        <x:f>IF(Master!U596="","",Master!U596)</x:f>
        <x:v>2: built by two brothers (official repository README)</x:v>
      </x:c>
      <x:c r="U27" s="3" t="str">
        <x:f>IF(Master!V596="","",Master!V596)</x:f>
        <x:v>Small company/team</x:v>
      </x:c>
      <x:c r="V27" s="3" t="str">
        <x:f>IF(Master!W596="","",Master!W596)</x:f>
        <x:v>Rocket.Chat company + open-source community</x:v>
      </x:c>
      <x:c r="W27" s="3" t="str">
        <x:f>IF(Master!X596="","",Master!X596)</x:f>
        <x:v>Small open-source team</x:v>
      </x:c>
      <x:c r="X27" s="3" t="str">
        <x:f>IF(Master!Y596="","",Master!Y596)</x:f>
      </x:c>
      <x:c r="Y27" s="3" t="str">
        <x:f>IF(Master!Z596="","",Master!Z596)</x:f>
      </x:c>
      <x:c r="Z27" s="3" t="str">
        <x:f>IF(Master!AA596="","",Master!AA596)</x:f>
      </x:c>
      <x:c r="AA27" s="6" t="str">
        <x:f>IF(Master!AB596="","",Master!AB596)</x:f>
        <x:v>Commercial company</x:v>
      </x:c>
      <x:c r="AB27" s="3" t="str">
        <x:f>IF(Master!AC596="","",Master!AC596)</x:f>
        <x:v>Volunteer/open-source team</x:v>
      </x:c>
      <x:c r="AC27" s="3" t="str">
        <x:f>IF(Master!AD596="","",Master!AD596)</x:f>
        <x:v>Small team / founder-led</x:v>
      </x:c>
      <x:c r="AD27" s="3" t="str">
        <x:f>IF(Master!AE596="","",Master!AE596)</x:f>
        <x:v>Solo developer</x:v>
      </x:c>
      <x:c r="AE27" s="3" t="str">
        <x:f>IF(Master!AF596="","",Master!AF596)</x:f>
        <x:v>Small team/founder-led</x:v>
      </x:c>
      <x:c r="AF27" s="8" t="str">
        <x:f>IF(Master!AG596="","",Master!AG596)</x:f>
        <x:v>Independent company + open-source community</x:v>
      </x:c>
    </x:row>
  </x:sheetData>
  <x:mergeCells>
    <x:mergeCell ref="A1:A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Directory'!A1","Basic Features: expanded day-to-day messaging and identity features"),"Basic Features: expanded day-to-day messaging and identity features")</x:f>
        <x:v>Basic Features: expanded day-to-day messaging and identity features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264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265</x:v>
      </x:c>
      <x:c r="B4" s="3" t="str">
        <x:f>IF(Master!C49="","",Master!C49)</x:f>
        <x:v>Yes: server message search; Server Discovery exists for eligible public communities</x:v>
      </x:c>
      <x:c r="C4" s="3" t="str">
        <x:f>IF(Master!D49="","",Master!D49)</x:f>
      </x:c>
      <x:c r="D4" s="3" t="str">
        <x:f>IF(Master!E49="","",Master!E49)</x:f>
        <x:v>Yes</x:v>
      </x:c>
      <x:c r="E4" s="3" t="str">
        <x:f>IF(Master!F49="","",Master!F49)</x:f>
        <x:v>Yes</x:v>
      </x:c>
      <x:c r="F4" s="3" t="str">
        <x:f>IF(Master!G49="","",Master!G49)</x:f>
        <x:v>Yes</x:v>
      </x:c>
      <x:c r="G4" s="3" t="str">
        <x:f>IF(Master!H49="","",Master!H49)</x:f>
        <x:v>Yes</x:v>
      </x:c>
      <x:c r="H4" s="3" t="str">
        <x:f>IF(Master!I49="","",Master!I49)</x:f>
        <x:v>Yes</x:v>
      </x:c>
      <x:c r="I4" s="3" t="str">
        <x:f>IF(Master!J49="","",Master!J49)</x:f>
      </x:c>
      <x:c r="J4" s="3" t="str">
        <x:f>IF(Master!K49="","",Master!K49)</x:f>
      </x:c>
      <x:c r="K4" s="3" t="str">
        <x:f>IF(Master!L49="","",Master!L49)</x:f>
        <x:v>Yes</x:v>
      </x:c>
      <x:c r="L4" s="3" t="str">
        <x:f>IF(Master!M49="","",Master!M49)</x:f>
      </x:c>
      <x:c r="M4" s="3" t="str">
        <x:f>IF(Master!N49="","",Master!N49)</x:f>
        <x:v>Yes</x:v>
      </x:c>
      <x:c r="N4" s="3" t="str">
        <x:f>IF(Master!O49="","",Master!O49)</x:f>
        <x:v>Client-dependent</x:v>
      </x:c>
      <x:c r="O4" s="3" t="str">
        <x:f>IF(Master!P49="","",Master!P49)</x:f>
        <x:v>Yes</x:v>
      </x:c>
      <x:c r="P4" s="3" t="str">
        <x:f>IF(Master!Q49="","",Master!Q49)</x:f>
        <x:v>Yes</x:v>
      </x:c>
      <x:c r="Q4" s="3" t="str">
        <x:f>IF(Master!R49="","",Master!R49)</x:f>
        <x:v>N/A</x:v>
      </x:c>
      <x:c r="R4" s="3" t="str">
        <x:f>IF(Master!S49="","",Master!S49)</x:f>
        <x:v>Yes</x:v>
      </x:c>
      <x:c r="S4" s="3" t="str">
        <x:f>IF(Master!T49="","",Master!T49)</x:f>
        <x:v>Yes</x:v>
      </x:c>
      <x:c r="T4" s="3" t="str">
        <x:f>IF(Master!U49="","",Master!U49)</x:f>
        <x:v>Yes</x:v>
      </x:c>
      <x:c r="U4" s="3" t="str">
        <x:f>IF(Master!V49="","",Master!V49)</x:f>
        <x:v>Yes</x:v>
      </x:c>
      <x:c r="V4" s="3" t="str">
        <x:f>IF(Master!W49="","",Master!W49)</x:f>
        <x:v>Yes</x:v>
      </x:c>
      <x:c r="W4" s="3" t="str">
        <x:f>IF(Master!X49="","",Master!X49)</x:f>
      </x:c>
      <x:c r="X4" s="3" t="str">
        <x:f>IF(Master!Y49="","",Master!Y49)</x:f>
        <x:v>Yes</x:v>
      </x:c>
      <x:c r="Y4" s="3" t="str">
        <x:f>IF(Master!Z49="","",Master!Z49)</x:f>
        <x:v>Yes/target</x:v>
      </x:c>
      <x:c r="Z4" s="3" t="str">
        <x:f>IF(Master!AA49="","",Master!AA49)</x:f>
        <x:v>Yes</x:v>
      </x:c>
      <x:c r="AA4" s="6" t="str">
        <x:f>IF(Master!AB49="","",Master!AB49)</x:f>
      </x:c>
      <x:c r="AB4" s="3" t="str">
        <x:f>IF(Master!AC49="","",Master!AC49)</x:f>
        <x:v>Yes</x:v>
      </x:c>
      <x:c r="AC4" s="3" t="str">
        <x:f>IF(Master!AD49="","",Master!AD49)</x:f>
      </x:c>
      <x:c r="AD4" s="3" t="str">
        <x:f>IF(Master!AE49="","",Master!AE49)</x:f>
        <x:v>Yes</x:v>
      </x:c>
      <x:c r="AE4" s="3" t="str">
        <x:f>IF(Master!AF49="","",Master!AF49)</x:f>
      </x:c>
      <x:c r="AF4" s="8" t="str">
        <x:f>IF(Master!AG49="","",Master!AG49)</x:f>
        <x:v>Yes</x:v>
      </x:c>
    </x:row>
    <x:row r="5" ht="36" customHeight="1">
      <x:c r="A5" s="17" t="s">
        <x:v>266</x:v>
      </x:c>
      <x:c r="B5" s="3" t="str">
        <x:f>IF(Master!C50="","",Master!C50)</x:f>
        <x:v>Yes</x:v>
      </x:c>
      <x:c r="C5" s="3" t="str">
        <x:f>IF(Master!D50="","",Master!D50)</x:f>
      </x:c>
      <x:c r="D5" s="3" t="str">
        <x:f>IF(Master!E50="","",Master!E50)</x:f>
      </x:c>
      <x:c r="E5" s="3" t="str">
        <x:f>IF(Master!F50="","",Master!F50)</x:f>
        <x:v>Yes</x:v>
      </x:c>
      <x:c r="F5" s="3" t="str">
        <x:f>IF(Master!G50="","",Master!G50)</x:f>
        <x:v>Yes</x:v>
      </x:c>
      <x:c r="G5" s="3" t="str">
        <x:f>IF(Master!H50="","",Master!H50)</x:f>
        <x:v>Yes</x:v>
      </x:c>
      <x:c r="H5" s="3" t="str">
        <x:f>IF(Master!I50="","",Master!I50)</x:f>
      </x:c>
      <x:c r="I5" s="3" t="str">
        <x:f>IF(Master!J50="","",Master!J50)</x:f>
      </x:c>
      <x:c r="J5" s="3" t="str">
        <x:f>IF(Master!K50="","",Master!K50)</x:f>
      </x:c>
      <x:c r="K5" s="3" t="str">
        <x:f>IF(Master!L50="","",Master!L50)</x:f>
        <x:v>Yes</x:v>
      </x:c>
      <x:c r="L5" s="3" t="str">
        <x:f>IF(Master!M50="","",Master!M50)</x:f>
      </x:c>
      <x:c r="M5" s="3" t="str">
        <x:f>IF(Master!N50="","",Master!N50)</x:f>
        <x:v>Yes</x:v>
      </x:c>
      <x:c r="N5" s="3" t="str">
        <x:f>IF(Master!O50="","",Master!O50)</x:f>
        <x:v>Client-dependent</x:v>
      </x:c>
      <x:c r="O5" s="3" t="str">
        <x:f>IF(Master!P50="","",Master!P50)</x:f>
        <x:v>Yes</x:v>
      </x:c>
      <x:c r="P5" s="3" t="str">
        <x:f>IF(Master!Q50="","",Master!Q50)</x:f>
        <x:v>Yes</x:v>
      </x:c>
      <x:c r="Q5" s="3" t="str">
        <x:f>IF(Master!R50="","",Master!R50)</x:f>
        <x:v>N/A</x:v>
      </x:c>
      <x:c r="R5" s="3" t="str">
        <x:f>IF(Master!S50="","",Master!S50)</x:f>
        <x:v>Yes</x:v>
      </x:c>
      <x:c r="S5" s="3" t="str">
        <x:f>IF(Master!T50="","",Master!T50)</x:f>
        <x:v>Yes</x:v>
      </x:c>
      <x:c r="T5" s="3" t="str">
        <x:f>IF(Master!U50="","",Master!U50)</x:f>
        <x:v>Yes</x:v>
      </x:c>
      <x:c r="U5" s="3" t="str">
        <x:f>IF(Master!V50="","",Master!V50)</x:f>
        <x:v>Yes</x:v>
      </x:c>
      <x:c r="V5" s="3" t="str">
        <x:f>IF(Master!W50="","",Master!W50)</x:f>
        <x:v>Yes</x:v>
      </x:c>
      <x:c r="W5" s="3" t="str">
        <x:f>IF(Master!X50="","",Master!X50)</x:f>
      </x:c>
      <x:c r="X5" s="3" t="str">
        <x:f>IF(Master!Y50="","",Master!Y50)</x:f>
        <x:v>Yes</x:v>
      </x:c>
      <x:c r="Y5" s="3" t="str">
        <x:f>IF(Master!Z50="","",Master!Z50)</x:f>
        <x:v>Yes/target</x:v>
      </x:c>
      <x:c r="Z5" s="3" t="str">
        <x:f>IF(Master!AA50="","",Master!AA50)</x:f>
        <x:v>Yes</x:v>
      </x:c>
      <x:c r="AA5" s="6" t="str">
        <x:f>IF(Master!AB50="","",Master!AB50)</x:f>
      </x:c>
      <x:c r="AB5" s="3" t="str">
        <x:f>IF(Master!AC50="","",Master!AC50)</x:f>
      </x:c>
      <x:c r="AC5" s="3" t="str">
        <x:f>IF(Master!AD50="","",Master!AD50)</x:f>
      </x:c>
      <x:c r="AD5" s="3" t="str">
        <x:f>IF(Master!AE50="","",Master!AE50)</x:f>
        <x:v>Yes</x:v>
      </x:c>
      <x:c r="AE5" s="3" t="str">
        <x:f>IF(Master!AF50="","",Master!AF50)</x:f>
      </x:c>
      <x:c r="AF5" s="8" t="str">
        <x:f>IF(Master!AG50="","",Master!AG50)</x:f>
        <x:v>Yes</x:v>
      </x:c>
    </x:row>
    <x:row r="6" ht="36" customHeight="1">
      <x:c r="A6" s="17" t="s">
        <x:v>267</x:v>
      </x:c>
      <x:c r="B6" s="3" t="str">
        <x:f>IF(Master!C51="","",Master!C51)</x:f>
        <x:v>Yes</x:v>
      </x:c>
      <x:c r="C6" s="3" t="str">
        <x:f>IF(Master!D51="","",Master!D51)</x:f>
      </x:c>
      <x:c r="D6" s="3" t="str">
        <x:f>IF(Master!E51="","",Master!E51)</x:f>
      </x:c>
      <x:c r="E6" s="3" t="str">
        <x:f>IF(Master!F51="","",Master!F51)</x:f>
      </x:c>
      <x:c r="F6" s="3" t="str">
        <x:f>IF(Master!G51="","",Master!G51)</x:f>
      </x:c>
      <x:c r="G6" s="3" t="str">
        <x:f>IF(Master!H51="","",Master!H51)</x:f>
      </x:c>
      <x:c r="H6" s="3" t="str">
        <x:f>IF(Master!I51="","",Master!I51)</x:f>
      </x:c>
      <x:c r="I6" s="3" t="str">
        <x:f>IF(Master!J51="","",Master!J51)</x:f>
      </x:c>
      <x:c r="J6" s="3" t="str">
        <x:f>IF(Master!K51="","",Master!K51)</x:f>
      </x:c>
      <x:c r="K6" s="3" t="str">
        <x:f>IF(Master!L51="","",Master!L51)</x:f>
        <x:v>Yes</x:v>
      </x:c>
      <x:c r="L6" s="3" t="str">
        <x:f>IF(Master!M51="","",Master!M51)</x:f>
      </x:c>
      <x:c r="M6" s="3" t="str">
        <x:f>IF(Master!N51="","",Master!N51)</x:f>
        <x:v>Yes</x:v>
      </x:c>
      <x:c r="N6" s="3" t="str">
        <x:f>IF(Master!O51="","",Master!O51)</x:f>
        <x:v>Client-dependent</x:v>
      </x:c>
      <x:c r="O6" s="3" t="str">
        <x:f>IF(Master!P51="","",Master!P51)</x:f>
        <x:v>Yes</x:v>
      </x:c>
      <x:c r="P6" s="3" t="str">
        <x:f>IF(Master!Q51="","",Master!Q51)</x:f>
      </x:c>
      <x:c r="Q6" s="3" t="str">
        <x:f>IF(Master!R51="","",Master!R51)</x:f>
      </x:c>
      <x:c r="R6" s="3" t="str">
        <x:f>IF(Master!S51="","",Master!S51)</x:f>
      </x:c>
      <x:c r="S6" s="3" t="str">
        <x:f>IF(Master!T51="","",Master!T51)</x:f>
      </x:c>
      <x:c r="T6" s="3" t="str">
        <x:f>IF(Master!U51="","",Master!U51)</x:f>
        <x:v>Yes</x:v>
      </x:c>
      <x:c r="U6" s="3" t="str">
        <x:f>IF(Master!V51="","",Master!V51)</x:f>
        <x:v>Yes</x:v>
      </x:c>
      <x:c r="V6" s="3" t="str">
        <x:f>IF(Master!W51="","",Master!W51)</x:f>
        <x:v>Yes</x:v>
      </x:c>
      <x:c r="W6" s="3" t="str">
        <x:f>IF(Master!X51="","",Master!X51)</x:f>
      </x:c>
      <x:c r="X6" s="3" t="str">
        <x:f>IF(Master!Y51="","",Master!Y51)</x:f>
      </x:c>
      <x:c r="Y6" s="3" t="str">
        <x:f>IF(Master!Z51="","",Master!Z51)</x:f>
      </x:c>
      <x:c r="Z6" s="3" t="str">
        <x:f>IF(Master!AA51="","",Master!AA51)</x:f>
      </x:c>
      <x:c r="AA6" s="6" t="str">
        <x:f>IF(Master!AB51="","",Master!AB51)</x:f>
      </x:c>
      <x:c r="AB6" s="3" t="str">
        <x:f>IF(Master!AC51="","",Master!AC51)</x:f>
      </x:c>
      <x:c r="AC6" s="3" t="str">
        <x:f>IF(Master!AD51="","",Master!AD51)</x:f>
      </x:c>
      <x:c r="AD6" s="3" t="str">
        <x:f>IF(Master!AE51="","",Master!AE51)</x:f>
      </x:c>
      <x:c r="AE6" s="3" t="str">
        <x:f>IF(Master!AF51="","",Master!AF51)</x:f>
      </x:c>
      <x:c r="AF6" s="8" t="str">
        <x:f>IF(Master!AG51="","",Master!AG51)</x:f>
        <x:v>Yes</x:v>
      </x:c>
    </x:row>
    <x:row r="7" ht="21.950000762939453" customHeight="1">
      <x:c r="A7" s="18" t="s">
        <x:v>268</x:v>
      </x:c>
      <x:c r="B7" s="18" t="str">
        <x:f t="shared" ref="B7:AF7" si="1">IF(""="","","")</x:f>
      </x:c>
      <x:c r="C7" s="18" t="str">
        <x:f t="shared" si="1"/>
      </x:c>
      <x:c r="D7" s="18" t="str">
        <x:f t="shared" si="1"/>
      </x:c>
      <x:c r="E7" s="18" t="str">
        <x:f t="shared" si="1"/>
      </x:c>
      <x:c r="F7" s="18" t="str">
        <x:f t="shared" si="1"/>
      </x:c>
      <x:c r="G7" s="18" t="str">
        <x:f t="shared" si="1"/>
      </x:c>
      <x:c r="H7" s="18" t="str">
        <x:f t="shared" si="1"/>
      </x:c>
      <x:c r="I7" s="18" t="str">
        <x:f t="shared" si="1"/>
      </x:c>
      <x:c r="J7" s="18" t="str">
        <x:f t="shared" si="1"/>
      </x:c>
      <x:c r="K7" s="18" t="str">
        <x:f t="shared" si="1"/>
      </x:c>
      <x:c r="L7" s="18" t="str">
        <x:f t="shared" si="1"/>
      </x:c>
      <x:c r="M7" s="18" t="str">
        <x:f t="shared" si="1"/>
      </x:c>
      <x:c r="N7" s="18" t="str">
        <x:f t="shared" si="1"/>
      </x:c>
      <x:c r="O7" s="18" t="str">
        <x:f t="shared" si="1"/>
      </x:c>
      <x:c r="P7" s="18" t="str">
        <x:f t="shared" si="1"/>
      </x:c>
      <x:c r="Q7" s="18" t="str">
        <x:f t="shared" si="1"/>
      </x:c>
      <x:c r="R7" s="18" t="str">
        <x:f t="shared" si="1"/>
      </x:c>
      <x:c r="S7" s="18" t="str">
        <x:f t="shared" si="1"/>
      </x:c>
      <x:c r="T7" s="18" t="str">
        <x:f t="shared" si="1"/>
      </x:c>
      <x:c r="U7" s="18" t="str">
        <x:f t="shared" si="1"/>
      </x:c>
      <x:c r="V7" s="18" t="str">
        <x:f t="shared" si="1"/>
      </x:c>
      <x:c r="W7" s="18" t="str">
        <x:f t="shared" si="1"/>
      </x:c>
      <x:c r="X7" s="18" t="str">
        <x:f t="shared" si="1"/>
      </x:c>
      <x:c r="Y7" s="18" t="str">
        <x:f t="shared" si="1"/>
      </x:c>
      <x:c r="Z7" s="18" t="str">
        <x:f t="shared" si="1"/>
      </x:c>
      <x:c r="AA7" s="18" t="str">
        <x:f t="shared" si="1"/>
      </x:c>
      <x:c r="AB7" s="18" t="str">
        <x:f t="shared" si="1"/>
      </x:c>
      <x:c r="AC7" s="18" t="str">
        <x:f t="shared" si="1"/>
      </x:c>
      <x:c r="AD7" s="18" t="str">
        <x:f t="shared" si="1"/>
      </x:c>
      <x:c r="AE7" s="18" t="str">
        <x:f t="shared" si="1"/>
      </x:c>
      <x:c r="AF7" s="19" t="str">
        <x:f t="shared" si="1"/>
      </x:c>
    </x:row>
    <x:row r="8" ht="36" customHeight="1">
      <x:c r="A8" s="17" t="s">
        <x:v>252</x:v>
      </x:c>
      <x:c r="B8" s="3" t="str">
        <x:f>IF(Master!C52="","",Master!C52)</x:f>
        <x:v>Yes</x:v>
      </x:c>
      <x:c r="C8" s="3" t="str">
        <x:f>IF(Master!D52="","",Master!D52)</x:f>
        <x:v>Yes</x:v>
      </x:c>
      <x:c r="D8" s="3" t="str">
        <x:f>IF(Master!E52="","",Master!E52)</x:f>
      </x:c>
      <x:c r="E8" s="3" t="str">
        <x:f>IF(Master!F52="","",Master!F52)</x:f>
        <x:v>Yes</x:v>
      </x:c>
      <x:c r="F8" s="3" t="str">
        <x:f>IF(Master!G52="","",Master!G52)</x:f>
        <x:v>Yes</x:v>
      </x:c>
      <x:c r="G8" s="3" t="str">
        <x:f>IF(Master!H52="","",Master!H52)</x:f>
      </x:c>
      <x:c r="H8" s="3" t="str">
        <x:f>IF(Master!I52="","",Master!I52)</x:f>
        <x:v>Yes</x:v>
      </x:c>
      <x:c r="I8" s="3" t="str">
        <x:f>IF(Master!J52="","",Master!J52)</x:f>
      </x:c>
      <x:c r="J8" s="3" t="str">
        <x:f>IF(Master!K52="","",Master!K52)</x:f>
      </x:c>
      <x:c r="K8" s="3" t="str">
        <x:f>IF(Master!L52="","",Master!L52)</x:f>
        <x:v>Yes</x:v>
      </x:c>
      <x:c r="L8" s="3" t="str">
        <x:f>IF(Master!M52="","",Master!M52)</x:f>
      </x:c>
      <x:c r="M8" s="3" t="str">
        <x:f>IF(Master!N52="","",Master!N52)</x:f>
        <x:v>Yes</x:v>
      </x:c>
      <x:c r="N8" s="3" t="str">
        <x:f>IF(Master!O52="","",Master!O52)</x:f>
        <x:v>Yes</x:v>
      </x:c>
      <x:c r="O8" s="3" t="str">
        <x:f>IF(Master!P52="","",Master!P52)</x:f>
      </x:c>
      <x:c r="P8" s="3" t="str">
        <x:f>IF(Master!Q52="","",Master!Q52)</x:f>
        <x:v>Yes</x:v>
      </x:c>
      <x:c r="Q8" s="3" t="str">
        <x:f>IF(Master!R52="","",Master!R52)</x:f>
      </x:c>
      <x:c r="R8" s="3" t="str">
        <x:f>IF(Master!S52="","",Master!S52)</x:f>
        <x:v>Yes</x:v>
      </x:c>
      <x:c r="S8" s="3" t="str">
        <x:f>IF(Master!T52="","",Master!T52)</x:f>
      </x:c>
      <x:c r="T8" s="3" t="str">
        <x:f>IF(Master!U52="","",Master!U52)</x:f>
        <x:v>Yes</x:v>
      </x:c>
      <x:c r="U8" s="3" t="str">
        <x:f>IF(Master!V52="","",Master!V52)</x:f>
        <x:v>Yes</x:v>
      </x:c>
      <x:c r="V8" s="3" t="str">
        <x:f>IF(Master!W52="","",Master!W52)</x:f>
        <x:v>Yes</x:v>
      </x:c>
      <x:c r="W8" s="3" t="str">
        <x:f>IF(Master!X52="","",Master!X52)</x:f>
      </x:c>
      <x:c r="X8" s="3" t="str">
        <x:f>IF(Master!Y52="","",Master!Y52)</x:f>
        <x:v>Yes</x:v>
      </x:c>
      <x:c r="Y8" s="3" t="str">
        <x:f>IF(Master!Z52="","",Master!Z52)</x:f>
      </x:c>
      <x:c r="Z8" s="3" t="str">
        <x:f>IF(Master!AA52="","",Master!AA52)</x:f>
        <x:v>Yes</x:v>
      </x:c>
      <x:c r="AA8" s="6" t="str">
        <x:f>IF(Master!AB52="","",Master!AB52)</x:f>
      </x:c>
      <x:c r="AB8" s="3" t="str">
        <x:f>IF(Master!AC52="","",Master!AC52)</x:f>
      </x:c>
      <x:c r="AC8" s="3" t="str">
        <x:f>IF(Master!AD52="","",Master!AD52)</x:f>
      </x:c>
      <x:c r="AD8" s="3" t="str">
        <x:f>IF(Master!AE52="","",Master!AE52)</x:f>
        <x:v>Yes</x:v>
      </x:c>
      <x:c r="AE8" s="3" t="str">
        <x:f>IF(Master!AF52="","",Master!AF52)</x:f>
      </x:c>
      <x:c r="AF8" s="8" t="str">
        <x:f>IF(Master!AG52="","",Master!AG52)</x:f>
        <x:v>Yes</x:v>
      </x:c>
    </x:row>
    <x:row r="9" ht="36" customHeight="1">
      <x:c r="A9" s="17" t="s">
        <x:v>255</x:v>
      </x:c>
      <x:c r="B9" s="3" t="str">
        <x:f>IF(Master!C53="","",Master!C53)</x:f>
        <x:v>Yes</x:v>
      </x:c>
      <x:c r="C9" s="3" t="str">
        <x:f>IF(Master!D53="","",Master!D53)</x:f>
        <x:v>Yes</x:v>
      </x:c>
      <x:c r="D9" s="3" t="str">
        <x:f>IF(Master!E53="","",Master!E53)</x:f>
        <x:v>Yes</x:v>
      </x:c>
      <x:c r="E9" s="3" t="str">
        <x:f>IF(Master!F53="","",Master!F53)</x:f>
        <x:v>Yes</x:v>
      </x:c>
      <x:c r="F9" s="3" t="str">
        <x:f>IF(Master!G53="","",Master!G53)</x:f>
        <x:v>Yes</x:v>
      </x:c>
      <x:c r="G9" s="3" t="str">
        <x:f>IF(Master!H53="","",Master!H53)</x:f>
        <x:v>Yes</x:v>
      </x:c>
      <x:c r="H9" s="3" t="str">
        <x:f>IF(Master!I53="","",Master!I53)</x:f>
        <x:v>Yes</x:v>
      </x:c>
      <x:c r="I9" s="3" t="str">
        <x:f>IF(Master!J53="","",Master!J53)</x:f>
      </x:c>
      <x:c r="J9" s="3" t="str">
        <x:f>IF(Master!K53="","",Master!K53)</x:f>
        <x:v>Yes</x:v>
      </x:c>
      <x:c r="K9" s="3" t="str">
        <x:f>IF(Master!L53="","",Master!L53)</x:f>
        <x:v>Yes</x:v>
      </x:c>
      <x:c r="L9" s="3" t="str">
        <x:f>IF(Master!M53="","",Master!M53)</x:f>
      </x:c>
      <x:c r="M9" s="3" t="str">
        <x:f>IF(Master!N53="","",Master!N53)</x:f>
        <x:v>Yes</x:v>
      </x:c>
      <x:c r="N9" s="3" t="str">
        <x:f>IF(Master!O53="","",Master!O53)</x:f>
        <x:v>Yes via reply relation</x:v>
      </x:c>
      <x:c r="O9" s="3" t="str">
        <x:f>IF(Master!P53="","",Master!P53)</x:f>
        <x:v>Yes</x:v>
      </x:c>
      <x:c r="P9" s="3" t="str">
        <x:f>IF(Master!Q53="","",Master!Q53)</x:f>
        <x:v>Yes</x:v>
      </x:c>
      <x:c r="Q9" s="3" t="str">
        <x:f>IF(Master!R53="","",Master!R53)</x:f>
        <x:v>Limited text replies N/A</x:v>
      </x:c>
      <x:c r="R9" s="3" t="str">
        <x:f>IF(Master!S53="","",Master!S53)</x:f>
        <x:v>Yes</x:v>
      </x:c>
      <x:c r="S9" s="3" t="str">
        <x:f>IF(Master!T53="","",Master!T53)</x:f>
        <x:v>Yes</x:v>
      </x:c>
      <x:c r="T9" s="3" t="str">
        <x:f>IF(Master!U53="","",Master!U53)</x:f>
        <x:v>Yes</x:v>
      </x:c>
      <x:c r="U9" s="3" t="str">
        <x:f>IF(Master!V53="","",Master!V53)</x:f>
        <x:v>Yes</x:v>
      </x:c>
      <x:c r="V9" s="3" t="str">
        <x:f>IF(Master!W53="","",Master!W53)</x:f>
        <x:v>Yes</x:v>
      </x:c>
      <x:c r="W9" s="3" t="str">
        <x:f>IF(Master!X53="","",Master!X53)</x:f>
      </x:c>
      <x:c r="X9" s="3" t="str">
        <x:f>IF(Master!Y53="","",Master!Y53)</x:f>
        <x:v>Yes</x:v>
      </x:c>
      <x:c r="Y9" s="3" t="str">
        <x:f>IF(Master!Z53="","",Master!Z53)</x:f>
        <x:v>Yes</x:v>
      </x:c>
      <x:c r="Z9" s="3" t="str">
        <x:f>IF(Master!AA53="","",Master!AA53)</x:f>
        <x:v>Yes</x:v>
      </x:c>
      <x:c r="AA9" s="6" t="str">
        <x:f>IF(Master!AB53="","",Master!AB53)</x:f>
      </x:c>
      <x:c r="AB9" s="3" t="str">
        <x:f>IF(Master!AC53="","",Master!AC53)</x:f>
        <x:v>Yes</x:v>
      </x:c>
      <x:c r="AC9" s="3" t="str">
        <x:f>IF(Master!AD53="","",Master!AD53)</x:f>
      </x:c>
      <x:c r="AD9" s="3" t="str">
        <x:f>IF(Master!AE53="","",Master!AE53)</x:f>
        <x:v>Yes</x:v>
      </x:c>
      <x:c r="AE9" s="3" t="str">
        <x:f>IF(Master!AF53="","",Master!AF53)</x:f>
      </x:c>
      <x:c r="AF9" s="8" t="str">
        <x:f>IF(Master!AG53="","",Master!AG53)</x:f>
        <x:v>Yes</x:v>
      </x:c>
    </x:row>
    <x:row r="10" ht="36" customHeight="1">
      <x:c r="A10" s="17" t="s">
        <x:v>253</x:v>
      </x:c>
      <x:c r="B10" s="3" t="str">
        <x:f>IF(Master!C54="","",Master!C54)</x:f>
        <x:v>Yes</x:v>
      </x:c>
      <x:c r="C10" s="3" t="str">
        <x:f>IF(Master!D54="","",Master!D54)</x:f>
      </x:c>
      <x:c r="D10" s="3" t="str">
        <x:f>IF(Master!E54="","",Master!E54)</x:f>
      </x:c>
      <x:c r="E10" s="3" t="str">
        <x:f>IF(Master!F54="","",Master!F54)</x:f>
      </x:c>
      <x:c r="F10" s="3" t="str">
        <x:f>IF(Master!G54="","",Master!G54)</x:f>
      </x:c>
      <x:c r="G10" s="3" t="str">
        <x:f>IF(Master!H54="","",Master!H54)</x:f>
      </x:c>
      <x:c r="H10" s="3" t="str">
        <x:f>IF(Master!I54="","",Master!I54)</x:f>
      </x:c>
      <x:c r="I10" s="3" t="str">
        <x:f>IF(Master!J54="","",Master!J54)</x:f>
      </x:c>
      <x:c r="J10" s="3" t="str">
        <x:f>IF(Master!K54="","",Master!K54)</x:f>
      </x:c>
      <x:c r="K10" s="3" t="str">
        <x:f>IF(Master!L54="","",Master!L54)</x:f>
        <x:v>Yes</x:v>
      </x:c>
      <x:c r="L10" s="3" t="str">
        <x:f>IF(Master!M54="","",Master!M54)</x:f>
      </x:c>
      <x:c r="M10" s="3" t="str">
        <x:f>IF(Master!N54="","",Master!N54)</x:f>
      </x:c>
      <x:c r="N10" s="3" t="str">
        <x:f>IF(Master!O54="","",Master!O54)</x:f>
        <x:v>Yes</x:v>
      </x:c>
      <x:c r="O10" s="3" t="str">
        <x:f>IF(Master!P54="","",Master!P54)</x:f>
      </x:c>
      <x:c r="P10" s="3" t="str">
        <x:f>IF(Master!Q54="","",Master!Q54)</x:f>
      </x:c>
      <x:c r="Q10" s="3" t="str">
        <x:f>IF(Master!R54="","",Master!R54)</x:f>
      </x:c>
      <x:c r="R10" s="3" t="str">
        <x:f>IF(Master!S54="","",Master!S54)</x:f>
        <x:v>Yes</x:v>
      </x:c>
      <x:c r="S10" s="3" t="str">
        <x:f>IF(Master!T54="","",Master!T54)</x:f>
      </x:c>
      <x:c r="T10" s="3" t="str">
        <x:f>IF(Master!U54="","",Master!U54)</x:f>
      </x:c>
      <x:c r="U10" s="3" t="str">
        <x:f>IF(Master!V54="","",Master!V54)</x:f>
        <x:v>Yes</x:v>
      </x:c>
      <x:c r="V10" s="3" t="str">
        <x:f>IF(Master!W54="","",Master!W54)</x:f>
      </x:c>
      <x:c r="W10" s="3" t="str">
        <x:f>IF(Master!X54="","",Master!X54)</x:f>
      </x:c>
      <x:c r="X10" s="3" t="str">
        <x:f>IF(Master!Y54="","",Master!Y54)</x:f>
        <x:v>Yes</x:v>
      </x:c>
      <x:c r="Y10" s="3" t="str">
        <x:f>IF(Master!Z54="","",Master!Z54)</x:f>
      </x:c>
      <x:c r="Z10" s="3" t="str">
        <x:f>IF(Master!AA54="","",Master!AA54)</x:f>
        <x:v>Yes</x:v>
      </x:c>
      <x:c r="AA10" s="6" t="str">
        <x:f>IF(Master!AB54="","",Master!AB54)</x:f>
      </x:c>
      <x:c r="AB10" s="3" t="str">
        <x:f>IF(Master!AC54="","",Master!AC54)</x:f>
      </x:c>
      <x:c r="AC10" s="3" t="str">
        <x:f>IF(Master!AD54="","",Master!AD54)</x:f>
      </x:c>
      <x:c r="AD10" s="3" t="str">
        <x:f>IF(Master!AE54="","",Master!AE54)</x:f>
      </x:c>
      <x:c r="AE10" s="3" t="str">
        <x:f>IF(Master!AF54="","",Master!AF54)</x:f>
      </x:c>
      <x:c r="AF10" s="8" t="str">
        <x:f>IF(Master!AG54="","",Master!AG54)</x:f>
        <x:v>Yes</x:v>
      </x:c>
    </x:row>
    <x:row r="11" ht="36" customHeight="1">
      <x:c r="A11" s="17" t="s">
        <x:v>254</x:v>
      </x:c>
      <x:c r="B11" s="3" t="str">
        <x:f>IF(Master!C55="","",Master!C55)</x:f>
        <x:v>Yes</x:v>
      </x:c>
      <x:c r="C11" s="3" t="str">
        <x:f>IF(Master!D55="","",Master!D55)</x:f>
      </x:c>
      <x:c r="D11" s="3" t="str">
        <x:f>IF(Master!E55="","",Master!E55)</x:f>
      </x:c>
      <x:c r="E11" s="3" t="str">
        <x:f>IF(Master!F55="","",Master!F55)</x:f>
      </x:c>
      <x:c r="F11" s="3" t="str">
        <x:f>IF(Master!G55="","",Master!G55)</x:f>
      </x:c>
      <x:c r="G11" s="3" t="str">
        <x:f>IF(Master!H55="","",Master!H55)</x:f>
      </x:c>
      <x:c r="H11" s="3" t="str">
        <x:f>IF(Master!I55="","",Master!I55)</x:f>
      </x:c>
      <x:c r="I11" s="3" t="str">
        <x:f>IF(Master!J55="","",Master!J55)</x:f>
      </x:c>
      <x:c r="J11" s="3" t="str">
        <x:f>IF(Master!K55="","",Master!K55)</x:f>
      </x:c>
      <x:c r="K11" s="3" t="str">
        <x:f>IF(Master!L55="","",Master!L55)</x:f>
        <x:v>Yes</x:v>
      </x:c>
      <x:c r="L11" s="3" t="str">
        <x:f>IF(Master!M55="","",Master!M55)</x:f>
      </x:c>
      <x:c r="M11" s="3" t="str">
        <x:f>IF(Master!N55="","",Master!N55)</x:f>
      </x:c>
      <x:c r="N11" s="3" t="str">
        <x:f>IF(Master!O55="","",Master!O55)</x:f>
        <x:v>Yes</x:v>
      </x:c>
      <x:c r="O11" s="3" t="str">
        <x:f>IF(Master!P55="","",Master!P55)</x:f>
      </x:c>
      <x:c r="P11" s="3" t="str">
        <x:f>IF(Master!Q55="","",Master!Q55)</x:f>
      </x:c>
      <x:c r="Q11" s="3" t="str">
        <x:f>IF(Master!R55="","",Master!R55)</x:f>
      </x:c>
      <x:c r="R11" s="3" t="str">
        <x:f>IF(Master!S55="","",Master!S55)</x:f>
      </x:c>
      <x:c r="S11" s="3" t="str">
        <x:f>IF(Master!T55="","",Master!T55)</x:f>
      </x:c>
      <x:c r="T11" s="3" t="str">
        <x:f>IF(Master!U55="","",Master!U55)</x:f>
      </x:c>
      <x:c r="U11" s="3" t="str">
        <x:f>IF(Master!V55="","",Master!V55)</x:f>
        <x:v>Yes</x:v>
      </x:c>
      <x:c r="V11" s="3" t="str">
        <x:f>IF(Master!W55="","",Master!W55)</x:f>
      </x:c>
      <x:c r="W11" s="3" t="str">
        <x:f>IF(Master!X55="","",Master!X55)</x:f>
      </x:c>
      <x:c r="X11" s="3" t="str">
        <x:f>IF(Master!Y55="","",Master!Y55)</x:f>
        <x:v>Yes</x:v>
      </x:c>
      <x:c r="Y11" s="3" t="str">
        <x:f>IF(Master!Z55="","",Master!Z55)</x:f>
      </x:c>
      <x:c r="Z11" s="3" t="str">
        <x:f>IF(Master!AA55="","",Master!AA55)</x:f>
        <x:v>Yes</x:v>
      </x:c>
      <x:c r="AA11" s="6" t="str">
        <x:f>IF(Master!AB55="","",Master!AB55)</x:f>
      </x:c>
      <x:c r="AB11" s="3" t="str">
        <x:f>IF(Master!AC55="","",Master!AC55)</x:f>
      </x:c>
      <x:c r="AC11" s="3" t="str">
        <x:f>IF(Master!AD55="","",Master!AD55)</x:f>
      </x:c>
      <x:c r="AD11" s="3" t="str">
        <x:f>IF(Master!AE55="","",Master!AE55)</x:f>
      </x:c>
      <x:c r="AE11" s="3" t="str">
        <x:f>IF(Master!AF55="","",Master!AF55)</x:f>
      </x:c>
      <x:c r="AF11" s="8" t="str">
        <x:f>IF(Master!AG55="","",Master!AG55)</x:f>
        <x:v>Yes</x:v>
      </x:c>
    </x:row>
    <x:row r="12" ht="36" customHeight="1">
      <x:c r="A12" s="17" t="s">
        <x:v>269</x:v>
      </x:c>
      <x:c r="B12" s="3" t="str">
        <x:f>IF(Master!C56="","",Master!C56)</x:f>
        <x:v>Yes</x:v>
      </x:c>
      <x:c r="C12" s="3" t="str">
        <x:f>IF(Master!D56="","",Master!D56)</x:f>
      </x:c>
      <x:c r="D12" s="3" t="str">
        <x:f>IF(Master!E56="","",Master!E56)</x:f>
      </x:c>
      <x:c r="E12" s="3" t="str">
        <x:f>IF(Master!F56="","",Master!F56)</x:f>
      </x:c>
      <x:c r="F12" s="3" t="str">
        <x:f>IF(Master!G56="","",Master!G56)</x:f>
      </x:c>
      <x:c r="G12" s="3" t="str">
        <x:f>IF(Master!H56="","",Master!H56)</x:f>
      </x:c>
      <x:c r="H12" s="3" t="str">
        <x:f>IF(Master!I56="","",Master!I56)</x:f>
      </x:c>
      <x:c r="I12" s="3" t="str">
        <x:f>IF(Master!J56="","",Master!J56)</x:f>
      </x:c>
      <x:c r="J12" s="3" t="str">
        <x:f>IF(Master!K56="","",Master!K56)</x:f>
      </x:c>
      <x:c r="K12" s="3" t="str">
        <x:f>IF(Master!L56="","",Master!L56)</x:f>
        <x:v>Yes</x:v>
      </x:c>
      <x:c r="L12" s="3" t="str">
        <x:f>IF(Master!M56="","",Master!M56)</x:f>
      </x:c>
      <x:c r="M12" s="3" t="str">
        <x:f>IF(Master!N56="","",Master!N56)</x:f>
      </x:c>
      <x:c r="N12" s="3" t="str">
        <x:f>IF(Master!O56="","",Master!O56)</x:f>
        <x:v>Client-dependent</x:v>
      </x:c>
      <x:c r="O12" s="3" t="str">
        <x:f>IF(Master!P56="","",Master!P56)</x:f>
      </x:c>
      <x:c r="P12" s="3" t="str">
        <x:f>IF(Master!Q56="","",Master!Q56)</x:f>
      </x:c>
      <x:c r="Q12" s="3" t="str">
        <x:f>IF(Master!R56="","",Master!R56)</x:f>
      </x:c>
      <x:c r="R12" s="3" t="str">
        <x:f>IF(Master!S56="","",Master!S56)</x:f>
      </x:c>
      <x:c r="S12" s="3" t="str">
        <x:f>IF(Master!T56="","",Master!T56)</x:f>
      </x:c>
      <x:c r="T12" s="3" t="str">
        <x:f>IF(Master!U56="","",Master!U56)</x:f>
      </x:c>
      <x:c r="U12" s="3" t="str">
        <x:f>IF(Master!V56="","",Master!V56)</x:f>
        <x:v>Yes</x:v>
      </x:c>
      <x:c r="V12" s="3" t="str">
        <x:f>IF(Master!W56="","",Master!W56)</x:f>
      </x:c>
      <x:c r="W12" s="3" t="str">
        <x:f>IF(Master!X56="","",Master!X56)</x:f>
      </x:c>
      <x:c r="X12" s="3" t="str">
        <x:f>IF(Master!Y56="","",Master!Y56)</x:f>
      </x:c>
      <x:c r="Y12" s="3" t="str">
        <x:f>IF(Master!Z56="","",Master!Z56)</x:f>
      </x:c>
      <x:c r="Z12" s="3" t="str">
        <x:f>IF(Master!AA56="","",Master!AA56)</x:f>
      </x:c>
      <x:c r="AA12" s="6" t="str">
        <x:f>IF(Master!AB56="","",Master!AB56)</x:f>
      </x:c>
      <x:c r="AB12" s="3" t="str">
        <x:f>IF(Master!AC56="","",Master!AC56)</x:f>
      </x:c>
      <x:c r="AC12" s="3" t="str">
        <x:f>IF(Master!AD56="","",Master!AD56)</x:f>
      </x:c>
      <x:c r="AD12" s="3" t="str">
        <x:f>IF(Master!AE56="","",Master!AE56)</x:f>
      </x:c>
      <x:c r="AE12" s="3" t="str">
        <x:f>IF(Master!AF56="","",Master!AF56)</x:f>
      </x:c>
      <x:c r="AF12" s="8" t="str">
        <x:f>IF(Master!AG56="","",Master!AG56)</x:f>
        <x:v>Yes</x:v>
      </x:c>
    </x:row>
    <x:row r="13" ht="36" customHeight="1">
      <x:c r="A13" s="17" t="s">
        <x:v>270</x:v>
      </x:c>
      <x:c r="B13" s="3" t="str">
        <x:f>IF(Master!C57="","",Master!C57)</x:f>
        <x:v>Yes</x:v>
      </x:c>
      <x:c r="C13" s="3" t="str">
        <x:f>IF(Master!D57="","",Master!D57)</x:f>
      </x:c>
      <x:c r="D13" s="3" t="str">
        <x:f>IF(Master!E57="","",Master!E57)</x:f>
      </x:c>
      <x:c r="E13" s="3" t="str">
        <x:f>IF(Master!F57="","",Master!F57)</x:f>
      </x:c>
      <x:c r="F13" s="3" t="str">
        <x:f>IF(Master!G57="","",Master!G57)</x:f>
      </x:c>
      <x:c r="G13" s="3" t="str">
        <x:f>IF(Master!H57="","",Master!H57)</x:f>
      </x:c>
      <x:c r="H13" s="3" t="str">
        <x:f>IF(Master!I57="","",Master!I57)</x:f>
      </x:c>
      <x:c r="I13" s="3" t="str">
        <x:f>IF(Master!J57="","",Master!J57)</x:f>
      </x:c>
      <x:c r="J13" s="3" t="str">
        <x:f>IF(Master!K57="","",Master!K57)</x:f>
      </x:c>
      <x:c r="K13" s="3" t="str">
        <x:f>IF(Master!L57="","",Master!L57)</x:f>
        <x:v>Yes</x:v>
      </x:c>
      <x:c r="L13" s="3" t="str">
        <x:f>IF(Master!M57="","",Master!M57)</x:f>
      </x:c>
      <x:c r="M13" s="3" t="str">
        <x:f>IF(Master!N57="","",Master!N57)</x:f>
      </x:c>
      <x:c r="N13" s="3" t="str">
        <x:f>IF(Master!O57="","",Master!O57)</x:f>
        <x:v>Client-dependent</x:v>
      </x:c>
      <x:c r="O13" s="3" t="str">
        <x:f>IF(Master!P57="","",Master!P57)</x:f>
      </x:c>
      <x:c r="P13" s="3" t="str">
        <x:f>IF(Master!Q57="","",Master!Q57)</x:f>
      </x:c>
      <x:c r="Q13" s="3" t="str">
        <x:f>IF(Master!R57="","",Master!R57)</x:f>
      </x:c>
      <x:c r="R13" s="3" t="str">
        <x:f>IF(Master!S57="","",Master!S57)</x:f>
      </x:c>
      <x:c r="S13" s="3" t="str">
        <x:f>IF(Master!T57="","",Master!T57)</x:f>
      </x:c>
      <x:c r="T13" s="3" t="str">
        <x:f>IF(Master!U57="","",Master!U57)</x:f>
      </x:c>
      <x:c r="U13" s="3" t="str">
        <x:f>IF(Master!V57="","",Master!V57)</x:f>
        <x:v>Yes</x:v>
      </x:c>
      <x:c r="V13" s="3" t="str">
        <x:f>IF(Master!W57="","",Master!W57)</x:f>
      </x:c>
      <x:c r="W13" s="3" t="str">
        <x:f>IF(Master!X57="","",Master!X57)</x:f>
      </x:c>
      <x:c r="X13" s="3" t="str">
        <x:f>IF(Master!Y57="","",Master!Y57)</x:f>
      </x:c>
      <x:c r="Y13" s="3" t="str">
        <x:f>IF(Master!Z57="","",Master!Z57)</x:f>
      </x:c>
      <x:c r="Z13" s="3" t="str">
        <x:f>IF(Master!AA57="","",Master!AA57)</x:f>
      </x:c>
      <x:c r="AA13" s="6" t="str">
        <x:f>IF(Master!AB57="","",Master!AB57)</x:f>
      </x:c>
      <x:c r="AB13" s="3" t="str">
        <x:f>IF(Master!AC57="","",Master!AC57)</x:f>
      </x:c>
      <x:c r="AC13" s="3" t="str">
        <x:f>IF(Master!AD57="","",Master!AD57)</x:f>
      </x:c>
      <x:c r="AD13" s="3" t="str">
        <x:f>IF(Master!AE57="","",Master!AE57)</x:f>
      </x:c>
      <x:c r="AE13" s="3" t="str">
        <x:f>IF(Master!AF57="","",Master!AF57)</x:f>
      </x:c>
      <x:c r="AF13" s="8" t="str">
        <x:f>IF(Master!AG57="","",Master!AG57)</x:f>
        <x:v>Yes</x:v>
      </x:c>
    </x:row>
    <x:row r="14" ht="36" customHeight="1">
      <x:c r="A14" s="17" t="s">
        <x:v>271</x:v>
      </x:c>
      <x:c r="B14" s="3" t="str">
        <x:f>IF(Master!C58="","",Master!C58)</x:f>
        <x:v>Yes</x:v>
      </x:c>
      <x:c r="C14" s="3" t="str">
        <x:f>IF(Master!D58="","",Master!D58)</x:f>
      </x:c>
      <x:c r="D14" s="3" t="str">
        <x:f>IF(Master!E58="","",Master!E58)</x:f>
      </x:c>
      <x:c r="E14" s="3" t="str">
        <x:f>IF(Master!F58="","",Master!F58)</x:f>
      </x:c>
      <x:c r="F14" s="3" t="str">
        <x:f>IF(Master!G58="","",Master!G58)</x:f>
      </x:c>
      <x:c r="G14" s="3" t="str">
        <x:f>IF(Master!H58="","",Master!H58)</x:f>
      </x:c>
      <x:c r="H14" s="3" t="str">
        <x:f>IF(Master!I58="","",Master!I58)</x:f>
      </x:c>
      <x:c r="I14" s="3" t="str">
        <x:f>IF(Master!J58="","",Master!J58)</x:f>
      </x:c>
      <x:c r="J14" s="3" t="str">
        <x:f>IF(Master!K58="","",Master!K58)</x:f>
      </x:c>
      <x:c r="K14" s="3" t="str">
        <x:f>IF(Master!L58="","",Master!L58)</x:f>
        <x:v>Yes: voice messages (developer report)</x:v>
      </x:c>
      <x:c r="L14" s="3" t="str">
        <x:f>IF(Master!M58="","",Master!M58)</x:f>
      </x:c>
      <x:c r="M14" s="3" t="str">
        <x:f>IF(Master!N58="","",Master!N58)</x:f>
        <x:v>Yes: voice notes + transcription</x:v>
      </x:c>
      <x:c r="N14" s="3" t="str">
        <x:f>IF(Master!O58="","",Master!O58)</x:f>
        <x:v>Client-dependent</x:v>
      </x:c>
      <x:c r="O14" s="3" t="str">
        <x:f>IF(Master!P58="","",Master!P58)</x:f>
      </x:c>
      <x:c r="P14" s="3" t="str">
        <x:f>IF(Master!Q58="","",Master!Q58)</x:f>
      </x:c>
      <x:c r="Q14" s="3" t="str">
        <x:f>IF(Master!R58="","",Master!R58)</x:f>
      </x:c>
      <x:c r="R14" s="3" t="str">
        <x:f>IF(Master!S58="","",Master!S58)</x:f>
      </x:c>
      <x:c r="S14" s="3" t="str">
        <x:f>IF(Master!T58="","",Master!T58)</x:f>
        <x:v>Yes</x:v>
      </x:c>
      <x:c r="T14" s="3" t="str">
        <x:f>IF(Master!U58="","",Master!U58)</x:f>
      </x:c>
      <x:c r="U14" s="3" t="str">
        <x:f>IF(Master!V58="","",Master!V58)</x:f>
        <x:v>Yes</x:v>
      </x:c>
      <x:c r="V14" s="3" t="str">
        <x:f>IF(Master!W58="","",Master!W58)</x:f>
      </x:c>
      <x:c r="W14" s="3" t="str">
        <x:f>IF(Master!X58="","",Master!X58)</x:f>
      </x:c>
      <x:c r="X14" s="3" t="str">
        <x:f>IF(Master!Y58="","",Master!Y58)</x:f>
      </x:c>
      <x:c r="Y14" s="3" t="str">
        <x:f>IF(Master!Z58="","",Master!Z58)</x:f>
      </x:c>
      <x:c r="Z14" s="3" t="str">
        <x:f>IF(Master!AA58="","",Master!AA58)</x:f>
      </x:c>
      <x:c r="AA14" s="6" t="str">
        <x:f>IF(Master!AB58="","",Master!AB58)</x:f>
      </x:c>
      <x:c r="AB14" s="3" t="str">
        <x:f>IF(Master!AC58="","",Master!AC58)</x:f>
      </x:c>
      <x:c r="AC14" s="3" t="str">
        <x:f>IF(Master!AD58="","",Master!AD58)</x:f>
      </x:c>
      <x:c r="AD14" s="3" t="str">
        <x:f>IF(Master!AE58="","",Master!AE58)</x:f>
      </x:c>
      <x:c r="AE14" s="3" t="str">
        <x:f>IF(Master!AF58="","",Master!AF58)</x:f>
      </x:c>
      <x:c r="AF14" s="8" t="str">
        <x:f>IF(Master!AG58="","",Master!AG58)</x:f>
      </x:c>
    </x:row>
    <x:row r="15" ht="21.950000762939453" customHeight="1">
      <x:c r="A15" s="18" t="s">
        <x:v>272</x:v>
      </x:c>
      <x:c r="B15" s="18" t="str">
        <x:f t="shared" ref="B15:AF15" si="2">IF(""="","","")</x:f>
      </x:c>
      <x:c r="C15" s="18" t="str">
        <x:f t="shared" si="2"/>
      </x:c>
      <x:c r="D15" s="18" t="str">
        <x:f t="shared" si="2"/>
      </x:c>
      <x:c r="E15" s="18" t="str">
        <x:f t="shared" si="2"/>
      </x:c>
      <x:c r="F15" s="18" t="str">
        <x:f t="shared" si="2"/>
      </x:c>
      <x:c r="G15" s="18" t="str">
        <x:f t="shared" si="2"/>
      </x:c>
      <x:c r="H15" s="18" t="str">
        <x:f t="shared" si="2"/>
      </x:c>
      <x:c r="I15" s="18" t="str">
        <x:f t="shared" si="2"/>
      </x:c>
      <x:c r="J15" s="18" t="str">
        <x:f t="shared" si="2"/>
      </x:c>
      <x:c r="K15" s="18" t="str">
        <x:f t="shared" si="2"/>
      </x:c>
      <x:c r="L15" s="18" t="str">
        <x:f t="shared" si="2"/>
      </x:c>
      <x:c r="M15" s="18" t="str">
        <x:f t="shared" si="2"/>
      </x:c>
      <x:c r="N15" s="18" t="str">
        <x:f t="shared" si="2"/>
      </x:c>
      <x:c r="O15" s="18" t="str">
        <x:f t="shared" si="2"/>
      </x:c>
      <x:c r="P15" s="18" t="str">
        <x:f t="shared" si="2"/>
      </x:c>
      <x:c r="Q15" s="18" t="str">
        <x:f t="shared" si="2"/>
      </x:c>
      <x:c r="R15" s="18" t="str">
        <x:f t="shared" si="2"/>
      </x:c>
      <x:c r="S15" s="18" t="str">
        <x:f t="shared" si="2"/>
      </x:c>
      <x:c r="T15" s="18" t="str">
        <x:f t="shared" si="2"/>
      </x:c>
      <x:c r="U15" s="18" t="str">
        <x:f t="shared" si="2"/>
      </x:c>
      <x:c r="V15" s="18" t="str">
        <x:f t="shared" si="2"/>
      </x:c>
      <x:c r="W15" s="18" t="str">
        <x:f t="shared" si="2"/>
      </x:c>
      <x:c r="X15" s="18" t="str">
        <x:f t="shared" si="2"/>
      </x:c>
      <x:c r="Y15" s="18" t="str">
        <x:f t="shared" si="2"/>
      </x:c>
      <x:c r="Z15" s="18" t="str">
        <x:f t="shared" si="2"/>
      </x:c>
      <x:c r="AA15" s="18" t="str">
        <x:f t="shared" si="2"/>
      </x:c>
      <x:c r="AB15" s="18" t="str">
        <x:f t="shared" si="2"/>
      </x:c>
      <x:c r="AC15" s="18" t="str">
        <x:f t="shared" si="2"/>
      </x:c>
      <x:c r="AD15" s="18" t="str">
        <x:f t="shared" si="2"/>
      </x:c>
      <x:c r="AE15" s="18" t="str">
        <x:f t="shared" si="2"/>
      </x:c>
      <x:c r="AF15" s="19" t="str">
        <x:f t="shared" si="2"/>
      </x:c>
    </x:row>
    <x:row r="16" ht="36" customHeight="1">
      <x:c r="A16" s="17" t="s">
        <x:v>273</x:v>
      </x:c>
      <x:c r="B16" s="3" t="str">
        <x:f>IF(Master!C59="","",Master!C59)</x:f>
        <x:v>Yes</x:v>
      </x:c>
      <x:c r="C16" s="3" t="str">
        <x:f>IF(Master!D59="","",Master!D59)</x:f>
      </x:c>
      <x:c r="D16" s="3" t="str">
        <x:f>IF(Master!E59="","",Master!E59)</x:f>
        <x:v>Yes</x:v>
      </x:c>
      <x:c r="E16" s="3" t="str">
        <x:f>IF(Master!F59="","",Master!F59)</x:f>
        <x:v>Yes</x:v>
      </x:c>
      <x:c r="F16" s="3" t="str">
        <x:f>IF(Master!G59="","",Master!G59)</x:f>
        <x:v>Yes</x:v>
      </x:c>
      <x:c r="G16" s="3" t="str">
        <x:f>IF(Master!H59="","",Master!H59)</x:f>
        <x:v>Yes</x:v>
      </x:c>
      <x:c r="H16" s="3" t="str">
        <x:f>IF(Master!I59="","",Master!I59)</x:f>
        <x:v>Yes</x:v>
      </x:c>
      <x:c r="I16" s="3" t="str">
        <x:f>IF(Master!J59="","",Master!J59)</x:f>
        <x:v>Yes</x:v>
      </x:c>
      <x:c r="J16" s="3" t="str">
        <x:f>IF(Master!K59="","",Master!K59)</x:f>
      </x:c>
      <x:c r="K16" s="3" t="str">
        <x:f>IF(Master!L59="","",Master!L59)</x:f>
        <x:v>Yes</x:v>
      </x:c>
      <x:c r="L16" s="3" t="str">
        <x:f>IF(Master!M59="","",Master!M59)</x:f>
        <x:v>Yes</x:v>
      </x:c>
      <x:c r="M16" s="3" t="str">
        <x:f>IF(Master!N59="","",Master!N59)</x:f>
        <x:v>Yes</x:v>
      </x:c>
      <x:c r="N16" s="3" t="str">
        <x:f>IF(Master!O59="","",Master!O59)</x:f>
        <x:v>Client-dependent</x:v>
      </x:c>
      <x:c r="O16" s="3" t="str">
        <x:f>IF(Master!P59="","",Master!P59)</x:f>
        <x:v>Yes</x:v>
      </x:c>
      <x:c r="P16" s="3" t="str">
        <x:f>IF(Master!Q59="","",Master!Q59)</x:f>
        <x:v>Yes</x:v>
      </x:c>
      <x:c r="Q16" s="3" t="str">
        <x:f>IF(Master!R59="","",Master!R59)</x:f>
        <x:v>N/A</x:v>
      </x:c>
      <x:c r="R16" s="3" t="str">
        <x:f>IF(Master!S59="","",Master!S59)</x:f>
        <x:v>Yes</x:v>
      </x:c>
      <x:c r="S16" s="3" t="str">
        <x:f>IF(Master!T59="","",Master!T59)</x:f>
        <x:v>Yes</x:v>
      </x:c>
      <x:c r="T16" s="3" t="str">
        <x:f>IF(Master!U59="","",Master!U59)</x:f>
        <x:v>Yes</x:v>
      </x:c>
      <x:c r="U16" s="3" t="str">
        <x:f>IF(Master!V59="","",Master!V59)</x:f>
        <x:v>Yes</x:v>
      </x:c>
      <x:c r="V16" s="3" t="str">
        <x:f>IF(Master!W59="","",Master!W59)</x:f>
        <x:v>Yes</x:v>
      </x:c>
      <x:c r="W16" s="3" t="str">
        <x:f>IF(Master!X59="","",Master!X59)</x:f>
      </x:c>
      <x:c r="X16" s="3" t="str">
        <x:f>IF(Master!Y59="","",Master!Y59)</x:f>
        <x:v>Yes</x:v>
      </x:c>
      <x:c r="Y16" s="3" t="str">
        <x:f>IF(Master!Z59="","",Master!Z59)</x:f>
        <x:v>Yes</x:v>
      </x:c>
      <x:c r="Z16" s="3" t="str">
        <x:f>IF(Master!AA59="","",Master!AA59)</x:f>
        <x:v>Yes</x:v>
      </x:c>
      <x:c r="AA16" s="6" t="str">
        <x:f>IF(Master!AB59="","",Master!AB59)</x:f>
        <x:v>Yes</x:v>
      </x:c>
      <x:c r="AB16" s="3" t="str">
        <x:f>IF(Master!AC59="","",Master!AC59)</x:f>
        <x:v>Yes</x:v>
      </x:c>
      <x:c r="AC16" s="3" t="str">
        <x:f>IF(Master!AD59="","",Master!AD59)</x:f>
      </x:c>
      <x:c r="AD16" s="3" t="str">
        <x:f>IF(Master!AE59="","",Master!AE59)</x:f>
        <x:v>Yes</x:v>
      </x:c>
      <x:c r="AE16" s="3" t="str">
        <x:f>IF(Master!AF59="","",Master!AF59)</x:f>
      </x:c>
      <x:c r="AF16" s="8" t="str">
        <x:f>IF(Master!AG59="","",Master!AG59)</x:f>
        <x:v>Yes</x:v>
      </x:c>
    </x:row>
    <x:row r="17" ht="36" customHeight="1">
      <x:c r="A17" s="17" t="s">
        <x:v>274</x:v>
      </x:c>
      <x:c r="B17" s="3" t="str">
        <x:f>IF(Master!C60="","",Master!C60)</x:f>
        <x:v>Yes</x:v>
      </x:c>
      <x:c r="C17" s="3" t="str">
        <x:f>IF(Master!D60="","",Master!D60)</x:f>
      </x:c>
      <x:c r="D17" s="3" t="str">
        <x:f>IF(Master!E60="","",Master!E60)</x:f>
      </x:c>
      <x:c r="E17" s="3" t="str">
        <x:f>IF(Master!F60="","",Master!F60)</x:f>
        <x:v>Yes</x:v>
      </x:c>
      <x:c r="F17" s="3" t="str">
        <x:f>IF(Master!G60="","",Master!G60)</x:f>
        <x:v>Yes</x:v>
      </x:c>
      <x:c r="G17" s="3" t="str">
        <x:f>IF(Master!H60="","",Master!H60)</x:f>
        <x:v>Yes</x:v>
      </x:c>
      <x:c r="H17" s="3" t="str">
        <x:f>IF(Master!I60="","",Master!I60)</x:f>
        <x:v>Yes</x:v>
      </x:c>
      <x:c r="I17" s="3" t="str">
        <x:f>IF(Master!J60="","",Master!J60)</x:f>
        <x:v>Yes</x:v>
      </x:c>
      <x:c r="J17" s="3" t="str">
        <x:f>IF(Master!K60="","",Master!K60)</x:f>
      </x:c>
      <x:c r="K17" s="3" t="str">
        <x:f>IF(Master!L60="","",Master!L60)</x:f>
        <x:v>Yes</x:v>
      </x:c>
      <x:c r="L17" s="3" t="str">
        <x:f>IF(Master!M60="","",Master!M60)</x:f>
      </x:c>
      <x:c r="M17" s="3" t="str">
        <x:f>IF(Master!N60="","",Master!N60)</x:f>
        <x:v>Yes</x:v>
      </x:c>
      <x:c r="N17" s="3" t="str">
        <x:f>IF(Master!O60="","",Master!O60)</x:f>
        <x:v>Client-dependent</x:v>
      </x:c>
      <x:c r="O17" s="3" t="str">
        <x:f>IF(Master!P60="","",Master!P60)</x:f>
        <x:v>Custom emoji yes</x:v>
      </x:c>
      <x:c r="P17" s="3" t="str">
        <x:f>IF(Master!Q60="","",Master!Q60)</x:f>
        <x:v>Yes</x:v>
      </x:c>
      <x:c r="Q17" s="3" t="str">
        <x:f>IF(Master!R60="","",Master!R60)</x:f>
        <x:v>N/A</x:v>
      </x:c>
      <x:c r="R17" s="3" t="str">
        <x:f>IF(Master!S60="","",Master!S60)</x:f>
        <x:v>Yes</x:v>
      </x:c>
      <x:c r="S17" s="3" t="str">
        <x:f>IF(Master!T60="","",Master!T60)</x:f>
        <x:v>Yes</x:v>
      </x:c>
      <x:c r="T17" s="3" t="str">
        <x:f>IF(Master!U60="","",Master!U60)</x:f>
        <x:v>Yes</x:v>
      </x:c>
      <x:c r="U17" s="3" t="str">
        <x:f>IF(Master!V60="","",Master!V60)</x:f>
        <x:v>Yes</x:v>
      </x:c>
      <x:c r="V17" s="3" t="str">
        <x:f>IF(Master!W60="","",Master!W60)</x:f>
        <x:v>Yes</x:v>
      </x:c>
      <x:c r="W17" s="3" t="str">
        <x:f>IF(Master!X60="","",Master!X60)</x:f>
      </x:c>
      <x:c r="X17" s="3" t="str">
        <x:f>IF(Master!Y60="","",Master!Y60)</x:f>
        <x:v>Yes</x:v>
      </x:c>
      <x:c r="Y17" s="3" t="str">
        <x:f>IF(Master!Z60="","",Master!Z60)</x:f>
        <x:v>Yes</x:v>
      </x:c>
      <x:c r="Z17" s="3" t="str">
        <x:f>IF(Master!AA60="","",Master!AA60)</x:f>
        <x:v>Yes</x:v>
      </x:c>
      <x:c r="AA17" s="6" t="str">
        <x:f>IF(Master!AB60="","",Master!AB60)</x:f>
      </x:c>
      <x:c r="AB17" s="3" t="str">
        <x:f>IF(Master!AC60="","",Master!AC60)</x:f>
        <x:v>Yes</x:v>
      </x:c>
      <x:c r="AC17" s="3" t="str">
        <x:f>IF(Master!AD60="","",Master!AD60)</x:f>
      </x:c>
      <x:c r="AD17" s="3" t="str">
        <x:f>IF(Master!AE60="","",Master!AE60)</x:f>
      </x:c>
      <x:c r="AE17" s="3" t="str">
        <x:f>IF(Master!AF60="","",Master!AF60)</x:f>
      </x:c>
      <x:c r="AF17" s="8" t="str">
        <x:f>IF(Master!AG60="","",Master!AG60)</x:f>
        <x:v>Yes</x:v>
      </x:c>
    </x:row>
    <x:row r="18" ht="36" customHeight="1">
      <x:c r="A18" s="17" t="s">
        <x:v>275</x:v>
      </x:c>
      <x:c r="B18" s="3" t="str">
        <x:f>IF(Master!C61="","",Master!C61)</x:f>
        <x:v>Yes</x:v>
      </x:c>
      <x:c r="C18" s="3" t="str">
        <x:f>IF(Master!D61="","",Master!D61)</x:f>
      </x:c>
      <x:c r="D18" s="3" t="str">
        <x:f>IF(Master!E61="","",Master!E61)</x:f>
      </x:c>
      <x:c r="E18" s="3" t="str">
        <x:f>IF(Master!F61="","",Master!F61)</x:f>
      </x:c>
      <x:c r="F18" s="3" t="str">
        <x:f>IF(Master!G61="","",Master!G61)</x:f>
      </x:c>
      <x:c r="G18" s="3" t="str">
        <x:f>IF(Master!H61="","",Master!H61)</x:f>
      </x:c>
      <x:c r="H18" s="3" t="str">
        <x:f>IF(Master!I61="","",Master!I61)</x:f>
      </x:c>
      <x:c r="I18" s="3" t="str">
        <x:f>IF(Master!J61="","",Master!J61)</x:f>
      </x:c>
      <x:c r="J18" s="3" t="str">
        <x:f>IF(Master!K61="","",Master!K61)</x:f>
      </x:c>
      <x:c r="K18" s="3" t="str">
        <x:f>IF(Master!L61="","",Master!L61)</x:f>
        <x:v>Yes</x:v>
      </x:c>
      <x:c r="L18" s="3" t="str">
        <x:f>IF(Master!M61="","",Master!M61)</x:f>
      </x:c>
      <x:c r="M18" s="3" t="str">
        <x:f>IF(Master!N61="","",Master!N61)</x:f>
        <x:v>Yes</x:v>
      </x:c>
      <x:c r="N18" s="3" t="str">
        <x:f>IF(Master!O61="","",Master!O61)</x:f>
        <x:v>Client-dependent</x:v>
      </x:c>
      <x:c r="O18" s="3" t="str">
        <x:f>IF(Master!P61="","",Master!P61)</x:f>
      </x:c>
      <x:c r="P18" s="3" t="str">
        <x:f>IF(Master!Q61="","",Master!Q61)</x:f>
      </x:c>
      <x:c r="Q18" s="3" t="str">
        <x:f>IF(Master!R61="","",Master!R61)</x:f>
      </x:c>
      <x:c r="R18" s="3" t="str">
        <x:f>IF(Master!S61="","",Master!S61)</x:f>
      </x:c>
      <x:c r="S18" s="3" t="str">
        <x:f>IF(Master!T61="","",Master!T61)</x:f>
        <x:v>Yes</x:v>
      </x:c>
      <x:c r="T18" s="3" t="str">
        <x:f>IF(Master!U61="","",Master!U61)</x:f>
      </x:c>
      <x:c r="U18" s="3" t="str">
        <x:f>IF(Master!V61="","",Master!V61)</x:f>
        <x:v>Yes</x:v>
      </x:c>
      <x:c r="V18" s="3" t="str">
        <x:f>IF(Master!W61="","",Master!W61)</x:f>
      </x:c>
      <x:c r="W18" s="3" t="str">
        <x:f>IF(Master!X61="","",Master!X61)</x:f>
      </x:c>
      <x:c r="X18" s="3" t="str">
        <x:f>IF(Master!Y61="","",Master!Y61)</x:f>
      </x:c>
      <x:c r="Y18" s="3" t="str">
        <x:f>IF(Master!Z61="","",Master!Z61)</x:f>
      </x:c>
      <x:c r="Z18" s="3" t="str">
        <x:f>IF(Master!AA61="","",Master!AA61)</x:f>
      </x:c>
      <x:c r="AA18" s="6" t="str">
        <x:f>IF(Master!AB61="","",Master!AB61)</x:f>
      </x:c>
      <x:c r="AB18" s="3" t="str">
        <x:f>IF(Master!AC61="","",Master!AC61)</x:f>
      </x:c>
      <x:c r="AC18" s="3" t="str">
        <x:f>IF(Master!AD61="","",Master!AD61)</x:f>
      </x:c>
      <x:c r="AD18" s="3" t="str">
        <x:f>IF(Master!AE61="","",Master!AE61)</x:f>
      </x:c>
      <x:c r="AE18" s="3" t="str">
        <x:f>IF(Master!AF61="","",Master!AF61)</x:f>
      </x:c>
      <x:c r="AF18" s="8" t="str">
        <x:f>IF(Master!AG61="","",Master!AG61)</x:f>
      </x:c>
    </x:row>
    <x:row r="19" ht="36" customHeight="1">
      <x:c r="A19" s="17" t="s">
        <x:v>276</x:v>
      </x:c>
      <x:c r="B19" s="3" t="str">
        <x:f>IF(Master!C62="","",Master!C62)</x:f>
        <x:v>Yes</x:v>
      </x:c>
      <x:c r="C19" s="3" t="str">
        <x:f>IF(Master!D62="","",Master!D62)</x:f>
      </x:c>
      <x:c r="D19" s="3" t="str">
        <x:f>IF(Master!E62="","",Master!E62)</x:f>
      </x:c>
      <x:c r="E19" s="3" t="str">
        <x:f>IF(Master!F62="","",Master!F62)</x:f>
        <x:v>Yes</x:v>
      </x:c>
      <x:c r="F19" s="3" t="str">
        <x:f>IF(Master!G62="","",Master!G62)</x:f>
      </x:c>
      <x:c r="G19" s="3" t="str">
        <x:f>IF(Master!H62="","",Master!H62)</x:f>
        <x:v>Yes</x:v>
      </x:c>
      <x:c r="H19" s="3" t="str">
        <x:f>IF(Master!I62="","",Master!I62)</x:f>
        <x:v>Yes</x:v>
      </x:c>
      <x:c r="I19" s="3" t="str">
        <x:f>IF(Master!J62="","",Master!J62)</x:f>
      </x:c>
      <x:c r="J19" s="3" t="str">
        <x:f>IF(Master!K62="","",Master!K62)</x:f>
      </x:c>
      <x:c r="K19" s="3" t="str">
        <x:f>IF(Master!L62="","",Master!L62)</x:f>
        <x:v>Yes</x:v>
      </x:c>
      <x:c r="L19" s="3" t="str">
        <x:f>IF(Master!M62="","",Master!M62)</x:f>
      </x:c>
      <x:c r="M19" s="3" t="str">
        <x:f>IF(Master!N62="","",Master!N62)</x:f>
        <x:v>Yes</x:v>
      </x:c>
      <x:c r="N19" s="3" t="str">
        <x:f>IF(Master!O62="","",Master!O62)</x:f>
        <x:v>Client-dependent</x:v>
      </x:c>
      <x:c r="O19" s="3" t="str">
        <x:f>IF(Master!P62="","",Master!P62)</x:f>
        <x:v>Yes</x:v>
      </x:c>
      <x:c r="P19" s="3" t="str">
        <x:f>IF(Master!Q62="","",Master!Q62)</x:f>
        <x:v>Yes</x:v>
      </x:c>
      <x:c r="Q19" s="3" t="str">
        <x:f>IF(Master!R62="","",Master!R62)</x:f>
        <x:v>N/A</x:v>
      </x:c>
      <x:c r="R19" s="3" t="str">
        <x:f>IF(Master!S62="","",Master!S62)</x:f>
        <x:v>Yes</x:v>
      </x:c>
      <x:c r="S19" s="3" t="str">
        <x:f>IF(Master!T62="","",Master!T62)</x:f>
        <x:v>Yes</x:v>
      </x:c>
      <x:c r="T19" s="3" t="str">
        <x:f>IF(Master!U62="","",Master!U62)</x:f>
        <x:v>Yes</x:v>
      </x:c>
      <x:c r="U19" s="3" t="str">
        <x:f>IF(Master!V62="","",Master!V62)</x:f>
        <x:v>Yes</x:v>
      </x:c>
      <x:c r="V19" s="3" t="str">
        <x:f>IF(Master!W62="","",Master!W62)</x:f>
        <x:v>Yes</x:v>
      </x:c>
      <x:c r="W19" s="3" t="str">
        <x:f>IF(Master!X62="","",Master!X62)</x:f>
      </x:c>
      <x:c r="X19" s="3" t="str">
        <x:f>IF(Master!Y62="","",Master!Y62)</x:f>
        <x:v>Yes</x:v>
      </x:c>
      <x:c r="Y19" s="3" t="str">
        <x:f>IF(Master!Z62="","",Master!Z62)</x:f>
        <x:v>Yes</x:v>
      </x:c>
      <x:c r="Z19" s="3" t="str">
        <x:f>IF(Master!AA62="","",Master!AA62)</x:f>
        <x:v>Yes</x:v>
      </x:c>
      <x:c r="AA19" s="6" t="str">
        <x:f>IF(Master!AB62="","",Master!AB62)</x:f>
      </x:c>
      <x:c r="AB19" s="3" t="str">
        <x:f>IF(Master!AC62="","",Master!AC62)</x:f>
        <x:v>Yes</x:v>
      </x:c>
      <x:c r="AC19" s="3" t="str">
        <x:f>IF(Master!AD62="","",Master!AD62)</x:f>
      </x:c>
      <x:c r="AD19" s="3" t="str">
        <x:f>IF(Master!AE62="","",Master!AE62)</x:f>
      </x:c>
      <x:c r="AE19" s="3" t="str">
        <x:f>IF(Master!AF62="","",Master!AF62)</x:f>
      </x:c>
      <x:c r="AF19" s="8" t="str">
        <x:f>IF(Master!AG62="","",Master!AG62)</x:f>
        <x:v>Yes</x:v>
      </x:c>
    </x:row>
    <x:row r="20" ht="36" customHeight="1">
      <x:c r="A20" s="17" t="s">
        <x:v>277</x:v>
      </x:c>
      <x:c r="B20" s="3" t="str">
        <x:f>IF(Master!C63="","",Master!C63)</x:f>
        <x:v>Yes</x:v>
      </x:c>
      <x:c r="C20" s="3" t="str">
        <x:f>IF(Master!D63="","",Master!D63)</x:f>
      </x:c>
      <x:c r="D20" s="3" t="str">
        <x:f>IF(Master!E63="","",Master!E63)</x:f>
      </x:c>
      <x:c r="E20" s="3" t="str">
        <x:f>IF(Master!F63="","",Master!F63)</x:f>
        <x:v>Yes</x:v>
      </x:c>
      <x:c r="F20" s="3" t="str">
        <x:f>IF(Master!G63="","",Master!G63)</x:f>
      </x:c>
      <x:c r="G20" s="3" t="str">
        <x:f>IF(Master!H63="","",Master!H63)</x:f>
        <x:v>Yes</x:v>
      </x:c>
      <x:c r="H20" s="3" t="str">
        <x:f>IF(Master!I63="","",Master!I63)</x:f>
        <x:v>Yes</x:v>
      </x:c>
      <x:c r="I20" s="3" t="str">
        <x:f>IF(Master!J63="","",Master!J63)</x:f>
      </x:c>
      <x:c r="J20" s="3" t="str">
        <x:f>IF(Master!K63="","",Master!K63)</x:f>
      </x:c>
      <x:c r="K20" s="3" t="str">
        <x:f>IF(Master!L63="","",Master!L63)</x:f>
        <x:v>Yes</x:v>
      </x:c>
      <x:c r="L20" s="3" t="str">
        <x:f>IF(Master!M63="","",Master!M63)</x:f>
      </x:c>
      <x:c r="M20" s="3" t="str">
        <x:f>IF(Master!N63="","",Master!N63)</x:f>
        <x:v>Yes</x:v>
      </x:c>
      <x:c r="N20" s="3" t="str">
        <x:f>IF(Master!O63="","",Master!O63)</x:f>
        <x:v>Client-dependent</x:v>
      </x:c>
      <x:c r="O20" s="3" t="str">
        <x:f>IF(Master!P63="","",Master!P63)</x:f>
        <x:v>Yes</x:v>
      </x:c>
      <x:c r="P20" s="3" t="str">
        <x:f>IF(Master!Q63="","",Master!Q63)</x:f>
        <x:v>Yes</x:v>
      </x:c>
      <x:c r="Q20" s="3" t="str">
        <x:f>IF(Master!R63="","",Master!R63)</x:f>
        <x:v>N/A</x:v>
      </x:c>
      <x:c r="R20" s="3" t="str">
        <x:f>IF(Master!S63="","",Master!S63)</x:f>
        <x:v>Yes</x:v>
      </x:c>
      <x:c r="S20" s="3" t="str">
        <x:f>IF(Master!T63="","",Master!T63)</x:f>
        <x:v>Yes</x:v>
      </x:c>
      <x:c r="T20" s="3" t="str">
        <x:f>IF(Master!U63="","",Master!U63)</x:f>
        <x:v>Yes</x:v>
      </x:c>
      <x:c r="U20" s="3" t="str">
        <x:f>IF(Master!V63="","",Master!V63)</x:f>
        <x:v>Yes</x:v>
      </x:c>
      <x:c r="V20" s="3" t="str">
        <x:f>IF(Master!W63="","",Master!W63)</x:f>
        <x:v>Yes</x:v>
      </x:c>
      <x:c r="W20" s="3" t="str">
        <x:f>IF(Master!X63="","",Master!X63)</x:f>
      </x:c>
      <x:c r="X20" s="3" t="str">
        <x:f>IF(Master!Y63="","",Master!Y63)</x:f>
        <x:v>Yes</x:v>
      </x:c>
      <x:c r="Y20" s="3" t="str">
        <x:f>IF(Master!Z63="","",Master!Z63)</x:f>
        <x:v>Yes</x:v>
      </x:c>
      <x:c r="Z20" s="3" t="str">
        <x:f>IF(Master!AA63="","",Master!AA63)</x:f>
        <x:v>Yes</x:v>
      </x:c>
      <x:c r="AA20" s="6" t="str">
        <x:f>IF(Master!AB63="","",Master!AB63)</x:f>
      </x:c>
      <x:c r="AB20" s="3" t="str">
        <x:f>IF(Master!AC63="","",Master!AC63)</x:f>
      </x:c>
      <x:c r="AC20" s="3" t="str">
        <x:f>IF(Master!AD63="","",Master!AD63)</x:f>
      </x:c>
      <x:c r="AD20" s="3" t="str">
        <x:f>IF(Master!AE63="","",Master!AE63)</x:f>
      </x:c>
      <x:c r="AE20" s="3" t="str">
        <x:f>IF(Master!AF63="","",Master!AF63)</x:f>
      </x:c>
      <x:c r="AF20" s="8" t="str">
        <x:f>IF(Master!AG63="","",Master!AG63)</x:f>
        <x:v>Yes</x:v>
      </x:c>
    </x:row>
    <x:row r="21" ht="21.950000762939453" customHeight="1">
      <x:c r="A21" s="18" t="s">
        <x:v>278</x:v>
      </x:c>
      <x:c r="B21" s="18" t="str">
        <x:f t="shared" ref="B21:AF21" si="3">IF(""="","","")</x:f>
      </x:c>
      <x:c r="C21" s="18" t="str">
        <x:f t="shared" si="3"/>
      </x:c>
      <x:c r="D21" s="18" t="str">
        <x:f t="shared" si="3"/>
      </x:c>
      <x:c r="E21" s="18" t="str">
        <x:f t="shared" si="3"/>
      </x:c>
      <x:c r="F21" s="18" t="str">
        <x:f t="shared" si="3"/>
      </x:c>
      <x:c r="G21" s="18" t="str">
        <x:f t="shared" si="3"/>
      </x:c>
      <x:c r="H21" s="18" t="str">
        <x:f t="shared" si="3"/>
      </x:c>
      <x:c r="I21" s="18" t="str">
        <x:f t="shared" si="3"/>
      </x:c>
      <x:c r="J21" s="18" t="str">
        <x:f t="shared" si="3"/>
      </x:c>
      <x:c r="K21" s="18" t="str">
        <x:f t="shared" si="3"/>
      </x:c>
      <x:c r="L21" s="18" t="str">
        <x:f t="shared" si="3"/>
      </x:c>
      <x:c r="M21" s="18" t="str">
        <x:f t="shared" si="3"/>
      </x:c>
      <x:c r="N21" s="18" t="str">
        <x:f t="shared" si="3"/>
      </x:c>
      <x:c r="O21" s="18" t="str">
        <x:f t="shared" si="3"/>
      </x:c>
      <x:c r="P21" s="18" t="str">
        <x:f t="shared" si="3"/>
      </x:c>
      <x:c r="Q21" s="18" t="str">
        <x:f t="shared" si="3"/>
      </x:c>
      <x:c r="R21" s="18" t="str">
        <x:f t="shared" si="3"/>
      </x:c>
      <x:c r="S21" s="18" t="str">
        <x:f t="shared" si="3"/>
      </x:c>
      <x:c r="T21" s="18" t="str">
        <x:f t="shared" si="3"/>
      </x:c>
      <x:c r="U21" s="18" t="str">
        <x:f t="shared" si="3"/>
      </x:c>
      <x:c r="V21" s="18" t="str">
        <x:f t="shared" si="3"/>
      </x:c>
      <x:c r="W21" s="18" t="str">
        <x:f t="shared" si="3"/>
      </x:c>
      <x:c r="X21" s="18" t="str">
        <x:f t="shared" si="3"/>
      </x:c>
      <x:c r="Y21" s="18" t="str">
        <x:f t="shared" si="3"/>
      </x:c>
      <x:c r="Z21" s="18" t="str">
        <x:f t="shared" si="3"/>
      </x:c>
      <x:c r="AA21" s="18" t="str">
        <x:f t="shared" si="3"/>
      </x:c>
      <x:c r="AB21" s="18" t="str">
        <x:f t="shared" si="3"/>
      </x:c>
      <x:c r="AC21" s="18" t="str">
        <x:f t="shared" si="3"/>
      </x:c>
      <x:c r="AD21" s="18" t="str">
        <x:f t="shared" si="3"/>
      </x:c>
      <x:c r="AE21" s="18" t="str">
        <x:f t="shared" si="3"/>
      </x:c>
      <x:c r="AF21" s="19" t="str">
        <x:f t="shared" si="3"/>
      </x:c>
    </x:row>
    <x:row r="22" ht="36" customHeight="1">
      <x:c r="A22" s="17" t="s">
        <x:v>279</x:v>
      </x:c>
      <x:c r="B22" s="3" t="str">
        <x:f>IF(Master!C64="","",Master!C64)</x:f>
        <x:v>Yes</x:v>
      </x:c>
      <x:c r="C22" s="3" t="str">
        <x:f>IF(Master!D64="","",Master!D64)</x:f>
        <x:v>Key-based profile</x:v>
      </x:c>
      <x:c r="D22" s="3" t="str">
        <x:f>IF(Master!E64="","",Master!E64)</x:f>
        <x:v>Yes</x:v>
      </x:c>
      <x:c r="E22" s="3" t="str">
        <x:f>IF(Master!F64="","",Master!F64)</x:f>
        <x:v>Yes</x:v>
      </x:c>
      <x:c r="F22" s="3" t="str">
        <x:f>IF(Master!G64="","",Master!G64)</x:f>
        <x:v>Yes</x:v>
      </x:c>
      <x:c r="G22" s="3" t="str">
        <x:f>IF(Master!H64="","",Master!H64)</x:f>
        <x:v>Yes</x:v>
      </x:c>
      <x:c r="H22" s="3" t="str">
        <x:f>IF(Master!I64="","",Master!I64)</x:f>
        <x:v>Yes</x:v>
      </x:c>
      <x:c r="I22" s="3" t="str">
        <x:f>IF(Master!J64="","",Master!J64)</x:f>
      </x:c>
      <x:c r="J22" s="3" t="str">
        <x:f>IF(Master!K64="","",Master!K64)</x:f>
        <x:v>Key-based profile</x:v>
      </x:c>
      <x:c r="K22" s="3" t="str">
        <x:f>IF(Master!L64="","",Master!L64)</x:f>
        <x:v>Yes</x:v>
      </x:c>
      <x:c r="L22" s="3" t="str">
        <x:f>IF(Master!M64="","",Master!M64)</x:f>
        <x:v>Yes</x:v>
      </x:c>
      <x:c r="M22" s="3" t="str">
        <x:f>IF(Master!N64="","",Master!N64)</x:f>
        <x:v>Yes</x:v>
      </x:c>
      <x:c r="N22" s="3" t="str">
        <x:f>IF(Master!O64="","",Master!O64)</x:f>
        <x:v>Client-dependent</x:v>
      </x:c>
      <x:c r="O22" s="3" t="str">
        <x:f>IF(Master!P64="","",Master!P64)</x:f>
        <x:v>Yes</x:v>
      </x:c>
      <x:c r="P22" s="3" t="str">
        <x:f>IF(Master!Q64="","",Master!Q64)</x:f>
        <x:v>Yes</x:v>
      </x:c>
      <x:c r="Q22" s="3" t="str">
        <x:f>IF(Master!R64="","",Master!R64)</x:f>
        <x:v>User identities</x:v>
      </x:c>
      <x:c r="R22" s="3" t="str">
        <x:f>IF(Master!S64="","",Master!S64)</x:f>
        <x:v>Yes</x:v>
      </x:c>
      <x:c r="S22" s="3" t="str">
        <x:f>IF(Master!T64="","",Master!T64)</x:f>
        <x:v>Yes</x:v>
      </x:c>
      <x:c r="T22" s="3" t="str">
        <x:f>IF(Master!U64="","",Master!U64)</x:f>
        <x:v>Yes</x:v>
      </x:c>
      <x:c r="U22" s="3" t="str">
        <x:f>IF(Master!V64="","",Master!V64)</x:f>
        <x:v>Yes</x:v>
      </x:c>
      <x:c r="V22" s="3" t="str">
        <x:f>IF(Master!W64="","",Master!W64)</x:f>
        <x:v>Yes</x:v>
      </x:c>
      <x:c r="W22" s="3" t="str">
        <x:f>IF(Master!X64="","",Master!X64)</x:f>
        <x:v>ATProto profile</x:v>
      </x:c>
      <x:c r="X22" s="3" t="str">
        <x:f>IF(Master!Y64="","",Master!Y64)</x:f>
        <x:v>Yes</x:v>
      </x:c>
      <x:c r="Y22" s="3" t="str">
        <x:f>IF(Master!Z64="","",Master!Z64)</x:f>
        <x:v>Yes</x:v>
      </x:c>
      <x:c r="Z22" s="3" t="str">
        <x:f>IF(Master!AA64="","",Master!AA64)</x:f>
        <x:v>Yes</x:v>
      </x:c>
      <x:c r="AA22" s="6" t="str">
        <x:f>IF(Master!AB64="","",Master!AB64)</x:f>
        <x:v>Yes</x:v>
      </x:c>
      <x:c r="AB22" s="3" t="str">
        <x:f>IF(Master!AC64="","",Master!AC64)</x:f>
        <x:v>Yes</x:v>
      </x:c>
      <x:c r="AC22" s="3" t="str">
        <x:f>IF(Master!AD64="","",Master!AD64)</x:f>
        <x:v>Yes</x:v>
      </x:c>
      <x:c r="AD22" s="3" t="str">
        <x:f>IF(Master!AE64="","",Master!AE64)</x:f>
        <x:v>Yes</x:v>
      </x:c>
      <x:c r="AE22" s="3" t="str">
        <x:f>IF(Master!AF64="","",Master!AF64)</x:f>
        <x:v>Yes</x:v>
      </x:c>
      <x:c r="AF22" s="8" t="str">
        <x:f>IF(Master!AG64="","",Master!AG64)</x:f>
        <x:v>Yes</x:v>
      </x:c>
    </x:row>
    <x:row r="23" ht="36" customHeight="1">
      <x:c r="A23" s="17" t="s">
        <x:v>280</x:v>
      </x:c>
      <x:c r="B23" s="3" t="str">
        <x:f>IF(Master!C65="","",Master!C65)</x:f>
        <x:v>Yes: per-server profiles; some customization requires Nitro</x:v>
      </x:c>
      <x:c r="C23" s="3" t="str">
        <x:f>IF(Master!D65="","",Master!D65)</x:f>
        <x:v>Nostr identity</x:v>
      </x:c>
      <x:c r="D23" s="3" t="str">
        <x:f>IF(Master!E65="","",Master!E65)</x:f>
        <x:v>Server profile</x:v>
      </x:c>
      <x:c r="E23" s="3" t="str">
        <x:f>IF(Master!F65="","",Master!F65)</x:f>
      </x:c>
      <x:c r="F23" s="3" t="str">
        <x:f>IF(Master!G65="","",Master!G65)</x:f>
      </x:c>
      <x:c r="G23" s="3" t="str">
        <x:f>IF(Master!H65="","",Master!H65)</x:f>
      </x:c>
      <x:c r="H23" s="3" t="str">
        <x:f>IF(Master!I65="","",Master!I65)</x:f>
      </x:c>
      <x:c r="I23" s="3" t="str">
        <x:f>IF(Master!J65="","",Master!J65)</x:f>
      </x:c>
      <x:c r="J23" s="3" t="str">
        <x:f>IF(Master!K65="","",Master!K65)</x:f>
        <x:v>N/A</x:v>
      </x:c>
      <x:c r="K23" s="3" t="str">
        <x:f>IF(Master!L65="","",Master!L65)</x:f>
      </x:c>
      <x:c r="L23" s="3" t="str">
        <x:f>IF(Master!M65="","",Master!M65)</x:f>
      </x:c>
      <x:c r="M23" s="3" t="str">
        <x:f>IF(Master!N65="","",Master!N65)</x:f>
      </x:c>
      <x:c r="N23" s="3" t="str">
        <x:f>IF(Master!O65="","",Master!O65)</x:f>
        <x:v>Client-dependent</x:v>
      </x:c>
      <x:c r="O23" s="3" t="str">
        <x:f>IF(Master!P65="","",Master!P65)</x:f>
        <x:v>Yes</x:v>
      </x:c>
      <x:c r="P23" s="3" t="str">
        <x:f>IF(Master!Q65="","",Master!Q65)</x:f>
      </x:c>
      <x:c r="Q23" s="3" t="str">
        <x:f>IF(Master!R65="","",Master!R65)</x:f>
        <x:v>Server-specific</x:v>
      </x:c>
      <x:c r="R23" s="3" t="str">
        <x:f>IF(Master!S65="","",Master!S65)</x:f>
      </x:c>
      <x:c r="S23" s="3" t="str">
        <x:f>IF(Master!T65="","",Master!T65)</x:f>
      </x:c>
      <x:c r="T23" s="3" t="str">
        <x:f>IF(Master!U65="","",Master!U65)</x:f>
      </x:c>
      <x:c r="U23" s="3" t="str">
        <x:f>IF(Master!V65="","",Master!V65)</x:f>
        <x:v>Yes</x:v>
      </x:c>
      <x:c r="V23" s="3" t="str">
        <x:f>IF(Master!W65="","",Master!W65)</x:f>
        <x:v>Yes</x:v>
      </x:c>
      <x:c r="W23" s="3" t="str">
        <x:f>IF(Master!X65="","",Master!X65)</x:f>
        <x:v>ATProto identity</x:v>
      </x:c>
      <x:c r="X23" s="3" t="str">
        <x:f>IF(Master!Y65="","",Master!Y65)</x:f>
      </x:c>
      <x:c r="Y23" s="3" t="str">
        <x:f>IF(Master!Z65="","",Master!Z65)</x:f>
        <x:v>Yes/target</x:v>
      </x:c>
      <x:c r="Z23" s="3" t="str">
        <x:f>IF(Master!AA65="","",Master!AA65)</x:f>
        <x:v>Yes: server-specific profiles free</x:v>
      </x:c>
      <x:c r="AA23" s="6" t="str">
        <x:f>IF(Master!AB65="","",Master!AB65)</x:f>
      </x:c>
      <x:c r="AB23" s="3" t="str">
        <x:f>IF(Master!AC65="","",Master!AC65)</x:f>
        <x:v>Planet profile</x:v>
      </x:c>
      <x:c r="AC23" s="3" t="str">
        <x:f>IF(Master!AD65="","",Master!AD65)</x:f>
      </x:c>
      <x:c r="AD23" s="3" t="str">
        <x:f>IF(Master!AE65="","",Master!AE65)</x:f>
        <x:v>Crew/lobby identity</x:v>
      </x:c>
      <x:c r="AE23" s="3" t="str">
        <x:f>IF(Master!AF65="","",Master!AF65)</x:f>
      </x:c>
      <x:c r="AF23" s="8" t="str">
        <x:f>IF(Master!AG65="","",Master!AG65)</x:f>
        <x:v>Per-organization profile</x:v>
      </x:c>
    </x:row>
    <x:row r="24" ht="36" customHeight="1">
      <x:c r="A24" s="17" t="s">
        <x:v>281</x:v>
      </x:c>
      <x:c r="B24" s="3" t="str">
        <x:f>IF(Master!C66="","",Master!C66)</x:f>
        <x:v>Yes</x:v>
      </x:c>
      <x:c r="C24" s="3" t="str">
        <x:f>IF(Master!D66="","",Master!D66)</x:f>
      </x:c>
      <x:c r="D24" s="3" t="str">
        <x:f>IF(Master!E66="","",Master!E66)</x:f>
        <x:v>Yes</x:v>
      </x:c>
      <x:c r="E24" s="3" t="str">
        <x:f>IF(Master!F66="","",Master!F66)</x:f>
        <x:v>Yes</x:v>
      </x:c>
      <x:c r="F24" s="3" t="str">
        <x:f>IF(Master!G66="","",Master!G66)</x:f>
        <x:v>Yes</x:v>
      </x:c>
      <x:c r="G24" s="3" t="str">
        <x:f>IF(Master!H66="","",Master!H66)</x:f>
        <x:v>Yes</x:v>
      </x:c>
      <x:c r="H24" s="3" t="str">
        <x:f>IF(Master!I66="","",Master!I66)</x:f>
        <x:v>Yes</x:v>
      </x:c>
      <x:c r="I24" s="3" t="str">
        <x:f>IF(Master!J66="","",Master!J66)</x:f>
      </x:c>
      <x:c r="J24" s="3" t="str">
        <x:f>IF(Master!K66="","",Master!K66)</x:f>
      </x:c>
      <x:c r="K24" s="3" t="str">
        <x:f>IF(Master!L66="","",Master!L66)</x:f>
        <x:v>Yes</x:v>
      </x:c>
      <x:c r="L24" s="3" t="str">
        <x:f>IF(Master!M66="","",Master!M66)</x:f>
        <x:v>Yes</x:v>
      </x:c>
      <x:c r="M24" s="3" t="str">
        <x:f>IF(Master!N66="","",Master!N66)</x:f>
        <x:v>Yes</x:v>
      </x:c>
      <x:c r="N24" s="3" t="str">
        <x:f>IF(Master!O66="","",Master!O66)</x:f>
        <x:v>Client-dependent</x:v>
      </x:c>
      <x:c r="O24" s="3" t="str">
        <x:f>IF(Master!P66="","",Master!P66)</x:f>
        <x:v>Yes</x:v>
      </x:c>
      <x:c r="P24" s="3" t="str">
        <x:f>IF(Master!Q66="","",Master!Q66)</x:f>
        <x:v>Yes</x:v>
      </x:c>
      <x:c r="Q24" s="3" t="str">
        <x:f>IF(Master!R66="","",Master!R66)</x:f>
        <x:v>Yes</x:v>
      </x:c>
      <x:c r="R24" s="3" t="str">
        <x:f>IF(Master!S66="","",Master!S66)</x:f>
        <x:v>Yes</x:v>
      </x:c>
      <x:c r="S24" s="3" t="str">
        <x:f>IF(Master!T66="","",Master!T66)</x:f>
        <x:v>Yes</x:v>
      </x:c>
      <x:c r="T24" s="3" t="str">
        <x:f>IF(Master!U66="","",Master!U66)</x:f>
        <x:v>Yes</x:v>
      </x:c>
      <x:c r="U24" s="3" t="str">
        <x:f>IF(Master!V66="","",Master!V66)</x:f>
        <x:v>Yes</x:v>
      </x:c>
      <x:c r="V24" s="3" t="str">
        <x:f>IF(Master!W66="","",Master!W66)</x:f>
        <x:v>Yes</x:v>
      </x:c>
      <x:c r="W24" s="3" t="str">
        <x:f>IF(Master!X66="","",Master!X66)</x:f>
      </x:c>
      <x:c r="X24" s="3" t="str">
        <x:f>IF(Master!Y66="","",Master!Y66)</x:f>
        <x:v>Yes</x:v>
      </x:c>
      <x:c r="Y24" s="3" t="str">
        <x:f>IF(Master!Z66="","",Master!Z66)</x:f>
        <x:v>Yes</x:v>
      </x:c>
      <x:c r="Z24" s="3" t="str">
        <x:f>IF(Master!AA66="","",Master!AA66)</x:f>
        <x:v>Yes</x:v>
      </x:c>
      <x:c r="AA24" s="6" t="str">
        <x:f>IF(Master!AB66="","",Master!AB66)</x:f>
        <x:v>Yes</x:v>
      </x:c>
      <x:c r="AB24" s="3" t="str">
        <x:f>IF(Master!AC66="","",Master!AC66)</x:f>
        <x:v>Yes</x:v>
      </x:c>
      <x:c r="AC24" s="3" t="str">
        <x:f>IF(Master!AD66="","",Master!AD66)</x:f>
      </x:c>
      <x:c r="AD24" s="3" t="str">
        <x:f>IF(Master!AE66="","",Master!AE66)</x:f>
        <x:v>Yes</x:v>
      </x:c>
      <x:c r="AE24" s="3" t="str">
        <x:f>IF(Master!AF66="","",Master!AF66)</x:f>
      </x:c>
      <x:c r="AF24" s="8" t="str">
        <x:f>IF(Master!AG66="","",Master!AG66)</x:f>
        <x:v>Yes</x:v>
      </x:c>
    </x:row>
    <x:row r="25" ht="36" customHeight="1">
      <x:c r="A25" s="17" t="s">
        <x:v>282</x:v>
      </x:c>
      <x:c r="B25" s="3" t="str">
        <x:f>IF(Master!C67="","",Master!C67)</x:f>
        <x:v>Yes</x:v>
      </x:c>
      <x:c r="C25" s="3" t="str">
        <x:f>IF(Master!D67="","",Master!D67)</x:f>
      </x:c>
      <x:c r="D25" s="3" t="str">
        <x:f>IF(Master!E67="","",Master!E67)</x:f>
      </x:c>
      <x:c r="E25" s="3" t="str">
        <x:f>IF(Master!F67="","",Master!F67)</x:f>
      </x:c>
      <x:c r="F25" s="3" t="str">
        <x:f>IF(Master!G67="","",Master!G67)</x:f>
      </x:c>
      <x:c r="G25" s="3" t="str">
        <x:f>IF(Master!H67="","",Master!H67)</x:f>
      </x:c>
      <x:c r="H25" s="3" t="str">
        <x:f>IF(Master!I67="","",Master!I67)</x:f>
      </x:c>
      <x:c r="I25" s="3" t="str">
        <x:f>IF(Master!J67="","",Master!J67)</x:f>
      </x:c>
      <x:c r="J25" s="3" t="str">
        <x:f>IF(Master!K67="","",Master!K67)</x:f>
      </x:c>
      <x:c r="K25" s="3" t="str">
        <x:f>IF(Master!L67="","",Master!L67)</x:f>
        <x:v>Yes</x:v>
      </x:c>
      <x:c r="L25" s="3" t="str">
        <x:f>IF(Master!M67="","",Master!M67)</x:f>
      </x:c>
      <x:c r="M25" s="3" t="str">
        <x:f>IF(Master!N67="","",Master!N67)</x:f>
        <x:v>Yes</x:v>
      </x:c>
      <x:c r="N25" s="3" t="str">
        <x:f>IF(Master!O67="","",Master!O67)</x:f>
        <x:v>Client-dependent</x:v>
      </x:c>
      <x:c r="O25" s="3" t="str">
        <x:f>IF(Master!P67="","",Master!P67)</x:f>
      </x:c>
      <x:c r="P25" s="3" t="str">
        <x:f>IF(Master!Q67="","",Master!Q67)</x:f>
      </x:c>
      <x:c r="Q25" s="3" t="str">
        <x:f>IF(Master!R67="","",Master!R67)</x:f>
      </x:c>
      <x:c r="R25" s="3" t="str">
        <x:f>IF(Master!S67="","",Master!S67)</x:f>
        <x:v>Yes</x:v>
      </x:c>
      <x:c r="S25" s="3" t="str">
        <x:f>IF(Master!T67="","",Master!T67)</x:f>
      </x:c>
      <x:c r="T25" s="3" t="str">
        <x:f>IF(Master!U67="","",Master!U67)</x:f>
      </x:c>
      <x:c r="U25" s="3" t="str">
        <x:f>IF(Master!V67="","",Master!V67)</x:f>
        <x:v>Yes</x:v>
      </x:c>
      <x:c r="V25" s="3" t="str">
        <x:f>IF(Master!W67="","",Master!W67)</x:f>
      </x:c>
      <x:c r="W25" s="3" t="str">
        <x:f>IF(Master!X67="","",Master!X67)</x:f>
      </x:c>
      <x:c r="X25" s="3" t="str">
        <x:f>IF(Master!Y67="","",Master!Y67)</x:f>
      </x:c>
      <x:c r="Y25" s="3" t="str">
        <x:f>IF(Master!Z67="","",Master!Z67)</x:f>
      </x:c>
      <x:c r="Z25" s="3" t="str">
        <x:f>IF(Master!AA67="","",Master!AA67)</x:f>
        <x:v>Yes</x:v>
      </x:c>
      <x:c r="AA25" s="6" t="str">
        <x:f>IF(Master!AB67="","",Master!AB67)</x:f>
      </x:c>
      <x:c r="AB25" s="3" t="str">
        <x:f>IF(Master!AC67="","",Master!AC67)</x:f>
      </x:c>
      <x:c r="AC25" s="3" t="str">
        <x:f>IF(Master!AD67="","",Master!AD67)</x:f>
      </x:c>
      <x:c r="AD25" s="3" t="str">
        <x:f>IF(Master!AE67="","",Master!AE67)</x:f>
      </x:c>
      <x:c r="AE25" s="3" t="str">
        <x:f>IF(Master!AF67="","",Master!AF67)</x:f>
      </x:c>
      <x:c r="AF25" s="8" t="str">
        <x:f>IF(Master!AG67="","",Master!AG67)</x:f>
        <x:v>Yes</x:v>
      </x:c>
    </x:row>
    <x:row r="26" ht="36" customHeight="1">
      <x:c r="A26" s="17" t="s">
        <x:v>283</x:v>
      </x:c>
      <x:c r="B26" s="3" t="str">
        <x:f>IF(Master!C68="","",Master!C68)</x:f>
        <x:v>Yes</x:v>
      </x:c>
      <x:c r="C26" s="3" t="str">
        <x:f>IF(Master!D68="","",Master!D68)</x:f>
      </x:c>
      <x:c r="D26" s="3" t="str">
        <x:f>IF(Master!E68="","",Master!E68)</x:f>
      </x:c>
      <x:c r="E26" s="3" t="str">
        <x:f>IF(Master!F68="","",Master!F68)</x:f>
      </x:c>
      <x:c r="F26" s="3" t="str">
        <x:f>IF(Master!G68="","",Master!G68)</x:f>
      </x:c>
      <x:c r="G26" s="3" t="str">
        <x:f>IF(Master!H68="","",Master!H68)</x:f>
      </x:c>
      <x:c r="H26" s="3" t="str">
        <x:f>IF(Master!I68="","",Master!I68)</x:f>
      </x:c>
      <x:c r="I26" s="3" t="str">
        <x:f>IF(Master!J68="","",Master!J68)</x:f>
      </x:c>
      <x:c r="J26" s="3" t="str">
        <x:f>IF(Master!K68="","",Master!K68)</x:f>
      </x:c>
      <x:c r="K26" s="3" t="str">
        <x:f>IF(Master!L68="","",Master!L68)</x:f>
        <x:v>Yes</x:v>
      </x:c>
      <x:c r="L26" s="3" t="str">
        <x:f>IF(Master!M68="","",Master!M68)</x:f>
      </x:c>
      <x:c r="M26" s="3" t="str">
        <x:f>IF(Master!N68="","",Master!N68)</x:f>
      </x:c>
      <x:c r="N26" s="3" t="str">
        <x:f>IF(Master!O68="","",Master!O68)</x:f>
        <x:v>Client-dependent</x:v>
      </x:c>
      <x:c r="O26" s="3" t="str">
        <x:f>IF(Master!P68="","",Master!P68)</x:f>
      </x:c>
      <x:c r="P26" s="3" t="str">
        <x:f>IF(Master!Q68="","",Master!Q68)</x:f>
      </x:c>
      <x:c r="Q26" s="3" t="str">
        <x:f>IF(Master!R68="","",Master!R68)</x:f>
      </x:c>
      <x:c r="R26" s="3" t="str">
        <x:f>IF(Master!S68="","",Master!S68)</x:f>
      </x:c>
      <x:c r="S26" s="3" t="str">
        <x:f>IF(Master!T68="","",Master!T68)</x:f>
      </x:c>
      <x:c r="T26" s="3" t="str">
        <x:f>IF(Master!U68="","",Master!U68)</x:f>
      </x:c>
      <x:c r="U26" s="3" t="str">
        <x:f>IF(Master!V68="","",Master!V68)</x:f>
        <x:v>Yes</x:v>
      </x:c>
      <x:c r="V26" s="3" t="str">
        <x:f>IF(Master!W68="","",Master!W68)</x:f>
      </x:c>
      <x:c r="W26" s="3" t="str">
        <x:f>IF(Master!X68="","",Master!X68)</x:f>
      </x:c>
      <x:c r="X26" s="3" t="str">
        <x:f>IF(Master!Y68="","",Master!Y68)</x:f>
      </x:c>
      <x:c r="Y26" s="3" t="str">
        <x:f>IF(Master!Z68="","",Master!Z68)</x:f>
      </x:c>
      <x:c r="Z26" s="3" t="str">
        <x:f>IF(Master!AA68="","",Master!AA68)</x:f>
        <x:v>Yes</x:v>
      </x:c>
      <x:c r="AA26" s="6" t="str">
        <x:f>IF(Master!AB68="","",Master!AB68)</x:f>
      </x:c>
      <x:c r="AB26" s="3" t="str">
        <x:f>IF(Master!AC68="","",Master!AC68)</x:f>
      </x:c>
      <x:c r="AC26" s="3" t="str">
        <x:f>IF(Master!AD68="","",Master!AD68)</x:f>
      </x:c>
      <x:c r="AD26" s="3" t="str">
        <x:f>IF(Master!AE68="","",Master!AE68)</x:f>
      </x:c>
      <x:c r="AE26" s="3" t="str">
        <x:f>IF(Master!AF68="","",Master!AF68)</x:f>
      </x:c>
      <x:c r="AF26" s="8" t="str">
        <x:f>IF(Master!AG68="","",Master!AG68)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Directory'!A1","Advanced Features: permissions, structured conversation, and message automation"),"Advanced Features: permissions, structured conversation, and message automation")</x:f>
        <x:v>Advanced Features: permissions, structured conversation, and message automation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284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285</x:v>
      </x:c>
      <x:c r="B4" s="3" t="str">
        <x:f>IF(Master!C69="","",Master!C69)</x:f>
        <x:v>Yes</x:v>
      </x:c>
      <x:c r="C4" s="3" t="str">
        <x:f>IF(Master!D69="","",Master!D69)</x:f>
        <x:v>Yes</x:v>
      </x:c>
      <x:c r="D4" s="3" t="str">
        <x:f>IF(Master!E69="","",Master!E69)</x:f>
        <x:v>Yes</x:v>
      </x:c>
      <x:c r="E4" s="3" t="str">
        <x:f>IF(Master!F69="","",Master!F69)</x:f>
        <x:v>Yes</x:v>
      </x:c>
      <x:c r="F4" s="3" t="str">
        <x:f>IF(Master!G69="","",Master!G69)</x:f>
        <x:v>Yes</x:v>
      </x:c>
      <x:c r="G4" s="3" t="str">
        <x:f>IF(Master!H69="","",Master!H69)</x:f>
        <x:v>Yes</x:v>
      </x:c>
      <x:c r="H4" s="3" t="str">
        <x:f>IF(Master!I69="","",Master!I69)</x:f>
        <x:v>Yes</x:v>
      </x:c>
      <x:c r="I4" s="3" t="str">
        <x:f>IF(Master!J69="","",Master!J69)</x:f>
        <x:v>Discord-compatible</x:v>
      </x:c>
      <x:c r="J4" s="3" t="str">
        <x:f>IF(Master!K69="","",Master!K69)</x:f>
      </x:c>
      <x:c r="K4" s="3" t="str">
        <x:f>IF(Master!L69="","",Master!L69)</x:f>
        <x:v>Yes</x:v>
      </x:c>
      <x:c r="L4" s="3" t="str">
        <x:f>IF(Master!M69="","",Master!M69)</x:f>
        <x:v>Yes</x:v>
      </x:c>
      <x:c r="M4" s="3" t="str">
        <x:f>IF(Master!N69="","",Master!N69)</x:f>
        <x:v>Yes</x:v>
      </x:c>
      <x:c r="N4" s="3" t="str">
        <x:f>IF(Master!O69="","",Master!O69)</x:f>
        <x:v>Yes via room power levels</x:v>
      </x:c>
      <x:c r="O4" s="3" t="str">
        <x:f>IF(Master!P69="","",Master!P69)</x:f>
        <x:v>Yes</x:v>
      </x:c>
      <x:c r="P4" s="3" t="str">
        <x:f>IF(Master!Q69="","",Master!Q69)</x:f>
        <x:v>Yes</x:v>
      </x:c>
      <x:c r="Q4" s="3" t="str">
        <x:f>IF(Master!R69="","",Master!R69)</x:f>
        <x:v>Yes: detailed ACLs</x:v>
      </x:c>
      <x:c r="R4" s="3" t="str">
        <x:f>IF(Master!S69="","",Master!S69)</x:f>
        <x:v>Yes</x:v>
      </x:c>
      <x:c r="S4" s="3" t="str">
        <x:f>IF(Master!T69="","",Master!T69)</x:f>
        <x:v>Yes</x:v>
      </x:c>
      <x:c r="T4" s="3" t="str">
        <x:f>IF(Master!U69="","",Master!U69)</x:f>
        <x:v>Yes: allow / inherit / deny per channel</x:v>
      </x:c>
      <x:c r="U4" s="3" t="str">
        <x:f>IF(Master!V69="","",Master!V69)</x:f>
        <x:v>Yes</x:v>
      </x:c>
      <x:c r="V4" s="3" t="str">
        <x:f>IF(Master!W69="","",Master!W69)</x:f>
        <x:v>Yes</x:v>
      </x:c>
      <x:c r="W4" s="3" t="str">
        <x:f>IF(Master!X69="","",Master!X69)</x:f>
      </x:c>
      <x:c r="X4" s="3" t="str">
        <x:f>IF(Master!Y69="","",Master!Y69)</x:f>
        <x:v>Yes</x:v>
      </x:c>
      <x:c r="Y4" s="3" t="str">
        <x:f>IF(Master!Z69="","",Master!Z69)</x:f>
        <x:v>Yes</x:v>
      </x:c>
      <x:c r="Z4" s="3" t="str">
        <x:f>IF(Master!AA69="","",Master!AA69)</x:f>
        <x:v>Yes</x:v>
      </x:c>
      <x:c r="AA4" s="6" t="str">
        <x:f>IF(Master!AB69="","",Master!AB69)</x:f>
        <x:v>Yes</x:v>
      </x:c>
      <x:c r="AB4" s="3" t="str">
        <x:f>IF(Master!AC69="","",Master!AC69)</x:f>
        <x:v>Yes</x:v>
      </x:c>
      <x:c r="AC4" s="3" t="str">
        <x:f>IF(Master!AD69="","",Master!AD69)</x:f>
      </x:c>
      <x:c r="AD4" s="3" t="str">
        <x:f>IF(Master!AE69="","",Master!AE69)</x:f>
        <x:v>Yes</x:v>
      </x:c>
      <x:c r="AE4" s="3" t="str">
        <x:f>IF(Master!AF69="","",Master!AF69)</x:f>
        <x:v>Server permissions</x:v>
      </x:c>
      <x:c r="AF4" s="8" t="str">
        <x:f>IF(Master!AG69="","",Master!AG69)</x:f>
        <x:v>Yes</x:v>
      </x:c>
    </x:row>
    <x:row r="5" ht="36" customHeight="1">
      <x:c r="A5" s="17" t="s">
        <x:v>286</x:v>
      </x:c>
      <x:c r="B5" s="3" t="str">
        <x:f>IF(Master!C70="","",Master!C70)</x:f>
        <x:v>Yes: role hierarchy</x:v>
      </x:c>
      <x:c r="C5" s="3" t="str">
        <x:f>IF(Master!D70="","",Master!D70)</x:f>
      </x:c>
      <x:c r="D5" s="3" t="str">
        <x:f>IF(Master!E70="","",Master!E70)</x:f>
        <x:v>Yes</x:v>
      </x:c>
      <x:c r="E5" s="3" t="str">
        <x:f>IF(Master!F70="","",Master!F70)</x:f>
        <x:v>Yes</x:v>
      </x:c>
      <x:c r="F5" s="3" t="str">
        <x:f>IF(Master!G70="","",Master!G70)</x:f>
        <x:v>Yes</x:v>
      </x:c>
      <x:c r="G5" s="3" t="str">
        <x:f>IF(Master!H70="","",Master!H70)</x:f>
        <x:v>Yes</x:v>
      </x:c>
      <x:c r="H5" s="3" t="str">
        <x:f>IF(Master!I70="","",Master!I70)</x:f>
        <x:v>Yes</x:v>
      </x:c>
      <x:c r="I5" s="3" t="str">
        <x:f>IF(Master!J70="","",Master!J70)</x:f>
        <x:v>Discord-compatible</x:v>
      </x:c>
      <x:c r="J5" s="3" t="str">
        <x:f>IF(Master!K70="","",Master!K70)</x:f>
      </x:c>
      <x:c r="K5" s="3" t="str">
        <x:f>IF(Master!L70="","",Master!L70)</x:f>
        <x:v>Yes</x:v>
      </x:c>
      <x:c r="L5" s="3" t="str">
        <x:f>IF(Master!M70="","",Master!M70)</x:f>
        <x:v>Yes</x:v>
      </x:c>
      <x:c r="M5" s="3" t="str">
        <x:f>IF(Master!N70="","",Master!N70)</x:f>
        <x:v>Yes</x:v>
      </x:c>
      <x:c r="N5" s="3" t="str">
        <x:f>IF(Master!O70="","",Master!O70)</x:f>
        <x:v>Spaces/rooms hierarchy supported</x:v>
      </x:c>
      <x:c r="O5" s="3" t="str">
        <x:f>IF(Master!P70="","",Master!P70)</x:f>
        <x:v>Teams/channels</x:v>
      </x:c>
      <x:c r="P5" s="3" t="str">
        <x:f>IF(Master!Q70="","",Master!Q70)</x:f>
        <x:v>Yes</x:v>
      </x:c>
      <x:c r="Q5" s="3" t="str">
        <x:f>IF(Master!R70="","",Master!R70)</x:f>
        <x:v>Yes: channel hierarchy</x:v>
      </x:c>
      <x:c r="R5" s="3" t="str">
        <x:f>IF(Master!S70="","",Master!S70)</x:f>
        <x:v>Yes</x:v>
      </x:c>
      <x:c r="S5" s="3" t="str">
        <x:f>IF(Master!T70="","",Master!T70)</x:f>
        <x:v>Yes</x:v>
      </x:c>
      <x:c r="T5" s="3" t="str">
        <x:f>IF(Master!U70="","",Master!U70)</x:f>
        <x:v>Yes</x:v>
      </x:c>
      <x:c r="U5" s="3" t="str">
        <x:f>IF(Master!V70="","",Master!V70)</x:f>
        <x:v>Yes</x:v>
      </x:c>
      <x:c r="V5" s="3" t="str">
        <x:f>IF(Master!W70="","",Master!W70)</x:f>
        <x:v>Teams/channels</x:v>
      </x:c>
      <x:c r="W5" s="3" t="str">
        <x:f>IF(Master!X70="","",Master!X70)</x:f>
        <x:v>Spaces</x:v>
      </x:c>
      <x:c r="X5" s="3" t="str">
        <x:f>IF(Master!Y70="","",Master!Y70)</x:f>
        <x:v>Yes</x:v>
      </x:c>
      <x:c r="Y5" s="3" t="str">
        <x:f>IF(Master!Z70="","",Master!Z70)</x:f>
        <x:v>Yes</x:v>
      </x:c>
      <x:c r="Z5" s="3" t="str">
        <x:f>IF(Master!AA70="","",Master!AA70)</x:f>
        <x:v>Yes</x:v>
      </x:c>
      <x:c r="AA5" s="6" t="str">
        <x:f>IF(Master!AB70="","",Master!AB70)</x:f>
        <x:v>Yes</x:v>
      </x:c>
      <x:c r="AB5" s="3" t="str">
        <x:f>IF(Master!AC70="","",Master!AC70)</x:f>
        <x:v>Yes</x:v>
      </x:c>
      <x:c r="AC5" s="3" t="str">
        <x:f>IF(Master!AD70="","",Master!AD70)</x:f>
      </x:c>
      <x:c r="AD5" s="3" t="str">
        <x:f>IF(Master!AE70="","",Master!AE70)</x:f>
        <x:v>Lobby/room hierarchy</x:v>
      </x:c>
      <x:c r="AE5" s="3" t="str">
        <x:f>IF(Master!AF70="","",Master!AF70)</x:f>
      </x:c>
      <x:c r="AF5" s="8" t="str">
        <x:f>IF(Master!AG70="","",Master!AG70)</x:f>
        <x:v>Stream/topic hierarchy</x:v>
      </x:c>
    </x:row>
    <x:row r="6" ht="36" customHeight="1">
      <x:c r="A6" s="17" t="s">
        <x:v>287</x:v>
      </x:c>
      <x:c r="B6" s="3" t="str">
        <x:f>IF(Master!C71="","",Master!C71)</x:f>
        <x:v>Yes</x:v>
      </x:c>
      <x:c r="C6" s="3" t="str">
        <x:f>IF(Master!D71="","",Master!D71)</x:f>
      </x:c>
      <x:c r="D6" s="3" t="str">
        <x:f>IF(Master!E71="","",Master!E71)</x:f>
        <x:v>Yes</x:v>
      </x:c>
      <x:c r="E6" s="3" t="str">
        <x:f>IF(Master!F71="","",Master!F71)</x:f>
        <x:v>Yes</x:v>
      </x:c>
      <x:c r="F6" s="3" t="str">
        <x:f>IF(Master!G71="","",Master!G71)</x:f>
        <x:v>Yes: channel-level permissions</x:v>
      </x:c>
      <x:c r="G6" s="3" t="str">
        <x:f>IF(Master!H71="","",Master!H71)</x:f>
        <x:v>Yes</x:v>
      </x:c>
      <x:c r="H6" s="3" t="str">
        <x:f>IF(Master!I71="","",Master!I71)</x:f>
        <x:v>Yes</x:v>
      </x:c>
      <x:c r="I6" s="3" t="str">
        <x:f>IF(Master!J71="","",Master!J71)</x:f>
        <x:v>Discord-compatible</x:v>
      </x:c>
      <x:c r="J6" s="3" t="str">
        <x:f>IF(Master!K71="","",Master!K71)</x:f>
      </x:c>
      <x:c r="K6" s="3" t="str">
        <x:f>IF(Master!L71="","",Master!L71)</x:f>
        <x:v>Yes</x:v>
      </x:c>
      <x:c r="L6" s="3" t="str">
        <x:f>IF(Master!M71="","",Master!M71)</x:f>
        <x:v>Yes</x:v>
      </x:c>
      <x:c r="M6" s="3" t="str">
        <x:f>IF(Master!N71="","",Master!N71)</x:f>
        <x:v>Yes</x:v>
      </x:c>
      <x:c r="N6" s="3" t="str">
        <x:f>IF(Master!O71="","",Master!O71)</x:f>
        <x:v>Room-level permissions</x:v>
      </x:c>
      <x:c r="O6" s="3" t="str">
        <x:f>IF(Master!P71="","",Master!P71)</x:f>
        <x:v>Yes</x:v>
      </x:c>
      <x:c r="P6" s="3" t="str">
        <x:f>IF(Master!Q71="","",Master!Q71)</x:f>
        <x:v>Yes</x:v>
      </x:c>
      <x:c r="Q6" s="3" t="str">
        <x:f>IF(Master!R71="","",Master!R71)</x:f>
        <x:v>Yes: ACL inheritance/overrides</x:v>
      </x:c>
      <x:c r="R6" s="3" t="str">
        <x:f>IF(Master!S71="","",Master!S71)</x:f>
        <x:v>Yes</x:v>
      </x:c>
      <x:c r="S6" s="3" t="str">
        <x:f>IF(Master!T71="","",Master!T71)</x:f>
        <x:v>Yes</x:v>
      </x:c>
      <x:c r="T6" s="3" t="str">
        <x:f>IF(Master!U71="","",Master!U71)</x:f>
        <x:v>Yes: per-channel role permissions</x:v>
      </x:c>
      <x:c r="U6" s="3" t="str">
        <x:f>IF(Master!V71="","",Master!V71)</x:f>
        <x:v>Yes</x:v>
      </x:c>
      <x:c r="V6" s="3" t="str">
        <x:f>IF(Master!W71="","",Master!W71)</x:f>
        <x:v>Yes</x:v>
      </x:c>
      <x:c r="W6" s="3" t="str">
        <x:f>IF(Master!X71="","",Master!X71)</x:f>
      </x:c>
      <x:c r="X6" s="3" t="str">
        <x:f>IF(Master!Y71="","",Master!Y71)</x:f>
        <x:v>Yes</x:v>
      </x:c>
      <x:c r="Y6" s="3" t="str">
        <x:f>IF(Master!Z71="","",Master!Z71)</x:f>
        <x:v>Yes</x:v>
      </x:c>
      <x:c r="Z6" s="3" t="str">
        <x:f>IF(Master!AA71="","",Master!AA71)</x:f>
        <x:v>Yes</x:v>
      </x:c>
      <x:c r="AA6" s="6" t="str">
        <x:f>IF(Master!AB71="","",Master!AB71)</x:f>
        <x:v>Yes</x:v>
      </x:c>
      <x:c r="AB6" s="3" t="str">
        <x:f>IF(Master!AC71="","",Master!AC71)</x:f>
        <x:v>Yes</x:v>
      </x:c>
      <x:c r="AC6" s="3" t="str">
        <x:f>IF(Master!AD71="","",Master!AD71)</x:f>
      </x:c>
      <x:c r="AD6" s="3" t="str">
        <x:f>IF(Master!AE71="","",Master!AE71)</x:f>
        <x:v>Yes</x:v>
      </x:c>
      <x:c r="AE6" s="3" t="str">
        <x:f>IF(Master!AF71="","",Master!AF71)</x:f>
      </x:c>
      <x:c r="AF6" s="8" t="str">
        <x:f>IF(Master!AG71="","",Master!AG71)</x:f>
        <x:v>Stream permissions</x:v>
      </x:c>
    </x:row>
    <x:row r="7" ht="36" customHeight="1">
      <x:c r="A7" s="17" t="s">
        <x:v>288</x:v>
      </x:c>
      <x:c r="B7" s="3" t="str">
        <x:f>IF(Master!C72="","",Master!C72)</x:f>
        <x:v>Partial / permission overwrites</x:v>
      </x:c>
      <x:c r="C7" s="3" t="str">
        <x:f>IF(Master!D72="","",Master!D72)</x:f>
      </x:c>
      <x:c r="D7" s="3" t="str">
        <x:f>IF(Master!E72="","",Master!E72)</x:f>
      </x:c>
      <x:c r="E7" s="3" t="str">
        <x:f>IF(Master!F72="","",Master!F72)</x:f>
      </x:c>
      <x:c r="F7" s="3" t="str">
        <x:f>IF(Master!G72="","",Master!G72)</x:f>
      </x:c>
      <x:c r="G7" s="3" t="str">
        <x:f>IF(Master!H72="","",Master!H72)</x:f>
      </x:c>
      <x:c r="H7" s="3" t="str">
        <x:f>IF(Master!I72="","",Master!I72)</x:f>
      </x:c>
      <x:c r="I7" s="3" t="str">
        <x:f>IF(Master!J72="","",Master!J72)</x:f>
      </x:c>
      <x:c r="J7" s="3" t="str">
        <x:f>IF(Master!K72="","",Master!K72)</x:f>
      </x:c>
      <x:c r="K7" s="3" t="str">
        <x:f>IF(Master!L72="","",Master!L72)</x:f>
        <x:v>Not explicitly documented as a three-state UI model</x:v>
      </x:c>
      <x:c r="L7" s="3" t="str">
        <x:f>IF(Master!M72="","",Master!M72)</x:f>
      </x:c>
      <x:c r="M7" s="3" t="str">
        <x:f>IF(Master!N72="","",Master!N72)</x:f>
      </x:c>
      <x:c r="N7" s="3" t="str">
        <x:f>IF(Master!O72="","",Master!O72)</x:f>
      </x:c>
      <x:c r="O7" s="3" t="str">
        <x:f>IF(Master!P72="","",Master!P72)</x:f>
      </x:c>
      <x:c r="P7" s="3" t="str">
        <x:f>IF(Master!Q72="","",Master!Q72)</x:f>
      </x:c>
      <x:c r="Q7" s="3" t="str">
        <x:f>IF(Master!R72="","",Master!R72)</x:f>
      </x:c>
      <x:c r="R7" s="3" t="str">
        <x:f>IF(Master!S72="","",Master!S72)</x:f>
      </x:c>
      <x:c r="S7" s="3" t="str">
        <x:f>IF(Master!T72="","",Master!T72)</x:f>
      </x:c>
      <x:c r="T7" s="3" t="str">
        <x:f>IF(Master!U72="","",Master!U72)</x:f>
        <x:v>Yes</x:v>
      </x:c>
      <x:c r="U7" s="3" t="str">
        <x:f>IF(Master!V72="","",Master!V72)</x:f>
        <x:v>Yes: explicit allow/deny/inherit</x:v>
      </x:c>
      <x:c r="V7" s="3" t="str">
        <x:f>IF(Master!W72="","",Master!W72)</x:f>
      </x:c>
      <x:c r="W7" s="3" t="str">
        <x:f>IF(Master!X72="","",Master!X72)</x:f>
      </x:c>
      <x:c r="X7" s="3" t="str">
        <x:f>IF(Master!Y72="","",Master!Y72)</x:f>
      </x:c>
      <x:c r="Y7" s="3" t="str">
        <x:f>IF(Master!Z72="","",Master!Z72)</x:f>
      </x:c>
      <x:c r="Z7" s="3" t="str">
        <x:f>IF(Master!AA72="","",Master!AA72)</x:f>
      </x:c>
      <x:c r="AA7" s="6" t="str">
        <x:f>IF(Master!AB72="","",Master!AB72)</x:f>
      </x:c>
      <x:c r="AB7" s="3" t="str">
        <x:f>IF(Master!AC72="","",Master!AC72)</x:f>
      </x:c>
      <x:c r="AC7" s="3" t="str">
        <x:f>IF(Master!AD72="","",Master!AD72)</x:f>
      </x:c>
      <x:c r="AD7" s="3" t="str">
        <x:f>IF(Master!AE72="","",Master!AE72)</x:f>
      </x:c>
      <x:c r="AE7" s="3" t="str">
        <x:f>IF(Master!AF72="","",Master!AF72)</x:f>
      </x:c>
      <x:c r="AF7" s="8" t="str">
        <x:f>IF(Master!AG72="","",Master!AG72)</x:f>
      </x:c>
    </x:row>
    <x:row r="8" ht="21.950000762939453" customHeight="1">
      <x:c r="A8" s="18" t="s">
        <x:v>289</x:v>
      </x:c>
      <x:c r="B8" s="18" t="str">
        <x:f t="shared" ref="B8:AF8" si="1">IF(""="","","")</x:f>
      </x:c>
      <x:c r="C8" s="18" t="str">
        <x:f t="shared" si="1"/>
      </x:c>
      <x:c r="D8" s="18" t="str">
        <x:f t="shared" si="1"/>
      </x:c>
      <x:c r="E8" s="18" t="str">
        <x:f t="shared" si="1"/>
      </x:c>
      <x:c r="F8" s="18" t="str">
        <x:f t="shared" si="1"/>
      </x:c>
      <x:c r="G8" s="18" t="str">
        <x:f t="shared" si="1"/>
      </x:c>
      <x:c r="H8" s="18" t="str">
        <x:f t="shared" si="1"/>
      </x:c>
      <x:c r="I8" s="18" t="str">
        <x:f t="shared" si="1"/>
      </x:c>
      <x:c r="J8" s="18" t="str">
        <x:f t="shared" si="1"/>
      </x:c>
      <x:c r="K8" s="18" t="str">
        <x:f t="shared" si="1"/>
      </x:c>
      <x:c r="L8" s="18" t="str">
        <x:f t="shared" si="1"/>
      </x:c>
      <x:c r="M8" s="18" t="str">
        <x:f t="shared" si="1"/>
      </x:c>
      <x:c r="N8" s="18" t="str">
        <x:f t="shared" si="1"/>
      </x:c>
      <x:c r="O8" s="18" t="str">
        <x:f t="shared" si="1"/>
      </x:c>
      <x:c r="P8" s="18" t="str">
        <x:f t="shared" si="1"/>
      </x:c>
      <x:c r="Q8" s="18" t="str">
        <x:f t="shared" si="1"/>
      </x:c>
      <x:c r="R8" s="18" t="str">
        <x:f t="shared" si="1"/>
      </x:c>
      <x:c r="S8" s="18" t="str">
        <x:f t="shared" si="1"/>
      </x:c>
      <x:c r="T8" s="18" t="str">
        <x:f t="shared" si="1"/>
      </x:c>
      <x:c r="U8" s="18" t="str">
        <x:f t="shared" si="1"/>
      </x:c>
      <x:c r="V8" s="18" t="str">
        <x:f t="shared" si="1"/>
      </x:c>
      <x:c r="W8" s="18" t="str">
        <x:f t="shared" si="1"/>
      </x:c>
      <x:c r="X8" s="18" t="str">
        <x:f t="shared" si="1"/>
      </x:c>
      <x:c r="Y8" s="18" t="str">
        <x:f t="shared" si="1"/>
      </x:c>
      <x:c r="Z8" s="18" t="str">
        <x:f t="shared" si="1"/>
      </x:c>
      <x:c r="AA8" s="18" t="str">
        <x:f t="shared" si="1"/>
      </x:c>
      <x:c r="AB8" s="18" t="str">
        <x:f t="shared" si="1"/>
      </x:c>
      <x:c r="AC8" s="18" t="str">
        <x:f t="shared" si="1"/>
      </x:c>
      <x:c r="AD8" s="18" t="str">
        <x:f t="shared" si="1"/>
      </x:c>
      <x:c r="AE8" s="18" t="str">
        <x:f t="shared" si="1"/>
      </x:c>
      <x:c r="AF8" s="19" t="str">
        <x:f t="shared" si="1"/>
      </x:c>
    </x:row>
    <x:row r="9" ht="36" customHeight="1">
      <x:c r="A9" s="17" t="s">
        <x:v>290</x:v>
      </x:c>
      <x:c r="B9" s="3" t="str">
        <x:f>IF(Master!C73="","",Master!C73)</x:f>
        <x:v>Yes: Forum Channels</x:v>
      </x:c>
      <x:c r="C9" s="3" t="str">
        <x:f>IF(Master!D73="","",Master!D73)</x:f>
        <x:v>Threads</x:v>
      </x:c>
      <x:c r="D9" s="3" t="str">
        <x:f>IF(Master!E73="","",Master!E73)</x:f>
      </x:c>
      <x:c r="E9" s="3" t="str">
        <x:f>IF(Master!F73="","",Master!F73)</x:f>
      </x:c>
      <x:c r="F9" s="3" t="str">
        <x:f>IF(Master!G73="","",Master!G73)</x:f>
        <x:v>Planned; not current</x:v>
      </x:c>
      <x:c r="G9" s="3" t="str">
        <x:f>IF(Master!H73="","",Master!H73)</x:f>
      </x:c>
      <x:c r="H9" s="3" t="str">
        <x:f>IF(Master!I73="","",Master!I73)</x:f>
        <x:v>No native forums verified</x:v>
      </x:c>
      <x:c r="I9" s="3" t="str">
        <x:f>IF(Master!J73="","",Master!J73)</x:f>
      </x:c>
      <x:c r="J9" s="3" t="str">
        <x:f>IF(Master!K73="","",Master!K73)</x:f>
        <x:v>No</x:v>
      </x:c>
      <x:c r="K9" s="3" t="str">
        <x:f>IF(Master!L73="","",Master!L73)</x:f>
        <x:v>Yes</x:v>
      </x:c>
      <x:c r="L9" s="3" t="str">
        <x:f>IF(Master!M73="","",Master!M73)</x:f>
        <x:v>Yes</x:v>
      </x:c>
      <x:c r="M9" s="3" t="str">
        <x:f>IF(Master!N73="","",Master!N73)</x:f>
        <x:v>Yes</x:v>
      </x:c>
      <x:c r="N9" s="3" t="str">
        <x:f>IF(Master!O73="","",Master!O73)</x:f>
        <x:v>Client-dependent</x:v>
      </x:c>
      <x:c r="O9" s="3" t="str">
        <x:f>IF(Master!P73="","",Master!P73)</x:f>
        <x:v>No native forum channel</x:v>
      </x:c>
      <x:c r="P9" s="3" t="str">
        <x:f>IF(Master!Q73="","",Master!Q73)</x:f>
      </x:c>
      <x:c r="Q9" s="3" t="str">
        <x:f>IF(Master!R73="","",Master!R73)</x:f>
        <x:v>N/A</x:v>
      </x:c>
      <x:c r="R9" s="3" t="str">
        <x:f>IF(Master!S73="","",Master!S73)</x:f>
      </x:c>
      <x:c r="S9" s="3" t="str">
        <x:f>IF(Master!T73="","",Master!T73)</x:f>
      </x:c>
      <x:c r="T9" s="3" t="str">
        <x:f>IF(Master!U73="","",Master!U73)</x:f>
      </x:c>
      <x:c r="U9" s="3" t="str">
        <x:f>IF(Master!V73="","",Master!V73)</x:f>
        <x:v>Yes</x:v>
      </x:c>
      <x:c r="V9" s="3" t="str">
        <x:f>IF(Master!W73="","",Master!W73)</x:f>
        <x:v>Discussions/threads rather than forum channel</x:v>
      </x:c>
      <x:c r="W9" s="3" t="str">
        <x:f>IF(Master!X73="","",Master!X73)</x:f>
        <x:v>Forum-like documentation/posts</x:v>
      </x:c>
      <x:c r="X9" s="3" t="str">
        <x:f>IF(Master!Y73="","",Master!Y73)</x:f>
        <x:v>No dedicated forum channel verified</x:v>
      </x:c>
      <x:c r="Y9" s="3" t="str">
        <x:f>IF(Master!Z73="","",Master!Z73)</x:f>
      </x:c>
      <x:c r="Z9" s="3" t="str">
        <x:f>IF(Master!AA73="","",Master!AA73)</x:f>
        <x:v>No native forums verified</x:v>
      </x:c>
      <x:c r="AA9" s="6" t="str">
        <x:f>IF(Master!AB73="","",Master!AB73)</x:f>
        <x:v>No native forum verified</x:v>
      </x:c>
      <x:c r="AB9" s="3" t="str">
        <x:f>IF(Master!AC73="","",Master!AC73)</x:f>
        <x:v>Thread feed</x:v>
      </x:c>
      <x:c r="AC9" s="3" t="str">
        <x:f>IF(Master!AD73="","",Master!AD73)</x:f>
      </x:c>
      <x:c r="AD9" s="3" t="str">
        <x:f>IF(Master!AE73="","",Master!AE73)</x:f>
        <x:v>Persistent channels/threads</x:v>
      </x:c>
      <x:c r="AE9" s="3" t="str">
        <x:f>IF(Master!AF73="","",Master!AF73)</x:f>
        <x:v>No</x:v>
      </x:c>
      <x:c r="AF9" s="8" t="str">
        <x:f>IF(Master!AG73="","",Master!AG73)</x:f>
        <x:v>Topic model functions like structured threads rather than forums</x:v>
      </x:c>
    </x:row>
    <x:row r="10" ht="36" customHeight="1">
      <x:c r="A10" s="17" t="s">
        <x:v>291</x:v>
      </x:c>
      <x:c r="B10" s="3" t="str">
        <x:f>IF(Master!C74="","",Master!C74)</x:f>
        <x:v>Yes</x:v>
      </x:c>
      <x:c r="C10" s="3" t="str">
        <x:f>IF(Master!D74="","",Master!D74)</x:f>
        <x:v>Yes</x:v>
      </x:c>
      <x:c r="D10" s="3" t="str">
        <x:f>IF(Master!E74="","",Master!E74)</x:f>
      </x:c>
      <x:c r="E10" s="3" t="str">
        <x:f>IF(Master!F74="","",Master!F74)</x:f>
        <x:v>Yes</x:v>
      </x:c>
      <x:c r="F10" s="3" t="str">
        <x:f>IF(Master!G74="","",Master!G74)</x:f>
        <x:v>Planned; not current</x:v>
      </x:c>
      <x:c r="G10" s="3" t="str">
        <x:f>IF(Master!H74="","",Master!H74)</x:f>
      </x:c>
      <x:c r="H10" s="3" t="str">
        <x:f>IF(Master!I74="","",Master!I74)</x:f>
      </x:c>
      <x:c r="I10" s="3" t="str">
        <x:f>IF(Master!J74="","",Master!J74)</x:f>
        <x:v>Threads supported</x:v>
      </x:c>
      <x:c r="J10" s="3" t="str">
        <x:f>IF(Master!K74="","",Master!K74)</x:f>
      </x:c>
      <x:c r="K10" s="3" t="str">
        <x:f>IF(Master!L74="","",Master!L74)</x:f>
        <x:v>Yes</x:v>
      </x:c>
      <x:c r="L10" s="3" t="str">
        <x:f>IF(Master!M74="","",Master!M74)</x:f>
        <x:v>Yes</x:v>
      </x:c>
      <x:c r="M10" s="3" t="str">
        <x:f>IF(Master!N74="","",Master!N74)</x:f>
        <x:v>Yes</x:v>
      </x:c>
      <x:c r="N10" s="3" t="str">
        <x:f>IF(Master!O74="","",Master!O74)</x:f>
        <x:v>Threads supported by capable clients</x:v>
      </x:c>
      <x:c r="O10" s="3" t="str">
        <x:f>IF(Master!P74="","",Master!P74)</x:f>
        <x:v>Yes</x:v>
      </x:c>
      <x:c r="P10" s="3" t="str">
        <x:f>IF(Master!Q74="","",Master!Q74)</x:f>
        <x:v>Yes</x:v>
      </x:c>
      <x:c r="Q10" s="3" t="str">
        <x:f>IF(Master!R74="","",Master!R74)</x:f>
        <x:v>N/A</x:v>
      </x:c>
      <x:c r="R10" s="3" t="str">
        <x:f>IF(Master!S74="","",Master!S74)</x:f>
      </x:c>
      <x:c r="S10" s="3" t="str">
        <x:f>IF(Master!T74="","",Master!T74)</x:f>
      </x:c>
      <x:c r="T10" s="3" t="str">
        <x:f>IF(Master!U74="","",Master!U74)</x:f>
        <x:v>Yes</x:v>
      </x:c>
      <x:c r="U10" s="3" t="str">
        <x:f>IF(Master!V74="","",Master!V74)</x:f>
        <x:v>Yes</x:v>
      </x:c>
      <x:c r="V10" s="3" t="str">
        <x:f>IF(Master!W74="","",Master!W74)</x:f>
        <x:v>Yes</x:v>
      </x:c>
      <x:c r="W10" s="3" t="str">
        <x:f>IF(Master!X74="","",Master!X74)</x:f>
        <x:v>Yes: document/thread model</x:v>
      </x:c>
      <x:c r="X10" s="3" t="str">
        <x:f>IF(Master!Y74="","",Master!Y74)</x:f>
      </x:c>
      <x:c r="Y10" s="3" t="str">
        <x:f>IF(Master!Z74="","",Master!Z74)</x:f>
      </x:c>
      <x:c r="Z10" s="3" t="str">
        <x:f>IF(Master!AA74="","",Master!AA74)</x:f>
      </x:c>
      <x:c r="AA10" s="6" t="str">
        <x:f>IF(Master!AB74="","",Master!AB74)</x:f>
      </x:c>
      <x:c r="AB10" s="3" t="str">
        <x:f>IF(Master!AC74="","",Master!AC74)</x:f>
        <x:v>Yes</x:v>
      </x:c>
      <x:c r="AC10" s="3" t="str">
        <x:f>IF(Master!AD74="","",Master!AD74)</x:f>
      </x:c>
      <x:c r="AD10" s="3" t="str">
        <x:f>IF(Master!AE74="","",Master!AE74)</x:f>
        <x:v>Yes</x:v>
      </x:c>
      <x:c r="AE10" s="3" t="str">
        <x:f>IF(Master!AF74="","",Master!AF74)</x:f>
        <x:v>No</x:v>
      </x:c>
      <x:c r="AF10" s="8" t="str">
        <x:f>IF(Master!AG74="","",Master!AG74)</x:f>
        <x:v>Yes: topics are first-class threading</x:v>
      </x:c>
    </x:row>
    <x:row r="11" ht="36" customHeight="1">
      <x:c r="A11" s="17" t="s">
        <x:v>292</x:v>
      </x:c>
      <x:c r="B11" s="3" t="str">
        <x:f>IF(Master!C75="","",Master!C75)</x:f>
        <x:v>Yes</x:v>
      </x:c>
      <x:c r="C11" s="3" t="str">
        <x:f>IF(Master!D75="","",Master!D75)</x:f>
      </x:c>
      <x:c r="D11" s="3" t="str">
        <x:f>IF(Master!E75="","",Master!E75)</x:f>
      </x:c>
      <x:c r="E11" s="3" t="str">
        <x:f>IF(Master!F75="","",Master!F75)</x:f>
      </x:c>
      <x:c r="F11" s="3" t="str">
        <x:f>IF(Master!G75="","",Master!G75)</x:f>
      </x:c>
      <x:c r="G11" s="3" t="str">
        <x:f>IF(Master!H75="","",Master!H75)</x:f>
      </x:c>
      <x:c r="H11" s="3" t="str">
        <x:f>IF(Master!I75="","",Master!I75)</x:f>
      </x:c>
      <x:c r="I11" s="3" t="str">
        <x:f>IF(Master!J75="","",Master!J75)</x:f>
      </x:c>
      <x:c r="J11" s="3" t="str">
        <x:f>IF(Master!K75="","",Master!K75)</x:f>
      </x:c>
      <x:c r="K11" s="3" t="str">
        <x:f>IF(Master!L75="","",Master!L75)</x:f>
        <x:v>Yes</x:v>
      </x:c>
      <x:c r="L11" s="3" t="str">
        <x:f>IF(Master!M75="","",Master!M75)</x:f>
      </x:c>
      <x:c r="M11" s="3" t="str">
        <x:f>IF(Master!N75="","",Master!N75)</x:f>
      </x:c>
      <x:c r="N11" s="3" t="str">
        <x:f>IF(Master!O75="","",Master!O75)</x:f>
      </x:c>
      <x:c r="O11" s="3" t="str">
        <x:f>IF(Master!P75="","",Master!P75)</x:f>
      </x:c>
      <x:c r="P11" s="3" t="str">
        <x:f>IF(Master!Q75="","",Master!Q75)</x:f>
      </x:c>
      <x:c r="Q11" s="3" t="str">
        <x:f>IF(Master!R75="","",Master!R75)</x:f>
      </x:c>
      <x:c r="R11" s="3" t="str">
        <x:f>IF(Master!S75="","",Master!S75)</x:f>
      </x:c>
      <x:c r="S11" s="3" t="str">
        <x:f>IF(Master!T75="","",Master!T75)</x:f>
      </x:c>
      <x:c r="T11" s="3" t="str">
        <x:f>IF(Master!U75="","",Master!U75)</x:f>
      </x:c>
      <x:c r="U11" s="3" t="str">
        <x:f>IF(Master!V75="","",Master!V75)</x:f>
        <x:v>Yes</x:v>
      </x:c>
      <x:c r="V11" s="3" t="str">
        <x:f>IF(Master!W75="","",Master!W75)</x:f>
      </x:c>
      <x:c r="W11" s="3" t="str">
        <x:f>IF(Master!X75="","",Master!X75)</x:f>
      </x:c>
      <x:c r="X11" s="3" t="str">
        <x:f>IF(Master!Y75="","",Master!Y75)</x:f>
      </x:c>
      <x:c r="Y11" s="3" t="str">
        <x:f>IF(Master!Z75="","",Master!Z75)</x:f>
      </x:c>
      <x:c r="Z11" s="3" t="str">
        <x:f>IF(Master!AA75="","",Master!AA75)</x:f>
      </x:c>
      <x:c r="AA11" s="6" t="str">
        <x:f>IF(Master!AB75="","",Master!AB75)</x:f>
      </x:c>
      <x:c r="AB11" s="3" t="str">
        <x:f>IF(Master!AC75="","",Master!AC75)</x:f>
      </x:c>
      <x:c r="AC11" s="3" t="str">
        <x:f>IF(Master!AD75="","",Master!AD75)</x:f>
      </x:c>
      <x:c r="AD11" s="3" t="str">
        <x:f>IF(Master!AE75="","",Master!AE75)</x:f>
      </x:c>
      <x:c r="AE11" s="3" t="str">
        <x:f>IF(Master!AF75="","",Master!AF75)</x:f>
      </x:c>
      <x:c r="AF11" s="8" t="str">
        <x:f>IF(Master!AG75="","",Master!AG75)</x:f>
      </x:c>
    </x:row>
    <x:row r="12" ht="36" customHeight="1">
      <x:c r="A12" s="17" t="s">
        <x:v>293</x:v>
      </x:c>
      <x:c r="B12" s="3" t="str">
        <x:f>IF(Master!C76="","",Master!C76)</x:f>
        <x:v>Yes</x:v>
      </x:c>
      <x:c r="C12" s="3" t="str">
        <x:f>IF(Master!D76="","",Master!D76)</x:f>
      </x:c>
      <x:c r="D12" s="3" t="str">
        <x:f>IF(Master!E76="","",Master!E76)</x:f>
      </x:c>
      <x:c r="E12" s="3" t="str">
        <x:f>IF(Master!F76="","",Master!F76)</x:f>
      </x:c>
      <x:c r="F12" s="3" t="str">
        <x:f>IF(Master!G76="","",Master!G76)</x:f>
      </x:c>
      <x:c r="G12" s="3" t="str">
        <x:f>IF(Master!H76="","",Master!H76)</x:f>
      </x:c>
      <x:c r="H12" s="3" t="str">
        <x:f>IF(Master!I76="","",Master!I76)</x:f>
      </x:c>
      <x:c r="I12" s="3" t="str">
        <x:f>IF(Master!J76="","",Master!J76)</x:f>
      </x:c>
      <x:c r="J12" s="3" t="str">
        <x:f>IF(Master!K76="","",Master!K76)</x:f>
      </x:c>
      <x:c r="K12" s="3" t="str">
        <x:f>IF(Master!L76="","",Master!L76)</x:f>
        <x:v>Yes: forum/thread metadata includes tags; exact tag UX/limits not fully reviewed</x:v>
      </x:c>
      <x:c r="L12" s="3" t="str">
        <x:f>IF(Master!M76="","",Master!M76)</x:f>
      </x:c>
      <x:c r="M12" s="3" t="str">
        <x:f>IF(Master!N76="","",Master!N76)</x:f>
      </x:c>
      <x:c r="N12" s="3" t="str">
        <x:f>IF(Master!O76="","",Master!O76)</x:f>
      </x:c>
      <x:c r="O12" s="3" t="str">
        <x:f>IF(Master!P76="","",Master!P76)</x:f>
      </x:c>
      <x:c r="P12" s="3" t="str">
        <x:f>IF(Master!Q76="","",Master!Q76)</x:f>
      </x:c>
      <x:c r="Q12" s="3" t="str">
        <x:f>IF(Master!R76="","",Master!R76)</x:f>
      </x:c>
      <x:c r="R12" s="3" t="str">
        <x:f>IF(Master!S76="","",Master!S76)</x:f>
      </x:c>
      <x:c r="S12" s="3" t="str">
        <x:f>IF(Master!T76="","",Master!T76)</x:f>
      </x:c>
      <x:c r="T12" s="3" t="str">
        <x:f>IF(Master!U76="","",Master!U76)</x:f>
      </x:c>
      <x:c r="U12" s="3" t="str">
        <x:f>IF(Master!V76="","",Master!V76)</x:f>
        <x:v>Yes: tags, flair, tag groups &amp; filters</x:v>
      </x:c>
      <x:c r="V12" s="3" t="str">
        <x:f>IF(Master!W76="","",Master!W76)</x:f>
      </x:c>
      <x:c r="W12" s="3" t="str">
        <x:f>IF(Master!X76="","",Master!X76)</x:f>
      </x:c>
      <x:c r="X12" s="3" t="str">
        <x:f>IF(Master!Y76="","",Master!Y76)</x:f>
      </x:c>
      <x:c r="Y12" s="3" t="str">
        <x:f>IF(Master!Z76="","",Master!Z76)</x:f>
      </x:c>
      <x:c r="Z12" s="3" t="str">
        <x:f>IF(Master!AA76="","",Master!AA76)</x:f>
      </x:c>
      <x:c r="AA12" s="6" t="str">
        <x:f>IF(Master!AB76="","",Master!AB76)</x:f>
      </x:c>
      <x:c r="AB12" s="3" t="str">
        <x:f>IF(Master!AC76="","",Master!AC76)</x:f>
      </x:c>
      <x:c r="AC12" s="3" t="str">
        <x:f>IF(Master!AD76="","",Master!AD76)</x:f>
      </x:c>
      <x:c r="AD12" s="3" t="str">
        <x:f>IF(Master!AE76="","",Master!AE76)</x:f>
      </x:c>
      <x:c r="AE12" s="3" t="str">
        <x:f>IF(Master!AF76="","",Master!AF76)</x:f>
      </x:c>
      <x:c r="AF12" s="8" t="str">
        <x:f>IF(Master!AG76="","",Master!AG76)</x:f>
      </x:c>
    </x:row>
    <x:row r="13" ht="36" customHeight="1">
      <x:c r="A13" s="17" t="s">
        <x:v>294</x:v>
      </x:c>
      <x:c r="B13" s="3" t="str">
        <x:f>IF(Master!C77="","",Master!C77)</x:f>
        <x:v>Yes</x:v>
      </x:c>
      <x:c r="C13" s="3" t="str">
        <x:f>IF(Master!D77="","",Master!D77)</x:f>
      </x:c>
      <x:c r="D13" s="3" t="str">
        <x:f>IF(Master!E77="","",Master!E77)</x:f>
      </x:c>
      <x:c r="E13" s="3" t="str">
        <x:f>IF(Master!F77="","",Master!F77)</x:f>
      </x:c>
      <x:c r="F13" s="3" t="str">
        <x:f>IF(Master!G77="","",Master!G77)</x:f>
      </x:c>
      <x:c r="G13" s="3" t="str">
        <x:f>IF(Master!H77="","",Master!H77)</x:f>
      </x:c>
      <x:c r="H13" s="3" t="str">
        <x:f>IF(Master!I77="","",Master!I77)</x:f>
        <x:v>Yes</x:v>
      </x:c>
      <x:c r="I13" s="3" t="str">
        <x:f>IF(Master!J77="","",Master!J77)</x:f>
      </x:c>
      <x:c r="J13" s="3" t="str">
        <x:f>IF(Master!K77="","",Master!K77)</x:f>
        <x:v>No</x:v>
      </x:c>
      <x:c r="K13" s="3" t="str">
        <x:f>IF(Master!L77="","",Master!L77)</x:f>
        <x:v>Polls exist as message/application content; no dedicated poll channel type verified</x:v>
      </x:c>
      <x:c r="L13" s="3" t="str">
        <x:f>IF(Master!M77="","",Master!M77)</x:f>
      </x:c>
      <x:c r="M13" s="3" t="str">
        <x:f>IF(Master!N77="","",Master!N77)</x:f>
        <x:v>Yes</x:v>
      </x:c>
      <x:c r="N13" s="3" t="str">
        <x:f>IF(Master!O77="","",Master!O77)</x:f>
        <x:v>Matrix poll events supported by capable clients</x:v>
      </x:c>
      <x:c r="O13" s="3" t="str">
        <x:f>IF(Master!P77="","",Master!P77)</x:f>
        <x:v>Polls via integrations/plugins</x:v>
      </x:c>
      <x:c r="P13" s="3" t="str">
        <x:f>IF(Master!Q77="","",Master!Q77)</x:f>
      </x:c>
      <x:c r="Q13" s="3" t="str">
        <x:f>IF(Master!R77="","",Master!R77)</x:f>
        <x:v>N/A</x:v>
      </x:c>
      <x:c r="R13" s="3" t="str">
        <x:f>IF(Master!S77="","",Master!S77)</x:f>
      </x:c>
      <x:c r="S13" s="3" t="str">
        <x:f>IF(Master!T77="","",Master!T77)</x:f>
      </x:c>
      <x:c r="T13" s="3" t="str">
        <x:f>IF(Master!U77="","",Master!U77)</x:f>
        <x:v>Yes</x:v>
      </x:c>
      <x:c r="U13" s="3" t="str">
        <x:f>IF(Master!V77="","",Master!V77)</x:f>
        <x:v>Yes</x:v>
      </x:c>
      <x:c r="V13" s="3" t="str">
        <x:f>IF(Master!W77="","",Master!W77)</x:f>
        <x:v>Polls/apps</x:v>
      </x:c>
      <x:c r="W13" s="3" t="str">
        <x:f>IF(Master!X77="","",Master!X77)</x:f>
      </x:c>
      <x:c r="X13" s="3" t="str">
        <x:f>IF(Master!Y77="","",Master!Y77)</x:f>
        <x:v>Polling via app</x:v>
      </x:c>
      <x:c r="Y13" s="3" t="str">
        <x:f>IF(Master!Z77="","",Master!Z77)</x:f>
      </x:c>
      <x:c r="Z13" s="3" t="str">
        <x:f>IF(Master!AA77="","",Master!AA77)</x:f>
        <x:v>No native polls verified</x:v>
      </x:c>
      <x:c r="AA13" s="6" t="str">
        <x:f>IF(Master!AB77="","",Master!AB77)</x:f>
      </x:c>
      <x:c r="AB13" s="3" t="str">
        <x:f>IF(Master!AC77="","",Master!AC77)</x:f>
      </x:c>
      <x:c r="AC13" s="3" t="str">
        <x:f>IF(Master!AD77="","",Master!AD77)</x:f>
      </x:c>
      <x:c r="AD13" s="3" t="str">
        <x:f>IF(Master!AE77="","",Master!AE77)</x:f>
      </x:c>
      <x:c r="AE13" s="3" t="str">
        <x:f>IF(Master!AF77="","",Master!AF77)</x:f>
        <x:v>No</x:v>
      </x:c>
      <x:c r="AF13" s="8" t="str">
        <x:f>IF(Master!AG77="","",Master!AG77)</x:f>
      </x:c>
    </x:row>
    <x:row r="14" ht="36" customHeight="1">
      <x:c r="A14" s="17" t="s">
        <x:v>295</x:v>
      </x:c>
      <x:c r="B14" s="3" t="str">
        <x:f>IF(Master!C78="","",Master!C78)</x:f>
        <x:v>Yes: Scheduled Events</x:v>
      </x:c>
      <x:c r="C14" s="3" t="str">
        <x:f>IF(Master!D78="","",Master!D78)</x:f>
        <x:v>Yes</x:v>
      </x:c>
      <x:c r="D14" s="3" t="str">
        <x:f>IF(Master!E78="","",Master!E78)</x:f>
      </x:c>
      <x:c r="E14" s="3" t="str">
        <x:f>IF(Master!F78="","",Master!F78)</x:f>
      </x:c>
      <x:c r="F14" s="3" t="str">
        <x:f>IF(Master!G78="","",Master!G78)</x:f>
        <x:v>Yes: events</x:v>
      </x:c>
      <x:c r="G14" s="3" t="str">
        <x:f>IF(Master!H78="","",Master!H78)</x:f>
      </x:c>
      <x:c r="H14" s="3" t="str">
        <x:f>IF(Master!I78="","",Master!I78)</x:f>
        <x:v>Yes</x:v>
      </x:c>
      <x:c r="I14" s="3" t="str">
        <x:f>IF(Master!J78="","",Master!J78)</x:f>
      </x:c>
      <x:c r="J14" s="3" t="str">
        <x:f>IF(Master!K78="","",Master!K78)</x:f>
        <x:v>No</x:v>
      </x:c>
      <x:c r="K14" s="3" t="str">
        <x:f>IF(Master!L78="","",Master!L78)</x:f>
        <x:v>Yes</x:v>
      </x:c>
      <x:c r="L14" s="3" t="str">
        <x:f>IF(Master!M78="","",Master!M78)</x:f>
        <x:v>Yes: calendars/events</x:v>
      </x:c>
      <x:c r="M14" s="3" t="str">
        <x:f>IF(Master!N78="","",Master!N78)</x:f>
        <x:v>Yes</x:v>
      </x:c>
      <x:c r="N14" s="3" t="str">
        <x:f>IF(Master!O78="","",Master!O78)</x:f>
        <x:v>Client-dependent</x:v>
      </x:c>
      <x:c r="O14" s="3" t="str">
        <x:f>IF(Master!P78="","",Master!P78)</x:f>
        <x:v>Playbooks/events/integrations; no Discord Scheduled Events equivalent</x:v>
      </x:c>
      <x:c r="P14" s="3" t="str">
        <x:f>IF(Master!Q78="","",Master!Q78)</x:f>
        <x:v>Yes</x:v>
      </x:c>
      <x:c r="Q14" s="3" t="str">
        <x:f>IF(Master!R78="","",Master!R78)</x:f>
        <x:v>N/A</x:v>
      </x:c>
      <x:c r="R14" s="3" t="str">
        <x:f>IF(Master!S78="","",Master!S78)</x:f>
      </x:c>
      <x:c r="S14" s="3" t="str">
        <x:f>IF(Master!T78="","",Master!T78)</x:f>
      </x:c>
      <x:c r="T14" s="3" t="str">
        <x:f>IF(Master!U78="","",Master!U78)</x:f>
      </x:c>
      <x:c r="U14" s="3" t="str">
        <x:f>IF(Master!V78="","",Master!V78)</x:f>
        <x:v>Yes</x:v>
      </x:c>
      <x:c r="V14" s="3" t="str">
        <x:f>IF(Master!W78="","",Master!W78)</x:f>
        <x:v>Calendar/apps/integrations; no Discord event equivalent core</x:v>
      </x:c>
      <x:c r="W14" s="3" t="str">
        <x:f>IF(Master!X78="","",Master!X78)</x:f>
      </x:c>
      <x:c r="X14" s="3" t="str">
        <x:f>IF(Master!Y78="","",Master!Y78)</x:f>
        <x:v>Events/raid planning via apps</x:v>
      </x:c>
      <x:c r="Y14" s="3" t="str">
        <x:f>IF(Master!Z78="","",Master!Z78)</x:f>
      </x:c>
      <x:c r="Z14" s="3" t="str">
        <x:f>IF(Master!AA78="","",Master!AA78)</x:f>
        <x:v>No native scheduled events verified</x:v>
      </x:c>
      <x:c r="AA14" s="6" t="str">
        <x:f>IF(Master!AB78="","",Master!AB78)</x:f>
      </x:c>
      <x:c r="AB14" s="3" t="str">
        <x:f>IF(Master!AC78="","",Master!AC78)</x:f>
        <x:v>Events/economy tooling</x:v>
      </x:c>
      <x:c r="AC14" s="3" t="str">
        <x:f>IF(Master!AD78="","",Master!AD78)</x:f>
      </x:c>
      <x:c r="AD14" s="3" t="str">
        <x:f>IF(Master!AE78="","",Master!AE78)</x:f>
        <x:v>Built-in events/tournaments</x:v>
      </x:c>
      <x:c r="AE14" s="3" t="str">
        <x:f>IF(Master!AF78="","",Master!AF78)</x:f>
        <x:v>No</x:v>
      </x:c>
      <x:c r="AF14" s="8" t="str">
        <x:f>IF(Master!AG78="","",Master!AG78)</x:f>
        <x:v>No Discord-style server events; integrations possible</x:v>
      </x:c>
    </x:row>
    <x:row r="15" ht="36" customHeight="1">
      <x:c r="A15" s="17" t="s">
        <x:v>296</x:v>
      </x:c>
      <x:c r="B15" s="3" t="str">
        <x:f>IF(Master!C79="","",Master!C79)</x:f>
        <x:v>Via apps/bots; no native channel form</x:v>
      </x:c>
      <x:c r="C15" s="3" t="str">
        <x:f>IF(Master!D79="","",Master!D79)</x:f>
      </x:c>
      <x:c r="D15" s="3" t="str">
        <x:f>IF(Master!E79="","",Master!E79)</x:f>
      </x:c>
      <x:c r="E15" s="3" t="str">
        <x:f>IF(Master!F79="","",Master!F79)</x:f>
      </x:c>
      <x:c r="F15" s="3" t="str">
        <x:f>IF(Master!G79="","",Master!G79)</x:f>
      </x:c>
      <x:c r="G15" s="3" t="str">
        <x:f>IF(Master!H79="","",Master!H79)</x:f>
      </x:c>
      <x:c r="H15" s="3" t="str">
        <x:f>IF(Master!I79="","",Master!I79)</x:f>
      </x:c>
      <x:c r="I15" s="3" t="str">
        <x:f>IF(Master!J79="","",Master!J79)</x:f>
      </x:c>
      <x:c r="J15" s="3" t="str">
        <x:f>IF(Master!K79="","",Master!K79)</x:f>
      </x:c>
      <x:c r="K15" s="3" t="str">
        <x:f>IF(Master!L79="","",Master!L79)</x:f>
      </x:c>
      <x:c r="L15" s="3" t="str">
        <x:f>IF(Master!M79="","",Master!M79)</x:f>
      </x:c>
      <x:c r="M15" s="3" t="str">
        <x:f>IF(Master!N79="","",Master!N79)</x:f>
      </x:c>
      <x:c r="N15" s="3" t="str">
        <x:f>IF(Master!O79="","",Master!O79)</x:f>
      </x:c>
      <x:c r="O15" s="3" t="str">
        <x:f>IF(Master!P79="","",Master!P79)</x:f>
        <x:v>Plugins/integrations</x:v>
      </x:c>
      <x:c r="P15" s="3" t="str">
        <x:f>IF(Master!Q79="","",Master!Q79)</x:f>
      </x:c>
      <x:c r="Q15" s="3" t="str">
        <x:f>IF(Master!R79="","",Master!R79)</x:f>
      </x:c>
      <x:c r="R15" s="3" t="str">
        <x:f>IF(Master!S79="","",Master!S79)</x:f>
      </x:c>
      <x:c r="S15" s="3" t="str">
        <x:f>IF(Master!T79="","",Master!T79)</x:f>
      </x:c>
      <x:c r="T15" s="3" t="str">
        <x:f>IF(Master!U79="","",Master!U79)</x:f>
      </x:c>
      <x:c r="U15" s="3" t="str">
        <x:f>IF(Master!V79="","",Master!V79)</x:f>
        <x:v>Yes: native forms</x:v>
      </x:c>
      <x:c r="V15" s="3" t="str">
        <x:f>IF(Master!W79="","",Master!W79)</x:f>
        <x:v>Apps/integrations</x:v>
      </x:c>
      <x:c r="W15" s="3" t="str">
        <x:f>IF(Master!X79="","",Master!X79)</x:f>
      </x:c>
      <x:c r="X15" s="3" t="str">
        <x:f>IF(Master!Y79="","",Master!Y79)</x:f>
      </x:c>
      <x:c r="Y15" s="3" t="str">
        <x:f>IF(Master!Z79="","",Master!Z79)</x:f>
      </x:c>
      <x:c r="Z15" s="3" t="str">
        <x:f>IF(Master!AA79="","",Master!AA79)</x:f>
      </x:c>
      <x:c r="AA15" s="6" t="str">
        <x:f>IF(Master!AB79="","",Master!AB79)</x:f>
      </x:c>
      <x:c r="AB15" s="3" t="str">
        <x:f>IF(Master!AC79="","",Master!AC79)</x:f>
      </x:c>
      <x:c r="AC15" s="3" t="str">
        <x:f>IF(Master!AD79="","",Master!AD79)</x:f>
      </x:c>
      <x:c r="AD15" s="3" t="str">
        <x:f>IF(Master!AE79="","",Master!AE79)</x:f>
      </x:c>
      <x:c r="AE15" s="3" t="str">
        <x:f>IF(Master!AF79="","",Master!AF79)</x:f>
      </x:c>
      <x:c r="AF15" s="8" t="str">
        <x:f>IF(Master!AG79="","",Master!AG79)</x:f>
      </x:c>
    </x:row>
    <x:row r="16" ht="21.950000762939453" customHeight="1">
      <x:c r="A16" s="18" t="s">
        <x:v>297</x:v>
      </x:c>
      <x:c r="B16" s="18" t="str">
        <x:f t="shared" ref="B16:AF16" si="2">IF(""="","","")</x:f>
      </x:c>
      <x:c r="C16" s="18" t="str">
        <x:f t="shared" si="2"/>
      </x:c>
      <x:c r="D16" s="18" t="str">
        <x:f t="shared" si="2"/>
      </x:c>
      <x:c r="E16" s="18" t="str">
        <x:f t="shared" si="2"/>
      </x:c>
      <x:c r="F16" s="18" t="str">
        <x:f t="shared" si="2"/>
      </x:c>
      <x:c r="G16" s="18" t="str">
        <x:f t="shared" si="2"/>
      </x:c>
      <x:c r="H16" s="18" t="str">
        <x:f t="shared" si="2"/>
      </x:c>
      <x:c r="I16" s="18" t="str">
        <x:f t="shared" si="2"/>
      </x:c>
      <x:c r="J16" s="18" t="str">
        <x:f t="shared" si="2"/>
      </x:c>
      <x:c r="K16" s="18" t="str">
        <x:f t="shared" si="2"/>
      </x:c>
      <x:c r="L16" s="18" t="str">
        <x:f t="shared" si="2"/>
      </x:c>
      <x:c r="M16" s="18" t="str">
        <x:f t="shared" si="2"/>
      </x:c>
      <x:c r="N16" s="18" t="str">
        <x:f t="shared" si="2"/>
      </x:c>
      <x:c r="O16" s="18" t="str">
        <x:f t="shared" si="2"/>
      </x:c>
      <x:c r="P16" s="18" t="str">
        <x:f t="shared" si="2"/>
      </x:c>
      <x:c r="Q16" s="18" t="str">
        <x:f t="shared" si="2"/>
      </x:c>
      <x:c r="R16" s="18" t="str">
        <x:f t="shared" si="2"/>
      </x:c>
      <x:c r="S16" s="18" t="str">
        <x:f t="shared" si="2"/>
      </x:c>
      <x:c r="T16" s="18" t="str">
        <x:f t="shared" si="2"/>
      </x:c>
      <x:c r="U16" s="18" t="str">
        <x:f t="shared" si="2"/>
      </x:c>
      <x:c r="V16" s="18" t="str">
        <x:f t="shared" si="2"/>
      </x:c>
      <x:c r="W16" s="18" t="str">
        <x:f t="shared" si="2"/>
      </x:c>
      <x:c r="X16" s="18" t="str">
        <x:f t="shared" si="2"/>
      </x:c>
      <x:c r="Y16" s="18" t="str">
        <x:f t="shared" si="2"/>
      </x:c>
      <x:c r="Z16" s="18" t="str">
        <x:f t="shared" si="2"/>
      </x:c>
      <x:c r="AA16" s="18" t="str">
        <x:f t="shared" si="2"/>
      </x:c>
      <x:c r="AB16" s="18" t="str">
        <x:f t="shared" si="2"/>
      </x:c>
      <x:c r="AC16" s="18" t="str">
        <x:f t="shared" si="2"/>
      </x:c>
      <x:c r="AD16" s="18" t="str">
        <x:f t="shared" si="2"/>
      </x:c>
      <x:c r="AE16" s="18" t="str">
        <x:f t="shared" si="2"/>
      </x:c>
      <x:c r="AF16" s="19" t="str">
        <x:f t="shared" si="2"/>
      </x:c>
    </x:row>
    <x:row r="17" ht="36" customHeight="1">
      <x:c r="A17" s="17" t="s">
        <x:v>298</x:v>
      </x:c>
      <x:c r="B17" s="3" t="str">
        <x:f>IF(Master!C80="","",Master!C80)</x:f>
        <x:v>No native scheduled send</x:v>
      </x:c>
      <x:c r="C17" s="3" t="str">
        <x:f>IF(Master!D80="","",Master!D80)</x:f>
      </x:c>
      <x:c r="D17" s="3" t="str">
        <x:f>IF(Master!E80="","",Master!E80)</x:f>
      </x:c>
      <x:c r="E17" s="3" t="str">
        <x:f>IF(Master!F80="","",Master!F80)</x:f>
      </x:c>
      <x:c r="F17" s="3" t="str">
        <x:f>IF(Master!G80="","",Master!G80)</x:f>
      </x:c>
      <x:c r="G17" s="3" t="str">
        <x:f>IF(Master!H80="","",Master!H80)</x:f>
      </x:c>
      <x:c r="H17" s="3" t="str">
        <x:f>IF(Master!I80="","",Master!I80)</x:f>
      </x:c>
      <x:c r="I17" s="3" t="str">
        <x:f>IF(Master!J80="","",Master!J80)</x:f>
      </x:c>
      <x:c r="J17" s="3" t="str">
        <x:f>IF(Master!K80="","",Master!K80)</x:f>
      </x:c>
      <x:c r="K17" s="3" t="str">
        <x:f>IF(Master!L80="","",Master!L80)</x:f>
      </x:c>
      <x:c r="L17" s="3" t="str">
        <x:f>IF(Master!M80="","",Master!M80)</x:f>
      </x:c>
      <x:c r="M17" s="3" t="str">
        <x:f>IF(Master!N80="","",Master!N80)</x:f>
      </x:c>
      <x:c r="N17" s="3" t="str">
        <x:f>IF(Master!O80="","",Master!O80)</x:f>
      </x:c>
      <x:c r="O17" s="3" t="str">
        <x:f>IF(Master!P80="","",Master!P80)</x:f>
      </x:c>
      <x:c r="P17" s="3" t="str">
        <x:f>IF(Master!Q80="","",Master!Q80)</x:f>
      </x:c>
      <x:c r="Q17" s="3" t="str">
        <x:f>IF(Master!R80="","",Master!R80)</x:f>
      </x:c>
      <x:c r="R17" s="3" t="str">
        <x:f>IF(Master!S80="","",Master!S80)</x:f>
      </x:c>
      <x:c r="S17" s="3" t="str">
        <x:f>IF(Master!T80="","",Master!T80)</x:f>
      </x:c>
      <x:c r="T17" s="3" t="str">
        <x:f>IF(Master!U80="","",Master!U80)</x:f>
      </x:c>
      <x:c r="U17" s="3" t="str">
        <x:f>IF(Master!V80="","",Master!V80)</x:f>
        <x:v>Yes</x:v>
      </x:c>
      <x:c r="V17" s="3" t="str">
        <x:f>IF(Master!W80="","",Master!W80)</x:f>
      </x:c>
      <x:c r="W17" s="3" t="str">
        <x:f>IF(Master!X80="","",Master!X80)</x:f>
      </x:c>
      <x:c r="X17" s="3" t="str">
        <x:f>IF(Master!Y80="","",Master!Y80)</x:f>
      </x:c>
      <x:c r="Y17" s="3" t="str">
        <x:f>IF(Master!Z80="","",Master!Z80)</x:f>
      </x:c>
      <x:c r="Z17" s="3" t="str">
        <x:f>IF(Master!AA80="","",Master!AA80)</x:f>
      </x:c>
      <x:c r="AA17" s="6" t="str">
        <x:f>IF(Master!AB80="","",Master!AB80)</x:f>
      </x:c>
      <x:c r="AB17" s="3" t="str">
        <x:f>IF(Master!AC80="","",Master!AC80)</x:f>
      </x:c>
      <x:c r="AC17" s="3" t="str">
        <x:f>IF(Master!AD80="","",Master!AD80)</x:f>
      </x:c>
      <x:c r="AD17" s="3" t="str">
        <x:f>IF(Master!AE80="","",Master!AE80)</x:f>
      </x:c>
      <x:c r="AE17" s="3" t="str">
        <x:f>IF(Master!AF80="","",Master!AF80)</x:f>
      </x:c>
      <x:c r="AF17" s="8" t="str">
        <x:f>IF(Master!AG80="","",Master!AG80)</x:f>
        <x:v>Yes: scheduled messages</x:v>
      </x:c>
    </x:row>
    <x:row r="18" ht="36" customHeight="1">
      <x:c r="A18" s="17" t="s">
        <x:v>299</x:v>
      </x:c>
      <x:c r="B18" s="3" t="str">
        <x:f>IF(Master!C81="","",Master!C81)</x:f>
        <x:v>No general native per-channel timer</x:v>
      </x:c>
      <x:c r="C18" s="3" t="str">
        <x:f>IF(Master!D81="","",Master!D81)</x:f>
      </x:c>
      <x:c r="D18" s="3" t="str">
        <x:f>IF(Master!E81="","",Master!E81)</x:f>
      </x:c>
      <x:c r="E18" s="3" t="str">
        <x:f>IF(Master!F81="","",Master!F81)</x:f>
      </x:c>
      <x:c r="F18" s="3" t="str">
        <x:f>IF(Master!G81="","",Master!G81)</x:f>
      </x:c>
      <x:c r="G18" s="3" t="str">
        <x:f>IF(Master!H81="","",Master!H81)</x:f>
      </x:c>
      <x:c r="H18" s="3" t="str">
        <x:f>IF(Master!I81="","",Master!I81)</x:f>
      </x:c>
      <x:c r="I18" s="3" t="str">
        <x:f>IF(Master!J81="","",Master!J81)</x:f>
      </x:c>
      <x:c r="J18" s="3" t="str">
        <x:f>IF(Master!K81="","",Master!K81)</x:f>
      </x:c>
      <x:c r="K18" s="3" t="str">
        <x:f>IF(Master!L81="","",Master!L81)</x:f>
      </x:c>
      <x:c r="L18" s="3" t="str">
        <x:f>IF(Master!M81="","",Master!M81)</x:f>
      </x:c>
      <x:c r="M18" s="3" t="str">
        <x:f>IF(Master!N81="","",Master!N81)</x:f>
      </x:c>
      <x:c r="N18" s="3" t="str">
        <x:f>IF(Master!O81="","",Master!O81)</x:f>
        <x:v>Client/server dependent</x:v>
      </x:c>
      <x:c r="O18" s="3" t="str">
        <x:f>IF(Master!P81="","",Master!P81)</x:f>
      </x:c>
      <x:c r="P18" s="3" t="str">
        <x:f>IF(Master!Q81="","",Master!Q81)</x:f>
      </x:c>
      <x:c r="Q18" s="3" t="str">
        <x:f>IF(Master!R81="","",Master!R81)</x:f>
      </x:c>
      <x:c r="R18" s="3" t="str">
        <x:f>IF(Master!S81="","",Master!S81)</x:f>
      </x:c>
      <x:c r="S18" s="3" t="str">
        <x:f>IF(Master!T81="","",Master!T81)</x:f>
      </x:c>
      <x:c r="T18" s="3" t="str">
        <x:f>IF(Master!U81="","",Master!U81)</x:f>
      </x:c>
      <x:c r="U18" s="3" t="str">
        <x:f>IF(Master!V81="","",Master!V81)</x:f>
        <x:v>Yes: per-channel</x:v>
      </x:c>
      <x:c r="V18" s="3" t="str">
        <x:f>IF(Master!W81="","",Master!W81)</x:f>
      </x:c>
      <x:c r="W18" s="3" t="str">
        <x:f>IF(Master!X81="","",Master!X81)</x:f>
      </x:c>
      <x:c r="X18" s="3" t="str">
        <x:f>IF(Master!Y81="","",Master!Y81)</x:f>
      </x:c>
      <x:c r="Y18" s="3" t="str">
        <x:f>IF(Master!Z81="","",Master!Z81)</x:f>
      </x:c>
      <x:c r="Z18" s="3" t="str">
        <x:f>IF(Master!AA81="","",Master!AA81)</x:f>
      </x:c>
      <x:c r="AA18" s="6" t="str">
        <x:f>IF(Master!AB81="","",Master!AB81)</x:f>
      </x:c>
      <x:c r="AB18" s="3" t="str">
        <x:f>IF(Master!AC81="","",Master!AC81)</x:f>
      </x:c>
      <x:c r="AC18" s="3" t="str">
        <x:f>IF(Master!AD81="","",Master!AD81)</x:f>
      </x:c>
      <x:c r="AD18" s="3" t="str">
        <x:f>IF(Master!AE81="","",Master!AE81)</x:f>
      </x:c>
      <x:c r="AE18" s="3" t="str">
        <x:f>IF(Master!AF81="","",Master!AF81)</x:f>
      </x:c>
      <x:c r="AF18" s="8" t="str">
        <x:f>IF(Master!AG81="","",Master!AG81)</x:f>
      </x:c>
    </x:row>
    <x:row r="19" ht="36" customHeight="1">
      <x:c r="A19" s="17" t="s">
        <x:v>300</x:v>
      </x:c>
      <x:c r="B19" s="3" t="str">
        <x:f>IF(Master!C82="","",Master!C82)</x:f>
        <x:v>Limited</x:v>
      </x:c>
      <x:c r="C19" s="3" t="str">
        <x:f>IF(Master!D82="","",Master!D82)</x:f>
      </x:c>
      <x:c r="D19" s="3" t="str">
        <x:f>IF(Master!E82="","",Master!E82)</x:f>
      </x:c>
      <x:c r="E19" s="3" t="str">
        <x:f>IF(Master!F82="","",Master!F82)</x:f>
      </x:c>
      <x:c r="F19" s="3" t="str">
        <x:f>IF(Master!G82="","",Master!G82)</x:f>
      </x:c>
      <x:c r="G19" s="3" t="str">
        <x:f>IF(Master!H82="","",Master!H82)</x:f>
      </x:c>
      <x:c r="H19" s="3" t="str">
        <x:f>IF(Master!I82="","",Master!I82)</x:f>
      </x:c>
      <x:c r="I19" s="3" t="str">
        <x:f>IF(Master!J82="","",Master!J82)</x:f>
      </x:c>
      <x:c r="J19" s="3" t="str">
        <x:f>IF(Master!K82="","",Master!K82)</x:f>
      </x:c>
      <x:c r="K19" s="3" t="str">
        <x:f>IF(Master!L82="","",Master!L82)</x:f>
        <x:v>Yes: secure forwarding supports plaintext↔E2EE policy checks and attachment re-encryption</x:v>
      </x:c>
      <x:c r="L19" s="3" t="str">
        <x:f>IF(Master!M82="","",Master!M82)</x:f>
      </x:c>
      <x:c r="M19" s="3" t="str">
        <x:f>IF(Master!N82="","",Master!N82)</x:f>
      </x:c>
      <x:c r="N19" s="3" t="str">
        <x:f>IF(Master!O82="","",Master!O82)</x:f>
        <x:v>Client-dependent</x:v>
      </x:c>
      <x:c r="O19" s="3" t="str">
        <x:f>IF(Master!P82="","",Master!P82)</x:f>
      </x:c>
      <x:c r="P19" s="3" t="str">
        <x:f>IF(Master!Q82="","",Master!Q82)</x:f>
      </x:c>
      <x:c r="Q19" s="3" t="str">
        <x:f>IF(Master!R82="","",Master!R82)</x:f>
      </x:c>
      <x:c r="R19" s="3" t="str">
        <x:f>IF(Master!S82="","",Master!S82)</x:f>
      </x:c>
      <x:c r="S19" s="3" t="str">
        <x:f>IF(Master!T82="","",Master!T82)</x:f>
      </x:c>
      <x:c r="T19" s="3" t="str">
        <x:f>IF(Master!U82="","",Master!U82)</x:f>
      </x:c>
      <x:c r="U19" s="3" t="str">
        <x:f>IF(Master!V82="","",Master!V82)</x:f>
        <x:v>Yes - Shard Settings can also disable forwarding outside of the shard</x:v>
      </x:c>
      <x:c r="V19" s="3" t="str">
        <x:f>IF(Master!W82="","",Master!W82)</x:f>
      </x:c>
      <x:c r="W19" s="3" t="str">
        <x:f>IF(Master!X82="","",Master!X82)</x:f>
      </x:c>
      <x:c r="X19" s="3" t="str">
        <x:f>IF(Master!Y82="","",Master!Y82)</x:f>
      </x:c>
      <x:c r="Y19" s="3" t="str">
        <x:f>IF(Master!Z82="","",Master!Z82)</x:f>
      </x:c>
      <x:c r="Z19" s="3" t="str">
        <x:f>IF(Master!AA82="","",Master!AA82)</x:f>
      </x:c>
      <x:c r="AA19" s="6" t="str">
        <x:f>IF(Master!AB82="","",Master!AB82)</x:f>
      </x:c>
      <x:c r="AB19" s="3" t="str">
        <x:f>IF(Master!AC82="","",Master!AC82)</x:f>
      </x:c>
      <x:c r="AC19" s="3" t="str">
        <x:f>IF(Master!AD82="","",Master!AD82)</x:f>
      </x:c>
      <x:c r="AD19" s="3" t="str">
        <x:f>IF(Master!AE82="","",Master!AE82)</x:f>
      </x:c>
      <x:c r="AE19" s="3" t="str">
        <x:f>IF(Master!AF82="","",Master!AF82)</x:f>
      </x:c>
      <x:c r="AF19" s="8" t="str">
        <x:f>IF(Master!AG82="","",Master!AG82)</x:f>
      </x:c>
    </x:row>
    <x:row r="20" ht="36" customHeight="1">
      <x:c r="A20" s="17" t="s">
        <x:v>301</x:v>
      </x:c>
      <x:c r="B20" s="3" t="str">
        <x:f>IF(Master!C83="","",Master!C83)</x:f>
        <x:v>No native multi-reply composer</x:v>
      </x:c>
      <x:c r="C20" s="3" t="str">
        <x:f>IF(Master!D83="","",Master!D83)</x:f>
      </x:c>
      <x:c r="D20" s="3" t="str">
        <x:f>IF(Master!E83="","",Master!E83)</x:f>
      </x:c>
      <x:c r="E20" s="3" t="str">
        <x:f>IF(Master!F83="","",Master!F83)</x:f>
      </x:c>
      <x:c r="F20" s="3" t="str">
        <x:f>IF(Master!G83="","",Master!G83)</x:f>
      </x:c>
      <x:c r="G20" s="3" t="str">
        <x:f>IF(Master!H83="","",Master!H83)</x:f>
      </x:c>
      <x:c r="H20" s="3" t="str">
        <x:f>IF(Master!I83="","",Master!I83)</x:f>
      </x:c>
      <x:c r="I20" s="3" t="str">
        <x:f>IF(Master!J83="","",Master!J83)</x:f>
      </x:c>
      <x:c r="J20" s="3" t="str">
        <x:f>IF(Master!K83="","",Master!K83)</x:f>
      </x:c>
      <x:c r="K20" s="3" t="str">
        <x:f>IF(Master!L83="","",Master!L83)</x:f>
      </x:c>
      <x:c r="L20" s="3" t="str">
        <x:f>IF(Master!M83="","",Master!M83)</x:f>
      </x:c>
      <x:c r="M20" s="3" t="str">
        <x:f>IF(Master!N83="","",Master!N83)</x:f>
      </x:c>
      <x:c r="N20" s="3" t="str">
        <x:f>IF(Master!O83="","",Master!O83)</x:f>
      </x:c>
      <x:c r="O20" s="3" t="str">
        <x:f>IF(Master!P83="","",Master!P83)</x:f>
      </x:c>
      <x:c r="P20" s="3" t="str">
        <x:f>IF(Master!Q83="","",Master!Q83)</x:f>
      </x:c>
      <x:c r="Q20" s="3" t="str">
        <x:f>IF(Master!R83="","",Master!R83)</x:f>
      </x:c>
      <x:c r="R20" s="3" t="str">
        <x:f>IF(Master!S83="","",Master!S83)</x:f>
      </x:c>
      <x:c r="S20" s="3" t="str">
        <x:f>IF(Master!T83="","",Master!T83)</x:f>
      </x:c>
      <x:c r="T20" s="3" t="str">
        <x:f>IF(Master!U83="","",Master!U83)</x:f>
      </x:c>
      <x:c r="U20" s="3" t="str">
        <x:f>IF(Master!V83="","",Master!V83)</x:f>
        <x:v>Yes</x:v>
      </x:c>
      <x:c r="V20" s="3" t="str">
        <x:f>IF(Master!W83="","",Master!W83)</x:f>
      </x:c>
      <x:c r="W20" s="3" t="str">
        <x:f>IF(Master!X83="","",Master!X83)</x:f>
      </x:c>
      <x:c r="X20" s="3" t="str">
        <x:f>IF(Master!Y83="","",Master!Y83)</x:f>
      </x:c>
      <x:c r="Y20" s="3" t="str">
        <x:f>IF(Master!Z83="","",Master!Z83)</x:f>
      </x:c>
      <x:c r="Z20" s="3" t="str">
        <x:f>IF(Master!AA83="","",Master!AA83)</x:f>
      </x:c>
      <x:c r="AA20" s="6" t="str">
        <x:f>IF(Master!AB83="","",Master!AB83)</x:f>
      </x:c>
      <x:c r="AB20" s="3" t="str">
        <x:f>IF(Master!AC83="","",Master!AC83)</x:f>
      </x:c>
      <x:c r="AC20" s="3" t="str">
        <x:f>IF(Master!AD83="","",Master!AD83)</x:f>
      </x:c>
      <x:c r="AD20" s="3" t="str">
        <x:f>IF(Master!AE83="","",Master!AE83)</x:f>
      </x:c>
      <x:c r="AE20" s="3" t="str">
        <x:f>IF(Master!AF83="","",Master!AF83)</x:f>
      </x:c>
      <x:c r="AF20" s="8" t="str">
        <x:f>IF(Master!AG83="","",Master!AG83)</x:f>
      </x:c>
    </x:row>
  </x:sheetData>
  <x:mergeCells>
    <x:mergeCell ref="A1:A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Directory'!A1","Channel Types: native, structured, and specialized channel/workspace types"),"Channel Types: native, structured, and specialized channel/workspace types")</x:f>
        <x:v>Channel Types: native, structured, and specialized channel/workspace types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302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303</x:v>
      </x:c>
      <x:c r="B4" s="3" t="str">
        <x:f>IF(Master!C84="","",Master!C84)</x:f>
        <x:v>Yes: Text channel</x:v>
      </x:c>
      <x:c r="C4" s="3" t="str">
        <x:f>IF(Master!D84="","",Master!D84)</x:f>
        <x:v>Yes</x:v>
      </x:c>
      <x:c r="D4" s="3" t="str">
        <x:f>IF(Master!E84="","",Master!E84)</x:f>
      </x:c>
      <x:c r="E4" s="3" t="str">
        <x:f>IF(Master!F84="","",Master!F84)</x:f>
        <x:v>Yes</x:v>
      </x:c>
      <x:c r="F4" s="3" t="str">
        <x:f>IF(Master!G84="","",Master!G84)</x:f>
        <x:v>Yes</x:v>
      </x:c>
      <x:c r="G4" s="3" t="str">
        <x:f>IF(Master!H84="","",Master!H84)</x:f>
      </x:c>
      <x:c r="H4" s="3" t="str">
        <x:f>IF(Master!I84="","",Master!I84)</x:f>
        <x:v>Yes</x:v>
      </x:c>
      <x:c r="I4" s="3" t="str">
        <x:f>IF(Master!J84="","",Master!J84)</x:f>
      </x:c>
      <x:c r="J4" s="3" t="str">
        <x:f>IF(Master!K84="","",Master!K84)</x:f>
        <x:v>Yes</x:v>
      </x:c>
      <x:c r="K4" s="3" t="str">
        <x:f>IF(Master!L84="","",Master!L84)</x:f>
        <x:v>Yes</x:v>
      </x:c>
      <x:c r="L4" s="3" t="str">
        <x:f>IF(Master!M84="","",Master!M84)</x:f>
        <x:v>Yes</x:v>
      </x:c>
      <x:c r="M4" s="3" t="str">
        <x:f>IF(Master!N84="","",Master!N84)</x:f>
        <x:v>Yes</x:v>
      </x:c>
      <x:c r="N4" s="3" t="str">
        <x:f>IF(Master!O84="","",Master!O84)</x:f>
        <x:v>Room (client convention)</x:v>
      </x:c>
      <x:c r="O4" s="3" t="str">
        <x:f>IF(Master!P84="","",Master!P84)</x:f>
        <x:v>Yes: public/private channels</x:v>
      </x:c>
      <x:c r="P4" s="3" t="str">
        <x:f>IF(Master!Q84="","",Master!Q84)</x:f>
        <x:v>Yes</x:v>
      </x:c>
      <x:c r="Q4" s="3" t="str">
        <x:f>IF(Master!R84="","",Master!R84)</x:f>
        <x:v>Partial: channel text chat; voice-first</x:v>
      </x:c>
      <x:c r="R4" s="3" t="str">
        <x:f>IF(Master!S84="","",Master!S84)</x:f>
        <x:v>Yes: server channels</x:v>
      </x:c>
      <x:c r="S4" s="3" t="str">
        <x:f>IF(Master!T84="","",Master!T84)</x:f>
        <x:v>Yes: real-time messaging</x:v>
      </x:c>
      <x:c r="T4" s="3" t="str">
        <x:f>IF(Master!U84="","",Master!U84)</x:f>
        <x:v>Yes</x:v>
      </x:c>
      <x:c r="U4" s="3" t="str">
        <x:f>IF(Master!V84="","",Master!V84)</x:f>
        <x:v>Yes</x:v>
      </x:c>
      <x:c r="V4" s="3" t="str">
        <x:f>IF(Master!W84="","",Master!W84)</x:f>
        <x:v>Yes: channels/groups/DMs</x:v>
      </x:c>
      <x:c r="W4" s="3" t="str">
        <x:f>IF(Master!X84="","",Master!X84)</x:f>
        <x:v>Yes: group chat</x:v>
      </x:c>
      <x:c r="X4" s="3" t="str">
        <x:f>IF(Master!Y84="","",Master!Y84)</x:f>
        <x:v>Yes</x:v>
      </x:c>
      <x:c r="Y4" s="3" t="str">
        <x:f>IF(Master!Z84="","",Master!Z84)</x:f>
        <x:v>Yes/Partial: Discord API parity varies by implementation</x:v>
      </x:c>
      <x:c r="Z4" s="3" t="str">
        <x:f>IF(Master!AA84="","",Master!AA84)</x:f>
        <x:v>Yes</x:v>
      </x:c>
      <x:c r="AA4" s="6" t="str">
        <x:f>IF(Master!AB84="","",Master!AB84)</x:f>
        <x:v>Partial: chat exists; persistent server text channels remain limited/planned in TS6</x:v>
      </x:c>
      <x:c r="AB4" s="3" t="str">
        <x:f>IF(Master!AC84="","",Master!AC84)</x:f>
        <x:v>Yes</x:v>
      </x:c>
      <x:c r="AC4" s="3" t="str">
        <x:f>IF(Master!AD84="","",Master!AD84)</x:f>
      </x:c>
      <x:c r="AD4" s="3" t="str">
        <x:f>IF(Master!AE84="","",Master!AE84)</x:f>
        <x:v>Yes</x:v>
      </x:c>
      <x:c r="AE4" s="3" t="str">
        <x:f>IF(Master!AF84="","",Master!AF84)</x:f>
        <x:v>Yes</x:v>
      </x:c>
      <x:c r="AF4" s="8" t="str">
        <x:f>IF(Master!AG84="","",Master!AG84)</x:f>
        <x:v>Channel/stream</x:v>
      </x:c>
    </x:row>
    <x:row r="5" ht="36" customHeight="1">
      <x:c r="A5" s="17" t="s">
        <x:v>304</x:v>
      </x:c>
      <x:c r="B5" s="3" t="str">
        <x:f>IF(Master!C85="","",Master!C85)</x:f>
        <x:v>Yes: Voice channel</x:v>
      </x:c>
      <x:c r="C5" s="3" t="str">
        <x:f>IF(Master!D85="","",Master!D85)</x:f>
        <x:v>Yes</x:v>
      </x:c>
      <x:c r="D5" s="3" t="str">
        <x:f>IF(Master!E85="","",Master!E85)</x:f>
        <x:v>Yes</x:v>
      </x:c>
      <x:c r="E5" s="3" t="str">
        <x:f>IF(Master!F85="","",Master!F85)</x:f>
        <x:v>Yes</x:v>
      </x:c>
      <x:c r="F5" s="3" t="str">
        <x:f>IF(Master!G85="","",Master!G85)</x:f>
        <x:v>Yes</x:v>
      </x:c>
      <x:c r="G5" s="3" t="str">
        <x:f>IF(Master!H85="","",Master!H85)</x:f>
      </x:c>
      <x:c r="H5" s="3" t="str">
        <x:f>IF(Master!I85="","",Master!I85)</x:f>
        <x:v>Yes</x:v>
      </x:c>
      <x:c r="I5" s="3" t="str">
        <x:f>IF(Master!J85="","",Master!J85)</x:f>
      </x:c>
      <x:c r="J5" s="3" t="str">
        <x:f>IF(Master!K85="","",Master!K85)</x:f>
        <x:v>Yes</x:v>
      </x:c>
      <x:c r="K5" s="3" t="str">
        <x:f>IF(Master!L85="","",Master!L85)</x:f>
        <x:v>Yes</x:v>
      </x:c>
      <x:c r="L5" s="3" t="str">
        <x:f>IF(Master!M85="","",Master!M85)</x:f>
        <x:v>Yes</x:v>
      </x:c>
      <x:c r="M5" s="3" t="str">
        <x:f>IF(Master!N85="","",Master!N85)</x:f>
        <x:v>Yes</x:v>
      </x:c>
      <x:c r="N5" s="3" t="str">
        <x:f>IF(Master!O85="","",Master!O85)</x:f>
        <x:v>Yes: client-dependent</x:v>
      </x:c>
      <x:c r="O5" s="3" t="str">
        <x:f>IF(Master!P85="","",Master!P85)</x:f>
        <x:v>Yes: calls</x:v>
      </x:c>
      <x:c r="P5" s="3" t="str">
        <x:f>IF(Master!Q85="","",Master!Q85)</x:f>
        <x:v>Yes</x:v>
      </x:c>
      <x:c r="Q5" s="3" t="str">
        <x:f>IF(Master!R85="","",Master!R85)</x:f>
        <x:v>Yes</x:v>
      </x:c>
      <x:c r="R5" s="3" t="str">
        <x:f>IF(Master!S85="","",Master!S85)</x:f>
      </x:c>
      <x:c r="S5" s="3" t="str">
        <x:f>IF(Master!T85="","",Master!T85)</x:f>
        <x:v>Yes</x:v>
      </x:c>
      <x:c r="T5" s="3" t="str">
        <x:f>IF(Master!U85="","",Master!U85)</x:f>
        <x:v>Yes</x:v>
      </x:c>
      <x:c r="U5" s="3" t="str">
        <x:f>IF(Master!V85="","",Master!V85)</x:f>
        <x:v>Yes</x:v>
      </x:c>
      <x:c r="V5" s="3" t="str">
        <x:f>IF(Master!W85="","",Master!W85)</x:f>
        <x:v>Yes: Rocket.Chat Voice + conference integrations</x:v>
      </x:c>
      <x:c r="W5" s="3" t="str">
        <x:f>IF(Master!X85="","",Master!X85)</x:f>
      </x:c>
      <x:c r="X5" s="3" t="str">
        <x:f>IF(Master!Y85="","",Master!Y85)</x:f>
        <x:v>Yes</x:v>
      </x:c>
      <x:c r="Y5" s="3" t="str">
        <x:f>IF(Master!Z85="","",Master!Z85)</x:f>
        <x:v>Optional WebRTC media implementation</x:v>
      </x:c>
      <x:c r="Z5" s="3" t="str">
        <x:f>IF(Master!AA85="","",Master!AA85)</x:f>
        <x:v>Yes</x:v>
      </x:c>
      <x:c r="AA5" s="6" t="str">
        <x:f>IF(Master!AB85="","",Master!AB85)</x:f>
        <x:v>Yes</x:v>
      </x:c>
      <x:c r="AB5" s="3" t="str">
        <x:f>IF(Master!AC85="","",Master!AC85)</x:f>
        <x:v>Yes</x:v>
      </x:c>
      <x:c r="AC5" s="3" t="str">
        <x:f>IF(Master!AD85="","",Master!AD85)</x:f>
      </x:c>
      <x:c r="AD5" s="3" t="str">
        <x:f>IF(Master!AE85="","",Master!AE85)</x:f>
        <x:v>Yes</x:v>
      </x:c>
      <x:c r="AE5" s="3" t="str">
        <x:f>IF(Master!AF85="","",Master!AF85)</x:f>
        <x:v>Yes</x:v>
      </x:c>
      <x:c r="AF5" s="8" t="str">
        <x:f>IF(Master!AG85="","",Master!AG85)</x:f>
        <x:v>Provider integration (Zoom/Jitsi/etc.), not a persistent native voice-room model</x:v>
      </x:c>
    </x:row>
    <x:row r="6" ht="36" customHeight="1">
      <x:c r="A6" s="17" t="s">
        <x:v>305</x:v>
      </x:c>
      <x:c r="B6" s="3" t="str">
        <x:f>IF(Master!C86="","",Master!C86)</x:f>
        <x:v>No native launcher; bots can create temp rooms</x:v>
      </x:c>
      <x:c r="C6" s="3" t="str">
        <x:f>IF(Master!D86="","",Master!D86)</x:f>
      </x:c>
      <x:c r="D6" s="3" t="str">
        <x:f>IF(Master!E86="","",Master!E86)</x:f>
      </x:c>
      <x:c r="E6" s="3" t="str">
        <x:f>IF(Master!F86="","",Master!F86)</x:f>
      </x:c>
      <x:c r="F6" s="3" t="str">
        <x:f>IF(Master!G86="","",Master!G86)</x:f>
      </x:c>
      <x:c r="G6" s="3" t="str">
        <x:f>IF(Master!H86="","",Master!H86)</x:f>
      </x:c>
      <x:c r="H6" s="3" t="str">
        <x:f>IF(Master!I86="","",Master!I86)</x:f>
      </x:c>
      <x:c r="I6" s="3" t="str">
        <x:f>IF(Master!J86="","",Master!J86)</x:f>
      </x:c>
      <x:c r="J6" s="3" t="str">
        <x:f>IF(Master!K86="","",Master!K86)</x:f>
      </x:c>
      <x:c r="K6" s="3" t="str">
        <x:f>IF(Master!L86="","",Master!L86)</x:f>
        <x:v>No temporary/launcher voice-channel type documented</x:v>
      </x:c>
      <x:c r="L6" s="3" t="str">
        <x:f>IF(Master!M86="","",Master!M86)</x:f>
      </x:c>
      <x:c r="M6" s="3" t="str">
        <x:f>IF(Master!N86="","",Master!N86)</x:f>
      </x:c>
      <x:c r="N6" s="3" t="str">
        <x:f>IF(Master!O86="","",Master!O86)</x:f>
      </x:c>
      <x:c r="O6" s="3" t="str">
        <x:f>IF(Master!P86="","",Master!P86)</x:f>
      </x:c>
      <x:c r="P6" s="3" t="str">
        <x:f>IF(Master!Q86="","",Master!Q86)</x:f>
      </x:c>
      <x:c r="Q6" s="3" t="str">
        <x:f>IF(Master!R86="","",Master!R86)</x:f>
      </x:c>
      <x:c r="R6" s="3" t="str">
        <x:f>IF(Master!S86="","",Master!S86)</x:f>
      </x:c>
      <x:c r="S6" s="3" t="str">
        <x:f>IF(Master!T86="","",Master!T86)</x:f>
      </x:c>
      <x:c r="T6" s="3" t="str">
        <x:f>IF(Master!U86="","",Master!U86)</x:f>
      </x:c>
      <x:c r="U6" s="3" t="str">
        <x:f>IF(Master!V86="","",Master!V86)</x:f>
        <x:v>Yes: auto-spawn/delete voice rooms</x:v>
      </x:c>
      <x:c r="V6" s="3" t="str">
        <x:f>IF(Master!W86="","",Master!W86)</x:f>
      </x:c>
      <x:c r="W6" s="3" t="str">
        <x:f>IF(Master!X86="","",Master!X86)</x:f>
      </x:c>
      <x:c r="X6" s="3" t="str">
        <x:f>IF(Master!Y86="","",Master!Y86)</x:f>
      </x:c>
      <x:c r="Y6" s="3" t="str">
        <x:f>IF(Master!Z86="","",Master!Z86)</x:f>
      </x:c>
      <x:c r="Z6" s="3" t="str">
        <x:f>IF(Master!AA86="","",Master!AA86)</x:f>
      </x:c>
      <x:c r="AA6" s="6" t="str">
        <x:f>IF(Master!AB86="","",Master!AB86)</x:f>
      </x:c>
      <x:c r="AB6" s="3" t="str">
        <x:f>IF(Master!AC86="","",Master!AC86)</x:f>
      </x:c>
      <x:c r="AC6" s="3" t="str">
        <x:f>IF(Master!AD86="","",Master!AD86)</x:f>
      </x:c>
      <x:c r="AD6" s="3" t="str">
        <x:f>IF(Master!AE86="","",Master!AE86)</x:f>
      </x:c>
      <x:c r="AE6" s="3" t="str">
        <x:f>IF(Master!AF86="","",Master!AF86)</x:f>
      </x:c>
      <x:c r="AF6" s="8" t="str">
        <x:f>IF(Master!AG86="","",Master!AG86)</x:f>
      </x:c>
    </x:row>
    <x:row r="7" ht="36" customHeight="1">
      <x:c r="A7" s="17" t="s">
        <x:v>306</x:v>
      </x:c>
      <x:c r="B7" s="3" t="str">
        <x:f>IF(Master!C87="","",Master!C87)</x:f>
        <x:v>Yes: Forum channel</x:v>
      </x:c>
      <x:c r="C7" s="3" t="str">
        <x:f>IF(Master!D87="","",Master!D87)</x:f>
      </x:c>
      <x:c r="D7" s="3" t="str">
        <x:f>IF(Master!E87="","",Master!E87)</x:f>
      </x:c>
      <x:c r="E7" s="3" t="str">
        <x:f>IF(Master!F87="","",Master!F87)</x:f>
      </x:c>
      <x:c r="F7" s="3" t="str">
        <x:f>IF(Master!G87="","",Master!G87)</x:f>
      </x:c>
      <x:c r="G7" s="3" t="str">
        <x:f>IF(Master!H87="","",Master!H87)</x:f>
      </x:c>
      <x:c r="H7" s="3" t="str">
        <x:f>IF(Master!I87="","",Master!I87)</x:f>
      </x:c>
      <x:c r="I7" s="3" t="str">
        <x:f>IF(Master!J87="","",Master!J87)</x:f>
      </x:c>
      <x:c r="J7" s="3" t="str">
        <x:f>IF(Master!K87="","",Master!K87)</x:f>
      </x:c>
      <x:c r="K7" s="3" t="str">
        <x:f>IF(Master!L87="","",Master!L87)</x:f>
      </x:c>
      <x:c r="L7" s="3" t="str">
        <x:f>IF(Master!M87="","",Master!M87)</x:f>
        <x:v>Yes</x:v>
      </x:c>
      <x:c r="M7" s="3" t="str">
        <x:f>IF(Master!N87="","",Master!N87)</x:f>
        <x:v>Yes</x:v>
      </x:c>
      <x:c r="N7" s="3" t="str">
        <x:f>IF(Master!O87="","",Master!O87)</x:f>
        <x:v>Client-dependent / room conventions</x:v>
      </x:c>
      <x:c r="O7" s="3" t="str">
        <x:f>IF(Master!P87="","",Master!P87)</x:f>
        <x:v>No native forum channel</x:v>
      </x:c>
      <x:c r="P7" s="3" t="str">
        <x:f>IF(Master!Q87="","",Master!Q87)</x:f>
      </x:c>
      <x:c r="Q7" s="3" t="str">
        <x:f>IF(Master!R87="","",Master!R87)</x:f>
      </x:c>
      <x:c r="R7" s="3" t="str">
        <x:f>IF(Master!S87="","",Master!S87)</x:f>
      </x:c>
      <x:c r="S7" s="3" t="str">
        <x:f>IF(Master!T87="","",Master!T87)</x:f>
      </x:c>
      <x:c r="T7" s="3" t="str">
        <x:f>IF(Master!U87="","",Master!U87)</x:f>
      </x:c>
      <x:c r="U7" s="3" t="str">
        <x:f>IF(Master!V87="","",Master!V87)</x:f>
        <x:v>Yes: tags, flair, voting</x:v>
      </x:c>
      <x:c r="V7" s="3" t="str">
        <x:f>IF(Master!W87="","",Master!W87)</x:f>
      </x:c>
      <x:c r="W7" s="3" t="str">
        <x:f>IF(Master!X87="","",Master!X87)</x:f>
        <x:v>Yes/Partial: forum/group-chat model</x:v>
      </x:c>
      <x:c r="X7" s="3" t="str">
        <x:f>IF(Master!Y87="","",Master!Y87)</x:f>
      </x:c>
      <x:c r="Y7" s="3" t="str">
        <x:f>IF(Master!Z87="","",Master!Z87)</x:f>
      </x:c>
      <x:c r="Z7" s="3" t="str">
        <x:f>IF(Master!AA87="","",Master!AA87)</x:f>
      </x:c>
      <x:c r="AA7" s="6" t="str">
        <x:f>IF(Master!AB87="","",Master!AB87)</x:f>
      </x:c>
      <x:c r="AB7" s="3" t="str">
        <x:f>IF(Master!AC87="","",Master!AC87)</x:f>
        <x:v>Yes: thread feed</x:v>
      </x:c>
      <x:c r="AC7" s="3" t="str">
        <x:f>IF(Master!AD87="","",Master!AD87)</x:f>
      </x:c>
      <x:c r="AD7" s="3" t="str">
        <x:f>IF(Master!AE87="","",Master!AE87)</x:f>
        <x:v>Yes</x:v>
      </x:c>
      <x:c r="AE7" s="3" t="str">
        <x:f>IF(Master!AF87="","",Master!AF87)</x:f>
      </x:c>
      <x:c r="AF7" s="8" t="str">
        <x:f>IF(Master!AG87="","",Master!AG87)</x:f>
      </x:c>
    </x:row>
    <x:row r="8" ht="36" customHeight="1">
      <x:c r="A8" s="17" t="s">
        <x:v>307</x:v>
      </x:c>
      <x:c r="B8" s="3" t="str">
        <x:f>IF(Master!C88="","",Master!C88)</x:f>
        <x:v>Partial: Forum Gallery View</x:v>
      </x:c>
      <x:c r="C8" s="3" t="str">
        <x:f>IF(Master!D88="","",Master!D88)</x:f>
        <x:v>No</x:v>
      </x:c>
      <x:c r="D8" s="3" t="str">
        <x:f>IF(Master!E88="","",Master!E88)</x:f>
        <x:v>No</x:v>
      </x:c>
      <x:c r="E8" s="3" t="str">
        <x:f>IF(Master!F88="","",Master!F88)</x:f>
        <x:v>No</x:v>
      </x:c>
      <x:c r="F8" s="3" t="str">
        <x:f>IF(Master!G88="","",Master!G88)</x:f>
        <x:v>No native</x:v>
      </x:c>
      <x:c r="G8" s="3" t="str">
        <x:f>IF(Master!H88="","",Master!H88)</x:f>
        <x:v>No native</x:v>
      </x:c>
      <x:c r="H8" s="3" t="str">
        <x:f>IF(Master!I88="","",Master!I88)</x:f>
        <x:v>No</x:v>
      </x:c>
      <x:c r="I8" s="3" t="str">
        <x:f>IF(Master!J88="","",Master!J88)</x:f>
        <x:v>No</x:v>
      </x:c>
      <x:c r="J8" s="3" t="str">
        <x:f>IF(Master!K88="","",Master!K88)</x:f>
        <x:v>No</x:v>
      </x:c>
      <x:c r="K8" s="3" t="str">
        <x:f>IF(Master!L88="","",Master!L88)</x:f>
        <x:v>No dedicated gallery/media-grid channel documented</x:v>
      </x:c>
      <x:c r="L8" s="3" t="str">
        <x:f>IF(Master!M88="","",Master!M88)</x:f>
        <x:v>Media Channels</x:v>
      </x:c>
      <x:c r="M8" s="3" t="str">
        <x:f>IF(Master!N88="","",Master!N88)</x:f>
        <x:v>Media/forum view</x:v>
      </x:c>
      <x:c r="N8" s="3" t="str">
        <x:f>IF(Master!O88="","",Master!O88)</x:f>
        <x:v>Extensible/client-dependent</x:v>
      </x:c>
      <x:c r="O8" s="3" t="str">
        <x:f>IF(Master!P88="","",Master!P88)</x:f>
        <x:v>No</x:v>
      </x:c>
      <x:c r="P8" s="3" t="str">
        <x:f>IF(Master!Q88="","",Master!Q88)</x:f>
        <x:v>No native</x:v>
      </x:c>
      <x:c r="Q8" s="3" t="str">
        <x:f>IF(Master!R88="","",Master!R88)</x:f>
        <x:v>N/A</x:v>
      </x:c>
      <x:c r="R8" s="3" t="str">
        <x:f>IF(Master!S88="","",Master!S88)</x:f>
        <x:v>No</x:v>
      </x:c>
      <x:c r="S8" s="3" t="str">
        <x:f>IF(Master!T88="","",Master!T88)</x:f>
        <x:v>No</x:v>
      </x:c>
      <x:c r="T8" s="3" t="str">
        <x:f>IF(Master!U88="","",Master!U88)</x:f>
        <x:v>No</x:v>
      </x:c>
      <x:c r="U8" s="3" t="str">
        <x:f>IF(Master!V88="","",Master!V88)</x:f>
        <x:v>Yes: native Gallery channel</x:v>
      </x:c>
      <x:c r="V8" s="3" t="str">
        <x:f>IF(Master!W88="","",Master!W88)</x:f>
        <x:v>No</x:v>
      </x:c>
      <x:c r="W8" s="3" t="str">
        <x:f>IF(Master!X88="","",Master!X88)</x:f>
      </x:c>
      <x:c r="X8" s="3" t="str">
        <x:f>IF(Master!Y88="","",Master!Y88)</x:f>
        <x:v>Via app</x:v>
      </x:c>
      <x:c r="Y8" s="3" t="str">
        <x:f>IF(Master!Z88="","",Master!Z88)</x:f>
        <x:v>No native</x:v>
      </x:c>
      <x:c r="Z8" s="3" t="str">
        <x:f>IF(Master!AA88="","",Master!AA88)</x:f>
        <x:v>No native</x:v>
      </x:c>
      <x:c r="AA8" s="6" t="str">
        <x:f>IF(Master!AB88="","",Master!AB88)</x:f>
        <x:v>N/A</x:v>
      </x:c>
      <x:c r="AB8" s="3" t="str">
        <x:f>IF(Master!AC88="","",Master!AC88)</x:f>
        <x:v>No</x:v>
      </x:c>
      <x:c r="AC8" s="3" t="str">
        <x:f>IF(Master!AD88="","",Master!AD88)</x:f>
        <x:v>No</x:v>
      </x:c>
      <x:c r="AD8" s="3" t="str">
        <x:f>IF(Master!AE88="","",Master!AE88)</x:f>
        <x:v>No</x:v>
      </x:c>
      <x:c r="AE8" s="3" t="str">
        <x:f>IF(Master!AF88="","",Master!AF88)</x:f>
        <x:v>No</x:v>
      </x:c>
      <x:c r="AF8" s="8" t="str">
        <x:f>IF(Master!AG88="","",Master!AG88)</x:f>
        <x:v>No</x:v>
      </x:c>
    </x:row>
    <x:row r="9" ht="36" customHeight="1">
      <x:c r="A9" s="17" t="s">
        <x:v>308</x:v>
      </x:c>
      <x:c r="B9" s="3" t="str">
        <x:f>IF(Master!C89="","",Master!C89)</x:f>
        <x:v>Yes: Announcement channel</x:v>
      </x:c>
      <x:c r="C9" s="3" t="str">
        <x:f>IF(Master!D89="","",Master!D89)</x:f>
      </x:c>
      <x:c r="D9" s="3" t="str">
        <x:f>IF(Master!E89="","",Master!E89)</x:f>
      </x:c>
      <x:c r="E9" s="3" t="str">
        <x:f>IF(Master!F89="","",Master!F89)</x:f>
      </x:c>
      <x:c r="F9" s="3" t="str">
        <x:f>IF(Master!G89="","",Master!G89)</x:f>
      </x:c>
      <x:c r="G9" s="3" t="str">
        <x:f>IF(Master!H89="","",Master!H89)</x:f>
      </x:c>
      <x:c r="H9" s="3" t="str">
        <x:f>IF(Master!I89="","",Master!I89)</x:f>
      </x:c>
      <x:c r="I9" s="3" t="str">
        <x:f>IF(Master!J89="","",Master!J89)</x:f>
      </x:c>
      <x:c r="J9" s="3" t="str">
        <x:f>IF(Master!K89="","",Master!K89)</x:f>
      </x:c>
      <x:c r="K9" s="3" t="str">
        <x:f>IF(Master!L89="","",Master!L89)</x:f>
        <x:v>Yes: announcement channels/threads are documented and developer also reports announcements</x:v>
      </x:c>
      <x:c r="L9" s="3" t="str">
        <x:f>IF(Master!M89="","",Master!M89)</x:f>
      </x:c>
      <x:c r="M9" s="3" t="str">
        <x:f>IF(Master!N89="","",Master!N89)</x:f>
      </x:c>
      <x:c r="N9" s="3" t="str">
        <x:f>IF(Master!O89="","",Master!O89)</x:f>
        <x:v>Permissions-based room</x:v>
      </x:c>
      <x:c r="O9" s="3" t="str">
        <x:f>IF(Master!P89="","",Master!P89)</x:f>
      </x:c>
      <x:c r="P9" s="3" t="str">
        <x:f>IF(Master!Q89="","",Master!Q89)</x:f>
      </x:c>
      <x:c r="Q9" s="3" t="str">
        <x:f>IF(Master!R89="","",Master!R89)</x:f>
      </x:c>
      <x:c r="R9" s="3" t="str">
        <x:f>IF(Master!S89="","",Master!S89)</x:f>
      </x:c>
      <x:c r="S9" s="3" t="str">
        <x:f>IF(Master!T89="","",Master!T89)</x:f>
      </x:c>
      <x:c r="T9" s="3" t="str">
        <x:f>IF(Master!U89="","",Master!U89)</x:f>
      </x:c>
      <x:c r="U9" s="3" t="str">
        <x:f>IF(Master!V89="","",Master!V89)</x:f>
        <x:v>Yes: Announcements</x:v>
      </x:c>
      <x:c r="V9" s="3" t="str">
        <x:f>IF(Master!W89="","",Master!W89)</x:f>
      </x:c>
      <x:c r="W9" s="3" t="str">
        <x:f>IF(Master!X89="","",Master!X89)</x:f>
      </x:c>
      <x:c r="X9" s="3" t="str">
        <x:f>IF(Master!Y89="","",Master!Y89)</x:f>
      </x:c>
      <x:c r="Y9" s="3" t="str">
        <x:f>IF(Master!Z89="","",Master!Z89)</x:f>
      </x:c>
      <x:c r="Z9" s="3" t="str">
        <x:f>IF(Master!AA89="","",Master!AA89)</x:f>
      </x:c>
      <x:c r="AA9" s="6" t="str">
        <x:f>IF(Master!AB89="","",Master!AB89)</x:f>
      </x:c>
      <x:c r="AB9" s="3" t="str">
        <x:f>IF(Master!AC89="","",Master!AC89)</x:f>
      </x:c>
      <x:c r="AC9" s="3" t="str">
        <x:f>IF(Master!AD89="","",Master!AD89)</x:f>
      </x:c>
      <x:c r="AD9" s="3" t="str">
        <x:f>IF(Master!AE89="","",Master!AE89)</x:f>
      </x:c>
      <x:c r="AE9" s="3" t="str">
        <x:f>IF(Master!AF89="","",Master!AF89)</x:f>
      </x:c>
      <x:c r="AF9" s="8" t="str">
        <x:f>IF(Master!AG89="","",Master!AG89)</x:f>
      </x:c>
    </x:row>
    <x:row r="10" ht="36" customHeight="1">
      <x:c r="A10" s="17" t="s">
        <x:v>309</x:v>
      </x:c>
      <x:c r="B10" s="3" t="str">
        <x:f>IF(Master!C90="","",Master!C90)</x:f>
        <x:v>Yes: Stage channel</x:v>
      </x:c>
      <x:c r="C10" s="3" t="str">
        <x:f>IF(Master!D90="","",Master!D90)</x:f>
      </x:c>
      <x:c r="D10" s="3" t="str">
        <x:f>IF(Master!E90="","",Master!E90)</x:f>
      </x:c>
      <x:c r="E10" s="3" t="str">
        <x:f>IF(Master!F90="","",Master!F90)</x:f>
      </x:c>
      <x:c r="F10" s="3" t="str">
        <x:f>IF(Master!G90="","",Master!G90)</x:f>
      </x:c>
      <x:c r="G10" s="3" t="str">
        <x:f>IF(Master!H90="","",Master!H90)</x:f>
      </x:c>
      <x:c r="H10" s="3" t="str">
        <x:f>IF(Master!I90="","",Master!I90)</x:f>
      </x:c>
      <x:c r="I10" s="3" t="str">
        <x:f>IF(Master!J90="","",Master!J90)</x:f>
      </x:c>
      <x:c r="J10" s="3" t="str">
        <x:f>IF(Master!K90="","",Master!K90)</x:f>
      </x:c>
      <x:c r="K10" s="3" t="str">
        <x:f>IF(Master!L90="","",Master!L90)</x:f>
        <x:v>Yes: developer reports Stage channels</x:v>
      </x:c>
      <x:c r="L10" s="3" t="str">
        <x:f>IF(Master!M90="","",Master!M90)</x:f>
      </x:c>
      <x:c r="M10" s="3" t="str">
        <x:f>IF(Master!N90="","",Master!N90)</x:f>
      </x:c>
      <x:c r="N10" s="3" t="str">
        <x:f>IF(Master!O90="","",Master!O90)</x:f>
      </x:c>
      <x:c r="O10" s="3" t="str">
        <x:f>IF(Master!P90="","",Master!P90)</x:f>
      </x:c>
      <x:c r="P10" s="3" t="str">
        <x:f>IF(Master!Q90="","",Master!Q90)</x:f>
      </x:c>
      <x:c r="Q10" s="3" t="str">
        <x:f>IF(Master!R90="","",Master!R90)</x:f>
      </x:c>
      <x:c r="R10" s="3" t="str">
        <x:f>IF(Master!S90="","",Master!S90)</x:f>
      </x:c>
      <x:c r="S10" s="3" t="str">
        <x:f>IF(Master!T90="","",Master!T90)</x:f>
      </x:c>
      <x:c r="T10" s="3" t="str">
        <x:f>IF(Master!U90="","",Master!U90)</x:f>
      </x:c>
      <x:c r="U10" s="3" t="str">
        <x:f>IF(Master!V90="","",Master!V90)</x:f>
        <x:v>No dedicated Stage channel; voice room launcher + permissions</x:v>
      </x:c>
      <x:c r="V10" s="3" t="str">
        <x:f>IF(Master!W90="","",Master!W90)</x:f>
      </x:c>
      <x:c r="W10" s="3" t="str">
        <x:f>IF(Master!X90="","",Master!X90)</x:f>
      </x:c>
      <x:c r="X10" s="3" t="str">
        <x:f>IF(Master!Y90="","",Master!Y90)</x:f>
      </x:c>
      <x:c r="Y10" s="3" t="str">
        <x:f>IF(Master!Z90="","",Master!Z90)</x:f>
      </x:c>
      <x:c r="Z10" s="3" t="str">
        <x:f>IF(Master!AA90="","",Master!AA90)</x:f>
      </x:c>
      <x:c r="AA10" s="6" t="str">
        <x:f>IF(Master!AB90="","",Master!AB90)</x:f>
        <x:v>Permissions-based</x:v>
      </x:c>
      <x:c r="AB10" s="3" t="str">
        <x:f>IF(Master!AC90="","",Master!AC90)</x:f>
      </x:c>
      <x:c r="AC10" s="3" t="str">
        <x:f>IF(Master!AD90="","",Master!AD90)</x:f>
      </x:c>
      <x:c r="AD10" s="3" t="str">
        <x:f>IF(Master!AE90="","",Master!AE90)</x:f>
      </x:c>
      <x:c r="AE10" s="3" t="str">
        <x:f>IF(Master!AF90="","",Master!AF90)</x:f>
      </x:c>
      <x:c r="AF10" s="8" t="str">
        <x:f>IF(Master!AG90="","",Master!AG90)</x:f>
      </x:c>
    </x:row>
    <x:row r="11" ht="21.950000762939453" customHeight="1">
      <x:c r="A11" s="18" t="s">
        <x:v>310</x:v>
      </x:c>
      <x:c r="B11" s="18" t="str">
        <x:f t="shared" ref="B11:AF11" si="1">IF(""="","","")</x:f>
      </x:c>
      <x:c r="C11" s="18" t="str">
        <x:f t="shared" si="1"/>
      </x:c>
      <x:c r="D11" s="18" t="str">
        <x:f t="shared" si="1"/>
      </x:c>
      <x:c r="E11" s="18" t="str">
        <x:f t="shared" si="1"/>
      </x:c>
      <x:c r="F11" s="18" t="str">
        <x:f t="shared" si="1"/>
      </x:c>
      <x:c r="G11" s="18" t="str">
        <x:f t="shared" si="1"/>
      </x:c>
      <x:c r="H11" s="18" t="str">
        <x:f t="shared" si="1"/>
      </x:c>
      <x:c r="I11" s="18" t="str">
        <x:f t="shared" si="1"/>
      </x:c>
      <x:c r="J11" s="18" t="str">
        <x:f t="shared" si="1"/>
      </x:c>
      <x:c r="K11" s="18" t="str">
        <x:f t="shared" si="1"/>
      </x:c>
      <x:c r="L11" s="18" t="str">
        <x:f t="shared" si="1"/>
      </x:c>
      <x:c r="M11" s="18" t="str">
        <x:f t="shared" si="1"/>
      </x:c>
      <x:c r="N11" s="18" t="str">
        <x:f t="shared" si="1"/>
      </x:c>
      <x:c r="O11" s="18" t="str">
        <x:f t="shared" si="1"/>
      </x:c>
      <x:c r="P11" s="18" t="str">
        <x:f t="shared" si="1"/>
      </x:c>
      <x:c r="Q11" s="18" t="str">
        <x:f t="shared" si="1"/>
      </x:c>
      <x:c r="R11" s="18" t="str">
        <x:f t="shared" si="1"/>
      </x:c>
      <x:c r="S11" s="18" t="str">
        <x:f t="shared" si="1"/>
      </x:c>
      <x:c r="T11" s="18" t="str">
        <x:f t="shared" si="1"/>
      </x:c>
      <x:c r="U11" s="18" t="str">
        <x:f t="shared" si="1"/>
      </x:c>
      <x:c r="V11" s="18" t="str">
        <x:f t="shared" si="1"/>
      </x:c>
      <x:c r="W11" s="18" t="str">
        <x:f t="shared" si="1"/>
      </x:c>
      <x:c r="X11" s="18" t="str">
        <x:f t="shared" si="1"/>
      </x:c>
      <x:c r="Y11" s="18" t="str">
        <x:f t="shared" si="1"/>
      </x:c>
      <x:c r="Z11" s="18" t="str">
        <x:f t="shared" si="1"/>
      </x:c>
      <x:c r="AA11" s="18" t="str">
        <x:f t="shared" si="1"/>
      </x:c>
      <x:c r="AB11" s="18" t="str">
        <x:f t="shared" si="1"/>
      </x:c>
      <x:c r="AC11" s="18" t="str">
        <x:f t="shared" si="1"/>
      </x:c>
      <x:c r="AD11" s="18" t="str">
        <x:f t="shared" si="1"/>
      </x:c>
      <x:c r="AE11" s="18" t="str">
        <x:f t="shared" si="1"/>
      </x:c>
      <x:c r="AF11" s="19" t="str">
        <x:f t="shared" si="1"/>
      </x:c>
    </x:row>
    <x:row r="12" ht="36" customHeight="1">
      <x:c r="A12" s="17" t="s">
        <x:v>294</x:v>
      </x:c>
      <x:c r="B12" s="3" t="str">
        <x:f>IF(Master!C91="","",Master!C91)</x:f>
        <x:v>No dedicated channel; native poll messages</x:v>
      </x:c>
      <x:c r="C12" s="3" t="str">
        <x:f>IF(Master!D91="","",Master!D91)</x:f>
        <x:v>No</x:v>
      </x:c>
      <x:c r="D12" s="3" t="str">
        <x:f>IF(Master!E91="","",Master!E91)</x:f>
        <x:v>No</x:v>
      </x:c>
      <x:c r="E12" s="3" t="str">
        <x:f>IF(Master!F91="","",Master!F91)</x:f>
        <x:v>No</x:v>
      </x:c>
      <x:c r="F12" s="3" t="str">
        <x:f>IF(Master!G91="","",Master!G91)</x:f>
      </x:c>
      <x:c r="G12" s="3" t="str">
        <x:f>IF(Master!H91="","",Master!H91)</x:f>
      </x:c>
      <x:c r="H12" s="3" t="str">
        <x:f>IF(Master!I91="","",Master!I91)</x:f>
        <x:v>Yes</x:v>
      </x:c>
      <x:c r="I12" s="3" t="str">
        <x:f>IF(Master!J91="","",Master!J91)</x:f>
        <x:v>No</x:v>
      </x:c>
      <x:c r="J12" s="3" t="str">
        <x:f>IF(Master!K91="","",Master!K91)</x:f>
        <x:v>No</x:v>
      </x:c>
      <x:c r="K12" s="3" t="str">
        <x:f>IF(Master!L91="","",Master!L91)</x:f>
        <x:v>Polls are native message/application content, not a dedicated channel type</x:v>
      </x:c>
      <x:c r="L12" s="3" t="str">
        <x:f>IF(Master!M91="","",Master!M91)</x:f>
      </x:c>
      <x:c r="M12" s="3" t="str">
        <x:f>IF(Master!N91="","",Master!N91)</x:f>
        <x:v>Native polls</x:v>
      </x:c>
      <x:c r="N12" s="3" t="str">
        <x:f>IF(Master!O91="","",Master!O91)</x:f>
        <x:v>Poll events in capable clients</x:v>
      </x:c>
      <x:c r="O12" s="3" t="str">
        <x:f>IF(Master!P91="","",Master!P91)</x:f>
        <x:v>Poll integrations</x:v>
      </x:c>
      <x:c r="P12" s="3" t="str">
        <x:f>IF(Master!Q91="","",Master!Q91)</x:f>
        <x:v>No native</x:v>
      </x:c>
      <x:c r="Q12" s="3" t="str">
        <x:f>IF(Master!R91="","",Master!R91)</x:f>
        <x:v>N/A</x:v>
      </x:c>
      <x:c r="R12" s="3" t="str">
        <x:f>IF(Master!S91="","",Master!S91)</x:f>
        <x:v>No</x:v>
      </x:c>
      <x:c r="S12" s="3" t="str">
        <x:f>IF(Master!T91="","",Master!T91)</x:f>
        <x:v>No</x:v>
      </x:c>
      <x:c r="T12" s="3" t="str">
        <x:f>IF(Master!U91="","",Master!U91)</x:f>
        <x:v>Yes: native polls</x:v>
      </x:c>
      <x:c r="U12" s="3" t="str">
        <x:f>IF(Master!V91="","",Master!V91)</x:f>
        <x:v>Yes: native Poll channel</x:v>
      </x:c>
      <x:c r="V12" s="3" t="str">
        <x:f>IF(Master!W91="","",Master!W91)</x:f>
        <x:v>Poll apps</x:v>
      </x:c>
      <x:c r="W12" s="3" t="str">
        <x:f>IF(Master!X91="","",Master!X91)</x:f>
        <x:v>No</x:v>
      </x:c>
      <x:c r="X12" s="3" t="str">
        <x:f>IF(Master!Y91="","",Master!Y91)</x:f>
        <x:v>Via Polling App</x:v>
      </x:c>
      <x:c r="Y12" s="3" t="str">
        <x:f>IF(Master!Z91="","",Master!Z91)</x:f>
      </x:c>
      <x:c r="Z12" s="3" t="str">
        <x:f>IF(Master!AA91="","",Master!AA91)</x:f>
        <x:v>No native</x:v>
      </x:c>
      <x:c r="AA12" s="6" t="str">
        <x:f>IF(Master!AB91="","",Master!AB91)</x:f>
        <x:v>N/A</x:v>
      </x:c>
      <x:c r="AB12" s="3" t="str">
        <x:f>IF(Master!AC91="","",Master!AC91)</x:f>
      </x:c>
      <x:c r="AC12" s="3" t="str">
        <x:f>IF(Master!AD91="","",Master!AD91)</x:f>
        <x:v>No</x:v>
      </x:c>
      <x:c r="AD12" s="3" t="str">
        <x:f>IF(Master!AE91="","",Master!AE91)</x:f>
      </x:c>
      <x:c r="AE12" s="3" t="str">
        <x:f>IF(Master!AF91="","",Master!AF91)</x:f>
        <x:v>No</x:v>
      </x:c>
      <x:c r="AF12" s="8" t="str">
        <x:f>IF(Master!AG91="","",Master!AG91)</x:f>
        <x:v>Via integrations</x:v>
      </x:c>
    </x:row>
    <x:row r="13" ht="36" customHeight="1">
      <x:c r="A13" s="17" t="s">
        <x:v>311</x:v>
      </x:c>
      <x:c r="B13" s="3" t="str">
        <x:f>IF(Master!C92="","",Master!C92)</x:f>
        <x:v>No native ticket channel; bots/apps commonly provide tickets</x:v>
      </x:c>
      <x:c r="C13" s="3" t="str">
        <x:f>IF(Master!D92="","",Master!D92)</x:f>
        <x:v>No</x:v>
      </x:c>
      <x:c r="D13" s="3" t="str">
        <x:f>IF(Master!E92="","",Master!E92)</x:f>
        <x:v>No</x:v>
      </x:c>
      <x:c r="E13" s="3" t="str">
        <x:f>IF(Master!F92="","",Master!F92)</x:f>
        <x:v>No</x:v>
      </x:c>
      <x:c r="F13" s="3" t="str">
        <x:f>IF(Master!G92="","",Master!G92)</x:f>
        <x:v>No native</x:v>
      </x:c>
      <x:c r="G13" s="3" t="str">
        <x:f>IF(Master!H92="","",Master!H92)</x:f>
        <x:v>No native</x:v>
      </x:c>
      <x:c r="H13" s="3" t="str">
        <x:f>IF(Master!I92="","",Master!I92)</x:f>
        <x:v>No</x:v>
      </x:c>
      <x:c r="I13" s="3" t="str">
        <x:f>IF(Master!J92="","",Master!J92)</x:f>
        <x:v>No</x:v>
      </x:c>
      <x:c r="J13" s="3" t="str">
        <x:f>IF(Master!K92="","",Master!K92)</x:f>
        <x:v>No</x:v>
      </x:c>
      <x:c r="K13" s="3" t="str">
        <x:f>IF(Master!L92="","",Master!L92)</x:f>
        <x:v>Not documented as native: ticket, counting, highlights, welcome, wiki, document, live board, roster, web link, RSS, whiteboard, or tabletop channels.</x:v>
      </x:c>
      <x:c r="L13" s="3" t="str">
        <x:f>IF(Master!M92="","",Master!M92)</x:f>
        <x:v>No</x:v>
      </x:c>
      <x:c r="M13" s="3" t="str">
        <x:f>IF(Master!N92="","",Master!N92)</x:f>
        <x:v>No</x:v>
      </x:c>
      <x:c r="N13" s="3" t="str">
        <x:f>IF(Master!O92="","",Master!O92)</x:f>
        <x:v>Via integrations/bots</x:v>
      </x:c>
      <x:c r="O13" s="3" t="str">
        <x:f>IF(Master!P92="","",Master!P92)</x:f>
        <x:v>Integrations</x:v>
      </x:c>
      <x:c r="P13" s="3" t="str">
        <x:f>IF(Master!Q92="","",Master!Q92)</x:f>
        <x:v>No native</x:v>
      </x:c>
      <x:c r="Q13" s="3" t="str">
        <x:f>IF(Master!R92="","",Master!R92)</x:f>
        <x:v>N/A</x:v>
      </x:c>
      <x:c r="R13" s="3" t="str">
        <x:f>IF(Master!S92="","",Master!S92)</x:f>
        <x:v>No</x:v>
      </x:c>
      <x:c r="S13" s="3" t="str">
        <x:f>IF(Master!T92="","",Master!T92)</x:f>
        <x:v>No</x:v>
      </x:c>
      <x:c r="T13" s="3" t="str">
        <x:f>IF(Master!U92="","",Master!U92)</x:f>
        <x:v>No</x:v>
      </x:c>
      <x:c r="U13" s="3" t="str">
        <x:f>IF(Master!V92="","",Master!V92)</x:f>
        <x:v>Yes: private support threads/status/assignee/transcript</x:v>
      </x:c>
      <x:c r="V13" s="3" t="str">
        <x:f>IF(Master!W92="","",Master!W92)</x:f>
        <x:v>Apps</x:v>
      </x:c>
      <x:c r="W13" s="3" t="str">
        <x:f>IF(Master!X92="","",Master!X92)</x:f>
        <x:v>No</x:v>
      </x:c>
      <x:c r="X13" s="3" t="str">
        <x:f>IF(Master!Y92="","",Master!Y92)</x:f>
        <x:v>Via app</x:v>
      </x:c>
      <x:c r="Y13" s="3" t="str">
        <x:f>IF(Master!Z92="","",Master!Z92)</x:f>
        <x:v>No native</x:v>
      </x:c>
      <x:c r="Z13" s="3" t="str">
        <x:f>IF(Master!AA92="","",Master!AA92)</x:f>
        <x:v>No native</x:v>
      </x:c>
      <x:c r="AA13" s="6" t="str">
        <x:f>IF(Master!AB92="","",Master!AB92)</x:f>
        <x:v>N/A</x:v>
      </x:c>
      <x:c r="AB13" s="3" t="str">
        <x:f>IF(Master!AC92="","",Master!AC92)</x:f>
        <x:v>No</x:v>
      </x:c>
      <x:c r="AC13" s="3" t="str">
        <x:f>IF(Master!AD92="","",Master!AD92)</x:f>
        <x:v>No</x:v>
      </x:c>
      <x:c r="AD13" s="3" t="str">
        <x:f>IF(Master!AE92="","",Master!AE92)</x:f>
      </x:c>
      <x:c r="AE13" s="3" t="str">
        <x:f>IF(Master!AF92="","",Master!AF92)</x:f>
        <x:v>No</x:v>
      </x:c>
      <x:c r="AF13" s="8" t="str">
        <x:f>IF(Master!AG92="","",Master!AG92)</x:f>
        <x:v>Via integrations</x:v>
      </x:c>
    </x:row>
    <x:row r="14" ht="36" customHeight="1">
      <x:c r="A14" s="17" t="s">
        <x:v>312</x:v>
      </x:c>
      <x:c r="B14" s="3" t="str">
        <x:f>IF(Master!C93="","",Master!C93)</x:f>
        <x:v>No native channel type; bots/apps can emulate counting</x:v>
      </x:c>
      <x:c r="C14" s="3" t="str">
        <x:f>IF(Master!D93="","",Master!D93)</x:f>
        <x:v>No</x:v>
      </x:c>
      <x:c r="D14" s="3" t="str">
        <x:f>IF(Master!E93="","",Master!E93)</x:f>
        <x:v>No</x:v>
      </x:c>
      <x:c r="E14" s="3" t="str">
        <x:f>IF(Master!F93="","",Master!F93)</x:f>
        <x:v>No</x:v>
      </x:c>
      <x:c r="F14" s="3" t="str">
        <x:f>IF(Master!G93="","",Master!G93)</x:f>
        <x:v>No native</x:v>
      </x:c>
      <x:c r="G14" s="3" t="str">
        <x:f>IF(Master!H93="","",Master!H93)</x:f>
        <x:v>No native</x:v>
      </x:c>
      <x:c r="H14" s="3" t="str">
        <x:f>IF(Master!I93="","",Master!I93)</x:f>
        <x:v>No</x:v>
      </x:c>
      <x:c r="I14" s="3" t="str">
        <x:f>IF(Master!J93="","",Master!J93)</x:f>
        <x:v>No</x:v>
      </x:c>
      <x:c r="J14" s="3" t="str">
        <x:f>IF(Master!K93="","",Master!K93)</x:f>
        <x:v>No</x:v>
      </x:c>
      <x:c r="K14" s="3" t="str">
        <x:f>IF(Master!L93="","",Master!L93)</x:f>
        <x:v>Not documented as native: ticket, counting, highlights, welcome, wiki, document, live board, roster, web link, RSS, whiteboard, or tabletop channels.</x:v>
      </x:c>
      <x:c r="L14" s="3" t="str">
        <x:f>IF(Master!M93="","",Master!M93)</x:f>
        <x:v>No</x:v>
      </x:c>
      <x:c r="M14" s="3" t="str">
        <x:f>IF(Master!N93="","",Master!N93)</x:f>
        <x:v>No native</x:v>
      </x:c>
      <x:c r="N14" s="3" t="str">
        <x:f>IF(Master!O93="","",Master!O93)</x:f>
        <x:v>Extensible/client-dependent</x:v>
      </x:c>
      <x:c r="O14" s="3" t="str">
        <x:f>IF(Master!P93="","",Master!P93)</x:f>
        <x:v>No</x:v>
      </x:c>
      <x:c r="P14" s="3" t="str">
        <x:f>IF(Master!Q93="","",Master!Q93)</x:f>
        <x:v>No native</x:v>
      </x:c>
      <x:c r="Q14" s="3" t="str">
        <x:f>IF(Master!R93="","",Master!R93)</x:f>
        <x:v>N/A</x:v>
      </x:c>
      <x:c r="R14" s="3" t="str">
        <x:f>IF(Master!S93="","",Master!S93)</x:f>
        <x:v>No</x:v>
      </x:c>
      <x:c r="S14" s="3" t="str">
        <x:f>IF(Master!T93="","",Master!T93)</x:f>
        <x:v>No</x:v>
      </x:c>
      <x:c r="T14" s="3" t="str">
        <x:f>IF(Master!U93="","",Master!U93)</x:f>
        <x:v>No</x:v>
      </x:c>
      <x:c r="U14" s="3" t="str">
        <x:f>IF(Master!V93="","",Master!V93)</x:f>
        <x:v>Yes: native count, leaderboard, history</x:v>
      </x:c>
      <x:c r="V14" s="3" t="str">
        <x:f>IF(Master!W93="","",Master!W93)</x:f>
        <x:v>No</x:v>
      </x:c>
      <x:c r="W14" s="3" t="str">
        <x:f>IF(Master!X93="","",Master!X93)</x:f>
        <x:v>No</x:v>
      </x:c>
      <x:c r="X14" s="3" t="str">
        <x:f>IF(Master!Y93="","",Master!Y93)</x:f>
        <x:v>Via app</x:v>
      </x:c>
      <x:c r="Y14" s="3" t="str">
        <x:f>IF(Master!Z93="","",Master!Z93)</x:f>
        <x:v>No native</x:v>
      </x:c>
      <x:c r="Z14" s="3" t="str">
        <x:f>IF(Master!AA93="","",Master!AA93)</x:f>
        <x:v>No native</x:v>
      </x:c>
      <x:c r="AA14" s="6" t="str">
        <x:f>IF(Master!AB93="","",Master!AB93)</x:f>
        <x:v>N/A</x:v>
      </x:c>
      <x:c r="AB14" s="3" t="str">
        <x:f>IF(Master!AC93="","",Master!AC93)</x:f>
        <x:v>No</x:v>
      </x:c>
      <x:c r="AC14" s="3" t="str">
        <x:f>IF(Master!AD93="","",Master!AD93)</x:f>
        <x:v>No</x:v>
      </x:c>
      <x:c r="AD14" s="3" t="str">
        <x:f>IF(Master!AE93="","",Master!AE93)</x:f>
        <x:v>No</x:v>
      </x:c>
      <x:c r="AE14" s="3" t="str">
        <x:f>IF(Master!AF93="","",Master!AF93)</x:f>
        <x:v>No</x:v>
      </x:c>
      <x:c r="AF14" s="8" t="str">
        <x:f>IF(Master!AG93="","",Master!AG93)</x:f>
        <x:v>No</x:v>
      </x:c>
    </x:row>
    <x:row r="15" ht="36" customHeight="1">
      <x:c r="A15" s="17" t="s">
        <x:v>313</x:v>
      </x:c>
      <x:c r="B15" s="3" t="str">
        <x:f>IF(Master!C94="","",Master!C94)</x:f>
        <x:v>No dedicated native channel; pins/forums can approximate</x:v>
      </x:c>
      <x:c r="C15" s="3" t="str">
        <x:f>IF(Master!D94="","",Master!D94)</x:f>
      </x:c>
      <x:c r="D15" s="3" t="str">
        <x:f>IF(Master!E94="","",Master!E94)</x:f>
      </x:c>
      <x:c r="E15" s="3" t="str">
        <x:f>IF(Master!F94="","",Master!F94)</x:f>
      </x:c>
      <x:c r="F15" s="3" t="str">
        <x:f>IF(Master!G94="","",Master!G94)</x:f>
      </x:c>
      <x:c r="G15" s="3" t="str">
        <x:f>IF(Master!H94="","",Master!H94)</x:f>
      </x:c>
      <x:c r="H15" s="3" t="str">
        <x:f>IF(Master!I94="","",Master!I94)</x:f>
      </x:c>
      <x:c r="I15" s="3" t="str">
        <x:f>IF(Master!J94="","",Master!J94)</x:f>
      </x:c>
      <x:c r="J15" s="3" t="str">
        <x:f>IF(Master!K94="","",Master!K94)</x:f>
      </x:c>
      <x:c r="K15" s="3" t="str">
        <x:f>IF(Master!L94="","",Master!L94)</x:f>
        <x:v>Not documented as native: ticket, counting, highlights, welcome, wiki, document, live board, roster, web link, RSS, whiteboard, or tabletop channels.</x:v>
      </x:c>
      <x:c r="L15" s="3" t="str">
        <x:f>IF(Master!M94="","",Master!M94)</x:f>
      </x:c>
      <x:c r="M15" s="3" t="str">
        <x:f>IF(Master!N94="","",Master!N94)</x:f>
      </x:c>
      <x:c r="N15" s="3" t="str">
        <x:f>IF(Master!O94="","",Master!O94)</x:f>
      </x:c>
      <x:c r="O15" s="3" t="str">
        <x:f>IF(Master!P94="","",Master!P94)</x:f>
      </x:c>
      <x:c r="P15" s="3" t="str">
        <x:f>IF(Master!Q94="","",Master!Q94)</x:f>
      </x:c>
      <x:c r="Q15" s="3" t="str">
        <x:f>IF(Master!R94="","",Master!R94)</x:f>
      </x:c>
      <x:c r="R15" s="3" t="str">
        <x:f>IF(Master!S94="","",Master!S94)</x:f>
      </x:c>
      <x:c r="S15" s="3" t="str">
        <x:f>IF(Master!T94="","",Master!T94)</x:f>
      </x:c>
      <x:c r="T15" s="3" t="str">
        <x:f>IF(Master!U94="","",Master!U94)</x:f>
      </x:c>
      <x:c r="U15" s="3" t="str">
        <x:f>IF(Master!V94="","",Master!V94)</x:f>
        <x:v>Yes: native Highlights channel</x:v>
      </x:c>
      <x:c r="V15" s="3" t="str">
        <x:f>IF(Master!W94="","",Master!W94)</x:f>
      </x:c>
      <x:c r="W15" s="3" t="str">
        <x:f>IF(Master!X94="","",Master!X94)</x:f>
      </x:c>
      <x:c r="X15" s="3" t="str">
        <x:f>IF(Master!Y94="","",Master!Y94)</x:f>
      </x:c>
      <x:c r="Y15" s="3" t="str">
        <x:f>IF(Master!Z94="","",Master!Z94)</x:f>
      </x:c>
      <x:c r="Z15" s="3" t="str">
        <x:f>IF(Master!AA94="","",Master!AA94)</x:f>
      </x:c>
      <x:c r="AA15" s="6" t="str">
        <x:f>IF(Master!AB94="","",Master!AB94)</x:f>
      </x:c>
      <x:c r="AB15" s="3" t="str">
        <x:f>IF(Master!AC94="","",Master!AC94)</x:f>
      </x:c>
      <x:c r="AC15" s="3" t="str">
        <x:f>IF(Master!AD94="","",Master!AD94)</x:f>
      </x:c>
      <x:c r="AD15" s="3" t="str">
        <x:f>IF(Master!AE94="","",Master!AE94)</x:f>
      </x:c>
      <x:c r="AE15" s="3" t="str">
        <x:f>IF(Master!AF94="","",Master!AF94)</x:f>
      </x:c>
      <x:c r="AF15" s="8" t="str">
        <x:f>IF(Master!AG94="","",Master!AG94)</x:f>
      </x:c>
    </x:row>
    <x:row r="16" ht="36" customHeight="1">
      <x:c r="A16" s="17" t="s">
        <x:v>314</x:v>
      </x:c>
      <x:c r="B16" s="3" t="str">
        <x:f>IF(Master!C95="","",Master!C95)</x:f>
        <x:v>No dedicated arrival channel; system channels can announce joins</x:v>
      </x:c>
      <x:c r="C16" s="3" t="str">
        <x:f>IF(Master!D95="","",Master!D95)</x:f>
        <x:v>No</x:v>
      </x:c>
      <x:c r="D16" s="3" t="str">
        <x:f>IF(Master!E95="","",Master!E95)</x:f>
        <x:v>No</x:v>
      </x:c>
      <x:c r="E16" s="3" t="str">
        <x:f>IF(Master!F95="","",Master!F95)</x:f>
        <x:v>No</x:v>
      </x:c>
      <x:c r="F16" s="3" t="str">
        <x:f>IF(Master!G95="","",Master!G95)</x:f>
        <x:v>No native</x:v>
      </x:c>
      <x:c r="G16" s="3" t="str">
        <x:f>IF(Master!H95="","",Master!H95)</x:f>
        <x:v>No native</x:v>
      </x:c>
      <x:c r="H16" s="3" t="str">
        <x:f>IF(Master!I95="","",Master!I95)</x:f>
        <x:v>No</x:v>
      </x:c>
      <x:c r="I16" s="3" t="str">
        <x:f>IF(Master!J95="","",Master!J95)</x:f>
        <x:v>No</x:v>
      </x:c>
      <x:c r="J16" s="3" t="str">
        <x:f>IF(Master!K95="","",Master!K95)</x:f>
        <x:v>No</x:v>
      </x:c>
      <x:c r="K16" s="3" t="str">
        <x:f>IF(Master!L95="","",Master!L95)</x:f>
        <x:v>Not documented as native: ticket, counting, highlights, welcome, wiki, document, live board, roster, web link, RSS, whiteboard, or tabletop channels.</x:v>
      </x:c>
      <x:c r="L16" s="3" t="str">
        <x:f>IF(Master!M95="","",Master!M95)</x:f>
        <x:v>No</x:v>
      </x:c>
      <x:c r="M16" s="3" t="str">
        <x:f>IF(Master!N95="","",Master!N95)</x:f>
        <x:v>No</x:v>
      </x:c>
      <x:c r="N16" s="3" t="str">
        <x:f>IF(Master!O95="","",Master!O95)</x:f>
        <x:v>Client-dependent</x:v>
      </x:c>
      <x:c r="O16" s="3" t="str">
        <x:f>IF(Master!P95="","",Master!P95)</x:f>
        <x:v>No</x:v>
      </x:c>
      <x:c r="P16" s="3" t="str">
        <x:f>IF(Master!Q95="","",Master!Q95)</x:f>
        <x:v>No native</x:v>
      </x:c>
      <x:c r="Q16" s="3" t="str">
        <x:f>IF(Master!R95="","",Master!R95)</x:f>
        <x:v>N/A</x:v>
      </x:c>
      <x:c r="R16" s="3" t="str">
        <x:f>IF(Master!S95="","",Master!S95)</x:f>
        <x:v>No</x:v>
      </x:c>
      <x:c r="S16" s="3" t="str">
        <x:f>IF(Master!T95="","",Master!T95)</x:f>
        <x:v>No</x:v>
      </x:c>
      <x:c r="T16" s="3" t="str">
        <x:f>IF(Master!U95="","",Master!U95)</x:f>
        <x:v>No</x:v>
      </x:c>
      <x:c r="U16" s="3" t="str">
        <x:f>IF(Master!V95="","",Master!V95)</x:f>
        <x:v>Yes - Shard Settings Option</x:v>
      </x:c>
      <x:c r="V16" s="3" t="str">
        <x:f>IF(Master!W95="","",Master!W95)</x:f>
        <x:v>No</x:v>
      </x:c>
      <x:c r="W16" s="3" t="str">
        <x:f>IF(Master!X95="","",Master!X95)</x:f>
        <x:v>No</x:v>
      </x:c>
      <x:c r="X16" s="3" t="str">
        <x:f>IF(Master!Y95="","",Master!Y95)</x:f>
        <x:v>Via app</x:v>
      </x:c>
      <x:c r="Y16" s="3" t="str">
        <x:f>IF(Master!Z95="","",Master!Z95)</x:f>
        <x:v>No native</x:v>
      </x:c>
      <x:c r="Z16" s="3" t="str">
        <x:f>IF(Master!AA95="","",Master!AA95)</x:f>
        <x:v>No native</x:v>
      </x:c>
      <x:c r="AA16" s="6" t="str">
        <x:f>IF(Master!AB95="","",Master!AB95)</x:f>
        <x:v>N/A</x:v>
      </x:c>
      <x:c r="AB16" s="3" t="str">
        <x:f>IF(Master!AC95="","",Master!AC95)</x:f>
        <x:v>No</x:v>
      </x:c>
      <x:c r="AC16" s="3" t="str">
        <x:f>IF(Master!AD95="","",Master!AD95)</x:f>
        <x:v>No</x:v>
      </x:c>
      <x:c r="AD16" s="3" t="str">
        <x:f>IF(Master!AE95="","",Master!AE95)</x:f>
        <x:v>Arrivals/presence</x:v>
      </x:c>
      <x:c r="AE16" s="3" t="str">
        <x:f>IF(Master!AF95="","",Master!AF95)</x:f>
        <x:v>No</x:v>
      </x:c>
      <x:c r="AF16" s="8" t="str">
        <x:f>IF(Master!AG95="","",Master!AG95)</x:f>
        <x:v>No</x:v>
      </x:c>
    </x:row>
    <x:row r="17" ht="36" customHeight="1">
      <x:c r="A17" s="17" t="s">
        <x:v>315</x:v>
      </x:c>
      <x:c r="B17" s="3" t="str">
        <x:f>IF(Master!C96="","",Master!C96)</x:f>
        <x:v>No native form channel; apps/bots</x:v>
      </x:c>
      <x:c r="C17" s="3" t="str">
        <x:f>IF(Master!D96="","",Master!D96)</x:f>
      </x:c>
      <x:c r="D17" s="3" t="str">
        <x:f>IF(Master!E96="","",Master!E96)</x:f>
      </x:c>
      <x:c r="E17" s="3" t="str">
        <x:f>IF(Master!F96="","",Master!F96)</x:f>
      </x:c>
      <x:c r="F17" s="3" t="str">
        <x:f>IF(Master!G96="","",Master!G96)</x:f>
      </x:c>
      <x:c r="G17" s="3" t="str">
        <x:f>IF(Master!H96="","",Master!H96)</x:f>
      </x:c>
      <x:c r="H17" s="3" t="str">
        <x:f>IF(Master!I96="","",Master!I96)</x:f>
      </x:c>
      <x:c r="I17" s="3" t="str">
        <x:f>IF(Master!J96="","",Master!J96)</x:f>
      </x:c>
      <x:c r="J17" s="3" t="str">
        <x:f>IF(Master!K96="","",Master!K96)</x:f>
      </x:c>
      <x:c r="K17" s="3" t="str">
        <x:f>IF(Master!L96="","",Master!L96)</x:f>
      </x:c>
      <x:c r="L17" s="3" t="str">
        <x:f>IF(Master!M96="","",Master!M96)</x:f>
      </x:c>
      <x:c r="M17" s="3" t="str">
        <x:f>IF(Master!N96="","",Master!N96)</x:f>
      </x:c>
      <x:c r="N17" s="3" t="str">
        <x:f>IF(Master!O96="","",Master!O96)</x:f>
      </x:c>
      <x:c r="O17" s="3" t="str">
        <x:f>IF(Master!P96="","",Master!P96)</x:f>
      </x:c>
      <x:c r="P17" s="3" t="str">
        <x:f>IF(Master!Q96="","",Master!Q96)</x:f>
      </x:c>
      <x:c r="Q17" s="3" t="str">
        <x:f>IF(Master!R96="","",Master!R96)</x:f>
      </x:c>
      <x:c r="R17" s="3" t="str">
        <x:f>IF(Master!S96="","",Master!S96)</x:f>
      </x:c>
      <x:c r="S17" s="3" t="str">
        <x:f>IF(Master!T96="","",Master!T96)</x:f>
      </x:c>
      <x:c r="T17" s="3" t="str">
        <x:f>IF(Master!U96="","",Master!U96)</x:f>
      </x:c>
      <x:c r="U17" s="3" t="str">
        <x:f>IF(Master!V96="","",Master!V96)</x:f>
        <x:v>Yes: forms can be posted in channels</x:v>
      </x:c>
      <x:c r="V17" s="3" t="str">
        <x:f>IF(Master!W96="","",Master!W96)</x:f>
      </x:c>
      <x:c r="W17" s="3" t="str">
        <x:f>IF(Master!X96="","",Master!X96)</x:f>
      </x:c>
      <x:c r="X17" s="3" t="str">
        <x:f>IF(Master!Y96="","",Master!Y96)</x:f>
      </x:c>
      <x:c r="Y17" s="3" t="str">
        <x:f>IF(Master!Z96="","",Master!Z96)</x:f>
      </x:c>
      <x:c r="Z17" s="3" t="str">
        <x:f>IF(Master!AA96="","",Master!AA96)</x:f>
      </x:c>
      <x:c r="AA17" s="6" t="str">
        <x:f>IF(Master!AB96="","",Master!AB96)</x:f>
      </x:c>
      <x:c r="AB17" s="3" t="str">
        <x:f>IF(Master!AC96="","",Master!AC96)</x:f>
      </x:c>
      <x:c r="AC17" s="3" t="str">
        <x:f>IF(Master!AD96="","",Master!AD96)</x:f>
      </x:c>
      <x:c r="AD17" s="3" t="str">
        <x:f>IF(Master!AE96="","",Master!AE96)</x:f>
      </x:c>
      <x:c r="AE17" s="3" t="str">
        <x:f>IF(Master!AF96="","",Master!AF96)</x:f>
      </x:c>
      <x:c r="AF17" s="8" t="str">
        <x:f>IF(Master!AG96="","",Master!AG96)</x:f>
      </x:c>
    </x:row>
    <x:row r="18" ht="21.950000762939453" customHeight="1">
      <x:c r="A18" s="18" t="s">
        <x:v>316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317</x:v>
      </x:c>
      <x:c r="B19" s="3" t="str">
        <x:f>IF(Master!C97="","",Master!C97)</x:f>
        <x:v>No native wiki channel type</x:v>
      </x:c>
      <x:c r="C19" s="3" t="str">
        <x:f>IF(Master!D97="","",Master!D97)</x:f>
        <x:v>No</x:v>
      </x:c>
      <x:c r="D19" s="3" t="str">
        <x:f>IF(Master!E97="","",Master!E97)</x:f>
        <x:v>No</x:v>
      </x:c>
      <x:c r="E19" s="3" t="str">
        <x:f>IF(Master!F97="","",Master!F97)</x:f>
        <x:v>No</x:v>
      </x:c>
      <x:c r="F19" s="3" t="str">
        <x:f>IF(Master!G97="","",Master!G97)</x:f>
        <x:v>No native</x:v>
      </x:c>
      <x:c r="G19" s="3" t="str">
        <x:f>IF(Master!H97="","",Master!H97)</x:f>
        <x:v>No native</x:v>
      </x:c>
      <x:c r="H19" s="3" t="str">
        <x:f>IF(Master!I97="","",Master!I97)</x:f>
        <x:v>No</x:v>
      </x:c>
      <x:c r="I19" s="3" t="str">
        <x:f>IF(Master!J97="","",Master!J97)</x:f>
        <x:v>No</x:v>
      </x:c>
      <x:c r="J19" s="3" t="str">
        <x:f>IF(Master!K97="","",Master!K97)</x:f>
        <x:v>No</x:v>
      </x:c>
      <x:c r="K19" s="3" t="str">
        <x:f>IF(Master!L97="","",Master!L97)</x:f>
        <x:v>Not documented as native: ticket, counting, highlights, welcome, wiki, document, live board, roster, web link, RSS, whiteboard, or tabletop channels.</x:v>
      </x:c>
      <x:c r="L19" s="3" t="str">
        <x:f>IF(Master!M97="","",Master!M97)</x:f>
        <x:v>No</x:v>
      </x:c>
      <x:c r="M19" s="3" t="str">
        <x:f>IF(Master!N97="","",Master!N97)</x:f>
        <x:v>No</x:v>
      </x:c>
      <x:c r="N19" s="3" t="str">
        <x:f>IF(Master!O97="","",Master!O97)</x:f>
        <x:v>Extensible/client-dependent</x:v>
      </x:c>
      <x:c r="O19" s="3" t="str">
        <x:f>IF(Master!P97="","",Master!P97)</x:f>
        <x:v>No</x:v>
      </x:c>
      <x:c r="P19" s="3" t="str">
        <x:f>IF(Master!Q97="","",Master!Q97)</x:f>
        <x:v>No native</x:v>
      </x:c>
      <x:c r="Q19" s="3" t="str">
        <x:f>IF(Master!R97="","",Master!R97)</x:f>
        <x:v>N/A</x:v>
      </x:c>
      <x:c r="R19" s="3" t="str">
        <x:f>IF(Master!S97="","",Master!S97)</x:f>
        <x:v>No</x:v>
      </x:c>
      <x:c r="S19" s="3" t="str">
        <x:f>IF(Master!T97="","",Master!T97)</x:f>
        <x:v>No</x:v>
      </x:c>
      <x:c r="T19" s="3" t="str">
        <x:f>IF(Master!U97="","",Master!U97)</x:f>
        <x:v>No</x:v>
      </x:c>
      <x:c r="U19" s="3" t="str">
        <x:f>IF(Master!V97="","",Master!V97)</x:f>
        <x:v>Yes: pages, sections, drafts, files</x:v>
      </x:c>
      <x:c r="V19" s="3" t="str">
        <x:f>IF(Master!W97="","",Master!W97)</x:f>
        <x:v>No</x:v>
      </x:c>
      <x:c r="W19" s="3" t="str">
        <x:f>IF(Master!X97="","",Master!X97)</x:f>
        <x:v>Wiki/documentation-like</x:v>
      </x:c>
      <x:c r="X19" s="3" t="str">
        <x:f>IF(Master!Y97="","",Master!Y97)</x:f>
        <x:v>Via app</x:v>
      </x:c>
      <x:c r="Y19" s="3" t="str">
        <x:f>IF(Master!Z97="","",Master!Z97)</x:f>
        <x:v>No native</x:v>
      </x:c>
      <x:c r="Z19" s="3" t="str">
        <x:f>IF(Master!AA97="","",Master!AA97)</x:f>
        <x:v>No native</x:v>
      </x:c>
      <x:c r="AA19" s="6" t="str">
        <x:f>IF(Master!AB97="","",Master!AB97)</x:f>
        <x:v>N/A</x:v>
      </x:c>
      <x:c r="AB19" s="3" t="str">
        <x:f>IF(Master!AC97="","",Master!AC97)</x:f>
        <x:v>Wiki</x:v>
      </x:c>
      <x:c r="AC19" s="3" t="str">
        <x:f>IF(Master!AD97="","",Master!AD97)</x:f>
        <x:v>No</x:v>
      </x:c>
      <x:c r="AD19" s="3" t="str">
        <x:f>IF(Master!AE97="","",Master!AE97)</x:f>
        <x:v>No</x:v>
      </x:c>
      <x:c r="AE19" s="3" t="str">
        <x:f>IF(Master!AF97="","",Master!AF97)</x:f>
        <x:v>No</x:v>
      </x:c>
      <x:c r="AF19" s="8" t="str">
        <x:f>IF(Master!AG97="","",Master!AG97)</x:f>
        <x:v>No</x:v>
      </x:c>
    </x:row>
    <x:row r="20" ht="36" customHeight="1">
      <x:c r="A20" s="17" t="s">
        <x:v>318</x:v>
      </x:c>
      <x:c r="B20" s="3" t="str">
        <x:f>IF(Master!C98="","",Master!C98)</x:f>
        <x:v>No native document channel type</x:v>
      </x:c>
      <x:c r="C20" s="3" t="str">
        <x:f>IF(Master!D98="","",Master!D98)</x:f>
        <x:v>No</x:v>
      </x:c>
      <x:c r="D20" s="3" t="str">
        <x:f>IF(Master!E98="","",Master!E98)</x:f>
        <x:v>No</x:v>
      </x:c>
      <x:c r="E20" s="3" t="str">
        <x:f>IF(Master!F98="","",Master!F98)</x:f>
        <x:v>No</x:v>
      </x:c>
      <x:c r="F20" s="3" t="str">
        <x:f>IF(Master!G98="","",Master!G98)</x:f>
        <x:v>No native</x:v>
      </x:c>
      <x:c r="G20" s="3" t="str">
        <x:f>IF(Master!H98="","",Master!H98)</x:f>
        <x:v>No native</x:v>
      </x:c>
      <x:c r="H20" s="3" t="str">
        <x:f>IF(Master!I98="","",Master!I98)</x:f>
        <x:v>No</x:v>
      </x:c>
      <x:c r="I20" s="3" t="str">
        <x:f>IF(Master!J98="","",Master!J98)</x:f>
        <x:v>No</x:v>
      </x:c>
      <x:c r="J20" s="3" t="str">
        <x:f>IF(Master!K98="","",Master!K98)</x:f>
        <x:v>No</x:v>
      </x:c>
      <x:c r="K20" s="3" t="str">
        <x:f>IF(Master!L98="","",Master!L98)</x:f>
        <x:v>Not documented as native: ticket, counting, highlights, welcome, wiki, document, live board, roster, web link, RSS, whiteboard, or tabletop channels.</x:v>
      </x:c>
      <x:c r="L20" s="3" t="str">
        <x:f>IF(Master!M98="","",Master!M98)</x:f>
        <x:v>No</x:v>
      </x:c>
      <x:c r="M20" s="3" t="str">
        <x:f>IF(Master!N98="","",Master!N98)</x:f>
        <x:v>No</x:v>
      </x:c>
      <x:c r="N20" s="3" t="str">
        <x:f>IF(Master!O98="","",Master!O98)</x:f>
        <x:v>Extensible/client-dependent</x:v>
      </x:c>
      <x:c r="O20" s="3" t="str">
        <x:f>IF(Master!P98="","",Master!P98)</x:f>
        <x:v>No</x:v>
      </x:c>
      <x:c r="P20" s="3" t="str">
        <x:f>IF(Master!Q98="","",Master!Q98)</x:f>
        <x:v>No native</x:v>
      </x:c>
      <x:c r="Q20" s="3" t="str">
        <x:f>IF(Master!R98="","",Master!R98)</x:f>
        <x:v>N/A</x:v>
      </x:c>
      <x:c r="R20" s="3" t="str">
        <x:f>IF(Master!S98="","",Master!S98)</x:f>
        <x:v>No</x:v>
      </x:c>
      <x:c r="S20" s="3" t="str">
        <x:f>IF(Master!T98="","",Master!T98)</x:f>
        <x:v>No</x:v>
      </x:c>
      <x:c r="T20" s="3" t="str">
        <x:f>IF(Master!U98="","",Master!U98)</x:f>
        <x:v>No</x:v>
      </x:c>
      <x:c r="U20" s="3" t="str">
        <x:f>IF(Master!V98="","",Master!V98)</x:f>
        <x:v>Yes: document channel, folders, whiteboards</x:v>
      </x:c>
      <x:c r="V20" s="3" t="str">
        <x:f>IF(Master!W98="","",Master!W98)</x:f>
        <x:v>No</x:v>
      </x:c>
      <x:c r="W20" s="3" t="str">
        <x:f>IF(Master!X98="","",Master!X98)</x:f>
        <x:v>Documentation pages</x:v>
      </x:c>
      <x:c r="X20" s="3" t="str">
        <x:f>IF(Master!Y98="","",Master!Y98)</x:f>
        <x:v>Via app</x:v>
      </x:c>
      <x:c r="Y20" s="3" t="str">
        <x:f>IF(Master!Z98="","",Master!Z98)</x:f>
        <x:v>No native</x:v>
      </x:c>
      <x:c r="Z20" s="3" t="str">
        <x:f>IF(Master!AA98="","",Master!AA98)</x:f>
        <x:v>No native</x:v>
      </x:c>
      <x:c r="AA20" s="6" t="str">
        <x:f>IF(Master!AB98="","",Master!AB98)</x:f>
        <x:v>N/A</x:v>
      </x:c>
      <x:c r="AB20" s="3" t="str">
        <x:f>IF(Master!AC98="","",Master!AC98)</x:f>
        <x:v>Wiki</x:v>
      </x:c>
      <x:c r="AC20" s="3" t="str">
        <x:f>IF(Master!AD98="","",Master!AD98)</x:f>
        <x:v>No</x:v>
      </x:c>
      <x:c r="AD20" s="3" t="str">
        <x:f>IF(Master!AE98="","",Master!AE98)</x:f>
        <x:v>No</x:v>
      </x:c>
      <x:c r="AE20" s="3" t="str">
        <x:f>IF(Master!AF98="","",Master!AF98)</x:f>
        <x:v>No</x:v>
      </x:c>
      <x:c r="AF20" s="8" t="str">
        <x:f>IF(Master!AG98="","",Master!AG98)</x:f>
        <x:v>No</x:v>
      </x:c>
    </x:row>
    <x:row r="21" ht="36" customHeight="1">
      <x:c r="A21" s="17" t="s">
        <x:v>319</x:v>
      </x:c>
      <x:c r="B21" s="3" t="str">
        <x:f>IF(Master!C99="","",Master!C99)</x:f>
        <x:v>No native task channel type</x:v>
      </x:c>
      <x:c r="C21" s="3" t="str">
        <x:f>IF(Master!D99="","",Master!D99)</x:f>
        <x:v>No</x:v>
      </x:c>
      <x:c r="D21" s="3" t="str">
        <x:f>IF(Master!E99="","",Master!E99)</x:f>
        <x:v>No</x:v>
      </x:c>
      <x:c r="E21" s="3" t="str">
        <x:f>IF(Master!F99="","",Master!F99)</x:f>
        <x:v>No</x:v>
      </x:c>
      <x:c r="F21" s="3" t="str">
        <x:f>IF(Master!G99="","",Master!G99)</x:f>
        <x:v>No native</x:v>
      </x:c>
      <x:c r="G21" s="3" t="str">
        <x:f>IF(Master!H99="","",Master!H99)</x:f>
        <x:v>No native</x:v>
      </x:c>
      <x:c r="H21" s="3" t="str">
        <x:f>IF(Master!I99="","",Master!I99)</x:f>
        <x:v>No</x:v>
      </x:c>
      <x:c r="I21" s="3" t="str">
        <x:f>IF(Master!J99="","",Master!J99)</x:f>
        <x:v>No</x:v>
      </x:c>
      <x:c r="J21" s="3" t="str">
        <x:f>IF(Master!K99="","",Master!K99)</x:f>
        <x:v>No</x:v>
      </x:c>
      <x:c r="K21" s="3" t="str">
        <x:f>IF(Master!L99="","",Master!L99)</x:f>
        <x:v>Yes: type-17 task tracker with boards, lanes and tasks</x:v>
      </x:c>
      <x:c r="L21" s="3" t="str">
        <x:f>IF(Master!M99="","",Master!M99)</x:f>
        <x:v>Tasks</x:v>
      </x:c>
      <x:c r="M21" s="3" t="str">
        <x:f>IF(Master!N99="","",Master!N99)</x:f>
        <x:v>No</x:v>
      </x:c>
      <x:c r="N21" s="3" t="str">
        <x:f>IF(Master!O99="","",Master!O99)</x:f>
        <x:v>Extensible/client-dependent</x:v>
      </x:c>
      <x:c r="O21" s="3" t="str">
        <x:f>IF(Master!P99="","",Master!P99)</x:f>
        <x:v>Boards/tasks via products/plugins</x:v>
      </x:c>
      <x:c r="P21" s="3" t="str">
        <x:f>IF(Master!Q99="","",Master!Q99)</x:f>
        <x:v>No native</x:v>
      </x:c>
      <x:c r="Q21" s="3" t="str">
        <x:f>IF(Master!R99="","",Master!R99)</x:f>
        <x:v>N/A</x:v>
      </x:c>
      <x:c r="R21" s="3" t="str">
        <x:f>IF(Master!S99="","",Master!S99)</x:f>
        <x:v>No</x:v>
      </x:c>
      <x:c r="S21" s="3" t="str">
        <x:f>IF(Master!T99="","",Master!T99)</x:f>
        <x:v>No</x:v>
      </x:c>
      <x:c r="T21" s="3" t="str">
        <x:f>IF(Master!U99="","",Master!U99)</x:f>
        <x:v>No</x:v>
      </x:c>
      <x:c r="U21" s="3" t="str">
        <x:f>IF(Master!V99="","",Master!V99)</x:f>
        <x:v>Yes: task boards, assignees, blockers, archive</x:v>
      </x:c>
      <x:c r="V21" s="3" t="str">
        <x:f>IF(Master!W99="","",Master!W99)</x:f>
        <x:v>Apps</x:v>
      </x:c>
      <x:c r="W21" s="3" t="str">
        <x:f>IF(Master!X99="","",Master!X99)</x:f>
        <x:v>No</x:v>
      </x:c>
      <x:c r="X21" s="3" t="str">
        <x:f>IF(Master!Y99="","",Master!Y99)</x:f>
        <x:v>Via app</x:v>
      </x:c>
      <x:c r="Y21" s="3" t="str">
        <x:f>IF(Master!Z99="","",Master!Z99)</x:f>
        <x:v>No native</x:v>
      </x:c>
      <x:c r="Z21" s="3" t="str">
        <x:f>IF(Master!AA99="","",Master!AA99)</x:f>
        <x:v>No native</x:v>
      </x:c>
      <x:c r="AA21" s="6" t="str">
        <x:f>IF(Master!AB99="","",Master!AB99)</x:f>
        <x:v>N/A</x:v>
      </x:c>
      <x:c r="AB21" s="3" t="str">
        <x:f>IF(Master!AC99="","",Master!AC99)</x:f>
        <x:v>No</x:v>
      </x:c>
      <x:c r="AC21" s="3" t="str">
        <x:f>IF(Master!AD99="","",Master!AD99)</x:f>
        <x:v>No</x:v>
      </x:c>
      <x:c r="AD21" s="3" t="str">
        <x:f>IF(Master!AE99="","",Master!AE99)</x:f>
        <x:v>Tasks/modules</x:v>
      </x:c>
      <x:c r="AE21" s="3" t="str">
        <x:f>IF(Master!AF99="","",Master!AF99)</x:f>
        <x:v>No</x:v>
      </x:c>
      <x:c r="AF21" s="8" t="str">
        <x:f>IF(Master!AG99="","",Master!AG99)</x:f>
        <x:v>No dedicated task channel</x:v>
      </x:c>
    </x:row>
    <x:row r="22" ht="36" customHeight="1">
      <x:c r="A22" s="17" t="s">
        <x:v>320</x:v>
      </x:c>
      <x:c r="B22" s="3" t="str">
        <x:f>IF(Master!C100="","",Master!C100)</x:f>
        <x:v>No native</x:v>
      </x:c>
      <x:c r="C22" s="3" t="str">
        <x:f>IF(Master!D100="","",Master!D100)</x:f>
      </x:c>
      <x:c r="D22" s="3" t="str">
        <x:f>IF(Master!E100="","",Master!E100)</x:f>
      </x:c>
      <x:c r="E22" s="3" t="str">
        <x:f>IF(Master!F100="","",Master!F100)</x:f>
      </x:c>
      <x:c r="F22" s="3" t="str">
        <x:f>IF(Master!G100="","",Master!G100)</x:f>
      </x:c>
      <x:c r="G22" s="3" t="str">
        <x:f>IF(Master!H100="","",Master!H100)</x:f>
      </x:c>
      <x:c r="H22" s="3" t="str">
        <x:f>IF(Master!I100="","",Master!I100)</x:f>
      </x:c>
      <x:c r="I22" s="3" t="str">
        <x:f>IF(Master!J100="","",Master!J100)</x:f>
      </x:c>
      <x:c r="J22" s="3" t="str">
        <x:f>IF(Master!K100="","",Master!K100)</x:f>
      </x:c>
      <x:c r="K22" s="3" t="str">
        <x:f>IF(Master!L100="","",Master!L100)</x:f>
        <x:v>Not documented as native: ticket, counting, highlights, welcome, wiki, document, live board, roster, web link, RSS, whiteboard, or tabletop channels.</x:v>
      </x:c>
      <x:c r="L22" s="3" t="str">
        <x:f>IF(Master!M100="","",Master!M100)</x:f>
      </x:c>
      <x:c r="M22" s="3" t="str">
        <x:f>IF(Master!N100="","",Master!N100)</x:f>
      </x:c>
      <x:c r="N22" s="3" t="str">
        <x:f>IF(Master!O100="","",Master!O100)</x:f>
      </x:c>
      <x:c r="O22" s="3" t="str">
        <x:f>IF(Master!P100="","",Master!P100)</x:f>
      </x:c>
      <x:c r="P22" s="3" t="str">
        <x:f>IF(Master!Q100="","",Master!Q100)</x:f>
      </x:c>
      <x:c r="Q22" s="3" t="str">
        <x:f>IF(Master!R100="","",Master!R100)</x:f>
      </x:c>
      <x:c r="R22" s="3" t="str">
        <x:f>IF(Master!S100="","",Master!S100)</x:f>
      </x:c>
      <x:c r="S22" s="3" t="str">
        <x:f>IF(Master!T100="","",Master!T100)</x:f>
      </x:c>
      <x:c r="T22" s="3" t="str">
        <x:f>IF(Master!U100="","",Master!U100)</x:f>
      </x:c>
      <x:c r="U22" s="3" t="str">
        <x:f>IF(Master!V100="","",Master!V100)</x:f>
        <x:v>Yes: live status cards / tool-fed boards</x:v>
      </x:c>
      <x:c r="V22" s="3" t="str">
        <x:f>IF(Master!W100="","",Master!W100)</x:f>
      </x:c>
      <x:c r="W22" s="3" t="str">
        <x:f>IF(Master!X100="","",Master!X100)</x:f>
      </x:c>
      <x:c r="X22" s="3" t="str">
        <x:f>IF(Master!Y100="","",Master!Y100)</x:f>
      </x:c>
      <x:c r="Y22" s="3" t="str">
        <x:f>IF(Master!Z100="","",Master!Z100)</x:f>
      </x:c>
      <x:c r="Z22" s="3" t="str">
        <x:f>IF(Master!AA100="","",Master!AA100)</x:f>
      </x:c>
      <x:c r="AA22" s="6" t="str">
        <x:f>IF(Master!AB100="","",Master!AB100)</x:f>
      </x:c>
      <x:c r="AB22" s="3" t="str">
        <x:f>IF(Master!AC100="","",Master!AC100)</x:f>
      </x:c>
      <x:c r="AC22" s="3" t="str">
        <x:f>IF(Master!AD100="","",Master!AD100)</x:f>
      </x:c>
      <x:c r="AD22" s="3" t="str">
        <x:f>IF(Master!AE100="","",Master!AE100)</x:f>
      </x:c>
      <x:c r="AE22" s="3" t="str">
        <x:f>IF(Master!AF100="","",Master!AF100)</x:f>
      </x:c>
      <x:c r="AF22" s="8" t="str">
        <x:f>IF(Master!AG100="","",Master!AG100)</x:f>
      </x:c>
    </x:row>
    <x:row r="23" ht="36" customHeight="1">
      <x:c r="A23" s="17" t="s">
        <x:v>321</x:v>
      </x:c>
      <x:c r="B23" s="3" t="str">
        <x:f>IF(Master!C101="","",Master!C101)</x:f>
        <x:v>No native roster channel type</x:v>
      </x:c>
      <x:c r="C23" s="3" t="str">
        <x:f>IF(Master!D101="","",Master!D101)</x:f>
        <x:v>No</x:v>
      </x:c>
      <x:c r="D23" s="3" t="str">
        <x:f>IF(Master!E101="","",Master!E101)</x:f>
        <x:v>No</x:v>
      </x:c>
      <x:c r="E23" s="3" t="str">
        <x:f>IF(Master!F101="","",Master!F101)</x:f>
        <x:v>No</x:v>
      </x:c>
      <x:c r="F23" s="3" t="str">
        <x:f>IF(Master!G101="","",Master!G101)</x:f>
        <x:v>No native</x:v>
      </x:c>
      <x:c r="G23" s="3" t="str">
        <x:f>IF(Master!H101="","",Master!H101)</x:f>
        <x:v>No native</x:v>
      </x:c>
      <x:c r="H23" s="3" t="str">
        <x:f>IF(Master!I101="","",Master!I101)</x:f>
        <x:v>No</x:v>
      </x:c>
      <x:c r="I23" s="3" t="str">
        <x:f>IF(Master!J101="","",Master!J101)</x:f>
        <x:v>No</x:v>
      </x:c>
      <x:c r="J23" s="3" t="str">
        <x:f>IF(Master!K101="","",Master!K101)</x:f>
        <x:v>No</x:v>
      </x:c>
      <x:c r="K23" s="3" t="str">
        <x:f>IF(Master!L101="","",Master!L101)</x:f>
        <x:v>Not documented as native: ticket, counting, highlights, welcome, wiki, document, live board, roster, web link, RSS, whiteboard, or tabletop channels.</x:v>
      </x:c>
      <x:c r="L23" s="3" t="str">
        <x:f>IF(Master!M101="","",Master!M101)</x:f>
        <x:v>No</x:v>
      </x:c>
      <x:c r="M23" s="3" t="str">
        <x:f>IF(Master!N101="","",Master!N101)</x:f>
        <x:v>No</x:v>
      </x:c>
      <x:c r="N23" s="3" t="str">
        <x:f>IF(Master!O101="","",Master!O101)</x:f>
        <x:v>Extensible/client-dependent</x:v>
      </x:c>
      <x:c r="O23" s="3" t="str">
        <x:f>IF(Master!P101="","",Master!P101)</x:f>
        <x:v>No</x:v>
      </x:c>
      <x:c r="P23" s="3" t="str">
        <x:f>IF(Master!Q101="","",Master!Q101)</x:f>
        <x:v>No native</x:v>
      </x:c>
      <x:c r="Q23" s="3" t="str">
        <x:f>IF(Master!R101="","",Master!R101)</x:f>
        <x:v>N/A</x:v>
      </x:c>
      <x:c r="R23" s="3" t="str">
        <x:f>IF(Master!S101="","",Master!S101)</x:f>
        <x:v>No</x:v>
      </x:c>
      <x:c r="S23" s="3" t="str">
        <x:f>IF(Master!T101="","",Master!T101)</x:f>
        <x:v>No</x:v>
      </x:c>
      <x:c r="T23" s="3" t="str">
        <x:f>IF(Master!U101="","",Master!U101)</x:f>
        <x:v>No</x:v>
      </x:c>
      <x:c r="U23" s="3" t="str">
        <x:f>IF(Master!V101="","",Master!V101)</x:f>
        <x:v>Yes - Roster Channel</x:v>
      </x:c>
      <x:c r="V23" s="3" t="str">
        <x:f>IF(Master!W101="","",Master!W101)</x:f>
        <x:v>No</x:v>
      </x:c>
      <x:c r="W23" s="3" t="str">
        <x:f>IF(Master!X101="","",Master!X101)</x:f>
        <x:v>No</x:v>
      </x:c>
      <x:c r="X23" s="3" t="str">
        <x:f>IF(Master!Y101="","",Master!Y101)</x:f>
        <x:v>Via app (Raid Planner)</x:v>
      </x:c>
      <x:c r="Y23" s="3" t="str">
        <x:f>IF(Master!Z101="","",Master!Z101)</x:f>
        <x:v>No native</x:v>
      </x:c>
      <x:c r="Z23" s="3" t="str">
        <x:f>IF(Master!AA101="","",Master!AA101)</x:f>
        <x:v>No native</x:v>
      </x:c>
      <x:c r="AA23" s="6" t="str">
        <x:f>IF(Master!AB101="","",Master!AB101)</x:f>
        <x:v>N/A</x:v>
      </x:c>
      <x:c r="AB23" s="3" t="str">
        <x:f>IF(Master!AC101="","",Master!AC101)</x:f>
        <x:v>No</x:v>
      </x:c>
      <x:c r="AC23" s="3" t="str">
        <x:f>IF(Master!AD101="","",Master!AD101)</x:f>
        <x:v>No</x:v>
      </x:c>
      <x:c r="AD23" s="3" t="str">
        <x:f>IF(Master!AE101="","",Master!AE101)</x:f>
        <x:v>Roster/team modules</x:v>
      </x:c>
      <x:c r="AE23" s="3" t="str">
        <x:f>IF(Master!AF101="","",Master!AF101)</x:f>
        <x:v>No</x:v>
      </x:c>
      <x:c r="AF23" s="8" t="str">
        <x:f>IF(Master!AG101="","",Master!AG101)</x:f>
        <x:v>No</x:v>
      </x:c>
    </x:row>
    <x:row r="24" ht="36" customHeight="1">
      <x:c r="A24" s="17" t="s">
        <x:v>322</x:v>
      </x:c>
      <x:c r="B24" s="3" t="str">
        <x:f>IF(Master!C102="","",Master!C102)</x:f>
        <x:v>No native web-link channel type; links/embeds can be posted</x:v>
      </x:c>
      <x:c r="C24" s="3" t="str">
        <x:f>IF(Master!D102="","",Master!D102)</x:f>
        <x:v>No</x:v>
      </x:c>
      <x:c r="D24" s="3" t="str">
        <x:f>IF(Master!E102="","",Master!E102)</x:f>
        <x:v>No</x:v>
      </x:c>
      <x:c r="E24" s="3" t="str">
        <x:f>IF(Master!F102="","",Master!F102)</x:f>
        <x:v>No</x:v>
      </x:c>
      <x:c r="F24" s="3" t="str">
        <x:f>IF(Master!G102="","",Master!G102)</x:f>
        <x:v>No native</x:v>
      </x:c>
      <x:c r="G24" s="3" t="str">
        <x:f>IF(Master!H102="","",Master!H102)</x:f>
        <x:v>No native</x:v>
      </x:c>
      <x:c r="H24" s="3" t="str">
        <x:f>IF(Master!I102="","",Master!I102)</x:f>
        <x:v>No</x:v>
      </x:c>
      <x:c r="I24" s="3" t="str">
        <x:f>IF(Master!J102="","",Master!J102)</x:f>
        <x:v>No</x:v>
      </x:c>
      <x:c r="J24" s="3" t="str">
        <x:f>IF(Master!K102="","",Master!K102)</x:f>
        <x:v>No</x:v>
      </x:c>
      <x:c r="K24" s="3" t="str">
        <x:f>IF(Master!L102="","",Master!L102)</x:f>
        <x:v>Not documented as native: ticket, counting, highlights, welcome, wiki, document, live board, roster, web link, RSS, whiteboard, or tabletop channels.</x:v>
      </x:c>
      <x:c r="L24" s="3" t="str">
        <x:f>IF(Master!M102="","",Master!M102)</x:f>
        <x:v>No</x:v>
      </x:c>
      <x:c r="M24" s="3" t="str">
        <x:f>IF(Master!N102="","",Master!N102)</x:f>
        <x:v>No</x:v>
      </x:c>
      <x:c r="N24" s="3" t="str">
        <x:f>IF(Master!O102="","",Master!O102)</x:f>
        <x:v>Extensible/client-dependent</x:v>
      </x:c>
      <x:c r="O24" s="3" t="str">
        <x:f>IF(Master!P102="","",Master!P102)</x:f>
        <x:v>No</x:v>
      </x:c>
      <x:c r="P24" s="3" t="str">
        <x:f>IF(Master!Q102="","",Master!Q102)</x:f>
        <x:v>No native</x:v>
      </x:c>
      <x:c r="Q24" s="3" t="str">
        <x:f>IF(Master!R102="","",Master!R102)</x:f>
        <x:v>N/A</x:v>
      </x:c>
      <x:c r="R24" s="3" t="str">
        <x:f>IF(Master!S102="","",Master!S102)</x:f>
        <x:v>No</x:v>
      </x:c>
      <x:c r="S24" s="3" t="str">
        <x:f>IF(Master!T102="","",Master!T102)</x:f>
        <x:v>No</x:v>
      </x:c>
      <x:c r="T24" s="3" t="str">
        <x:f>IF(Master!U102="","",Master!U102)</x:f>
        <x:v>No</x:v>
      </x:c>
      <x:c r="U24" s="3" t="str">
        <x:f>IF(Master!V102="","",Master!V102)</x:f>
        <x:v>Yes: Link channel</x:v>
      </x:c>
      <x:c r="V24" s="3" t="str">
        <x:f>IF(Master!W102="","",Master!W102)</x:f>
        <x:v>No</x:v>
      </x:c>
      <x:c r="W24" s="3" t="str">
        <x:f>IF(Master!X102="","",Master!X102)</x:f>
        <x:v>ATProto links</x:v>
      </x:c>
      <x:c r="X24" s="3" t="str">
        <x:f>IF(Master!Y102="","",Master!Y102)</x:f>
        <x:v>Via app</x:v>
      </x:c>
      <x:c r="Y24" s="3" t="str">
        <x:f>IF(Master!Z102="","",Master!Z102)</x:f>
        <x:v>No native</x:v>
      </x:c>
      <x:c r="Z24" s="3" t="str">
        <x:f>IF(Master!AA102="","",Master!AA102)</x:f>
        <x:v>No native</x:v>
      </x:c>
      <x:c r="AA24" s="6" t="str">
        <x:f>IF(Master!AB102="","",Master!AB102)</x:f>
        <x:v>N/A</x:v>
      </x:c>
      <x:c r="AB24" s="3" t="str">
        <x:f>IF(Master!AC102="","",Master!AC102)</x:f>
        <x:v>No</x:v>
      </x:c>
      <x:c r="AC24" s="3" t="str">
        <x:f>IF(Master!AD102="","",Master!AD102)</x:f>
        <x:v>No</x:v>
      </x:c>
      <x:c r="AD24" s="3" t="str">
        <x:f>IF(Master!AE102="","",Master!AE102)</x:f>
        <x:v>Web/media stage</x:v>
      </x:c>
      <x:c r="AE24" s="3" t="str">
        <x:f>IF(Master!AF102="","",Master!AF102)</x:f>
        <x:v>No</x:v>
      </x:c>
      <x:c r="AF24" s="8" t="str">
        <x:f>IF(Master!AG102="","",Master!AG102)</x:f>
        <x:v>No</x:v>
      </x:c>
    </x:row>
    <x:row r="25" ht="36" customHeight="1">
      <x:c r="A25" s="17" t="s">
        <x:v>323</x:v>
      </x:c>
      <x:c r="B25" s="3" t="str">
        <x:f>IF(Master!C103="","",Master!C103)</x:f>
        <x:v>Partial: Scheduled Events, not a channel</x:v>
      </x:c>
      <x:c r="C25" s="3" t="str">
        <x:f>IF(Master!D103="","",Master!D103)</x:f>
        <x:v>No</x:v>
      </x:c>
      <x:c r="D25" s="3" t="str">
        <x:f>IF(Master!E103="","",Master!E103)</x:f>
        <x:v>No</x:v>
      </x:c>
      <x:c r="E25" s="3" t="str">
        <x:f>IF(Master!F103="","",Master!F103)</x:f>
        <x:v>No</x:v>
      </x:c>
      <x:c r="F25" s="3" t="str">
        <x:f>IF(Master!G103="","",Master!G103)</x:f>
        <x:v>Events rather than calendar channel</x:v>
      </x:c>
      <x:c r="G25" s="3" t="str">
        <x:f>IF(Master!H103="","",Master!H103)</x:f>
        <x:v>No native</x:v>
      </x:c>
      <x:c r="H25" s="3" t="str">
        <x:f>IF(Master!I103="","",Master!I103)</x:f>
        <x:v>Events</x:v>
      </x:c>
      <x:c r="I25" s="3" t="str">
        <x:f>IF(Master!J103="","",Master!J103)</x:f>
        <x:v>No</x:v>
      </x:c>
      <x:c r="J25" s="3" t="str">
        <x:f>IF(Master!K103="","",Master!K103)</x:f>
        <x:v>No</x:v>
      </x:c>
      <x:c r="K25" s="3" t="str">
        <x:f>IF(Master!L103="","",Master!L103)</x:f>
        <x:v>Scheduled events exist, but no dedicated calendar channel type verified</x:v>
      </x:c>
      <x:c r="L25" s="3" t="str">
        <x:f>IF(Master!M103="","",Master!M103)</x:f>
        <x:v>Calendar</x:v>
      </x:c>
      <x:c r="M25" s="3" t="str">
        <x:f>IF(Master!N103="","",Master!N103)</x:f>
        <x:v>No</x:v>
      </x:c>
      <x:c r="N25" s="3" t="str">
        <x:f>IF(Master!O103="","",Master!O103)</x:f>
        <x:v>Client-dependent</x:v>
      </x:c>
      <x:c r="O25" s="3" t="str">
        <x:f>IF(Master!P103="","",Master!P103)</x:f>
        <x:v>No</x:v>
      </x:c>
      <x:c r="P25" s="3" t="str">
        <x:f>IF(Master!Q103="","",Master!Q103)</x:f>
        <x:v>No native</x:v>
      </x:c>
      <x:c r="Q25" s="3" t="str">
        <x:f>IF(Master!R103="","",Master!R103)</x:f>
        <x:v>N/A</x:v>
      </x:c>
      <x:c r="R25" s="3" t="str">
        <x:f>IF(Master!S103="","",Master!S103)</x:f>
        <x:v>No</x:v>
      </x:c>
      <x:c r="S25" s="3" t="str">
        <x:f>IF(Master!T103="","",Master!T103)</x:f>
        <x:v>No</x:v>
      </x:c>
      <x:c r="T25" s="3" t="str">
        <x:f>IF(Master!U103="","",Master!U103)</x:f>
        <x:v>No</x:v>
      </x:c>
      <x:c r="U25" s="3" t="str">
        <x:f>IF(Master!V103="","",Master!V103)</x:f>
        <x:v>Yes: Shard events + multiple calendars</x:v>
      </x:c>
      <x:c r="V25" s="3" t="str">
        <x:f>IF(Master!W103="","",Master!W103)</x:f>
        <x:v>Calendar apps/integrations</x:v>
      </x:c>
      <x:c r="W25" s="3" t="str">
        <x:f>IF(Master!X103="","",Master!X103)</x:f>
        <x:v>No</x:v>
      </x:c>
      <x:c r="X25" s="3" t="str">
        <x:f>IF(Master!Y103="","",Master!Y103)</x:f>
        <x:v>Via app</x:v>
      </x:c>
      <x:c r="Y25" s="3" t="str">
        <x:f>IF(Master!Z103="","",Master!Z103)</x:f>
        <x:v>No native</x:v>
      </x:c>
      <x:c r="Z25" s="3" t="str">
        <x:f>IF(Master!AA103="","",Master!AA103)</x:f>
        <x:v>No native</x:v>
      </x:c>
      <x:c r="AA25" s="6" t="str">
        <x:f>IF(Master!AB103="","",Master!AB103)</x:f>
        <x:v>N/A</x:v>
      </x:c>
      <x:c r="AB25" s="3" t="str">
        <x:f>IF(Master!AC103="","",Master!AC103)</x:f>
      </x:c>
      <x:c r="AC25" s="3" t="str">
        <x:f>IF(Master!AD103="","",Master!AD103)</x:f>
        <x:v>No</x:v>
      </x:c>
      <x:c r="AD25" s="3" t="str">
        <x:f>IF(Master!AE103="","",Master!AE103)</x:f>
        <x:v>Events</x:v>
      </x:c>
      <x:c r="AE25" s="3" t="str">
        <x:f>IF(Master!AF103="","",Master!AF103)</x:f>
        <x:v>No</x:v>
      </x:c>
      <x:c r="AF25" s="8" t="str">
        <x:f>IF(Master!AG103="","",Master!AG103)</x:f>
        <x:v>No dedicated calendar; integrations</x:v>
      </x:c>
    </x:row>
    <x:row r="26" ht="36" customHeight="1">
      <x:c r="A26" s="17" t="s">
        <x:v>324</x:v>
      </x:c>
      <x:c r="B26" s="3" t="str">
        <x:f>IF(Master!C104="","",Master!C104)</x:f>
        <x:v>No native; webhooks/apps</x:v>
      </x:c>
      <x:c r="C26" s="3" t="str">
        <x:f>IF(Master!D104="","",Master!D104)</x:f>
        <x:v>No</x:v>
      </x:c>
      <x:c r="D26" s="3" t="str">
        <x:f>IF(Master!E104="","",Master!E104)</x:f>
        <x:v>No</x:v>
      </x:c>
      <x:c r="E26" s="3" t="str">
        <x:f>IF(Master!F104="","",Master!F104)</x:f>
        <x:v>No</x:v>
      </x:c>
      <x:c r="F26" s="3" t="str">
        <x:f>IF(Master!G104="","",Master!G104)</x:f>
        <x:v>No native</x:v>
      </x:c>
      <x:c r="G26" s="3" t="str">
        <x:f>IF(Master!H104="","",Master!H104)</x:f>
        <x:v>No native</x:v>
      </x:c>
      <x:c r="H26" s="3" t="str">
        <x:f>IF(Master!I104="","",Master!I104)</x:f>
        <x:v>No</x:v>
      </x:c>
      <x:c r="I26" s="3" t="str">
        <x:f>IF(Master!J104="","",Master!J104)</x:f>
        <x:v>No</x:v>
      </x:c>
      <x:c r="J26" s="3" t="str">
        <x:f>IF(Master!K104="","",Master!K104)</x:f>
        <x:v>No</x:v>
      </x:c>
      <x:c r="K26" s="3" t="str">
        <x:f>IF(Master!L104="","",Master!L104)</x:f>
        <x:v>Not documented as native: ticket, counting, highlights, welcome, wiki, document, live board, roster, web link, RSS, whiteboard, or tabletop channels.</x:v>
      </x:c>
      <x:c r="L26" s="3" t="str">
        <x:f>IF(Master!M104="","",Master!M104)</x:f>
        <x:v>No</x:v>
      </x:c>
      <x:c r="M26" s="3" t="str">
        <x:f>IF(Master!N104="","",Master!N104)</x:f>
        <x:v>No</x:v>
      </x:c>
      <x:c r="N26" s="3" t="str">
        <x:f>IF(Master!O104="","",Master!O104)</x:f>
        <x:v>Via integrations/bots</x:v>
      </x:c>
      <x:c r="O26" s="3" t="str">
        <x:f>IF(Master!P104="","",Master!P104)</x:f>
        <x:v>Integrations</x:v>
      </x:c>
      <x:c r="P26" s="3" t="str">
        <x:f>IF(Master!Q104="","",Master!Q104)</x:f>
        <x:v>No native</x:v>
      </x:c>
      <x:c r="Q26" s="3" t="str">
        <x:f>IF(Master!R104="","",Master!R104)</x:f>
        <x:v>N/A</x:v>
      </x:c>
      <x:c r="R26" s="3" t="str">
        <x:f>IF(Master!S104="","",Master!S104)</x:f>
        <x:v>No</x:v>
      </x:c>
      <x:c r="S26" s="3" t="str">
        <x:f>IF(Master!T104="","",Master!T104)</x:f>
        <x:v>No</x:v>
      </x:c>
      <x:c r="T26" s="3" t="str">
        <x:f>IF(Master!U104="","",Master!U104)</x:f>
        <x:v>No</x:v>
      </x:c>
      <x:c r="U26" s="3" t="str">
        <x:f>IF(Master!V104="","",Master!V104)</x:f>
        <x:v>RSS Channel &amp; Personal RSS Portal</x:v>
      </x:c>
      <x:c r="V26" s="3" t="str">
        <x:f>IF(Master!W104="","",Master!W104)</x:f>
        <x:v>Apps</x:v>
      </x:c>
      <x:c r="W26" s="3" t="str">
        <x:f>IF(Master!X104="","",Master!X104)</x:f>
        <x:v>No</x:v>
      </x:c>
      <x:c r="X26" s="3" t="str">
        <x:f>IF(Master!Y104="","",Master!Y104)</x:f>
        <x:v>Via app</x:v>
      </x:c>
      <x:c r="Y26" s="3" t="str">
        <x:f>IF(Master!Z104="","",Master!Z104)</x:f>
        <x:v>No native</x:v>
      </x:c>
      <x:c r="Z26" s="3" t="str">
        <x:f>IF(Master!AA104="","",Master!AA104)</x:f>
        <x:v>No native</x:v>
      </x:c>
      <x:c r="AA26" s="6" t="str">
        <x:f>IF(Master!AB104="","",Master!AB104)</x:f>
        <x:v>N/A</x:v>
      </x:c>
      <x:c r="AB26" s="3" t="str">
        <x:f>IF(Master!AC104="","",Master!AC104)</x:f>
        <x:v>No</x:v>
      </x:c>
      <x:c r="AC26" s="3" t="str">
        <x:f>IF(Master!AD104="","",Master!AD104)</x:f>
        <x:v>No</x:v>
      </x:c>
      <x:c r="AD26" s="3" t="str">
        <x:f>IF(Master!AE104="","",Master!AE104)</x:f>
      </x:c>
      <x:c r="AE26" s="3" t="str">
        <x:f>IF(Master!AF104="","",Master!AF104)</x:f>
        <x:v>No</x:v>
      </x:c>
      <x:c r="AF26" s="8" t="str">
        <x:f>IF(Master!AG104="","",Master!AG104)</x:f>
        <x:v>Via integrations</x:v>
      </x:c>
    </x:row>
    <x:row r="27" ht="36" customHeight="1">
      <x:c r="A27" s="17" t="s">
        <x:v>325</x:v>
      </x:c>
      <x:c r="B27" s="3" t="str">
        <x:f>IF(Master!C105="","",Master!C105)</x:f>
        <x:v>Activities/apps</x:v>
      </x:c>
      <x:c r="C27" s="3" t="str">
        <x:f>IF(Master!D105="","",Master!D105)</x:f>
      </x:c>
      <x:c r="D27" s="3" t="str">
        <x:f>IF(Master!E105="","",Master!E105)</x:f>
      </x:c>
      <x:c r="E27" s="3" t="str">
        <x:f>IF(Master!F105="","",Master!F105)</x:f>
      </x:c>
      <x:c r="F27" s="3" t="str">
        <x:f>IF(Master!G105="","",Master!G105)</x:f>
      </x:c>
      <x:c r="G27" s="3" t="str">
        <x:f>IF(Master!H105="","",Master!H105)</x:f>
      </x:c>
      <x:c r="H27" s="3" t="str">
        <x:f>IF(Master!I105="","",Master!I105)</x:f>
      </x:c>
      <x:c r="I27" s="3" t="str">
        <x:f>IF(Master!J105="","",Master!J105)</x:f>
      </x:c>
      <x:c r="J27" s="3" t="str">
        <x:f>IF(Master!K105="","",Master!K105)</x:f>
      </x:c>
      <x:c r="K27" s="3" t="str">
        <x:f>IF(Master!L105="","",Master!L105)</x:f>
        <x:v>Not documented as native: ticket, counting, highlights, welcome, wiki, document, live board, roster, web link, RSS, whiteboard, or tabletop channels.</x:v>
      </x:c>
      <x:c r="L27" s="3" t="str">
        <x:f>IF(Master!M105="","",Master!M105)</x:f>
      </x:c>
      <x:c r="M27" s="3" t="str">
        <x:f>IF(Master!N105="","",Master!N105)</x:f>
      </x:c>
      <x:c r="N27" s="3" t="str">
        <x:f>IF(Master!O105="","",Master!O105)</x:f>
      </x:c>
      <x:c r="O27" s="3" t="str">
        <x:f>IF(Master!P105="","",Master!P105)</x:f>
      </x:c>
      <x:c r="P27" s="3" t="str">
        <x:f>IF(Master!Q105="","",Master!Q105)</x:f>
      </x:c>
      <x:c r="Q27" s="3" t="str">
        <x:f>IF(Master!R105="","",Master!R105)</x:f>
      </x:c>
      <x:c r="R27" s="3" t="str">
        <x:f>IF(Master!S105="","",Master!S105)</x:f>
      </x:c>
      <x:c r="S27" s="3" t="str">
        <x:f>IF(Master!T105="","",Master!T105)</x:f>
      </x:c>
      <x:c r="T27" s="3" t="str">
        <x:f>IF(Master!U105="","",Master!U105)</x:f>
      </x:c>
      <x:c r="U27" s="3" t="str">
        <x:f>IF(Master!V105="","",Master!V105)</x:f>
        <x:v>Yes: within Documents Channel</x:v>
      </x:c>
      <x:c r="V27" s="3" t="str">
        <x:f>IF(Master!W105="","",Master!W105)</x:f>
      </x:c>
      <x:c r="W27" s="3" t="str">
        <x:f>IF(Master!X105="","",Master!X105)</x:f>
      </x:c>
      <x:c r="X27" s="3" t="str">
        <x:f>IF(Master!Y105="","",Master!Y105)</x:f>
      </x:c>
      <x:c r="Y27" s="3" t="str">
        <x:f>IF(Master!Z105="","",Master!Z105)</x:f>
      </x:c>
      <x:c r="Z27" s="3" t="str">
        <x:f>IF(Master!AA105="","",Master!AA105)</x:f>
      </x:c>
      <x:c r="AA27" s="6" t="str">
        <x:f>IF(Master!AB105="","",Master!AB105)</x:f>
      </x:c>
      <x:c r="AB27" s="3" t="str">
        <x:f>IF(Master!AC105="","",Master!AC105)</x:f>
      </x:c>
      <x:c r="AC27" s="3" t="str">
        <x:f>IF(Master!AD105="","",Master!AD105)</x:f>
      </x:c>
      <x:c r="AD27" s="3" t="str">
        <x:f>IF(Master!AE105="","",Master!AE105)</x:f>
      </x:c>
      <x:c r="AE27" s="3" t="str">
        <x:f>IF(Master!AF105="","",Master!AF105)</x:f>
      </x:c>
      <x:c r="AF27" s="8" t="str">
        <x:f>IF(Master!AG105="","",Master!AG105)</x:f>
      </x:c>
    </x:row>
    <x:row r="28" ht="36" customHeight="1">
      <x:c r="A28" s="17" t="s">
        <x:v>326</x:v>
      </x:c>
      <x:c r="B28" s="3" t="str">
        <x:f>IF(Master!C106="","",Master!C106)</x:f>
        <x:v>Activities/apps</x:v>
      </x:c>
      <x:c r="C28" s="3" t="str">
        <x:f>IF(Master!D106="","",Master!D106)</x:f>
      </x:c>
      <x:c r="D28" s="3" t="str">
        <x:f>IF(Master!E106="","",Master!E106)</x:f>
      </x:c>
      <x:c r="E28" s="3" t="str">
        <x:f>IF(Master!F106="","",Master!F106)</x:f>
      </x:c>
      <x:c r="F28" s="3" t="str">
        <x:f>IF(Master!G106="","",Master!G106)</x:f>
      </x:c>
      <x:c r="G28" s="3" t="str">
        <x:f>IF(Master!H106="","",Master!H106)</x:f>
      </x:c>
      <x:c r="H28" s="3" t="str">
        <x:f>IF(Master!I106="","",Master!I106)</x:f>
      </x:c>
      <x:c r="I28" s="3" t="str">
        <x:f>IF(Master!J106="","",Master!J106)</x:f>
      </x:c>
      <x:c r="J28" s="3" t="str">
        <x:f>IF(Master!K106="","",Master!K106)</x:f>
      </x:c>
      <x:c r="K28" s="3" t="str">
        <x:f>IF(Master!L106="","",Master!L106)</x:f>
        <x:v>Not documented as native: ticket, counting, highlights, welcome, wiki, document, live board, roster, web link, RSS, whiteboard, or tabletop channels.</x:v>
      </x:c>
      <x:c r="L28" s="3" t="str">
        <x:f>IF(Master!M106="","",Master!M106)</x:f>
      </x:c>
      <x:c r="M28" s="3" t="str">
        <x:f>IF(Master!N106="","",Master!N106)</x:f>
      </x:c>
      <x:c r="N28" s="3" t="str">
        <x:f>IF(Master!O106="","",Master!O106)</x:f>
      </x:c>
      <x:c r="O28" s="3" t="str">
        <x:f>IF(Master!P106="","",Master!P106)</x:f>
      </x:c>
      <x:c r="P28" s="3" t="str">
        <x:f>IF(Master!Q106="","",Master!Q106)</x:f>
      </x:c>
      <x:c r="Q28" s="3" t="str">
        <x:f>IF(Master!R106="","",Master!R106)</x:f>
      </x:c>
      <x:c r="R28" s="3" t="str">
        <x:f>IF(Master!S106="","",Master!S106)</x:f>
      </x:c>
      <x:c r="S28" s="3" t="str">
        <x:f>IF(Master!T106="","",Master!T106)</x:f>
      </x:c>
      <x:c r="T28" s="3" t="str">
        <x:f>IF(Master!U106="","",Master!U106)</x:f>
      </x:c>
      <x:c r="U28" s="3" t="str">
        <x:f>IF(Master!V106="","",Master!V106)</x:f>
        <x:v>Experimental: dedicated Tabletop workspace/channel</x:v>
      </x:c>
      <x:c r="V28" s="3" t="str">
        <x:f>IF(Master!W106="","",Master!W106)</x:f>
      </x:c>
      <x:c r="W28" s="3" t="str">
        <x:f>IF(Master!X106="","",Master!X106)</x:f>
      </x:c>
      <x:c r="X28" s="3" t="str">
        <x:f>IF(Master!Y106="","",Master!Y106)</x:f>
      </x:c>
      <x:c r="Y28" s="3" t="str">
        <x:f>IF(Master!Z106="","",Master!Z106)</x:f>
      </x:c>
      <x:c r="Z28" s="3" t="str">
        <x:f>IF(Master!AA106="","",Master!AA106)</x:f>
      </x:c>
      <x:c r="AA28" s="6" t="str">
        <x:f>IF(Master!AB106="","",Master!AB106)</x:f>
      </x:c>
      <x:c r="AB28" s="3" t="str">
        <x:f>IF(Master!AC106="","",Master!AC106)</x:f>
      </x:c>
      <x:c r="AC28" s="3" t="str">
        <x:f>IF(Master!AD106="","",Master!AD106)</x:f>
      </x:c>
      <x:c r="AD28" s="3" t="str">
        <x:f>IF(Master!AE106="","",Master!AE106)</x:f>
      </x:c>
      <x:c r="AE28" s="3" t="str">
        <x:f>IF(Master!AF106="","",Master!AF106)</x:f>
      </x:c>
      <x:c r="AF28" s="8" t="str">
        <x:f>IF(Master!AG106="","",Master!AG106)</x:f>
      </x:c>
    </x:row>
  </x:sheetData>
  <x:mergeCells>
    <x:mergeCell ref="A1:A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Directory'!A1","Extra Features: engagement, desktop, audio, and built-in community tools"),"Extra Features: engagement, desktop, audio, and built-in community tools")</x:f>
        <x:v>Extra Features: engagement, desktop, audio, and built-in community tools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327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328</x:v>
      </x:c>
      <x:c r="B4" s="3" t="str">
        <x:f>IF(Master!C107="","",Master!C107)</x:f>
        <x:v>Yes: Rich Presence</x:v>
      </x:c>
      <x:c r="C4" s="3" t="str">
        <x:f>IF(Master!D107="","",Master!D107)</x:f>
      </x:c>
      <x:c r="D4" s="3" t="str">
        <x:f>IF(Master!E107="","",Master!E107)</x:f>
      </x:c>
      <x:c r="E4" s="3" t="str">
        <x:f>IF(Master!F107="","",Master!F107)</x:f>
      </x:c>
      <x:c r="F4" s="3" t="str">
        <x:f>IF(Master!G107="","",Master!G107)</x:f>
      </x:c>
      <x:c r="G4" s="3" t="str">
        <x:f>IF(Master!H107="","",Master!H107)</x:f>
        <x:v>Yes</x:v>
      </x:c>
      <x:c r="H4" s="3" t="str">
        <x:f>IF(Master!I107="","",Master!I107)</x:f>
        <x:v>Rich presence/overlay</x:v>
      </x:c>
      <x:c r="I4" s="3" t="str">
        <x:f>IF(Master!J107="","",Master!J107)</x:f>
      </x:c>
      <x:c r="J4" s="3" t="str">
        <x:f>IF(Master!K107="","",Master!K107)</x:f>
        <x:v>Twitch integration/badges</x:v>
      </x:c>
      <x:c r="K4" s="3" t="str">
        <x:f>IF(Master!L107="","",Master!L107)</x:f>
        <x:v>Yes: developer-reported</x:v>
      </x:c>
      <x:c r="L4" s="3" t="str">
        <x:f>IF(Master!M107="","",Master!M107)</x:f>
      </x:c>
      <x:c r="M4" s="3" t="str">
        <x:f>IF(Master!N107="","",Master!N107)</x:f>
      </x:c>
      <x:c r="N4" s="3" t="str">
        <x:f>IF(Master!O107="","",Master!O107)</x:f>
        <x:v>Client-dependent</x:v>
      </x:c>
      <x:c r="O4" s="3" t="str">
        <x:f>IF(Master!P107="","",Master!P107)</x:f>
        <x:v>Integrations/status</x:v>
      </x:c>
      <x:c r="P4" s="3" t="str">
        <x:f>IF(Master!Q107="","",Master!Q107)</x:f>
      </x:c>
      <x:c r="Q4" s="3" t="str">
        <x:f>IF(Master!R107="","",Master!R107)</x:f>
        <x:v>Game integration/positional audio</x:v>
      </x:c>
      <x:c r="R4" s="3" t="str">
        <x:f>IF(Master!S107="","",Master!S107)</x:f>
        <x:v>Rich Presence extension</x:v>
      </x:c>
      <x:c r="S4" s="3" t="str">
        <x:f>IF(Master!T107="","",Master!T107)</x:f>
      </x:c>
      <x:c r="T4" s="3" t="str">
        <x:f>IF(Master!U107="","",Master!U107)</x:f>
        <x:v>Not claimed as a headline feature</x:v>
      </x:c>
      <x:c r="U4" s="3" t="str">
        <x:f>IF(Master!V107="","",Master!V107)</x:f>
        <x:v>Yes: Steam detection, game activity, Now Playing from music integrations and portals, plus user-registered custom apps</x:v>
      </x:c>
      <x:c r="V4" s="3" t="str">
        <x:f>IF(Master!W107="","",Master!W107)</x:f>
        <x:v>Integrations/status</x:v>
      </x:c>
      <x:c r="W4" s="3" t="str">
        <x:f>IF(Master!X107="","",Master!X107)</x:f>
      </x:c>
      <x:c r="X4" s="3" t="str">
        <x:f>IF(Master!Y107="","",Master!Y107)</x:f>
      </x:c>
      <x:c r="Y4" s="3" t="str">
        <x:f>IF(Master!Z107="","",Master!Z107)</x:f>
        <x:v>Discord-compatible target</x:v>
      </x:c>
      <x:c r="Z4" s="3" t="str">
        <x:f>IF(Master!AA107="","",Master!AA107)</x:f>
        <x:v>Yes</x:v>
      </x:c>
      <x:c r="AA4" s="6" t="str">
        <x:f>IF(Master!AB107="","",Master!AB107)</x:f>
        <x:v>Game-oriented presence/plugins</x:v>
      </x:c>
      <x:c r="AB4" s="3" t="str">
        <x:f>IF(Master!AC107="","",Master!AC107)</x:f>
      </x:c>
      <x:c r="AC4" s="3" t="str">
        <x:f>IF(Master!AD107="","",Master!AD107)</x:f>
      </x:c>
      <x:c r="AD4" s="3" t="str">
        <x:f>IF(Master!AE107="","",Master!AE107)</x:f>
        <x:v>Deep game presence</x:v>
      </x:c>
      <x:c r="AE4" s="3" t="str">
        <x:f>IF(Master!AF107="","",Master!AF107)</x:f>
      </x:c>
      <x:c r="AF4" s="8" t="str">
        <x:f>IF(Master!AG107="","",Master!AG107)</x:f>
        <x:v>No game rich presence</x:v>
      </x:c>
    </x:row>
    <x:row r="5" ht="36" customHeight="1">
      <x:c r="A5" s="17" t="s">
        <x:v>329</x:v>
      </x:c>
      <x:c r="B5" s="3" t="str">
        <x:f>IF(Master!C398="","",Master!C398)</x:f>
        <x:v>Yes: game overlay</x:v>
      </x:c>
      <x:c r="C5" s="3" t="str">
        <x:f>IF(Master!D398="","",Master!D398)</x:f>
      </x:c>
      <x:c r="D5" s="3" t="str">
        <x:f>IF(Master!E398="","",Master!E398)</x:f>
      </x:c>
      <x:c r="E5" s="3" t="str">
        <x:f>IF(Master!F398="","",Master!F398)</x:f>
      </x:c>
      <x:c r="F5" s="3" t="str">
        <x:f>IF(Master!G398="","",Master!G398)</x:f>
      </x:c>
      <x:c r="G5" s="3" t="str">
        <x:f>IF(Master!H398="","",Master!H398)</x:f>
      </x:c>
      <x:c r="H5" s="3" t="str">
        <x:f>IF(Master!I398="","",Master!I398)</x:f>
      </x:c>
      <x:c r="I5" s="3" t="str">
        <x:f>IF(Master!J398="","",Master!J398)</x:f>
      </x:c>
      <x:c r="J5" s="3" t="str">
        <x:f>IF(Master!K398="","",Master!K398)</x:f>
      </x:c>
      <x:c r="K5" s="3" t="str">
        <x:f>IF(Master!L398="","",Master!L398)</x:f>
        <x:v>Not documented</x:v>
      </x:c>
      <x:c r="L5" s="3" t="str">
        <x:f>IF(Master!M398="","",Master!M398)</x:f>
      </x:c>
      <x:c r="M5" s="3" t="str">
        <x:f>IF(Master!N398="","",Master!N398)</x:f>
      </x:c>
      <x:c r="N5" s="3" t="str">
        <x:f>IF(Master!O398="","",Master!O398)</x:f>
      </x:c>
      <x:c r="O5" s="3" t="str">
        <x:f>IF(Master!P398="","",Master!P398)</x:f>
      </x:c>
      <x:c r="P5" s="3" t="str">
        <x:f>IF(Master!Q398="","",Master!Q398)</x:f>
      </x:c>
      <x:c r="Q5" s="3" t="str">
        <x:f>IF(Master!R398="","",Master!R398)</x:f>
      </x:c>
      <x:c r="R5" s="3" t="str">
        <x:f>IF(Master!S398="","",Master!S398)</x:f>
      </x:c>
      <x:c r="S5" s="3" t="str">
        <x:f>IF(Master!T398="","",Master!T398)</x:f>
      </x:c>
      <x:c r="T5" s="3" t="str">
        <x:f>IF(Master!U398="","",Master!U398)</x:f>
      </x:c>
      <x:c r="U5" s="3" t="str">
        <x:f>IF(Master!V398="","",Master!V398)</x:f>
        <x:v>Yes: always-on-top voice HUD</x:v>
      </x:c>
      <x:c r="V5" s="3" t="str">
        <x:f>IF(Master!W398="","",Master!W398)</x:f>
      </x:c>
      <x:c r="W5" s="3" t="str">
        <x:f>IF(Master!X398="","",Master!X398)</x:f>
      </x:c>
      <x:c r="X5" s="3" t="str">
        <x:f>IF(Master!Y398="","",Master!Y398)</x:f>
      </x:c>
      <x:c r="Y5" s="3" t="str">
        <x:f>IF(Master!Z398="","",Master!Z398)</x:f>
      </x:c>
      <x:c r="Z5" s="3" t="str">
        <x:f>IF(Master!AA398="","",Master!AA398)</x:f>
      </x:c>
      <x:c r="AA5" s="6" t="str">
        <x:f>IF(Master!AB398="","",Master!AB398)</x:f>
        <x:v>Client/plugin dependent</x:v>
      </x:c>
      <x:c r="AB5" s="3" t="str">
        <x:f>IF(Master!AC398="","",Master!AC398)</x:f>
      </x:c>
      <x:c r="AC5" s="3" t="str">
        <x:f>IF(Master!AD398="","",Master!AD398)</x:f>
      </x:c>
      <x:c r="AD5" s="3" t="str">
        <x:f>IF(Master!AE398="","",Master!AE398)</x:f>
      </x:c>
      <x:c r="AE5" s="3" t="str">
        <x:f>IF(Master!AF398="","",Master!AF398)</x:f>
      </x:c>
      <x:c r="AF5" s="8" t="str">
        <x:f>IF(Master!AG398="","",Master!AG398)</x:f>
      </x:c>
    </x:row>
    <x:row r="6" ht="36" customHeight="1">
      <x:c r="A6" s="17" t="s">
        <x:v>330</x:v>
      </x:c>
      <x:c r="B6" s="3" t="str">
        <x:f>IF(Master!C108="","",Master!C108)</x:f>
        <x:v>Yes: server Soundboard</x:v>
      </x:c>
      <x:c r="C6" s="3" t="str">
        <x:f>IF(Master!D108="","",Master!D108)</x:f>
        <x:v>No</x:v>
      </x:c>
      <x:c r="D6" s="3" t="str">
        <x:f>IF(Master!E108="","",Master!E108)</x:f>
      </x:c>
      <x:c r="E6" s="3" t="str">
        <x:f>IF(Master!F108="","",Master!F108)</x:f>
        <x:v>No</x:v>
      </x:c>
      <x:c r="F6" s="3" t="str">
        <x:f>IF(Master!G108="","",Master!G108)</x:f>
      </x:c>
      <x:c r="G6" s="3" t="str">
        <x:f>IF(Master!H108="","",Master!H108)</x:f>
      </x:c>
      <x:c r="H6" s="3" t="str">
        <x:f>IF(Master!I108="","",Master!I108)</x:f>
        <x:v>Yes: imported soundboard</x:v>
      </x:c>
      <x:c r="I6" s="3" t="str">
        <x:f>IF(Master!J108="","",Master!J108)</x:f>
      </x:c>
      <x:c r="J6" s="3" t="str">
        <x:f>IF(Master!K108="","",Master!K108)</x:f>
        <x:v>No</x:v>
      </x:c>
      <x:c r="K6" s="3" t="str">
        <x:f>IF(Master!L108="","",Master!L108)</x:f>
        <x:v>Yes: guild soundboards are exposed in the official Python SDK</x:v>
      </x:c>
      <x:c r="L6" s="3" t="str">
        <x:f>IF(Master!M108="","",Master!M108)</x:f>
      </x:c>
      <x:c r="M6" s="3" t="str">
        <x:f>IF(Master!N108="","",Master!N108)</x:f>
      </x:c>
      <x:c r="N6" s="3" t="str">
        <x:f>IF(Master!O108="","",Master!O108)</x:f>
        <x:v>Client-dependent</x:v>
      </x:c>
      <x:c r="O6" s="3" t="str">
        <x:f>IF(Master!P108="","",Master!P108)</x:f>
        <x:v>No native soundboard</x:v>
      </x:c>
      <x:c r="P6" s="3" t="str">
        <x:f>IF(Master!Q108="","",Master!Q108)</x:f>
      </x:c>
      <x:c r="Q6" s="3" t="str">
        <x:f>IF(Master!R108="","",Master!R108)</x:f>
        <x:v>No</x:v>
      </x:c>
      <x:c r="R6" s="3" t="str">
        <x:f>IF(Master!S108="","",Master!S108)</x:f>
        <x:v>No</x:v>
      </x:c>
      <x:c r="S6" s="3" t="str">
        <x:f>IF(Master!T108="","",Master!T108)</x:f>
      </x:c>
      <x:c r="T6" s="3" t="str">
        <x:f>IF(Master!U108="","",Master!U108)</x:f>
        <x:v>Not claimed as a Discord-parity feature</x:v>
      </x:c>
      <x:c r="U6" s="3" t="str">
        <x:f>IF(Master!V108="","",Master!V108)</x:f>
        <x:v>Yes</x:v>
      </x:c>
      <x:c r="V6" s="3" t="str">
        <x:f>IF(Master!W108="","",Master!W108)</x:f>
        <x:v>No native gaming soundboard</x:v>
      </x:c>
      <x:c r="W6" s="3" t="str">
        <x:f>IF(Master!X108="","",Master!X108)</x:f>
        <x:v>No</x:v>
      </x:c>
      <x:c r="X6" s="3" t="str">
        <x:f>IF(Master!Y108="","",Master!Y108)</x:f>
      </x:c>
      <x:c r="Y6" s="3" t="str">
        <x:f>IF(Master!Z108="","",Master!Z108)</x:f>
      </x:c>
      <x:c r="Z6" s="3" t="str">
        <x:f>IF(Master!AA108="","",Master!AA108)</x:f>
        <x:v>No native soundboard verified</x:v>
      </x:c>
      <x:c r="AA6" s="6" t="str">
        <x:f>IF(Master!AB108="","",Master!AB108)</x:f>
      </x:c>
      <x:c r="AB6" s="3" t="str">
        <x:f>IF(Master!AC108="","",Master!AC108)</x:f>
        <x:v>No</x:v>
      </x:c>
      <x:c r="AC6" s="3" t="str">
        <x:f>IF(Master!AD108="","",Master!AD108)</x:f>
      </x:c>
      <x:c r="AD6" s="3" t="str">
        <x:f>IF(Master!AE108="","",Master!AE108)</x:f>
        <x:v>No</x:v>
      </x:c>
      <x:c r="AE6" s="3" t="str">
        <x:f>IF(Master!AF108="","",Master!AF108)</x:f>
        <x:v>No</x:v>
      </x:c>
      <x:c r="AF6" s="8" t="str">
        <x:f>IF(Master!AG108="","",Master!AG108)</x:f>
        <x:v>No</x:v>
      </x:c>
    </x:row>
    <x:row r="7" ht="36" customHeight="1">
      <x:c r="A7" s="17" t="s">
        <x:v>331</x:v>
      </x:c>
      <x:c r="B7" s="3" t="str">
        <x:f>IF(Master!C109="","",Master!C109)</x:f>
        <x:v>Partial: server soundboards can be used/favorited; no separate personal soundboard</x:v>
      </x:c>
      <x:c r="C7" s="3" t="str">
        <x:f>IF(Master!D109="","",Master!D109)</x:f>
        <x:v>No</x:v>
      </x:c>
      <x:c r="D7" s="3" t="str">
        <x:f>IF(Master!E109="","",Master!E109)</x:f>
      </x:c>
      <x:c r="E7" s="3" t="str">
        <x:f>IF(Master!F109="","",Master!F109)</x:f>
        <x:v>No</x:v>
      </x:c>
      <x:c r="F7" s="3" t="str">
        <x:f>IF(Master!G109="","",Master!G109)</x:f>
      </x:c>
      <x:c r="G7" s="3" t="str">
        <x:f>IF(Master!H109="","",Master!H109)</x:f>
      </x:c>
      <x:c r="H7" s="3" t="str">
        <x:f>IF(Master!I109="","",Master!I109)</x:f>
      </x:c>
      <x:c r="I7" s="3" t="str">
        <x:f>IF(Master!J109="","",Master!J109)</x:f>
      </x:c>
      <x:c r="J7" s="3" t="str">
        <x:f>IF(Master!K109="","",Master!K109)</x:f>
        <x:v>No</x:v>
      </x:c>
      <x:c r="K7" s="3" t="str">
        <x:f>IF(Master!L109="","",Master!L109)</x:f>
        <x:v>Scope not separately documented; guild soundboards are verified</x:v>
      </x:c>
      <x:c r="L7" s="3" t="str">
        <x:f>IF(Master!M109="","",Master!M109)</x:f>
      </x:c>
      <x:c r="M7" s="3" t="str">
        <x:f>IF(Master!N109="","",Master!N109)</x:f>
      </x:c>
      <x:c r="N7" s="3" t="str">
        <x:f>IF(Master!O109="","",Master!O109)</x:f>
        <x:v>Client-dependent</x:v>
      </x:c>
      <x:c r="O7" s="3" t="str">
        <x:f>IF(Master!P109="","",Master!P109)</x:f>
        <x:v>No</x:v>
      </x:c>
      <x:c r="P7" s="3" t="str">
        <x:f>IF(Master!Q109="","",Master!Q109)</x:f>
      </x:c>
      <x:c r="Q7" s="3" t="str">
        <x:f>IF(Master!R109="","",Master!R109)</x:f>
        <x:v>No</x:v>
      </x:c>
      <x:c r="R7" s="3" t="str">
        <x:f>IF(Master!S109="","",Master!S109)</x:f>
        <x:v>No</x:v>
      </x:c>
      <x:c r="S7" s="3" t="str">
        <x:f>IF(Master!T109="","",Master!T109)</x:f>
      </x:c>
      <x:c r="T7" s="3" t="str">
        <x:f>IF(Master!U109="","",Master!U109)</x:f>
        <x:v>Not claimed as a Discord-parity feature</x:v>
      </x:c>
      <x:c r="U7" s="3" t="str">
        <x:f>IF(Master!V109="","",Master!V109)</x:f>
        <x:v>Yes</x:v>
      </x:c>
      <x:c r="V7" s="3" t="str">
        <x:f>IF(Master!W109="","",Master!W109)</x:f>
        <x:v>No</x:v>
      </x:c>
      <x:c r="W7" s="3" t="str">
        <x:f>IF(Master!X109="","",Master!X109)</x:f>
        <x:v>No</x:v>
      </x:c>
      <x:c r="X7" s="3" t="str">
        <x:f>IF(Master!Y109="","",Master!Y109)</x:f>
      </x:c>
      <x:c r="Y7" s="3" t="str">
        <x:f>IF(Master!Z109="","",Master!Z109)</x:f>
      </x:c>
      <x:c r="Z7" s="3" t="str">
        <x:f>IF(Master!AA109="","",Master!AA109)</x:f>
        <x:v>No</x:v>
      </x:c>
      <x:c r="AA7" s="6" t="str">
        <x:f>IF(Master!AB109="","",Master!AB109)</x:f>
      </x:c>
      <x:c r="AB7" s="3" t="str">
        <x:f>IF(Master!AC109="","",Master!AC109)</x:f>
        <x:v>No</x:v>
      </x:c>
      <x:c r="AC7" s="3" t="str">
        <x:f>IF(Master!AD109="","",Master!AD109)</x:f>
      </x:c>
      <x:c r="AD7" s="3" t="str">
        <x:f>IF(Master!AE109="","",Master!AE109)</x:f>
        <x:v>No</x:v>
      </x:c>
      <x:c r="AE7" s="3" t="str">
        <x:f>IF(Master!AF109="","",Master!AF109)</x:f>
        <x:v>No</x:v>
      </x:c>
      <x:c r="AF7" s="8" t="str">
        <x:f>IF(Master!AG109="","",Master!AG109)</x:f>
        <x:v>No</x:v>
      </x:c>
    </x:row>
    <x:row r="8" ht="36" customHeight="1">
      <x:c r="A8" s="17" t="s">
        <x:v>332</x:v>
      </x:c>
      <x:c r="B8" s="3" t="str">
        <x:f>IF(Master!C110="","",Master!C110)</x:f>
        <x:v>No native</x:v>
      </x:c>
      <x:c r="C8" s="3" t="str">
        <x:f>IF(Master!D110="","",Master!D110)</x:f>
      </x:c>
      <x:c r="D8" s="3" t="str">
        <x:f>IF(Master!E110="","",Master!E110)</x:f>
      </x:c>
      <x:c r="E8" s="3" t="str">
        <x:f>IF(Master!F110="","",Master!F110)</x:f>
      </x:c>
      <x:c r="F8" s="3" t="str">
        <x:f>IF(Master!G110="","",Master!G110)</x:f>
      </x:c>
      <x:c r="G8" s="3" t="str">
        <x:f>IF(Master!H110="","",Master!H110)</x:f>
      </x:c>
      <x:c r="H8" s="3" t="str">
        <x:f>IF(Master!I110="","",Master!I110)</x:f>
      </x:c>
      <x:c r="I8" s="3" t="str">
        <x:f>IF(Master!J110="","",Master!J110)</x:f>
      </x:c>
      <x:c r="J8" s="3" t="str">
        <x:f>IF(Master!K110="","",Master!K110)</x:f>
      </x:c>
      <x:c r="K8" s="3" t="str">
        <x:f>IF(Master!L110="","",Master!L110)</x:f>
        <x:v>No native voice changer documented</x:v>
      </x:c>
      <x:c r="L8" s="3" t="str">
        <x:f>IF(Master!M110="","",Master!M110)</x:f>
      </x:c>
      <x:c r="M8" s="3" t="str">
        <x:f>IF(Master!N110="","",Master!N110)</x:f>
      </x:c>
      <x:c r="N8" s="3" t="str">
        <x:f>IF(Master!O110="","",Master!O110)</x:f>
      </x:c>
      <x:c r="O8" s="3" t="str">
        <x:f>IF(Master!P110="","",Master!P110)</x:f>
      </x:c>
      <x:c r="P8" s="3" t="str">
        <x:f>IF(Master!Q110="","",Master!Q110)</x:f>
      </x:c>
      <x:c r="Q8" s="3" t="str">
        <x:f>IF(Master!R110="","",Master!R110)</x:f>
      </x:c>
      <x:c r="R8" s="3" t="str">
        <x:f>IF(Master!S110="","",Master!S110)</x:f>
      </x:c>
      <x:c r="S8" s="3" t="str">
        <x:f>IF(Master!T110="","",Master!T110)</x:f>
      </x:c>
      <x:c r="T8" s="3" t="str">
        <x:f>IF(Master!U110="","",Master!U110)</x:f>
      </x:c>
      <x:c r="U8" s="3" t="str">
        <x:f>IF(Master!V110="","",Master!V110)</x:f>
        <x:v>Yes</x:v>
      </x:c>
      <x:c r="V8" s="3" t="str">
        <x:f>IF(Master!W110="","",Master!W110)</x:f>
      </x:c>
      <x:c r="W8" s="3" t="str">
        <x:f>IF(Master!X110="","",Master!X110)</x:f>
      </x:c>
      <x:c r="X8" s="3" t="str">
        <x:f>IF(Master!Y110="","",Master!Y110)</x:f>
      </x:c>
      <x:c r="Y8" s="3" t="str">
        <x:f>IF(Master!Z110="","",Master!Z110)</x:f>
      </x:c>
      <x:c r="Z8" s="3" t="str">
        <x:f>IF(Master!AA110="","",Master!AA110)</x:f>
      </x:c>
      <x:c r="AA8" s="6" t="str">
        <x:f>IF(Master!AB110="","",Master!AB110)</x:f>
        <x:v>Plugin dependent</x:v>
      </x:c>
      <x:c r="AB8" s="3" t="str">
        <x:f>IF(Master!AC110="","",Master!AC110)</x:f>
      </x:c>
      <x:c r="AC8" s="3" t="str">
        <x:f>IF(Master!AD110="","",Master!AD110)</x:f>
      </x:c>
      <x:c r="AD8" s="3" t="str">
        <x:f>IF(Master!AE110="","",Master!AE110)</x:f>
      </x:c>
      <x:c r="AE8" s="3" t="str">
        <x:f>IF(Master!AF110="","",Master!AF110)</x:f>
      </x:c>
      <x:c r="AF8" s="8" t="str">
        <x:f>IF(Master!AG110="","",Master!AG110)</x:f>
      </x:c>
    </x:row>
    <x:row r="9" ht="21.950000762939453" customHeight="1">
      <x:c r="A9" s="18" t="s">
        <x:v>333</x:v>
      </x:c>
      <x:c r="B9" s="18" t="str">
        <x:f t="shared" ref="B9:AF9" si="1">IF(""="","","")</x:f>
      </x:c>
      <x:c r="C9" s="18" t="str">
        <x:f t="shared" si="1"/>
      </x:c>
      <x:c r="D9" s="18" t="str">
        <x:f t="shared" si="1"/>
      </x:c>
      <x:c r="E9" s="18" t="str">
        <x:f t="shared" si="1"/>
      </x:c>
      <x:c r="F9" s="18" t="str">
        <x:f t="shared" si="1"/>
      </x:c>
      <x:c r="G9" s="18" t="str">
        <x:f t="shared" si="1"/>
      </x:c>
      <x:c r="H9" s="18" t="str">
        <x:f t="shared" si="1"/>
      </x:c>
      <x:c r="I9" s="18" t="str">
        <x:f t="shared" si="1"/>
      </x:c>
      <x:c r="J9" s="18" t="str">
        <x:f t="shared" si="1"/>
      </x:c>
      <x:c r="K9" s="18" t="str">
        <x:f t="shared" si="1"/>
      </x:c>
      <x:c r="L9" s="18" t="str">
        <x:f t="shared" si="1"/>
      </x:c>
      <x:c r="M9" s="18" t="str">
        <x:f t="shared" si="1"/>
      </x:c>
      <x:c r="N9" s="18" t="str">
        <x:f t="shared" si="1"/>
      </x:c>
      <x:c r="O9" s="18" t="str">
        <x:f t="shared" si="1"/>
      </x:c>
      <x:c r="P9" s="18" t="str">
        <x:f t="shared" si="1"/>
      </x:c>
      <x:c r="Q9" s="18" t="str">
        <x:f t="shared" si="1"/>
      </x:c>
      <x:c r="R9" s="18" t="str">
        <x:f t="shared" si="1"/>
      </x:c>
      <x:c r="S9" s="18" t="str">
        <x:f t="shared" si="1"/>
      </x:c>
      <x:c r="T9" s="18" t="str">
        <x:f t="shared" si="1"/>
      </x:c>
      <x:c r="U9" s="18" t="str">
        <x:f t="shared" si="1"/>
      </x:c>
      <x:c r="V9" s="18" t="str">
        <x:f t="shared" si="1"/>
      </x:c>
      <x:c r="W9" s="18" t="str">
        <x:f t="shared" si="1"/>
      </x:c>
      <x:c r="X9" s="18" t="str">
        <x:f t="shared" si="1"/>
      </x:c>
      <x:c r="Y9" s="18" t="str">
        <x:f t="shared" si="1"/>
      </x:c>
      <x:c r="Z9" s="18" t="str">
        <x:f t="shared" si="1"/>
      </x:c>
      <x:c r="AA9" s="18" t="str">
        <x:f t="shared" si="1"/>
      </x:c>
      <x:c r="AB9" s="18" t="str">
        <x:f t="shared" si="1"/>
      </x:c>
      <x:c r="AC9" s="18" t="str">
        <x:f t="shared" si="1"/>
      </x:c>
      <x:c r="AD9" s="18" t="str">
        <x:f t="shared" si="1"/>
      </x:c>
      <x:c r="AE9" s="18" t="str">
        <x:f t="shared" si="1"/>
      </x:c>
      <x:c r="AF9" s="19" t="str">
        <x:f t="shared" si="1"/>
      </x:c>
    </x:row>
    <x:row r="10" ht="36" customHeight="1">
      <x:c r="A10" s="17" t="s">
        <x:v>334</x:v>
      </x:c>
      <x:c r="B10" s="3" t="str">
        <x:f>IF(Master!C111="","",Master!C111)</x:f>
        <x:v>No native; bots/apps</x:v>
      </x:c>
      <x:c r="C10" s="3" t="str">
        <x:f>IF(Master!D111="","",Master!D111)</x:f>
      </x:c>
      <x:c r="D10" s="3" t="str">
        <x:f>IF(Master!E111="","",Master!E111)</x:f>
      </x:c>
      <x:c r="E10" s="3" t="str">
        <x:f>IF(Master!F111="","",Master!F111)</x:f>
      </x:c>
      <x:c r="F10" s="3" t="str">
        <x:f>IF(Master!G111="","",Master!G111)</x:f>
      </x:c>
      <x:c r="G10" s="3" t="str">
        <x:f>IF(Master!H111="","",Master!H111)</x:f>
      </x:c>
      <x:c r="H10" s="3" t="str">
        <x:f>IF(Master!I111="","",Master!I111)</x:f>
      </x:c>
      <x:c r="I10" s="3" t="str">
        <x:f>IF(Master!J111="","",Master!J111)</x:f>
      </x:c>
      <x:c r="J10" s="3" t="str">
        <x:f>IF(Master!K111="","",Master!K111)</x:f>
      </x:c>
      <x:c r="K10" s="3" t="str">
        <x:f>IF(Master!L111="","",Master!L111)</x:f>
        <x:v>No native leveling/XP system documented</x:v>
      </x:c>
      <x:c r="L10" s="3" t="str">
        <x:f>IF(Master!M111="","",Master!M111)</x:f>
      </x:c>
      <x:c r="M10" s="3" t="str">
        <x:f>IF(Master!N111="","",Master!N111)</x:f>
      </x:c>
      <x:c r="N10" s="3" t="str">
        <x:f>IF(Master!O111="","",Master!O111)</x:f>
      </x:c>
      <x:c r="O10" s="3" t="str">
        <x:f>IF(Master!P111="","",Master!P111)</x:f>
      </x:c>
      <x:c r="P10" s="3" t="str">
        <x:f>IF(Master!Q111="","",Master!Q111)</x:f>
      </x:c>
      <x:c r="Q10" s="3" t="str">
        <x:f>IF(Master!R111="","",Master!R111)</x:f>
      </x:c>
      <x:c r="R10" s="3" t="str">
        <x:f>IF(Master!S111="","",Master!S111)</x:f>
      </x:c>
      <x:c r="S10" s="3" t="str">
        <x:f>IF(Master!T111="","",Master!T111)</x:f>
      </x:c>
      <x:c r="T10" s="3" t="str">
        <x:f>IF(Master!U111="","",Master!U111)</x:f>
      </x:c>
      <x:c r="U10" s="3" t="str">
        <x:f>IF(Master!V111="","",Master!V111)</x:f>
        <x:v>Yes: opt-in XP, roles/unlocks, leaderboard</x:v>
      </x:c>
      <x:c r="V10" s="3" t="str">
        <x:f>IF(Master!W111="","",Master!W111)</x:f>
      </x:c>
      <x:c r="W10" s="3" t="str">
        <x:f>IF(Master!X111="","",Master!X111)</x:f>
      </x:c>
      <x:c r="X10" s="3" t="str">
        <x:f>IF(Master!Y111="","",Master!Y111)</x:f>
      </x:c>
      <x:c r="Y10" s="3" t="str">
        <x:f>IF(Master!Z111="","",Master!Z111)</x:f>
      </x:c>
      <x:c r="Z10" s="3" t="str">
        <x:f>IF(Master!AA111="","",Master!AA111)</x:f>
      </x:c>
      <x:c r="AA10" s="6" t="str">
        <x:f>IF(Master!AB111="","",Master!AB111)</x:f>
      </x:c>
      <x:c r="AB10" s="3" t="str">
        <x:f>IF(Master!AC111="","",Master!AC111)</x:f>
      </x:c>
      <x:c r="AC10" s="3" t="str">
        <x:f>IF(Master!AD111="","",Master!AD111)</x:f>
      </x:c>
      <x:c r="AD10" s="3" t="str">
        <x:f>IF(Master!AE111="","",Master!AE111)</x:f>
      </x:c>
      <x:c r="AE10" s="3" t="str">
        <x:f>IF(Master!AF111="","",Master!AF111)</x:f>
      </x:c>
      <x:c r="AF10" s="8" t="str">
        <x:f>IF(Master!AG111="","",Master!AG111)</x:f>
      </x:c>
    </x:row>
    <x:row r="11" ht="36" customHeight="1">
      <x:c r="A11" s="17" t="s">
        <x:v>335</x:v>
      </x:c>
      <x:c r="B11" s="3" t="str">
        <x:f>IF(Master!C112="","",Master!C112)</x:f>
        <x:v>No native; bots/apps</x:v>
      </x:c>
      <x:c r="C11" s="3" t="str">
        <x:f>IF(Master!D112="","",Master!D112)</x:f>
      </x:c>
      <x:c r="D11" s="3" t="str">
        <x:f>IF(Master!E112="","",Master!E112)</x:f>
      </x:c>
      <x:c r="E11" s="3" t="str">
        <x:f>IF(Master!F112="","",Master!F112)</x:f>
      </x:c>
      <x:c r="F11" s="3" t="str">
        <x:f>IF(Master!G112="","",Master!G112)</x:f>
      </x:c>
      <x:c r="G11" s="3" t="str">
        <x:f>IF(Master!H112="","",Master!H112)</x:f>
      </x:c>
      <x:c r="H11" s="3" t="str">
        <x:f>IF(Master!I112="","",Master!I112)</x:f>
      </x:c>
      <x:c r="I11" s="3" t="str">
        <x:f>IF(Master!J112="","",Master!J112)</x:f>
      </x:c>
      <x:c r="J11" s="3" t="str">
        <x:f>IF(Master!K112="","",Master!K112)</x:f>
      </x:c>
      <x:c r="K11" s="3" t="str">
        <x:f>IF(Master!L112="","",Master!L112)</x:f>
        <x:v>No native giveaways/raffles system documented</x:v>
      </x:c>
      <x:c r="L11" s="3" t="str">
        <x:f>IF(Master!M112="","",Master!M112)</x:f>
      </x:c>
      <x:c r="M11" s="3" t="str">
        <x:f>IF(Master!N112="","",Master!N112)</x:f>
      </x:c>
      <x:c r="N11" s="3" t="str">
        <x:f>IF(Master!O112="","",Master!O112)</x:f>
      </x:c>
      <x:c r="O11" s="3" t="str">
        <x:f>IF(Master!P112="","",Master!P112)</x:f>
      </x:c>
      <x:c r="P11" s="3" t="str">
        <x:f>IF(Master!Q112="","",Master!Q112)</x:f>
      </x:c>
      <x:c r="Q11" s="3" t="str">
        <x:f>IF(Master!R112="","",Master!R112)</x:f>
      </x:c>
      <x:c r="R11" s="3" t="str">
        <x:f>IF(Master!S112="","",Master!S112)</x:f>
      </x:c>
      <x:c r="S11" s="3" t="str">
        <x:f>IF(Master!T112="","",Master!T112)</x:f>
      </x:c>
      <x:c r="T11" s="3" t="str">
        <x:f>IF(Master!U112="","",Master!U112)</x:f>
      </x:c>
      <x:c r="U11" s="3" t="str">
        <x:f>IF(Master!V112="","",Master!V112)</x:f>
        <x:v>Yes: verifiable cryptographic draw</x:v>
      </x:c>
      <x:c r="V11" s="3" t="str">
        <x:f>IF(Master!W112="","",Master!W112)</x:f>
      </x:c>
      <x:c r="W11" s="3" t="str">
        <x:f>IF(Master!X112="","",Master!X112)</x:f>
      </x:c>
      <x:c r="X11" s="3" t="str">
        <x:f>IF(Master!Y112="","",Master!Y112)</x:f>
      </x:c>
      <x:c r="Y11" s="3" t="str">
        <x:f>IF(Master!Z112="","",Master!Z112)</x:f>
      </x:c>
      <x:c r="Z11" s="3" t="str">
        <x:f>IF(Master!AA112="","",Master!AA112)</x:f>
      </x:c>
      <x:c r="AA11" s="6" t="str">
        <x:f>IF(Master!AB112="","",Master!AB112)</x:f>
      </x:c>
      <x:c r="AB11" s="3" t="str">
        <x:f>IF(Master!AC112="","",Master!AC112)</x:f>
      </x:c>
      <x:c r="AC11" s="3" t="str">
        <x:f>IF(Master!AD112="","",Master!AD112)</x:f>
      </x:c>
      <x:c r="AD11" s="3" t="str">
        <x:f>IF(Master!AE112="","",Master!AE112)</x:f>
      </x:c>
      <x:c r="AE11" s="3" t="str">
        <x:f>IF(Master!AF112="","",Master!AF112)</x:f>
      </x:c>
      <x:c r="AF11" s="8" t="str">
        <x:f>IF(Master!AG112="","",Master!AG112)</x:f>
      </x:c>
    </x:row>
    <x:row r="12" ht="36" customHeight="1">
      <x:c r="A12" s="17" t="s">
        <x:v>336</x:v>
      </x:c>
      <x:c r="B12" s="3" t="str">
        <x:f>IF(Master!C113="","",Master!C113)</x:f>
        <x:v>No native general reaction-role builder; bots/apps</x:v>
      </x:c>
      <x:c r="C12" s="3" t="str">
        <x:f>IF(Master!D113="","",Master!D113)</x:f>
      </x:c>
      <x:c r="D12" s="3" t="str">
        <x:f>IF(Master!E113="","",Master!E113)</x:f>
      </x:c>
      <x:c r="E12" s="3" t="str">
        <x:f>IF(Master!F113="","",Master!F113)</x:f>
      </x:c>
      <x:c r="F12" s="3" t="str">
        <x:f>IF(Master!G113="","",Master!G113)</x:f>
      </x:c>
      <x:c r="G12" s="3" t="str">
        <x:f>IF(Master!H113="","",Master!H113)</x:f>
      </x:c>
      <x:c r="H12" s="3" t="str">
        <x:f>IF(Master!I113="","",Master!I113)</x:f>
      </x:c>
      <x:c r="I12" s="3" t="str">
        <x:f>IF(Master!J113="","",Master!J113)</x:f>
      </x:c>
      <x:c r="J12" s="3" t="str">
        <x:f>IF(Master!K113="","",Master!K113)</x:f>
      </x:c>
      <x:c r="K12" s="3" t="str">
        <x:f>IF(Master!L113="","",Master!L113)</x:f>
      </x:c>
      <x:c r="L12" s="3" t="str">
        <x:f>IF(Master!M113="","",Master!M113)</x:f>
      </x:c>
      <x:c r="M12" s="3" t="str">
        <x:f>IF(Master!N113="","",Master!N113)</x:f>
      </x:c>
      <x:c r="N12" s="3" t="str">
        <x:f>IF(Master!O113="","",Master!O113)</x:f>
      </x:c>
      <x:c r="O12" s="3" t="str">
        <x:f>IF(Master!P113="","",Master!P113)</x:f>
      </x:c>
      <x:c r="P12" s="3" t="str">
        <x:f>IF(Master!Q113="","",Master!Q113)</x:f>
      </x:c>
      <x:c r="Q12" s="3" t="str">
        <x:f>IF(Master!R113="","",Master!R113)</x:f>
      </x:c>
      <x:c r="R12" s="3" t="str">
        <x:f>IF(Master!S113="","",Master!S113)</x:f>
      </x:c>
      <x:c r="S12" s="3" t="str">
        <x:f>IF(Master!T113="","",Master!T113)</x:f>
      </x:c>
      <x:c r="T12" s="3" t="str">
        <x:f>IF(Master!U113="","",Master!U113)</x:f>
      </x:c>
      <x:c r="U12" s="3" t="str">
        <x:f>IF(Master!V113="","",Master!V113)</x:f>
        <x:v>Yes</x:v>
      </x:c>
      <x:c r="V12" s="3" t="str">
        <x:f>IF(Master!W113="","",Master!W113)</x:f>
      </x:c>
      <x:c r="W12" s="3" t="str">
        <x:f>IF(Master!X113="","",Master!X113)</x:f>
      </x:c>
      <x:c r="X12" s="3" t="str">
        <x:f>IF(Master!Y113="","",Master!Y113)</x:f>
      </x:c>
      <x:c r="Y12" s="3" t="str">
        <x:f>IF(Master!Z113="","",Master!Z113)</x:f>
      </x:c>
      <x:c r="Z12" s="3" t="str">
        <x:f>IF(Master!AA113="","",Master!AA113)</x:f>
      </x:c>
      <x:c r="AA12" s="6" t="str">
        <x:f>IF(Master!AB113="","",Master!AB113)</x:f>
      </x:c>
      <x:c r="AB12" s="3" t="str">
        <x:f>IF(Master!AC113="","",Master!AC113)</x:f>
      </x:c>
      <x:c r="AC12" s="3" t="str">
        <x:f>IF(Master!AD113="","",Master!AD113)</x:f>
      </x:c>
      <x:c r="AD12" s="3" t="str">
        <x:f>IF(Master!AE113="","",Master!AE113)</x:f>
      </x:c>
      <x:c r="AE12" s="3" t="str">
        <x:f>IF(Master!AF113="","",Master!AF113)</x:f>
      </x:c>
      <x:c r="AF12" s="8" t="str">
        <x:f>IF(Master!AG113="","",Master!AG113)</x:f>
      </x:c>
    </x:row>
    <x:row r="13" ht="36" customHeight="1">
      <x:c r="A13" s="17" t="s">
        <x:v>337</x:v>
      </x:c>
      <x:c r="B13" s="3" t="str">
        <x:f>IF(Master!C114="","",Master!C114)</x:f>
        <x:v>Bots/webhooks/apps</x:v>
      </x:c>
      <x:c r="C13" s="3" t="str">
        <x:f>IF(Master!D114="","",Master!D114)</x:f>
      </x:c>
      <x:c r="D13" s="3" t="str">
        <x:f>IF(Master!E114="","",Master!E114)</x:f>
      </x:c>
      <x:c r="E13" s="3" t="str">
        <x:f>IF(Master!F114="","",Master!F114)</x:f>
      </x:c>
      <x:c r="F13" s="3" t="str">
        <x:f>IF(Master!G114="","",Master!G114)</x:f>
      </x:c>
      <x:c r="G13" s="3" t="str">
        <x:f>IF(Master!H114="","",Master!H114)</x:f>
      </x:c>
      <x:c r="H13" s="3" t="str">
        <x:f>IF(Master!I114="","",Master!I114)</x:f>
      </x:c>
      <x:c r="I13" s="3" t="str">
        <x:f>IF(Master!J114="","",Master!J114)</x:f>
      </x:c>
      <x:c r="J13" s="3" t="str">
        <x:f>IF(Master!K114="","",Master!K114)</x:f>
      </x:c>
      <x:c r="K13" s="3" t="str">
        <x:f>IF(Master!L114="","",Master!L114)</x:f>
      </x:c>
      <x:c r="L13" s="3" t="str">
        <x:f>IF(Master!M114="","",Master!M114)</x:f>
      </x:c>
      <x:c r="M13" s="3" t="str">
        <x:f>IF(Master!N114="","",Master!N114)</x:f>
      </x:c>
      <x:c r="N13" s="3" t="str">
        <x:f>IF(Master!O114="","",Master!O114)</x:f>
      </x:c>
      <x:c r="O13" s="3" t="str">
        <x:f>IF(Master!P114="","",Master!P114)</x:f>
      </x:c>
      <x:c r="P13" s="3" t="str">
        <x:f>IF(Master!Q114="","",Master!Q114)</x:f>
      </x:c>
      <x:c r="Q13" s="3" t="str">
        <x:f>IF(Master!R114="","",Master!R114)</x:f>
      </x:c>
      <x:c r="R13" s="3" t="str">
        <x:f>IF(Master!S114="","",Master!S114)</x:f>
      </x:c>
      <x:c r="S13" s="3" t="str">
        <x:f>IF(Master!T114="","",Master!T114)</x:f>
      </x:c>
      <x:c r="T13" s="3" t="str">
        <x:f>IF(Master!U114="","",Master!U114)</x:f>
      </x:c>
      <x:c r="U13" s="3" t="str">
        <x:f>IF(Master!V114="","",Master!V114)</x:f>
        <x:v>Yes: Twitch EventSub live alerts</x:v>
      </x:c>
      <x:c r="V13" s="3" t="str">
        <x:f>IF(Master!W114="","",Master!W114)</x:f>
      </x:c>
      <x:c r="W13" s="3" t="str">
        <x:f>IF(Master!X114="","",Master!X114)</x:f>
      </x:c>
      <x:c r="X13" s="3" t="str">
        <x:f>IF(Master!Y114="","",Master!Y114)</x:f>
      </x:c>
      <x:c r="Y13" s="3" t="str">
        <x:f>IF(Master!Z114="","",Master!Z114)</x:f>
      </x:c>
      <x:c r="Z13" s="3" t="str">
        <x:f>IF(Master!AA114="","",Master!AA114)</x:f>
      </x:c>
      <x:c r="AA13" s="6" t="str">
        <x:f>IF(Master!AB114="","",Master!AB114)</x:f>
      </x:c>
      <x:c r="AB13" s="3" t="str">
        <x:f>IF(Master!AC114="","",Master!AC114)</x:f>
      </x:c>
      <x:c r="AC13" s="3" t="str">
        <x:f>IF(Master!AD114="","",Master!AD114)</x:f>
      </x:c>
      <x:c r="AD13" s="3" t="str">
        <x:f>IF(Master!AE114="","",Master!AE114)</x:f>
      </x:c>
      <x:c r="AE13" s="3" t="str">
        <x:f>IF(Master!AF114="","",Master!AF114)</x:f>
      </x:c>
      <x:c r="AF13" s="8" t="str">
        <x:f>IF(Master!AG114="","",Master!AG114)</x:f>
      </x:c>
    </x:row>
    <x:row r="14" ht="36" customHeight="1">
      <x:c r="A14" s="17" t="s">
        <x:v>338</x:v>
      </x:c>
      <x:c r="B14" s="3" t="str">
        <x:f>IF(Master!C115="","",Master!C115)</x:f>
        <x:v>No dedicated native availability tool</x:v>
      </x:c>
      <x:c r="C14" s="3" t="str">
        <x:f>IF(Master!D115="","",Master!D115)</x:f>
      </x:c>
      <x:c r="D14" s="3" t="str">
        <x:f>IF(Master!E115="","",Master!E115)</x:f>
      </x:c>
      <x:c r="E14" s="3" t="str">
        <x:f>IF(Master!F115="","",Master!F115)</x:f>
      </x:c>
      <x:c r="F14" s="3" t="str">
        <x:f>IF(Master!G115="","",Master!G115)</x:f>
      </x:c>
      <x:c r="G14" s="3" t="str">
        <x:f>IF(Master!H115="","",Master!H115)</x:f>
      </x:c>
      <x:c r="H14" s="3" t="str">
        <x:f>IF(Master!I115="","",Master!I115)</x:f>
      </x:c>
      <x:c r="I14" s="3" t="str">
        <x:f>IF(Master!J115="","",Master!J115)</x:f>
      </x:c>
      <x:c r="J14" s="3" t="str">
        <x:f>IF(Master!K115="","",Master!K115)</x:f>
      </x:c>
      <x:c r="K14" s="3" t="str">
        <x:f>IF(Master!L115="","",Master!L115)</x:f>
      </x:c>
      <x:c r="L14" s="3" t="str">
        <x:f>IF(Master!M115="","",Master!M115)</x:f>
      </x:c>
      <x:c r="M14" s="3" t="str">
        <x:f>IF(Master!N115="","",Master!N115)</x:f>
      </x:c>
      <x:c r="N14" s="3" t="str">
        <x:f>IF(Master!O115="","",Master!O115)</x:f>
      </x:c>
      <x:c r="O14" s="3" t="str">
        <x:f>IF(Master!P115="","",Master!P115)</x:f>
      </x:c>
      <x:c r="P14" s="3" t="str">
        <x:f>IF(Master!Q115="","",Master!Q115)</x:f>
      </x:c>
      <x:c r="Q14" s="3" t="str">
        <x:f>IF(Master!R115="","",Master!R115)</x:f>
      </x:c>
      <x:c r="R14" s="3" t="str">
        <x:f>IF(Master!S115="","",Master!S115)</x:f>
      </x:c>
      <x:c r="S14" s="3" t="str">
        <x:f>IF(Master!T115="","",Master!T115)</x:f>
      </x:c>
      <x:c r="T14" s="3" t="str">
        <x:f>IF(Master!U115="","",Master!U115)</x:f>
      </x:c>
      <x:c r="U14" s="3" t="str">
        <x:f>IF(Master!V115="","",Master!V115)</x:f>
        <x:v>Yes</x:v>
      </x:c>
      <x:c r="V14" s="3" t="str">
        <x:f>IF(Master!W115="","",Master!W115)</x:f>
      </x:c>
      <x:c r="W14" s="3" t="str">
        <x:f>IF(Master!X115="","",Master!X115)</x:f>
      </x:c>
      <x:c r="X14" s="3" t="str">
        <x:f>IF(Master!Y115="","",Master!Y115)</x:f>
      </x:c>
      <x:c r="Y14" s="3" t="str">
        <x:f>IF(Master!Z115="","",Master!Z115)</x:f>
      </x:c>
      <x:c r="Z14" s="3" t="str">
        <x:f>IF(Master!AA115="","",Master!AA115)</x:f>
      </x:c>
      <x:c r="AA14" s="6" t="str">
        <x:f>IF(Master!AB115="","",Master!AB115)</x:f>
      </x:c>
      <x:c r="AB14" s="3" t="str">
        <x:f>IF(Master!AC115="","",Master!AC115)</x:f>
      </x:c>
      <x:c r="AC14" s="3" t="str">
        <x:f>IF(Master!AD115="","",Master!AD115)</x:f>
      </x:c>
      <x:c r="AD14" s="3" t="str">
        <x:f>IF(Master!AE115="","",Master!AE115)</x:f>
      </x:c>
      <x:c r="AE14" s="3" t="str">
        <x:f>IF(Master!AF115="","",Master!AF115)</x:f>
      </x:c>
      <x:c r="AF14" s="8" t="str">
        <x:f>IF(Master!AG115="","",Master!AG115)</x:f>
      </x:c>
    </x:row>
    <x:row r="15" ht="36" customHeight="1">
      <x:c r="A15" s="17" t="s">
        <x:v>339</x:v>
      </x:c>
      <x:c r="B15" s="3" t="str">
        <x:f>IF(Master!C116="","",Master!C116)</x:f>
        <x:v>No native macro system</x:v>
      </x:c>
      <x:c r="C15" s="3" t="str">
        <x:f>IF(Master!D116="","",Master!D116)</x:f>
      </x:c>
      <x:c r="D15" s="3" t="str">
        <x:f>IF(Master!E116="","",Master!E116)</x:f>
      </x:c>
      <x:c r="E15" s="3" t="str">
        <x:f>IF(Master!F116="","",Master!F116)</x:f>
      </x:c>
      <x:c r="F15" s="3" t="str">
        <x:f>IF(Master!G116="","",Master!G116)</x:f>
      </x:c>
      <x:c r="G15" s="3" t="str">
        <x:f>IF(Master!H116="","",Master!H116)</x:f>
      </x:c>
      <x:c r="H15" s="3" t="str">
        <x:f>IF(Master!I116="","",Master!I116)</x:f>
      </x:c>
      <x:c r="I15" s="3" t="str">
        <x:f>IF(Master!J116="","",Master!J116)</x:f>
      </x:c>
      <x:c r="J15" s="3" t="str">
        <x:f>IF(Master!K116="","",Master!K116)</x:f>
      </x:c>
      <x:c r="K15" s="3" t="str">
        <x:f>IF(Master!L116="","",Master!L116)</x:f>
      </x:c>
      <x:c r="L15" s="3" t="str">
        <x:f>IF(Master!M116="","",Master!M116)</x:f>
      </x:c>
      <x:c r="M15" s="3" t="str">
        <x:f>IF(Master!N116="","",Master!N116)</x:f>
      </x:c>
      <x:c r="N15" s="3" t="str">
        <x:f>IF(Master!O116="","",Master!O116)</x:f>
      </x:c>
      <x:c r="O15" s="3" t="str">
        <x:f>IF(Master!P116="","",Master!P116)</x:f>
      </x:c>
      <x:c r="P15" s="3" t="str">
        <x:f>IF(Master!Q116="","",Master!Q116)</x:f>
      </x:c>
      <x:c r="Q15" s="3" t="str">
        <x:f>IF(Master!R116="","",Master!R116)</x:f>
      </x:c>
      <x:c r="R15" s="3" t="str">
        <x:f>IF(Master!S116="","",Master!S116)</x:f>
      </x:c>
      <x:c r="S15" s="3" t="str">
        <x:f>IF(Master!T116="","",Master!T116)</x:f>
      </x:c>
      <x:c r="T15" s="3" t="str">
        <x:f>IF(Master!U116="","",Master!U116)</x:f>
      </x:c>
      <x:c r="U15" s="3" t="str">
        <x:f>IF(Master!V116="","",Master!V116)</x:f>
        <x:v>Yes</x:v>
      </x:c>
      <x:c r="V15" s="3" t="str">
        <x:f>IF(Master!W116="","",Master!W116)</x:f>
      </x:c>
      <x:c r="W15" s="3" t="str">
        <x:f>IF(Master!X116="","",Master!X116)</x:f>
      </x:c>
      <x:c r="X15" s="3" t="str">
        <x:f>IF(Master!Y116="","",Master!Y116)</x:f>
      </x:c>
      <x:c r="Y15" s="3" t="str">
        <x:f>IF(Master!Z116="","",Master!Z116)</x:f>
      </x:c>
      <x:c r="Z15" s="3" t="str">
        <x:f>IF(Master!AA116="","",Master!AA116)</x:f>
      </x:c>
      <x:c r="AA15" s="6" t="str">
        <x:f>IF(Master!AB116="","",Master!AB116)</x:f>
      </x:c>
      <x:c r="AB15" s="3" t="str">
        <x:f>IF(Master!AC116="","",Master!AC116)</x:f>
      </x:c>
      <x:c r="AC15" s="3" t="str">
        <x:f>IF(Master!AD116="","",Master!AD116)</x:f>
      </x:c>
      <x:c r="AD15" s="3" t="str">
        <x:f>IF(Master!AE116="","",Master!AE116)</x:f>
      </x:c>
      <x:c r="AE15" s="3" t="str">
        <x:f>IF(Master!AF116="","",Master!AF116)</x:f>
      </x:c>
      <x:c r="AF15" s="8" t="str">
        <x:f>IF(Master!AG116="","",Master!AG116)</x:f>
      </x:c>
    </x:row>
    <x:row r="16" ht="36" customHeight="1">
      <x:c r="A16" s="17" t="s">
        <x:v>340</x:v>
      </x:c>
      <x:c r="B16" s="3" t="str">
        <x:f>IF(Master!C117="","",Master!C117)</x:f>
        <x:v>Apps/bots</x:v>
      </x:c>
      <x:c r="C16" s="3" t="str">
        <x:f>IF(Master!D117="","",Master!D117)</x:f>
      </x:c>
      <x:c r="D16" s="3" t="str">
        <x:f>IF(Master!E117="","",Master!E117)</x:f>
      </x:c>
      <x:c r="E16" s="3" t="str">
        <x:f>IF(Master!F117="","",Master!F117)</x:f>
      </x:c>
      <x:c r="F16" s="3" t="str">
        <x:f>IF(Master!G117="","",Master!G117)</x:f>
      </x:c>
      <x:c r="G16" s="3" t="str">
        <x:f>IF(Master!H117="","",Master!H117)</x:f>
      </x:c>
      <x:c r="H16" s="3" t="str">
        <x:f>IF(Master!I117="","",Master!I117)</x:f>
      </x:c>
      <x:c r="I16" s="3" t="str">
        <x:f>IF(Master!J117="","",Master!J117)</x:f>
      </x:c>
      <x:c r="J16" s="3" t="str">
        <x:f>IF(Master!K117="","",Master!K117)</x:f>
      </x:c>
      <x:c r="K16" s="3" t="str">
        <x:f>IF(Master!L117="","",Master!L117)</x:f>
      </x:c>
      <x:c r="L16" s="3" t="str">
        <x:f>IF(Master!M117="","",Master!M117)</x:f>
      </x:c>
      <x:c r="M16" s="3" t="str">
        <x:f>IF(Master!N117="","",Master!N117)</x:f>
      </x:c>
      <x:c r="N16" s="3" t="str">
        <x:f>IF(Master!O117="","",Master!O117)</x:f>
      </x:c>
      <x:c r="O16" s="3" t="str">
        <x:f>IF(Master!P117="","",Master!P117)</x:f>
      </x:c>
      <x:c r="P16" s="3" t="str">
        <x:f>IF(Master!Q117="","",Master!Q117)</x:f>
      </x:c>
      <x:c r="Q16" s="3" t="str">
        <x:f>IF(Master!R117="","",Master!R117)</x:f>
      </x:c>
      <x:c r="R16" s="3" t="str">
        <x:f>IF(Master!S117="","",Master!S117)</x:f>
      </x:c>
      <x:c r="S16" s="3" t="str">
        <x:f>IF(Master!T117="","",Master!T117)</x:f>
      </x:c>
      <x:c r="T16" s="3" t="str">
        <x:f>IF(Master!U117="","",Master!U117)</x:f>
        <x:v>Yes: /roll, /flip and /draw</x:v>
      </x:c>
      <x:c r="U16" s="3" t="str">
        <x:f>IF(Master!V117="","",Master!V117)</x:f>
        <x:v>Yes</x:v>
      </x:c>
      <x:c r="V16" s="3" t="str">
        <x:f>IF(Master!W117="","",Master!W117)</x:f>
      </x:c>
      <x:c r="W16" s="3" t="str">
        <x:f>IF(Master!X117="","",Master!X117)</x:f>
      </x:c>
      <x:c r="X16" s="3" t="str">
        <x:f>IF(Master!Y117="","",Master!Y117)</x:f>
      </x:c>
      <x:c r="Y16" s="3" t="str">
        <x:f>IF(Master!Z117="","",Master!Z117)</x:f>
      </x:c>
      <x:c r="Z16" s="3" t="str">
        <x:f>IF(Master!AA117="","",Master!AA117)</x:f>
      </x:c>
      <x:c r="AA16" s="6" t="str">
        <x:f>IF(Master!AB117="","",Master!AB117)</x:f>
      </x:c>
      <x:c r="AB16" s="3" t="str">
        <x:f>IF(Master!AC117="","",Master!AC117)</x:f>
      </x:c>
      <x:c r="AC16" s="3" t="str">
        <x:f>IF(Master!AD117="","",Master!AD117)</x:f>
      </x:c>
      <x:c r="AD16" s="3" t="str">
        <x:f>IF(Master!AE117="","",Master!AE117)</x:f>
      </x:c>
      <x:c r="AE16" s="3" t="str">
        <x:f>IF(Master!AF117="","",Master!AF117)</x:f>
      </x:c>
      <x:c r="AF16" s="8" t="str">
        <x:f>IF(Master!AG117="","",Master!AG117)</x:f>
      </x:c>
    </x:row>
    <x:row r="17" ht="21.950000762939453" customHeight="1">
      <x:c r="A17" s="18" t="s">
        <x:v>341</x:v>
      </x:c>
      <x:c r="B17" s="18" t="str">
        <x:f t="shared" ref="B17:AF17" si="2">IF(""="","","")</x:f>
      </x:c>
      <x:c r="C17" s="18" t="str">
        <x:f t="shared" si="2"/>
      </x:c>
      <x:c r="D17" s="18" t="str">
        <x:f t="shared" si="2"/>
      </x:c>
      <x:c r="E17" s="18" t="str">
        <x:f t="shared" si="2"/>
      </x:c>
      <x:c r="F17" s="18" t="str">
        <x:f t="shared" si="2"/>
      </x:c>
      <x:c r="G17" s="18" t="str">
        <x:f t="shared" si="2"/>
      </x:c>
      <x:c r="H17" s="18" t="str">
        <x:f t="shared" si="2"/>
      </x:c>
      <x:c r="I17" s="18" t="str">
        <x:f t="shared" si="2"/>
      </x:c>
      <x:c r="J17" s="18" t="str">
        <x:f t="shared" si="2"/>
      </x:c>
      <x:c r="K17" s="18" t="str">
        <x:f t="shared" si="2"/>
      </x:c>
      <x:c r="L17" s="18" t="str">
        <x:f t="shared" si="2"/>
      </x:c>
      <x:c r="M17" s="18" t="str">
        <x:f t="shared" si="2"/>
      </x:c>
      <x:c r="N17" s="18" t="str">
        <x:f t="shared" si="2"/>
      </x:c>
      <x:c r="O17" s="18" t="str">
        <x:f t="shared" si="2"/>
      </x:c>
      <x:c r="P17" s="18" t="str">
        <x:f t="shared" si="2"/>
      </x:c>
      <x:c r="Q17" s="18" t="str">
        <x:f t="shared" si="2"/>
      </x:c>
      <x:c r="R17" s="18" t="str">
        <x:f t="shared" si="2"/>
      </x:c>
      <x:c r="S17" s="18" t="str">
        <x:f t="shared" si="2"/>
      </x:c>
      <x:c r="T17" s="18" t="str">
        <x:f t="shared" si="2"/>
      </x:c>
      <x:c r="U17" s="18" t="str">
        <x:f t="shared" si="2"/>
      </x:c>
      <x:c r="V17" s="18" t="str">
        <x:f t="shared" si="2"/>
      </x:c>
      <x:c r="W17" s="18" t="str">
        <x:f t="shared" si="2"/>
      </x:c>
      <x:c r="X17" s="18" t="str">
        <x:f t="shared" si="2"/>
      </x:c>
      <x:c r="Y17" s="18" t="str">
        <x:f t="shared" si="2"/>
      </x:c>
      <x:c r="Z17" s="18" t="str">
        <x:f t="shared" si="2"/>
      </x:c>
      <x:c r="AA17" s="18" t="str">
        <x:f t="shared" si="2"/>
      </x:c>
      <x:c r="AB17" s="18" t="str">
        <x:f t="shared" si="2"/>
      </x:c>
      <x:c r="AC17" s="18" t="str">
        <x:f t="shared" si="2"/>
      </x:c>
      <x:c r="AD17" s="18" t="str">
        <x:f t="shared" si="2"/>
      </x:c>
      <x:c r="AE17" s="18" t="str">
        <x:f t="shared" si="2"/>
      </x:c>
      <x:c r="AF17" s="19" t="str">
        <x:f t="shared" si="2"/>
      </x:c>
    </x:row>
    <x:row r="18" ht="36" customHeight="1">
      <x:c r="A18" s="17" t="s">
        <x:v>326</x:v>
      </x:c>
      <x:c r="B18" s="3" t="str">
        <x:f>IF(Master!C118="","",Master!C118)</x:f>
        <x:v>Activities/apps can provide tabletop</x:v>
      </x:c>
      <x:c r="C18" s="3" t="str">
        <x:f>IF(Master!D118="","",Master!D118)</x:f>
        <x:v>No</x:v>
      </x:c>
      <x:c r="D18" s="3" t="str">
        <x:f>IF(Master!E118="","",Master!E118)</x:f>
        <x:v>No</x:v>
      </x:c>
      <x:c r="E18" s="3" t="str">
        <x:f>IF(Master!F118="","",Master!F118)</x:f>
        <x:v>No</x:v>
      </x:c>
      <x:c r="F18" s="3" t="str">
        <x:f>IF(Master!G118="","",Master!G118)</x:f>
        <x:v>No</x:v>
      </x:c>
      <x:c r="G18" s="3" t="str">
        <x:f>IF(Master!H118="","",Master!H118)</x:f>
        <x:v>No</x:v>
      </x:c>
      <x:c r="H18" s="3" t="str">
        <x:f>IF(Master!I118="","",Master!I118)</x:f>
        <x:v>No dedicated tabletop</x:v>
      </x:c>
      <x:c r="I18" s="3" t="str">
        <x:f>IF(Master!J118="","",Master!J118)</x:f>
        <x:v>No</x:v>
      </x:c>
      <x:c r="J18" s="3" t="str">
        <x:f>IF(Master!K118="","",Master!K118)</x:f>
        <x:v>No</x:v>
      </x:c>
      <x:c r="K18" s="3" t="str">
        <x:f>IF(Master!L118="","",Master!L118)</x:f>
        <x:v>Not documented as native: ticket, counting, highlights, welcome, wiki, document, live board, roster, web link, RSS, whiteboard, or tabletop channels.</x:v>
      </x:c>
      <x:c r="L18" s="3" t="str">
        <x:f>IF(Master!M118="","",Master!M118)</x:f>
        <x:v>No</x:v>
      </x:c>
      <x:c r="M18" s="3" t="str">
        <x:f>IF(Master!N118="","",Master!N118)</x:f>
        <x:v>No</x:v>
      </x:c>
      <x:c r="N18" s="3" t="str">
        <x:f>IF(Master!O118="","",Master!O118)</x:f>
        <x:v>Client-dependent</x:v>
      </x:c>
      <x:c r="O18" s="3" t="str">
        <x:f>IF(Master!P118="","",Master!P118)</x:f>
        <x:v>No</x:v>
      </x:c>
      <x:c r="P18" s="3" t="str">
        <x:f>IF(Master!Q118="","",Master!Q118)</x:f>
        <x:v>No</x:v>
      </x:c>
      <x:c r="Q18" s="3" t="str">
        <x:f>IF(Master!R118="","",Master!R118)</x:f>
        <x:v>No</x:v>
      </x:c>
      <x:c r="R18" s="3" t="str">
        <x:f>IF(Master!S118="","",Master!S118)</x:f>
        <x:v>No</x:v>
      </x:c>
      <x:c r="S18" s="3" t="str">
        <x:f>IF(Master!T118="","",Master!T118)</x:f>
        <x:v>No</x:v>
      </x:c>
      <x:c r="T18" s="3" t="str">
        <x:f>IF(Master!U118="","",Master!U118)</x:f>
        <x:v>No</x:v>
      </x:c>
      <x:c r="U18" s="3" t="str">
        <x:f>IF(Master!V118="","",Master!V118)</x:f>
        <x:v>Yes - Set up via portal for a Shard</x:v>
      </x:c>
      <x:c r="V18" s="3" t="str">
        <x:f>IF(Master!W118="","",Master!W118)</x:f>
        <x:v>No</x:v>
      </x:c>
      <x:c r="W18" s="3" t="str">
        <x:f>IF(Master!X118="","",Master!X118)</x:f>
        <x:v>No</x:v>
      </x:c>
      <x:c r="X18" s="3" t="str">
        <x:f>IF(Master!Y118="","",Master!Y118)</x:f>
        <x:v>Apps can implement tabletop-like experiences</x:v>
      </x:c>
      <x:c r="Y18" s="3" t="str">
        <x:f>IF(Master!Z118="","",Master!Z118)</x:f>
        <x:v>No</x:v>
      </x:c>
      <x:c r="Z18" s="3" t="str">
        <x:f>IF(Master!AA118="","",Master!AA118)</x:f>
        <x:v>No</x:v>
      </x:c>
      <x:c r="AA18" s="6" t="str">
        <x:f>IF(Master!AB118="","",Master!AB118)</x:f>
        <x:v>No</x:v>
      </x:c>
      <x:c r="AB18" s="3" t="str">
        <x:f>IF(Master!AC118="","",Master!AC118)</x:f>
        <x:v>No</x:v>
      </x:c>
      <x:c r="AC18" s="3" t="str">
        <x:f>IF(Master!AD118="","",Master!AD118)</x:f>
        <x:v>No</x:v>
      </x:c>
      <x:c r="AD18" s="3" t="str">
        <x:f>IF(Master!AE118="","",Master!AE118)</x:f>
        <x:v>Yes: D&amp;D module/maps</x:v>
      </x:c>
      <x:c r="AE18" s="3" t="str">
        <x:f>IF(Master!AF118="","",Master!AF118)</x:f>
        <x:v>No</x:v>
      </x:c>
      <x:c r="AF18" s="8" t="str">
        <x:f>IF(Master!AG118="","",Master!AG118)</x:f>
        <x:v>No</x:v>
      </x:c>
    </x:row>
    <x:row r="19" ht="36" customHeight="1">
      <x:c r="A19" s="17" t="s">
        <x:v>342</x:v>
      </x:c>
      <x:c r="B19" s="3" t="str">
        <x:f>IF(Master!C140="","",Master!C140)</x:f>
        <x:v>Yes: Activities include games</x:v>
      </x:c>
      <x:c r="C19" s="3" t="str">
        <x:f>IF(Master!D140="","",Master!D140)</x:f>
      </x:c>
      <x:c r="D19" s="3" t="str">
        <x:f>IF(Master!E140="","",Master!E140)</x:f>
      </x:c>
      <x:c r="E19" s="3" t="str">
        <x:f>IF(Master!F140="","",Master!F140)</x:f>
      </x:c>
      <x:c r="F19" s="3" t="str">
        <x:f>IF(Master!G140="","",Master!G140)</x:f>
      </x:c>
      <x:c r="G19" s="3" t="str">
        <x:f>IF(Master!H140="","",Master!H140)</x:f>
      </x:c>
      <x:c r="H19" s="3" t="str">
        <x:f>IF(Master!I140="","",Master!I140)</x:f>
      </x:c>
      <x:c r="I19" s="3" t="str">
        <x:f>IF(Master!J140="","",Master!J140)</x:f>
      </x:c>
      <x:c r="J19" s="3" t="str">
        <x:f>IF(Master!K140="","",Master!K140)</x:f>
      </x:c>
      <x:c r="K19" s="3" t="str">
        <x:f>IF(Master!L140="","",Master!L140)</x:f>
        <x:v>No dedicated embedded-app implementation documented</x:v>
      </x:c>
      <x:c r="L19" s="3" t="str">
        <x:f>IF(Master!M140="","",Master!M140)</x:f>
      </x:c>
      <x:c r="M19" s="3" t="str">
        <x:f>IF(Master!N140="","",Master!N140)</x:f>
      </x:c>
      <x:c r="N19" s="3" t="str">
        <x:f>IF(Master!O140="","",Master!O140)</x:f>
      </x:c>
      <x:c r="O19" s="3" t="str">
        <x:f>IF(Master!P140="","",Master!P140)</x:f>
      </x:c>
      <x:c r="P19" s="3" t="str">
        <x:f>IF(Master!Q140="","",Master!Q140)</x:f>
      </x:c>
      <x:c r="Q19" s="3" t="str">
        <x:f>IF(Master!R140="","",Master!R140)</x:f>
      </x:c>
      <x:c r="R19" s="3" t="str">
        <x:f>IF(Master!S140="","",Master!S140)</x:f>
      </x:c>
      <x:c r="S19" s="3" t="str">
        <x:f>IF(Master!T140="","",Master!T140)</x:f>
      </x:c>
      <x:c r="T19" s="3" t="str">
        <x:f>IF(Master!U140="","",Master!U140)</x:f>
      </x:c>
      <x:c r="U19" s="3" t="str">
        <x:f>IF(Master!V140="","",Master!V140)</x:f>
        <x:v>IntegratedArcade</x:v>
      </x:c>
      <x:c r="V19" s="3" t="str">
        <x:f>IF(Master!W140="","",Master!W140)</x:f>
      </x:c>
      <x:c r="W19" s="3" t="str">
        <x:f>IF(Master!X140="","",Master!X140)</x:f>
      </x:c>
      <x:c r="X19" s="3" t="str">
        <x:f>IF(Master!Y140="","",Master!Y140)</x:f>
      </x:c>
      <x:c r="Y19" s="3" t="str">
        <x:f>IF(Master!Z140="","",Master!Z140)</x:f>
      </x:c>
      <x:c r="Z19" s="3" t="str">
        <x:f>IF(Master!AA140="","",Master!AA140)</x:f>
      </x:c>
      <x:c r="AA19" s="6" t="str">
        <x:f>IF(Master!AB140="","",Master!AB140)</x:f>
      </x:c>
      <x:c r="AB19" s="3" t="str">
        <x:f>IF(Master!AC140="","",Master!AC140)</x:f>
      </x:c>
      <x:c r="AC19" s="3" t="str">
        <x:f>IF(Master!AD140="","",Master!AD140)</x:f>
      </x:c>
      <x:c r="AD19" s="3" t="str">
        <x:f>IF(Master!AE140="","",Master!AE140)</x:f>
      </x:c>
      <x:c r="AE19" s="3" t="str">
        <x:f>IF(Master!AF140="","",Master!AF140)</x:f>
      </x:c>
      <x:c r="AF19" s="8" t="str">
        <x:f>IF(Master!AG140="","",Master!AG140)</x:f>
      </x:c>
    </x:row>
    <x:row r="20" ht="36" customHeight="1">
      <x:c r="A20" s="17" t="s">
        <x:v>343</x:v>
      </x:c>
      <x:c r="B20" s="3" t="str">
        <x:f>IF(Master!C119="","",Master!C119)</x:f>
        <x:v>No native DAW</x:v>
      </x:c>
      <x:c r="C20" s="3" t="str">
        <x:f>IF(Master!D119="","",Master!D119)</x:f>
      </x:c>
      <x:c r="D20" s="3" t="str">
        <x:f>IF(Master!E119="","",Master!E119)</x:f>
      </x:c>
      <x:c r="E20" s="3" t="str">
        <x:f>IF(Master!F119="","",Master!F119)</x:f>
      </x:c>
      <x:c r="F20" s="3" t="str">
        <x:f>IF(Master!G119="","",Master!G119)</x:f>
      </x:c>
      <x:c r="G20" s="3" t="str">
        <x:f>IF(Master!H119="","",Master!H119)</x:f>
      </x:c>
      <x:c r="H20" s="3" t="str">
        <x:f>IF(Master!I119="","",Master!I119)</x:f>
      </x:c>
      <x:c r="I20" s="3" t="str">
        <x:f>IF(Master!J119="","",Master!J119)</x:f>
      </x:c>
      <x:c r="J20" s="3" t="str">
        <x:f>IF(Master!K119="","",Master!K119)</x:f>
      </x:c>
      <x:c r="K20" s="3" t="str">
        <x:f>IF(Master!L119="","",Master!L119)</x:f>
      </x:c>
      <x:c r="L20" s="3" t="str">
        <x:f>IF(Master!M119="","",Master!M119)</x:f>
      </x:c>
      <x:c r="M20" s="3" t="str">
        <x:f>IF(Master!N119="","",Master!N119)</x:f>
      </x:c>
      <x:c r="N20" s="3" t="str">
        <x:f>IF(Master!O119="","",Master!O119)</x:f>
      </x:c>
      <x:c r="O20" s="3" t="str">
        <x:f>IF(Master!P119="","",Master!P119)</x:f>
      </x:c>
      <x:c r="P20" s="3" t="str">
        <x:f>IF(Master!Q119="","",Master!Q119)</x:f>
      </x:c>
      <x:c r="Q20" s="3" t="str">
        <x:f>IF(Master!R119="","",Master!R119)</x:f>
      </x:c>
      <x:c r="R20" s="3" t="str">
        <x:f>IF(Master!S119="","",Master!S119)</x:f>
      </x:c>
      <x:c r="S20" s="3" t="str">
        <x:f>IF(Master!T119="","",Master!T119)</x:f>
      </x:c>
      <x:c r="T20" s="3" t="str">
        <x:f>IF(Master!U119="","",Master!U119)</x:f>
      </x:c>
      <x:c r="U20" s="3" t="str">
        <x:f>IF(Master!V119="","",Master!V119)</x:f>
        <x:v>Yes - Rift Studio</x:v>
      </x:c>
      <x:c r="V20" s="3" t="str">
        <x:f>IF(Master!W119="","",Master!W119)</x:f>
      </x:c>
      <x:c r="W20" s="3" t="str">
        <x:f>IF(Master!X119="","",Master!X119)</x:f>
      </x:c>
      <x:c r="X20" s="3" t="str">
        <x:f>IF(Master!Y119="","",Master!Y119)</x:f>
      </x:c>
      <x:c r="Y20" s="3" t="str">
        <x:f>IF(Master!Z119="","",Master!Z119)</x:f>
      </x:c>
      <x:c r="Z20" s="3" t="str">
        <x:f>IF(Master!AA119="","",Master!AA119)</x:f>
      </x:c>
      <x:c r="AA20" s="6" t="str">
        <x:f>IF(Master!AB119="","",Master!AB119)</x:f>
      </x:c>
      <x:c r="AB20" s="3" t="str">
        <x:f>IF(Master!AC119="","",Master!AC119)</x:f>
      </x:c>
      <x:c r="AC20" s="3" t="str">
        <x:f>IF(Master!AD119="","",Master!AD119)</x:f>
      </x:c>
      <x:c r="AD20" s="3" t="str">
        <x:f>IF(Master!AE119="","",Master!AE119)</x:f>
      </x:c>
      <x:c r="AE20" s="3" t="str">
        <x:f>IF(Master!AF119="","",Master!AF119)</x:f>
      </x:c>
      <x:c r="AF20" s="8" t="str">
        <x:f>IF(Master!AG119="","",Master!AG119)</x:f>
      </x:c>
    </x:row>
    <x:row r="21" ht="36" customHeight="1">
      <x:c r="A21" s="17" t="s">
        <x:v>344</x:v>
      </x:c>
      <x:c r="B21" s="3" t="str">
        <x:f>IF(Master!C120="","",Master!C120)</x:f>
        <x:v>Activities can provide co-watching</x:v>
      </x:c>
      <x:c r="C21" s="3" t="str">
        <x:f>IF(Master!D120="","",Master!D120)</x:f>
      </x:c>
      <x:c r="D21" s="3" t="str">
        <x:f>IF(Master!E120="","",Master!E120)</x:f>
      </x:c>
      <x:c r="E21" s="3" t="str">
        <x:f>IF(Master!F120="","",Master!F120)</x:f>
      </x:c>
      <x:c r="F21" s="3" t="str">
        <x:f>IF(Master!G120="","",Master!G120)</x:f>
      </x:c>
      <x:c r="G21" s="3" t="str">
        <x:f>IF(Master!H120="","",Master!H120)</x:f>
      </x:c>
      <x:c r="H21" s="3" t="str">
        <x:f>IF(Master!I120="","",Master!I120)</x:f>
      </x:c>
      <x:c r="I21" s="3" t="str">
        <x:f>IF(Master!J120="","",Master!J120)</x:f>
      </x:c>
      <x:c r="J21" s="3" t="str">
        <x:f>IF(Master!K120="","",Master!K120)</x:f>
      </x:c>
      <x:c r="K21" s="3" t="str">
        <x:f>IF(Master!L120="","",Master!L120)</x:f>
      </x:c>
      <x:c r="L21" s="3" t="str">
        <x:f>IF(Master!M120="","",Master!M120)</x:f>
      </x:c>
      <x:c r="M21" s="3" t="str">
        <x:f>IF(Master!N120="","",Master!N120)</x:f>
      </x:c>
      <x:c r="N21" s="3" t="str">
        <x:f>IF(Master!O120="","",Master!O120)</x:f>
      </x:c>
      <x:c r="O21" s="3" t="str">
        <x:f>IF(Master!P120="","",Master!P120)</x:f>
      </x:c>
      <x:c r="P21" s="3" t="str">
        <x:f>IF(Master!Q120="","",Master!Q120)</x:f>
      </x:c>
      <x:c r="Q21" s="3" t="str">
        <x:f>IF(Master!R120="","",Master!R120)</x:f>
      </x:c>
      <x:c r="R21" s="3" t="str">
        <x:f>IF(Master!S120="","",Master!S120)</x:f>
      </x:c>
      <x:c r="S21" s="3" t="str">
        <x:f>IF(Master!T120="","",Master!T120)</x:f>
      </x:c>
      <x:c r="T21" s="3" t="str">
        <x:f>IF(Master!U120="","",Master!U120)</x:f>
        <x:v>Yes</x:v>
      </x:c>
      <x:c r="U21" s="3" t="str">
        <x:f>IF(Master!V120="","",Master!V120)</x:f>
        <x:v>Yes: synchronized YouTube/Twitch Watch Party</x:v>
      </x:c>
      <x:c r="V21" s="3" t="str">
        <x:f>IF(Master!W120="","",Master!W120)</x:f>
      </x:c>
      <x:c r="W21" s="3" t="str">
        <x:f>IF(Master!X120="","",Master!X120)</x:f>
      </x:c>
      <x:c r="X21" s="3" t="str">
        <x:f>IF(Master!Y120="","",Master!Y120)</x:f>
      </x:c>
      <x:c r="Y21" s="3" t="str">
        <x:f>IF(Master!Z120="","",Master!Z120)</x:f>
      </x:c>
      <x:c r="Z21" s="3" t="str">
        <x:f>IF(Master!AA120="","",Master!AA120)</x:f>
      </x:c>
      <x:c r="AA21" s="6" t="str">
        <x:f>IF(Master!AB120="","",Master!AB120)</x:f>
      </x:c>
      <x:c r="AB21" s="3" t="str">
        <x:f>IF(Master!AC120="","",Master!AC120)</x:f>
      </x:c>
      <x:c r="AC21" s="3" t="str">
        <x:f>IF(Master!AD120="","",Master!AD120)</x:f>
      </x:c>
      <x:c r="AD21" s="3" t="str">
        <x:f>IF(Master!AE120="","",Master!AE120)</x:f>
      </x:c>
      <x:c r="AE21" s="3" t="str">
        <x:f>IF(Master!AF120="","",Master!AF120)</x:f>
      </x:c>
      <x:c r="AF21" s="8" t="str">
        <x:f>IF(Master!AG120="","",Master!AG120)</x:f>
      </x:c>
    </x:row>
  </x:sheetData>
  <x:mergeCells>
    <x:mergeCell ref="A1:A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Directory'!A1","Embedded Apps &amp; Workspaces: in-client apps, widgets, layouts, shared experiences, and app ecosystems"),"Embedded Apps &amp; Workspaces: in-client apps, widgets, layouts, shared experiences, and app ecosystems")</x:f>
        <x:v>Embedded Apps &amp; Workspaces: in-client apps, widgets, layouts, shared experiences, and app ecosystems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345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146</x:v>
      </x:c>
      <x:c r="B4" s="3" t="str">
        <x:f>IF(Master!C121="","",Master!C121)</x:f>
        <x:v>Yes: Activities / Embedded App SDK</x:v>
      </x:c>
      <x:c r="C4" s="3" t="str">
        <x:f>IF(Master!D121="","",Master!D121)</x:f>
      </x:c>
      <x:c r="D4" s="3" t="str">
        <x:f>IF(Master!E121="","",Master!E121)</x:f>
      </x:c>
      <x:c r="E4" s="3" t="str">
        <x:f>IF(Master!F121="","",Master!F121)</x:f>
      </x:c>
      <x:c r="F4" s="3" t="str">
        <x:f>IF(Master!G121="","",Master!G121)</x:f>
      </x:c>
      <x:c r="G4" s="3" t="str">
        <x:f>IF(Master!H121="","",Master!H121)</x:f>
      </x:c>
      <x:c r="H4" s="3" t="str">
        <x:f>IF(Master!I121="","",Master!I121)</x:f>
      </x:c>
      <x:c r="I4" s="3" t="str">
        <x:f>IF(Master!J121="","",Master!J121)</x:f>
      </x:c>
      <x:c r="J4" s="3" t="str">
        <x:f>IF(Master!K121="","",Master!K121)</x:f>
      </x:c>
      <x:c r="K4" s="3" t="str">
        <x:f>IF(Master!L121="","",Master!L121)</x:f>
        <x:v>No embedded widget/activity runtime; bot/application ecosystem instead</x:v>
      </x:c>
      <x:c r="L4" s="3" t="str">
        <x:f>IF(Master!M121="","",Master!M121)</x:f>
      </x:c>
      <x:c r="M4" s="3" t="str">
        <x:f>IF(Master!N121="","",Master!N121)</x:f>
      </x:c>
      <x:c r="N4" s="3" t="str">
        <x:f>IF(Master!O121="","",Master!O121)</x:f>
        <x:v>Client-dependent: Element supports room widgets/custom embedded web pages; not Matrix-wide</x:v>
      </x:c>
      <x:c r="O4" s="3" t="str">
        <x:f>IF(Master!P121="","",Master!P121)</x:f>
        <x:v>Yes: webapp plugins can inject React/root components</x:v>
      </x:c>
      <x:c r="P4" s="3" t="str">
        <x:f>IF(Master!Q121="","",Master!Q121)</x:f>
      </x:c>
      <x:c r="Q4" s="3" t="str">
        <x:f>IF(Master!R121="","",Master!R121)</x:f>
      </x:c>
      <x:c r="R4" s="3" t="str">
        <x:f>IF(Master!S121="","",Master!S121)</x:f>
      </x:c>
      <x:c r="S4" s="3" t="str">
        <x:f>IF(Master!T121="","",Master!T121)</x:f>
      </x:c>
      <x:c r="T4" s="3" t="str">
        <x:f>IF(Master!U121="","",Master!U121)</x:f>
      </x:c>
      <x:c r="U4" s="3" t="str">
        <x:f>IF(Master!V121="","",Master!V121)</x:f>
        <x:v>Yes: Portals + built-in workspaces</x:v>
      </x:c>
      <x:c r="V4" s="3" t="str">
        <x:f>IF(Master!W121="","",Master!W121)</x:f>
        <x:v>Yes: Apps-Engine packages install directly into workspace</x:v>
      </x:c>
      <x:c r="W4" s="3" t="str">
        <x:f>IF(Master!X121="","",Master!X121)</x:f>
        <x:v>No dedicated embedded-app marketplace documented</x:v>
      </x:c>
      <x:c r="X4" s="3" t="str">
        <x:f>IF(Master!Y121="","",Master!Y121)</x:f>
        <x:v>Yes: hosted Root Apps can provide GUI surfaces</x:v>
      </x:c>
      <x:c r="Y4" s="3" t="str">
        <x:f>IF(Master!Z121="","",Master!Z121)</x:f>
      </x:c>
      <x:c r="Z4" s="3" t="str">
        <x:f>IF(Master!AA121="","",Master!AA121)</x:f>
      </x:c>
      <x:c r="AA4" s="6" t="str">
        <x:f>IF(Master!AB121="","",Master!AB121)</x:f>
      </x:c>
      <x:c r="AB4" s="3" t="str">
        <x:f>IF(Master!AC121="","",Master!AC121)</x:f>
        <x:v>No dedicated embedded-app framework documented</x:v>
      </x:c>
      <x:c r="AC4" s="3" t="str">
        <x:f>IF(Master!AD121="","",Master!AD121)</x:f>
      </x:c>
      <x:c r="AD4" s="3" t="str">
        <x:f>IF(Master!AE121="","",Master!AE121)</x:f>
      </x:c>
      <x:c r="AE4" s="3" t="str">
        <x:f>IF(Master!AF121="","",Master!AF121)</x:f>
      </x:c>
      <x:c r="AF4" s="8" t="str">
        <x:f>IF(Master!AG121="","",Master!AG121)</x:f>
        <x:v>No comparable embedded UI framework; bots/integrations instead</x:v>
      </x:c>
    </x:row>
    <x:row r="5" ht="36" customHeight="1">
      <x:c r="A5" s="17" t="s">
        <x:v>346</x:v>
      </x:c>
      <x:c r="B5" s="3" t="str">
        <x:f>IF(Master!C122="","",Master!C122)</x:f>
        <x:v>Yes: @discord/embedded-app-sdk</x:v>
      </x:c>
      <x:c r="C5" s="3" t="str">
        <x:f>IF(Master!D122="","",Master!D122)</x:f>
      </x:c>
      <x:c r="D5" s="3" t="str">
        <x:f>IF(Master!E122="","",Master!E122)</x:f>
      </x:c>
      <x:c r="E5" s="3" t="str">
        <x:f>IF(Master!F122="","",Master!F122)</x:f>
      </x:c>
      <x:c r="F5" s="3" t="str">
        <x:f>IF(Master!G122="","",Master!G122)</x:f>
      </x:c>
      <x:c r="G5" s="3" t="str">
        <x:f>IF(Master!H122="","",Master!H122)</x:f>
      </x:c>
      <x:c r="H5" s="3" t="str">
        <x:f>IF(Master!I122="","",Master!I122)</x:f>
      </x:c>
      <x:c r="I5" s="3" t="str">
        <x:f>IF(Master!J122="","",Master!J122)</x:f>
      </x:c>
      <x:c r="J5" s="3" t="str">
        <x:f>IF(Master!K122="","",Master!K122)</x:f>
      </x:c>
      <x:c r="K5" s="3" t="str">
        <x:f>IF(Master!L122="","",Master!L122)</x:f>
        <x:v>Yes for bots/apps: Python SDK plus scoped REST/Gateway APIs; not an iframe runtime</x:v>
      </x:c>
      <x:c r="L5" s="3" t="str">
        <x:f>IF(Master!M122="","",Master!M122)</x:f>
      </x:c>
      <x:c r="M5" s="3" t="str">
        <x:f>IF(Master!N122="","",Master!N122)</x:f>
      </x:c>
      <x:c r="N5" s="3" t="str">
        <x:f>IF(Master!O122="","",Master!O122)</x:f>
        <x:v>Client/integration-manager dependent</x:v>
      </x:c>
      <x:c r="O5" s="3" t="str">
        <x:f>IF(Master!P122="","",Master!P122)</x:f>
        <x:v>Yes: plugin webapp APIs</x:v>
      </x:c>
      <x:c r="P5" s="3" t="str">
        <x:f>IF(Master!Q122="","",Master!Q122)</x:f>
      </x:c>
      <x:c r="Q5" s="3" t="str">
        <x:f>IF(Master!R122="","",Master!R122)</x:f>
      </x:c>
      <x:c r="R5" s="3" t="str">
        <x:f>IF(Master!S122="","",Master!S122)</x:f>
      </x:c>
      <x:c r="S5" s="3" t="str">
        <x:f>IF(Master!T122="","",Master!T122)</x:f>
      </x:c>
      <x:c r="T5" s="3" t="str">
        <x:f>IF(Master!U122="","",Master!U122)</x:f>
      </x:c>
      <x:c r="U5" s="3" t="str">
        <x:f>IF(Master!V122="","",Master!V122)</x:f>
        <x:v>No</x:v>
      </x:c>
      <x:c r="V5" s="3" t="str">
        <x:f>IF(Master!W122="","",Master!W122)</x:f>
        <x:v>Yes: Apps-Engine (TypeScript)</x:v>
      </x:c>
      <x:c r="W5" s="3" t="str">
        <x:f>IF(Master!X122="","",Master!X122)</x:f>
      </x:c>
      <x:c r="X5" s="3" t="str">
        <x:f>IF(Master!Y122="","",Master!Y122)</x:f>
      </x:c>
      <x:c r="Y5" s="3" t="str">
        <x:f>IF(Master!Z122="","",Master!Z122)</x:f>
      </x:c>
      <x:c r="Z5" s="3" t="str">
        <x:f>IF(Master!AA122="","",Master!AA122)</x:f>
      </x:c>
      <x:c r="AA5" s="6" t="str">
        <x:f>IF(Master!AB122="","",Master!AB122)</x:f>
      </x:c>
      <x:c r="AB5" s="3" t="str">
        <x:f>IF(Master!AC122="","",Master!AC122)</x:f>
      </x:c>
      <x:c r="AC5" s="3" t="str">
        <x:f>IF(Master!AD122="","",Master!AD122)</x:f>
      </x:c>
      <x:c r="AD5" s="3" t="str">
        <x:f>IF(Master!AE122="","",Master!AE122)</x:f>
      </x:c>
      <x:c r="AE5" s="3" t="str">
        <x:f>IF(Master!AF122="","",Master!AF122)</x:f>
      </x:c>
      <x:c r="AF5" s="8" t="str">
        <x:f>IF(Master!AG122="","",Master!AG122)</x:f>
        <x:v>APIs/bot frameworks, not embedded UI</x:v>
      </x:c>
    </x:row>
    <x:row r="6" ht="36" customHeight="1">
      <x:c r="A6" s="17" t="s">
        <x:v>347</x:v>
      </x:c>
      <x:c r="B6" s="3" t="str">
        <x:f>IF(Master!C123="","",Master!C123)</x:f>
        <x:v>Yes: App Directory / platform apps</x:v>
      </x:c>
      <x:c r="C6" s="3" t="str">
        <x:f>IF(Master!D123="","",Master!D123)</x:f>
      </x:c>
      <x:c r="D6" s="3" t="str">
        <x:f>IF(Master!E123="","",Master!E123)</x:f>
      </x:c>
      <x:c r="E6" s="3" t="str">
        <x:f>IF(Master!F123="","",Master!F123)</x:f>
      </x:c>
      <x:c r="F6" s="3" t="str">
        <x:f>IF(Master!G123="","",Master!G123)</x:f>
      </x:c>
      <x:c r="G6" s="3" t="str">
        <x:f>IF(Master!H123="","",Master!H123)</x:f>
      </x:c>
      <x:c r="H6" s="3" t="str">
        <x:f>IF(Master!I123="","",Master!I123)</x:f>
      </x:c>
      <x:c r="I6" s="3" t="str">
        <x:f>IF(Master!J123="","",Master!J123)</x:f>
      </x:c>
      <x:c r="J6" s="3" t="str">
        <x:f>IF(Master!K123="","",Master!K123)</x:f>
      </x:c>
      <x:c r="K6" s="3" t="str">
        <x:f>IF(Master!L123="","",Master!L123)</x:f>
        <x:v>Yes: federated App Directory for reviewed applications/bots</x:v>
      </x:c>
      <x:c r="L6" s="3" t="str">
        <x:f>IF(Master!M123="","",Master!M123)</x:f>
      </x:c>
      <x:c r="M6" s="3" t="str">
        <x:f>IF(Master!N123="","",Master!N123)</x:f>
      </x:c>
      <x:c r="N6" s="3" t="str">
        <x:f>IF(Master!O123="","",Master!O123)</x:f>
        <x:v>Client-dependent integration manager/catalog</x:v>
      </x:c>
      <x:c r="O6" s="3" t="str">
        <x:f>IF(Master!P123="","",Master!P123)</x:f>
        <x:v>Plugin marketplace/ecosystem</x:v>
      </x:c>
      <x:c r="P6" s="3" t="str">
        <x:f>IF(Master!Q123="","",Master!Q123)</x:f>
      </x:c>
      <x:c r="Q6" s="3" t="str">
        <x:f>IF(Master!R123="","",Master!R123)</x:f>
      </x:c>
      <x:c r="R6" s="3" t="str">
        <x:f>IF(Master!S123="","",Master!S123)</x:f>
      </x:c>
      <x:c r="S6" s="3" t="str">
        <x:f>IF(Master!T123="","",Master!T123)</x:f>
      </x:c>
      <x:c r="T6" s="3" t="str">
        <x:f>IF(Master!U123="","",Master!U123)</x:f>
      </x:c>
      <x:c r="U6" s="3" t="str">
        <x:f>IF(Master!V123="","",Master!V123)</x:f>
        <x:v>No public marketplace</x:v>
      </x:c>
      <x:c r="V6" s="3" t="str">
        <x:f>IF(Master!W123="","",Master!W123)</x:f>
        <x:v>Yes: Marketplace</x:v>
      </x:c>
      <x:c r="W6" s="3" t="str">
        <x:f>IF(Master!X123="","",Master!X123)</x:f>
      </x:c>
      <x:c r="X6" s="3" t="str">
        <x:f>IF(Master!Y123="","",Master!Y123)</x:f>
      </x:c>
      <x:c r="Y6" s="3" t="str">
        <x:f>IF(Master!Z123="","",Master!Z123)</x:f>
      </x:c>
      <x:c r="Z6" s="3" t="str">
        <x:f>IF(Master!AA123="","",Master!AA123)</x:f>
      </x:c>
      <x:c r="AA6" s="6" t="str">
        <x:f>IF(Master!AB123="","",Master!AB123)</x:f>
      </x:c>
      <x:c r="AB6" s="3" t="str">
        <x:f>IF(Master!AC123="","",Master!AC123)</x:f>
      </x:c>
      <x:c r="AC6" s="3" t="str">
        <x:f>IF(Master!AD123="","",Master!AD123)</x:f>
      </x:c>
      <x:c r="AD6" s="3" t="str">
        <x:f>IF(Master!AE123="","",Master!AE123)</x:f>
      </x:c>
      <x:c r="AE6" s="3" t="str">
        <x:f>IF(Master!AF123="","",Master!AF123)</x:f>
      </x:c>
      <x:c r="AF6" s="8" t="str">
        <x:f>IF(Master!AG123="","",Master!AG123)</x:f>
        <x:v>Yes: integration directory, not embedded apps</x:v>
      </x:c>
    </x:row>
    <x:row r="7" ht="36" customHeight="1">
      <x:c r="A7" s="17" t="s">
        <x:v>348</x:v>
      </x:c>
      <x:c r="B7" s="3" t="str">
        <x:f>IF(Master!C124="","",Master!C124)</x:f>
        <x:v>Yes: Activities run inside Discord</x:v>
      </x:c>
      <x:c r="C7" s="3" t="str">
        <x:f>IF(Master!D124="","",Master!D124)</x:f>
      </x:c>
      <x:c r="D7" s="3" t="str">
        <x:f>IF(Master!E124="","",Master!E124)</x:f>
      </x:c>
      <x:c r="E7" s="3" t="str">
        <x:f>IF(Master!F124="","",Master!F124)</x:f>
      </x:c>
      <x:c r="F7" s="3" t="str">
        <x:f>IF(Master!G124="","",Master!G124)</x:f>
      </x:c>
      <x:c r="G7" s="3" t="str">
        <x:f>IF(Master!H124="","",Master!H124)</x:f>
      </x:c>
      <x:c r="H7" s="3" t="str">
        <x:f>IF(Master!I124="","",Master!I124)</x:f>
      </x:c>
      <x:c r="I7" s="3" t="str">
        <x:f>IF(Master!J124="","",Master!J124)</x:f>
      </x:c>
      <x:c r="J7" s="3" t="str">
        <x:f>IF(Master!K124="","",Master!K124)</x:f>
      </x:c>
      <x:c r="K7" s="3" t="str">
        <x:f>IF(Master!L124="","",Master!L124)</x:f>
        <x:v>Commands/App Launcher integrate with the composer; no arbitrary embedded web-app runtime</x:v>
      </x:c>
      <x:c r="L7" s="3" t="str">
        <x:f>IF(Master!M124="","",Master!M124)</x:f>
      </x:c>
      <x:c r="M7" s="3" t="str">
        <x:f>IF(Master!N124="","",Master!N124)</x:f>
      </x:c>
      <x:c r="N7" s="3" t="str">
        <x:f>IF(Master!O124="","",Master!O124)</x:f>
        <x:v>Client-dependent widgets</x:v>
      </x:c>
      <x:c r="O7" s="3" t="str">
        <x:f>IF(Master!P124="","",Master!P124)</x:f>
        <x:v>Yes: plugins can extend web/desktop UI</x:v>
      </x:c>
      <x:c r="P7" s="3" t="str">
        <x:f>IF(Master!Q124="","",Master!Q124)</x:f>
      </x:c>
      <x:c r="Q7" s="3" t="str">
        <x:f>IF(Master!R124="","",Master!R124)</x:f>
      </x:c>
      <x:c r="R7" s="3" t="str">
        <x:f>IF(Master!S124="","",Master!S124)</x:f>
      </x:c>
      <x:c r="S7" s="3" t="str">
        <x:f>IF(Master!T124="","",Master!T124)</x:f>
      </x:c>
      <x:c r="T7" s="3" t="str">
        <x:f>IF(Master!U124="","",Master!U124)</x:f>
      </x:c>
      <x:c r="U7" s="3" t="str">
        <x:f>IF(Master!V124="","",Master!V124)</x:f>
        <x:v>Yes: Portals live in the Rift workspace</x:v>
      </x:c>
      <x:c r="V7" s="3" t="str">
        <x:f>IF(Master!W124="","",Master!W124)</x:f>
        <x:v>Yes: apps extend workspace</x:v>
      </x:c>
      <x:c r="W7" s="3" t="str">
        <x:f>IF(Master!X124="","",Master!X124)</x:f>
      </x:c>
      <x:c r="X7" s="3" t="str">
        <x:f>IF(Master!Y124="","",Master!Y124)</x:f>
      </x:c>
      <x:c r="Y7" s="3" t="str">
        <x:f>IF(Master!Z124="","",Master!Z124)</x:f>
      </x:c>
      <x:c r="Z7" s="3" t="str">
        <x:f>IF(Master!AA124="","",Master!AA124)</x:f>
      </x:c>
      <x:c r="AA7" s="6" t="str">
        <x:f>IF(Master!AB124="","",Master!AB124)</x:f>
      </x:c>
      <x:c r="AB7" s="3" t="str">
        <x:f>IF(Master!AC124="","",Master!AC124)</x:f>
      </x:c>
      <x:c r="AC7" s="3" t="str">
        <x:f>IF(Master!AD124="","",Master!AD124)</x:f>
      </x:c>
      <x:c r="AD7" s="3" t="str">
        <x:f>IF(Master!AE124="","",Master!AE124)</x:f>
      </x:c>
      <x:c r="AE7" s="3" t="str">
        <x:f>IF(Master!AF124="","",Master!AF124)</x:f>
      </x:c>
      <x:c r="AF7" s="8" t="str">
        <x:f>IF(Master!AG124="","",Master!AG124)</x:f>
        <x:v>Integrations generally act through messages/bots</x:v>
      </x:c>
    </x:row>
    <x:row r="8" ht="36" customHeight="1">
      <x:c r="A8" s="17" t="s">
        <x:v>349</x:v>
      </x:c>
      <x:c r="B8" s="3" t="str">
        <x:f>IF(Master!C125="","",Master!C125)</x:f>
        <x:v>Yes: Activities are multiplayer/social sessions</x:v>
      </x:c>
      <x:c r="C8" s="3" t="str">
        <x:f>IF(Master!D125="","",Master!D125)</x:f>
      </x:c>
      <x:c r="D8" s="3" t="str">
        <x:f>IF(Master!E125="","",Master!E125)</x:f>
      </x:c>
      <x:c r="E8" s="3" t="str">
        <x:f>IF(Master!F125="","",Master!F125)</x:f>
      </x:c>
      <x:c r="F8" s="3" t="str">
        <x:f>IF(Master!G125="","",Master!G125)</x:f>
      </x:c>
      <x:c r="G8" s="3" t="str">
        <x:f>IF(Master!H125="","",Master!H125)</x:f>
      </x:c>
      <x:c r="H8" s="3" t="str">
        <x:f>IF(Master!I125="","",Master!I125)</x:f>
      </x:c>
      <x:c r="I8" s="3" t="str">
        <x:f>IF(Master!J125="","",Master!J125)</x:f>
      </x:c>
      <x:c r="J8" s="3" t="str">
        <x:f>IF(Master!K125="","",Master!K125)</x:f>
      </x:c>
      <x:c r="K8" s="3" t="str">
        <x:f>IF(Master!L125="","",Master!L125)</x:f>
        <x:v>No dedicated synchronized embedded-app session framework</x:v>
      </x:c>
      <x:c r="L8" s="3" t="str">
        <x:f>IF(Master!M125="","",Master!M125)</x:f>
      </x:c>
      <x:c r="M8" s="3" t="str">
        <x:f>IF(Master!N125="","",Master!N125)</x:f>
      </x:c>
      <x:c r="N8" s="3" t="str">
        <x:f>IF(Master!O125="","",Master!O125)</x:f>
        <x:v>Widget-dependent</x:v>
      </x:c>
      <x:c r="O8" s="3" t="str">
        <x:f>IF(Master!P125="","",Master!P125)</x:f>
        <x:v>Plugin-dependent</x:v>
      </x:c>
      <x:c r="P8" s="3" t="str">
        <x:f>IF(Master!Q125="","",Master!Q125)</x:f>
      </x:c>
      <x:c r="Q8" s="3" t="str">
        <x:f>IF(Master!R125="","",Master!R125)</x:f>
      </x:c>
      <x:c r="R8" s="3" t="str">
        <x:f>IF(Master!S125="","",Master!S125)</x:f>
      </x:c>
      <x:c r="S8" s="3" t="str">
        <x:f>IF(Master!T125="","",Master!T125)</x:f>
      </x:c>
      <x:c r="T8" s="3" t="str">
        <x:f>IF(Master!U125="","",Master!U125)</x:f>
      </x:c>
      <x:c r="U8" s="3" t="str">
        <x:f>IF(Master!V125="","",Master!V125)</x:f>
        <x:v>Yes: Watch Parties; Arcade/Tabletop collaborative experiences</x:v>
      </x:c>
      <x:c r="V8" s="3" t="str">
        <x:f>IF(Master!W125="","",Master!W125)</x:f>
        <x:v>App-dependent</x:v>
      </x:c>
      <x:c r="W8" s="3" t="str">
        <x:f>IF(Master!X125="","",Master!X125)</x:f>
      </x:c>
      <x:c r="X8" s="3" t="str">
        <x:f>IF(Master!Y125="","",Master!Y125)</x:f>
      </x:c>
      <x:c r="Y8" s="3" t="str">
        <x:f>IF(Master!Z125="","",Master!Z125)</x:f>
      </x:c>
      <x:c r="Z8" s="3" t="str">
        <x:f>IF(Master!AA125="","",Master!AA125)</x:f>
      </x:c>
      <x:c r="AA8" s="6" t="str">
        <x:f>IF(Master!AB125="","",Master!AB125)</x:f>
      </x:c>
      <x:c r="AB8" s="3" t="str">
        <x:f>IF(Master!AC125="","",Master!AC125)</x:f>
      </x:c>
      <x:c r="AC8" s="3" t="str">
        <x:f>IF(Master!AD125="","",Master!AD125)</x:f>
      </x:c>
      <x:c r="AD8" s="3" t="str">
        <x:f>IF(Master!AE125="","",Master!AE125)</x:f>
      </x:c>
      <x:c r="AE8" s="3" t="str">
        <x:f>IF(Master!AF125="","",Master!AF125)</x:f>
      </x:c>
      <x:c r="AF8" s="8" t="str">
        <x:f>IF(Master!AG125="","",Master!AG125)</x:f>
        <x:v>Bot/integration-dependent</x:v>
      </x:c>
    </x:row>
    <x:row r="9" ht="36" customHeight="1">
      <x:c r="A9" s="17" t="s">
        <x:v>350</x:v>
      </x:c>
      <x:c r="B9" s="3" t="str">
        <x:f>IF(Master!C126="","",Master!C126)</x:f>
        <x:v>Yes: channels, DMs, App Launcher</x:v>
      </x:c>
      <x:c r="C9" s="3" t="str">
        <x:f>IF(Master!D126="","",Master!D126)</x:f>
      </x:c>
      <x:c r="D9" s="3" t="str">
        <x:f>IF(Master!E126="","",Master!E126)</x:f>
      </x:c>
      <x:c r="E9" s="3" t="str">
        <x:f>IF(Master!F126="","",Master!F126)</x:f>
      </x:c>
      <x:c r="F9" s="3" t="str">
        <x:f>IF(Master!G126="","",Master!G126)</x:f>
      </x:c>
      <x:c r="G9" s="3" t="str">
        <x:f>IF(Master!H126="","",Master!H126)</x:f>
      </x:c>
      <x:c r="H9" s="3" t="str">
        <x:f>IF(Master!I126="","",Master!I126)</x:f>
      </x:c>
      <x:c r="I9" s="3" t="str">
        <x:f>IF(Master!J126="","",Master!J126)</x:f>
      </x:c>
      <x:c r="J9" s="3" t="str">
        <x:f>IF(Master!K126="","",Master!K126)</x:f>
      </x:c>
      <x:c r="K9" s="3" t="str">
        <x:f>IF(Master!L126="","",Master!L126)</x:f>
        <x:v>Yes: App Launcher/slash commands can launch app interactions from a conversation</x:v>
      </x:c>
      <x:c r="L9" s="3" t="str">
        <x:f>IF(Master!M126="","",Master!M126)</x:f>
      </x:c>
      <x:c r="M9" s="3" t="str">
        <x:f>IF(Master!N126="","",Master!N126)</x:f>
      </x:c>
      <x:c r="N9" s="3" t="str">
        <x:f>IF(Master!O126="","",Master!O126)</x:f>
        <x:v>Client-dependent room widgets</x:v>
      </x:c>
      <x:c r="O9" s="3" t="str">
        <x:f>IF(Master!P126="","",Master!P126)</x:f>
        <x:v>Plugin-dependent</x:v>
      </x:c>
      <x:c r="P9" s="3" t="str">
        <x:f>IF(Master!Q126="","",Master!Q126)</x:f>
      </x:c>
      <x:c r="Q9" s="3" t="str">
        <x:f>IF(Master!R126="","",Master!R126)</x:f>
      </x:c>
      <x:c r="R9" s="3" t="str">
        <x:f>IF(Master!S126="","",Master!S126)</x:f>
      </x:c>
      <x:c r="S9" s="3" t="str">
        <x:f>IF(Master!T126="","",Master!T126)</x:f>
      </x:c>
      <x:c r="T9" s="3" t="str">
        <x:f>IF(Master!U126="","",Master!U126)</x:f>
      </x:c>
      <x:c r="U9" s="3" t="str">
        <x:f>IF(Master!V126="","",Master!V126)</x:f>
        <x:v>Yes: Portals alongside chat; some tools post into channels</x:v>
      </x:c>
      <x:c r="V9" s="3" t="str">
        <x:f>IF(Master!W126="","",Master!W126)</x:f>
        <x:v>App-dependent</x:v>
      </x:c>
      <x:c r="W9" s="3" t="str">
        <x:f>IF(Master!X126="","",Master!X126)</x:f>
      </x:c>
      <x:c r="X9" s="3" t="str">
        <x:f>IF(Master!Y126="","",Master!Y126)</x:f>
      </x:c>
      <x:c r="Y9" s="3" t="str">
        <x:f>IF(Master!Z126="","",Master!Z126)</x:f>
      </x:c>
      <x:c r="Z9" s="3" t="str">
        <x:f>IF(Master!AA126="","",Master!AA126)</x:f>
      </x:c>
      <x:c r="AA9" s="6" t="str">
        <x:f>IF(Master!AB126="","",Master!AB126)</x:f>
      </x:c>
      <x:c r="AB9" s="3" t="str">
        <x:f>IF(Master!AC126="","",Master!AC126)</x:f>
      </x:c>
      <x:c r="AC9" s="3" t="str">
        <x:f>IF(Master!AD126="","",Master!AD126)</x:f>
      </x:c>
      <x:c r="AD9" s="3" t="str">
        <x:f>IF(Master!AE126="","",Master!AE126)</x:f>
      </x:c>
      <x:c r="AE9" s="3" t="str">
        <x:f>IF(Master!AF126="","",Master!AF126)</x:f>
      </x:c>
      <x:c r="AF9" s="8" t="str">
        <x:f>IF(Master!AG126="","",Master!AG126)</x:f>
        <x:v>Bots/integrations can be invoked in conversation</x:v>
      </x:c>
    </x:row>
    <x:row r="10" ht="36" customHeight="1">
      <x:c r="A10" s="17" t="s">
        <x:v>351</x:v>
      </x:c>
      <x:c r="B10" s="3" t="str">
        <x:f>IF(Master!C127="","",Master!C127)</x:f>
        <x:v>Yes: Embedded App SDK supports iOS/Android</x:v>
      </x:c>
      <x:c r="C10" s="3" t="str">
        <x:f>IF(Master!D127="","",Master!D127)</x:f>
      </x:c>
      <x:c r="D10" s="3" t="str">
        <x:f>IF(Master!E127="","",Master!E127)</x:f>
      </x:c>
      <x:c r="E10" s="3" t="str">
        <x:f>IF(Master!F127="","",Master!F127)</x:f>
      </x:c>
      <x:c r="F10" s="3" t="str">
        <x:f>IF(Master!G127="","",Master!G127)</x:f>
      </x:c>
      <x:c r="G10" s="3" t="str">
        <x:f>IF(Master!H127="","",Master!H127)</x:f>
      </x:c>
      <x:c r="H10" s="3" t="str">
        <x:f>IF(Master!I127="","",Master!I127)</x:f>
      </x:c>
      <x:c r="I10" s="3" t="str">
        <x:f>IF(Master!J127="","",Master!J127)</x:f>
      </x:c>
      <x:c r="J10" s="3" t="str">
        <x:f>IF(Master!K127="","",Master!K127)</x:f>
      </x:c>
      <x:c r="K10" s="3" t="str">
        <x:f>IF(Master!L127="","",Master!L127)</x:f>
        <x:v>Yes for bot/app interactions on mobile; no embedded iframe/activity runtime</x:v>
      </x:c>
      <x:c r="L10" s="3" t="str">
        <x:f>IF(Master!M127="","",Master!M127)</x:f>
      </x:c>
      <x:c r="M10" s="3" t="str">
        <x:f>IF(Master!N127="","",Master!N127)</x:f>
      </x:c>
      <x:c r="N10" s="3" t="str">
        <x:f>IF(Master!O127="","",Master!O127)</x:f>
        <x:v>Client/widget dependent</x:v>
      </x:c>
      <x:c r="O10" s="3" t="str">
        <x:f>IF(Master!P127="","",Master!P127)</x:f>
        <x:v>Plugin/mobile support varies</x:v>
      </x:c>
      <x:c r="P10" s="3" t="str">
        <x:f>IF(Master!Q127="","",Master!Q127)</x:f>
      </x:c>
      <x:c r="Q10" s="3" t="str">
        <x:f>IF(Master!R127="","",Master!R127)</x:f>
      </x:c>
      <x:c r="R10" s="3" t="str">
        <x:f>IF(Master!S127="","",Master!S127)</x:f>
      </x:c>
      <x:c r="S10" s="3" t="str">
        <x:f>IF(Master!T127="","",Master!T127)</x:f>
      </x:c>
      <x:c r="T10" s="3" t="str">
        <x:f>IF(Master!U127="","",Master!U127)</x:f>
      </x:c>
      <x:c r="U10" s="3" t="str">
        <x:f>IF(Master!V127="","",Master!V127)</x:f>
        <x:v>Web/PWA/mobile behavior varies by Portal; no dedicated mobile app marketplace</x:v>
      </x:c>
      <x:c r="V10" s="3" t="str">
        <x:f>IF(Master!W127="","",Master!W127)</x:f>
        <x:v>App/mobile support varies</x:v>
      </x:c>
      <x:c r="W10" s="3" t="str">
        <x:f>IF(Master!X127="","",Master!X127)</x:f>
      </x:c>
      <x:c r="X10" s="3" t="str">
        <x:f>IF(Master!Y127="","",Master!Y127)</x:f>
      </x:c>
      <x:c r="Y10" s="3" t="str">
        <x:f>IF(Master!Z127="","",Master!Z127)</x:f>
      </x:c>
      <x:c r="Z10" s="3" t="str">
        <x:f>IF(Master!AA127="","",Master!AA127)</x:f>
      </x:c>
      <x:c r="AA10" s="6" t="str">
        <x:f>IF(Master!AB127="","",Master!AB127)</x:f>
      </x:c>
      <x:c r="AB10" s="3" t="str">
        <x:f>IF(Master!AC127="","",Master!AC127)</x:f>
      </x:c>
      <x:c r="AC10" s="3" t="str">
        <x:f>IF(Master!AD127="","",Master!AD127)</x:f>
      </x:c>
      <x:c r="AD10" s="3" t="str">
        <x:f>IF(Master!AE127="","",Master!AE127)</x:f>
      </x:c>
      <x:c r="AE10" s="3" t="str">
        <x:f>IF(Master!AF127="","",Master!AF127)</x:f>
      </x:c>
      <x:c r="AF10" s="8" t="str">
        <x:f>IF(Master!AG127="","",Master!AG127)</x:f>
        <x:v>Integrations available; not embedded UI</x:v>
      </x:c>
    </x:row>
    <x:row r="11" ht="21.950000762939453" customHeight="1">
      <x:c r="A11" s="18" t="s">
        <x:v>352</x:v>
      </x:c>
      <x:c r="B11" s="18" t="str">
        <x:f t="shared" ref="B11:AF11" si="1">IF(""="","","")</x:f>
      </x:c>
      <x:c r="C11" s="18" t="str">
        <x:f t="shared" si="1"/>
      </x:c>
      <x:c r="D11" s="18" t="str">
        <x:f t="shared" si="1"/>
      </x:c>
      <x:c r="E11" s="18" t="str">
        <x:f t="shared" si="1"/>
      </x:c>
      <x:c r="F11" s="18" t="str">
        <x:f t="shared" si="1"/>
      </x:c>
      <x:c r="G11" s="18" t="str">
        <x:f t="shared" si="1"/>
      </x:c>
      <x:c r="H11" s="18" t="str">
        <x:f t="shared" si="1"/>
      </x:c>
      <x:c r="I11" s="18" t="str">
        <x:f t="shared" si="1"/>
      </x:c>
      <x:c r="J11" s="18" t="str">
        <x:f t="shared" si="1"/>
      </x:c>
      <x:c r="K11" s="18" t="str">
        <x:f t="shared" si="1"/>
      </x:c>
      <x:c r="L11" s="18" t="str">
        <x:f t="shared" si="1"/>
      </x:c>
      <x:c r="M11" s="18" t="str">
        <x:f t="shared" si="1"/>
      </x:c>
      <x:c r="N11" s="18" t="str">
        <x:f t="shared" si="1"/>
      </x:c>
      <x:c r="O11" s="18" t="str">
        <x:f t="shared" si="1"/>
      </x:c>
      <x:c r="P11" s="18" t="str">
        <x:f t="shared" si="1"/>
      </x:c>
      <x:c r="Q11" s="18" t="str">
        <x:f t="shared" si="1"/>
      </x:c>
      <x:c r="R11" s="18" t="str">
        <x:f t="shared" si="1"/>
      </x:c>
      <x:c r="S11" s="18" t="str">
        <x:f t="shared" si="1"/>
      </x:c>
      <x:c r="T11" s="18" t="str">
        <x:f t="shared" si="1"/>
      </x:c>
      <x:c r="U11" s="18" t="str">
        <x:f t="shared" si="1"/>
      </x:c>
      <x:c r="V11" s="18" t="str">
        <x:f t="shared" si="1"/>
      </x:c>
      <x:c r="W11" s="18" t="str">
        <x:f t="shared" si="1"/>
      </x:c>
      <x:c r="X11" s="18" t="str">
        <x:f t="shared" si="1"/>
      </x:c>
      <x:c r="Y11" s="18" t="str">
        <x:f t="shared" si="1"/>
      </x:c>
      <x:c r="Z11" s="18" t="str">
        <x:f t="shared" si="1"/>
      </x:c>
      <x:c r="AA11" s="18" t="str">
        <x:f t="shared" si="1"/>
      </x:c>
      <x:c r="AB11" s="18" t="str">
        <x:f t="shared" si="1"/>
      </x:c>
      <x:c r="AC11" s="18" t="str">
        <x:f t="shared" si="1"/>
      </x:c>
      <x:c r="AD11" s="18" t="str">
        <x:f t="shared" si="1"/>
      </x:c>
      <x:c r="AE11" s="18" t="str">
        <x:f t="shared" si="1"/>
      </x:c>
      <x:c r="AF11" s="19" t="str">
        <x:f t="shared" si="1"/>
      </x:c>
    </x:row>
    <x:row r="12" ht="36" customHeight="1">
      <x:c r="A12" s="17" t="s">
        <x:v>353</x:v>
      </x:c>
      <x:c r="B12" s="3" t="str">
        <x:f>IF(Master!C128="","",Master!C128)</x:f>
        <x:v>No general workspace layout</x:v>
      </x:c>
      <x:c r="C12" s="3" t="str">
        <x:f>IF(Master!D128="","",Master!D128)</x:f>
      </x:c>
      <x:c r="D12" s="3" t="str">
        <x:f>IF(Master!E128="","",Master!E128)</x:f>
      </x:c>
      <x:c r="E12" s="3" t="str">
        <x:f>IF(Master!F128="","",Master!F128)</x:f>
      </x:c>
      <x:c r="F12" s="3" t="str">
        <x:f>IF(Master!G128="","",Master!G128)</x:f>
      </x:c>
      <x:c r="G12" s="3" t="str">
        <x:f>IF(Master!H128="","",Master!H128)</x:f>
      </x:c>
      <x:c r="H12" s="3" t="str">
        <x:f>IF(Master!I128="","",Master!I128)</x:f>
      </x:c>
      <x:c r="I12" s="3" t="str">
        <x:f>IF(Master!J128="","",Master!J128)</x:f>
      </x:c>
      <x:c r="J12" s="3" t="str">
        <x:f>IF(Master!K128="","",Master!K128)</x:f>
      </x:c>
      <x:c r="K12" s="3" t="str">
        <x:f>IF(Master!L128="","",Master!L128)</x:f>
        <x:v>No dedicated embedded-app implementation documented</x:v>
      </x:c>
      <x:c r="L12" s="3" t="str">
        <x:f>IF(Master!M128="","",Master!M128)</x:f>
      </x:c>
      <x:c r="M12" s="3" t="str">
        <x:f>IF(Master!N128="","",Master!N128)</x:f>
      </x:c>
      <x:c r="N12" s="3" t="str">
        <x:f>IF(Master!O128="","",Master!O128)</x:f>
        <x:v>Client-dependent</x:v>
      </x:c>
      <x:c r="O12" s="3" t="str">
        <x:f>IF(Master!P128="","",Master!P128)</x:f>
        <x:v>Plugin-dependent</x:v>
      </x:c>
      <x:c r="P12" s="3" t="str">
        <x:f>IF(Master!Q128="","",Master!Q128)</x:f>
      </x:c>
      <x:c r="Q12" s="3" t="str">
        <x:f>IF(Master!R128="","",Master!R128)</x:f>
      </x:c>
      <x:c r="R12" s="3" t="str">
        <x:f>IF(Master!S128="","",Master!S128)</x:f>
      </x:c>
      <x:c r="S12" s="3" t="str">
        <x:f>IF(Master!T128="","",Master!T128)</x:f>
      </x:c>
      <x:c r="T12" s="3" t="str">
        <x:f>IF(Master!U128="","",Master!U128)</x:f>
      </x:c>
      <x:c r="U12" s="3" t="str">
        <x:f>IF(Master!V128="","",Master!V128)</x:f>
        <x:v>Yes</x:v>
      </x:c>
      <x:c r="V12" s="3" t="str">
        <x:f>IF(Master!W128="","",Master!W128)</x:f>
        <x:v>App-dependent</x:v>
      </x:c>
      <x:c r="W12" s="3" t="str">
        <x:f>IF(Master!X128="","",Master!X128)</x:f>
      </x:c>
      <x:c r="X12" s="3" t="str">
        <x:f>IF(Master!Y128="","",Master!Y128)</x:f>
      </x:c>
      <x:c r="Y12" s="3" t="str">
        <x:f>IF(Master!Z128="","",Master!Z128)</x:f>
      </x:c>
      <x:c r="Z12" s="3" t="str">
        <x:f>IF(Master!AA128="","",Master!AA128)</x:f>
      </x:c>
      <x:c r="AA12" s="6" t="str">
        <x:f>IF(Master!AB128="","",Master!AB128)</x:f>
      </x:c>
      <x:c r="AB12" s="3" t="str">
        <x:f>IF(Master!AC128="","",Master!AC128)</x:f>
      </x:c>
      <x:c r="AC12" s="3" t="str">
        <x:f>IF(Master!AD128="","",Master!AD128)</x:f>
      </x:c>
      <x:c r="AD12" s="3" t="str">
        <x:f>IF(Master!AE128="","",Master!AE128)</x:f>
      </x:c>
      <x:c r="AE12" s="3" t="str">
        <x:f>IF(Master!AF128="","",Master!AF128)</x:f>
      </x:c>
      <x:c r="AF12" s="8" t="str">
        <x:f>IF(Master!AG128="","",Master!AG128)</x:f>
      </x:c>
    </x:row>
    <x:row r="13" ht="36" customHeight="1">
      <x:c r="A13" s="17" t="s">
        <x:v>354</x:v>
      </x:c>
      <x:c r="B13" s="3" t="str">
        <x:f>IF(Master!C129="","",Master!C129)</x:f>
        <x:v>Limited: Activity/PiP model, not freeform dashboard</x:v>
      </x:c>
      <x:c r="C13" s="3" t="str">
        <x:f>IF(Master!D129="","",Master!D129)</x:f>
      </x:c>
      <x:c r="D13" s="3" t="str">
        <x:f>IF(Master!E129="","",Master!E129)</x:f>
      </x:c>
      <x:c r="E13" s="3" t="str">
        <x:f>IF(Master!F129="","",Master!F129)</x:f>
      </x:c>
      <x:c r="F13" s="3" t="str">
        <x:f>IF(Master!G129="","",Master!G129)</x:f>
      </x:c>
      <x:c r="G13" s="3" t="str">
        <x:f>IF(Master!H129="","",Master!H129)</x:f>
      </x:c>
      <x:c r="H13" s="3" t="str">
        <x:f>IF(Master!I129="","",Master!I129)</x:f>
      </x:c>
      <x:c r="I13" s="3" t="str">
        <x:f>IF(Master!J129="","",Master!J129)</x:f>
      </x:c>
      <x:c r="J13" s="3" t="str">
        <x:f>IF(Master!K129="","",Master!K129)</x:f>
      </x:c>
      <x:c r="K13" s="3" t="str">
        <x:f>IF(Master!L129="","",Master!L129)</x:f>
        <x:v>No dedicated embedded-app implementation documented</x:v>
      </x:c>
      <x:c r="L13" s="3" t="str">
        <x:f>IF(Master!M129="","",Master!M129)</x:f>
      </x:c>
      <x:c r="M13" s="3" t="str">
        <x:f>IF(Master!N129="","",Master!N129)</x:f>
      </x:c>
      <x:c r="N13" s="3" t="str">
        <x:f>IF(Master!O129="","",Master!O129)</x:f>
        <x:v>Client-dependent</x:v>
      </x:c>
      <x:c r="O13" s="3" t="str">
        <x:f>IF(Master!P129="","",Master!P129)</x:f>
        <x:v>Plugin-dependent</x:v>
      </x:c>
      <x:c r="P13" s="3" t="str">
        <x:f>IF(Master!Q129="","",Master!Q129)</x:f>
      </x:c>
      <x:c r="Q13" s="3" t="str">
        <x:f>IF(Master!R129="","",Master!R129)</x:f>
      </x:c>
      <x:c r="R13" s="3" t="str">
        <x:f>IF(Master!S129="","",Master!S129)</x:f>
      </x:c>
      <x:c r="S13" s="3" t="str">
        <x:f>IF(Master!T129="","",Master!T129)</x:f>
      </x:c>
      <x:c r="T13" s="3" t="str">
        <x:f>IF(Master!U129="","",Master!U129)</x:f>
      </x:c>
      <x:c r="U13" s="3" t="str">
        <x:f>IF(Master!V129="","",Master!V129)</x:f>
        <x:v>Yes: multi-panel workspace</x:v>
      </x:c>
      <x:c r="V13" s="3" t="str">
        <x:f>IF(Master!W129="","",Master!W129)</x:f>
        <x:v>App-dependent</x:v>
      </x:c>
      <x:c r="W13" s="3" t="str">
        <x:f>IF(Master!X129="","",Master!X129)</x:f>
      </x:c>
      <x:c r="X13" s="3" t="str">
        <x:f>IF(Master!Y129="","",Master!Y129)</x:f>
      </x:c>
      <x:c r="Y13" s="3" t="str">
        <x:f>IF(Master!Z129="","",Master!Z129)</x:f>
      </x:c>
      <x:c r="Z13" s="3" t="str">
        <x:f>IF(Master!AA129="","",Master!AA129)</x:f>
      </x:c>
      <x:c r="AA13" s="6" t="str">
        <x:f>IF(Master!AB129="","",Master!AB129)</x:f>
      </x:c>
      <x:c r="AB13" s="3" t="str">
        <x:f>IF(Master!AC129="","",Master!AC129)</x:f>
      </x:c>
      <x:c r="AC13" s="3" t="str">
        <x:f>IF(Master!AD129="","",Master!AD129)</x:f>
      </x:c>
      <x:c r="AD13" s="3" t="str">
        <x:f>IF(Master!AE129="","",Master!AE129)</x:f>
      </x:c>
      <x:c r="AE13" s="3" t="str">
        <x:f>IF(Master!AF129="","",Master!AF129)</x:f>
      </x:c>
      <x:c r="AF13" s="8" t="str">
        <x:f>IF(Master!AG129="","",Master!AG129)</x:f>
      </x:c>
    </x:row>
    <x:row r="14" ht="36" customHeight="1">
      <x:c r="A14" s="17" t="s">
        <x:v>355</x:v>
      </x:c>
      <x:c r="B14" s="3" t="str">
        <x:f>IF(Master!C130="","",Master!C130)</x:f>
        <x:v>No general feature</x:v>
      </x:c>
      <x:c r="C14" s="3" t="str">
        <x:f>IF(Master!D130="","",Master!D130)</x:f>
      </x:c>
      <x:c r="D14" s="3" t="str">
        <x:f>IF(Master!E130="","",Master!E130)</x:f>
      </x:c>
      <x:c r="E14" s="3" t="str">
        <x:f>IF(Master!F130="","",Master!F130)</x:f>
      </x:c>
      <x:c r="F14" s="3" t="str">
        <x:f>IF(Master!G130="","",Master!G130)</x:f>
      </x:c>
      <x:c r="G14" s="3" t="str">
        <x:f>IF(Master!H130="","",Master!H130)</x:f>
      </x:c>
      <x:c r="H14" s="3" t="str">
        <x:f>IF(Master!I130="","",Master!I130)</x:f>
      </x:c>
      <x:c r="I14" s="3" t="str">
        <x:f>IF(Master!J130="","",Master!J130)</x:f>
      </x:c>
      <x:c r="J14" s="3" t="str">
        <x:f>IF(Master!K130="","",Master!K130)</x:f>
      </x:c>
      <x:c r="K14" s="3" t="str">
        <x:f>IF(Master!L130="","",Master!L130)</x:f>
        <x:v>No dedicated embedded-app implementation documented</x:v>
      </x:c>
      <x:c r="L14" s="3" t="str">
        <x:f>IF(Master!M130="","",Master!M130)</x:f>
      </x:c>
      <x:c r="M14" s="3" t="str">
        <x:f>IF(Master!N130="","",Master!N130)</x:f>
      </x:c>
      <x:c r="N14" s="3" t="str">
        <x:f>IF(Master!O130="","",Master!O130)</x:f>
        <x:v>Client-dependent</x:v>
      </x:c>
      <x:c r="O14" s="3" t="str">
        <x:f>IF(Master!P130="","",Master!P130)</x:f>
        <x:v>No general user layout feature</x:v>
      </x:c>
      <x:c r="P14" s="3" t="str">
        <x:f>IF(Master!Q130="","",Master!Q130)</x:f>
      </x:c>
      <x:c r="Q14" s="3" t="str">
        <x:f>IF(Master!R130="","",Master!R130)</x:f>
      </x:c>
      <x:c r="R14" s="3" t="str">
        <x:f>IF(Master!S130="","",Master!S130)</x:f>
      </x:c>
      <x:c r="S14" s="3" t="str">
        <x:f>IF(Master!T130="","",Master!T130)</x:f>
      </x:c>
      <x:c r="T14" s="3" t="str">
        <x:f>IF(Master!U130="","",Master!U130)</x:f>
      </x:c>
      <x:c r="U14" s="3" t="str">
        <x:f>IF(Master!V130="","",Master!V130)</x:f>
        <x:v>Yes</x:v>
      </x:c>
      <x:c r="V14" s="3" t="str">
        <x:f>IF(Master!W130="","",Master!W130)</x:f>
        <x:v>No general user layout feature</x:v>
      </x:c>
      <x:c r="W14" s="3" t="str">
        <x:f>IF(Master!X130="","",Master!X130)</x:f>
      </x:c>
      <x:c r="X14" s="3" t="str">
        <x:f>IF(Master!Y130="","",Master!Y130)</x:f>
      </x:c>
      <x:c r="Y14" s="3" t="str">
        <x:f>IF(Master!Z130="","",Master!Z130)</x:f>
      </x:c>
      <x:c r="Z14" s="3" t="str">
        <x:f>IF(Master!AA130="","",Master!AA130)</x:f>
      </x:c>
      <x:c r="AA14" s="6" t="str">
        <x:f>IF(Master!AB130="","",Master!AB130)</x:f>
      </x:c>
      <x:c r="AB14" s="3" t="str">
        <x:f>IF(Master!AC130="","",Master!AC130)</x:f>
      </x:c>
      <x:c r="AC14" s="3" t="str">
        <x:f>IF(Master!AD130="","",Master!AD130)</x:f>
      </x:c>
      <x:c r="AD14" s="3" t="str">
        <x:f>IF(Master!AE130="","",Master!AE130)</x:f>
      </x:c>
      <x:c r="AE14" s="3" t="str">
        <x:f>IF(Master!AF130="","",Master!AF130)</x:f>
      </x:c>
      <x:c r="AF14" s="8" t="str">
        <x:f>IF(Master!AG130="","",Master!AG130)</x:f>
      </x:c>
    </x:row>
    <x:row r="15" ht="36" customHeight="1">
      <x:c r="A15" s="17" t="s">
        <x:v>356</x:v>
      </x:c>
      <x:c r="B15" s="3" t="str">
        <x:f>IF(Master!C131="","",Master!C131)</x:f>
        <x:v>Activity/PiP behavior varies</x:v>
      </x:c>
      <x:c r="C15" s="3" t="str">
        <x:f>IF(Master!D131="","",Master!D131)</x:f>
      </x:c>
      <x:c r="D15" s="3" t="str">
        <x:f>IF(Master!E131="","",Master!E131)</x:f>
      </x:c>
      <x:c r="E15" s="3" t="str">
        <x:f>IF(Master!F131="","",Master!F131)</x:f>
      </x:c>
      <x:c r="F15" s="3" t="str">
        <x:f>IF(Master!G131="","",Master!G131)</x:f>
      </x:c>
      <x:c r="G15" s="3" t="str">
        <x:f>IF(Master!H131="","",Master!H131)</x:f>
      </x:c>
      <x:c r="H15" s="3" t="str">
        <x:f>IF(Master!I131="","",Master!I131)</x:f>
      </x:c>
      <x:c r="I15" s="3" t="str">
        <x:f>IF(Master!J131="","",Master!J131)</x:f>
      </x:c>
      <x:c r="J15" s="3" t="str">
        <x:f>IF(Master!K131="","",Master!K131)</x:f>
      </x:c>
      <x:c r="K15" s="3" t="str">
        <x:f>IF(Master!L131="","",Master!L131)</x:f>
        <x:v>No dedicated embedded-app implementation documented</x:v>
      </x:c>
      <x:c r="L15" s="3" t="str">
        <x:f>IF(Master!M131="","",Master!M131)</x:f>
      </x:c>
      <x:c r="M15" s="3" t="str">
        <x:f>IF(Master!N131="","",Master!N131)</x:f>
      </x:c>
      <x:c r="N15" s="3" t="str">
        <x:f>IF(Master!O131="","",Master!O131)</x:f>
        <x:v>Client-dependent</x:v>
      </x:c>
      <x:c r="O15" s="3" t="str">
        <x:f>IF(Master!P131="","",Master!P131)</x:f>
        <x:v>Client/plugin dependent</x:v>
      </x:c>
      <x:c r="P15" s="3" t="str">
        <x:f>IF(Master!Q131="","",Master!Q131)</x:f>
      </x:c>
      <x:c r="Q15" s="3" t="str">
        <x:f>IF(Master!R131="","",Master!R131)</x:f>
      </x:c>
      <x:c r="R15" s="3" t="str">
        <x:f>IF(Master!S131="","",Master!S131)</x:f>
      </x:c>
      <x:c r="S15" s="3" t="str">
        <x:f>IF(Master!T131="","",Master!T131)</x:f>
      </x:c>
      <x:c r="T15" s="3" t="str">
        <x:f>IF(Master!U131="","",Master!U131)</x:f>
      </x:c>
      <x:c r="U15" s="3" t="str">
        <x:f>IF(Master!V131="","",Master!V131)</x:f>
        <x:v>Yes: tear out chat or Portal to own window</x:v>
      </x:c>
      <x:c r="V15" s="3" t="str">
        <x:f>IF(Master!W131="","",Master!W131)</x:f>
        <x:v>Client/app dependent</x:v>
      </x:c>
      <x:c r="W15" s="3" t="str">
        <x:f>IF(Master!X131="","",Master!X131)</x:f>
      </x:c>
      <x:c r="X15" s="3" t="str">
        <x:f>IF(Master!Y131="","",Master!Y131)</x:f>
      </x:c>
      <x:c r="Y15" s="3" t="str">
        <x:f>IF(Master!Z131="","",Master!Z131)</x:f>
      </x:c>
      <x:c r="Z15" s="3" t="str">
        <x:f>IF(Master!AA131="","",Master!AA131)</x:f>
      </x:c>
      <x:c r="AA15" s="6" t="str">
        <x:f>IF(Master!AB131="","",Master!AB131)</x:f>
      </x:c>
      <x:c r="AB15" s="3" t="str">
        <x:f>IF(Master!AC131="","",Master!AC131)</x:f>
      </x:c>
      <x:c r="AC15" s="3" t="str">
        <x:f>IF(Master!AD131="","",Master!AD131)</x:f>
      </x:c>
      <x:c r="AD15" s="3" t="str">
        <x:f>IF(Master!AE131="","",Master!AE131)</x:f>
      </x:c>
      <x:c r="AE15" s="3" t="str">
        <x:f>IF(Master!AF131="","",Master!AF131)</x:f>
      </x:c>
      <x:c r="AF15" s="8" t="str">
        <x:f>IF(Master!AG131="","",Master!AG131)</x:f>
      </x:c>
    </x:row>
    <x:row r="16" ht="36" customHeight="1">
      <x:c r="A16" s="17" t="s">
        <x:v>357</x:v>
      </x:c>
      <x:c r="B16" s="3" t="str">
        <x:f>IF(Master!C132="","",Master!C132)</x:f>
        <x:v>Yes: user-installed apps / Activities</x:v>
      </x:c>
      <x:c r="C16" s="3" t="str">
        <x:f>IF(Master!D132="","",Master!D132)</x:f>
      </x:c>
      <x:c r="D16" s="3" t="str">
        <x:f>IF(Master!E132="","",Master!E132)</x:f>
      </x:c>
      <x:c r="E16" s="3" t="str">
        <x:f>IF(Master!F132="","",Master!F132)</x:f>
      </x:c>
      <x:c r="F16" s="3" t="str">
        <x:f>IF(Master!G132="","",Master!G132)</x:f>
      </x:c>
      <x:c r="G16" s="3" t="str">
        <x:f>IF(Master!H132="","",Master!H132)</x:f>
      </x:c>
      <x:c r="H16" s="3" t="str">
        <x:f>IF(Master!I132="","",Master!I132)</x:f>
      </x:c>
      <x:c r="I16" s="3" t="str">
        <x:f>IF(Master!J132="","",Master!J132)</x:f>
      </x:c>
      <x:c r="J16" s="3" t="str">
        <x:f>IF(Master!K132="","",Master!K132)</x:f>
      </x:c>
      <x:c r="K16" s="3" t="str">
        <x:f>IF(Master!L132="","",Master!L132)</x:f>
        <x:v>No dedicated embedded-app implementation documented</x:v>
      </x:c>
      <x:c r="L16" s="3" t="str">
        <x:f>IF(Master!M132="","",Master!M132)</x:f>
      </x:c>
      <x:c r="M16" s="3" t="str">
        <x:f>IF(Master!N132="","",Master!N132)</x:f>
      </x:c>
      <x:c r="N16" s="3" t="str">
        <x:f>IF(Master!O132="","",Master!O132)</x:f>
        <x:v>Client-dependent</x:v>
      </x:c>
      <x:c r="O16" s="3" t="str">
        <x:f>IF(Master!P132="","",Master!P132)</x:f>
        <x:v>Plugin/admin controlled</x:v>
      </x:c>
      <x:c r="P16" s="3" t="str">
        <x:f>IF(Master!Q132="","",Master!Q132)</x:f>
      </x:c>
      <x:c r="Q16" s="3" t="str">
        <x:f>IF(Master!R132="","",Master!R132)</x:f>
      </x:c>
      <x:c r="R16" s="3" t="str">
        <x:f>IF(Master!S132="","",Master!S132)</x:f>
      </x:c>
      <x:c r="S16" s="3" t="str">
        <x:f>IF(Master!T132="","",Master!T132)</x:f>
      </x:c>
      <x:c r="T16" s="3" t="str">
        <x:f>IF(Master!U132="","",Master!U132)</x:f>
      </x:c>
      <x:c r="U16" s="3" t="str">
        <x:f>IF(Master!V132="","",Master!V132)</x:f>
        <x:v>Yes: personal Portals such as to-dos/watchlists</x:v>
      </x:c>
      <x:c r="V16" s="3" t="str">
        <x:f>IF(Master!W132="","",Master!W132)</x:f>
        <x:v>Workspace/admin controlled</x:v>
      </x:c>
      <x:c r="W16" s="3" t="str">
        <x:f>IF(Master!X132="","",Master!X132)</x:f>
      </x:c>
      <x:c r="X16" s="3" t="str">
        <x:f>IF(Master!Y132="","",Master!Y132)</x:f>
      </x:c>
      <x:c r="Y16" s="3" t="str">
        <x:f>IF(Master!Z132="","",Master!Z132)</x:f>
      </x:c>
      <x:c r="Z16" s="3" t="str">
        <x:f>IF(Master!AA132="","",Master!AA132)</x:f>
      </x:c>
      <x:c r="AA16" s="6" t="str">
        <x:f>IF(Master!AB132="","",Master!AB132)</x:f>
      </x:c>
      <x:c r="AB16" s="3" t="str">
        <x:f>IF(Master!AC132="","",Master!AC132)</x:f>
      </x:c>
      <x:c r="AC16" s="3" t="str">
        <x:f>IF(Master!AD132="","",Master!AD132)</x:f>
      </x:c>
      <x:c r="AD16" s="3" t="str">
        <x:f>IF(Master!AE132="","",Master!AE132)</x:f>
      </x:c>
      <x:c r="AE16" s="3" t="str">
        <x:f>IF(Master!AF132="","",Master!AF132)</x:f>
      </x:c>
      <x:c r="AF16" s="8" t="str">
        <x:f>IF(Master!AG132="","",Master!AG132)</x:f>
        <x:v>Personal bots/integrations possible</x:v>
      </x:c>
    </x:row>
    <x:row r="17" ht="36" customHeight="1">
      <x:c r="A17" s="17" t="s">
        <x:v>358</x:v>
      </x:c>
      <x:c r="B17" s="3" t="str">
        <x:f>IF(Master!C133="","",Master!C133)</x:f>
        <x:v>Yes: guild-installed apps/Activities</x:v>
      </x:c>
      <x:c r="C17" s="3" t="str">
        <x:f>IF(Master!D133="","",Master!D133)</x:f>
      </x:c>
      <x:c r="D17" s="3" t="str">
        <x:f>IF(Master!E133="","",Master!E133)</x:f>
      </x:c>
      <x:c r="E17" s="3" t="str">
        <x:f>IF(Master!F133="","",Master!F133)</x:f>
      </x:c>
      <x:c r="F17" s="3" t="str">
        <x:f>IF(Master!G133="","",Master!G133)</x:f>
      </x:c>
      <x:c r="G17" s="3" t="str">
        <x:f>IF(Master!H133="","",Master!H133)</x:f>
      </x:c>
      <x:c r="H17" s="3" t="str">
        <x:f>IF(Master!I133="","",Master!I133)</x:f>
      </x:c>
      <x:c r="I17" s="3" t="str">
        <x:f>IF(Master!J133="","",Master!J133)</x:f>
      </x:c>
      <x:c r="J17" s="3" t="str">
        <x:f>IF(Master!K133="","",Master!K133)</x:f>
      </x:c>
      <x:c r="K17" s="3" t="str">
        <x:f>IF(Master!L133="","",Master!L133)</x:f>
        <x:v>No dedicated embedded-app implementation documented</x:v>
      </x:c>
      <x:c r="L17" s="3" t="str">
        <x:f>IF(Master!M133="","",Master!M133)</x:f>
      </x:c>
      <x:c r="M17" s="3" t="str">
        <x:f>IF(Master!N133="","",Master!N133)</x:f>
      </x:c>
      <x:c r="N17" s="3" t="str">
        <x:f>IF(Master!O133="","",Master!O133)</x:f>
        <x:v>Room widgets</x:v>
      </x:c>
      <x:c r="O17" s="3" t="str">
        <x:f>IF(Master!P133="","",Master!P133)</x:f>
        <x:v>Workspace plugins</x:v>
      </x:c>
      <x:c r="P17" s="3" t="str">
        <x:f>IF(Master!Q133="","",Master!Q133)</x:f>
      </x:c>
      <x:c r="Q17" s="3" t="str">
        <x:f>IF(Master!R133="","",Master!R133)</x:f>
      </x:c>
      <x:c r="R17" s="3" t="str">
        <x:f>IF(Master!S133="","",Master!S133)</x:f>
      </x:c>
      <x:c r="S17" s="3" t="str">
        <x:f>IF(Master!T133="","",Master!T133)</x:f>
      </x:c>
      <x:c r="T17" s="3" t="str">
        <x:f>IF(Master!U133="","",Master!U133)</x:f>
      </x:c>
      <x:c r="U17" s="3" t="str">
        <x:f>IF(Master!V133="","",Master!V133)</x:f>
        <x:v>Yes: Shard-aware tools/events + shared sessions</x:v>
      </x:c>
      <x:c r="V17" s="3" t="str">
        <x:f>IF(Master!W133="","",Master!W133)</x:f>
        <x:v>Workspace apps</x:v>
      </x:c>
      <x:c r="W17" s="3" t="str">
        <x:f>IF(Master!X133="","",Master!X133)</x:f>
      </x:c>
      <x:c r="X17" s="3" t="str">
        <x:f>IF(Master!Y133="","",Master!Y133)</x:f>
      </x:c>
      <x:c r="Y17" s="3" t="str">
        <x:f>IF(Master!Z133="","",Master!Z133)</x:f>
      </x:c>
      <x:c r="Z17" s="3" t="str">
        <x:f>IF(Master!AA133="","",Master!AA133)</x:f>
      </x:c>
      <x:c r="AA17" s="6" t="str">
        <x:f>IF(Master!AB133="","",Master!AB133)</x:f>
      </x:c>
      <x:c r="AB17" s="3" t="str">
        <x:f>IF(Master!AC133="","",Master!AC133)</x:f>
      </x:c>
      <x:c r="AC17" s="3" t="str">
        <x:f>IF(Master!AD133="","",Master!AD133)</x:f>
      </x:c>
      <x:c r="AD17" s="3" t="str">
        <x:f>IF(Master!AE133="","",Master!AE133)</x:f>
      </x:c>
      <x:c r="AE17" s="3" t="str">
        <x:f>IF(Master!AF133="","",Master!AF133)</x:f>
      </x:c>
      <x:c r="AF17" s="8" t="str">
        <x:f>IF(Master!AG133="","",Master!AG133)</x:f>
        <x:v>Organization integrations</x:v>
      </x:c>
    </x:row>
    <x:row r="18" ht="21.950000762939453" customHeight="1">
      <x:c r="A18" s="18" t="s">
        <x:v>359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360</x:v>
      </x:c>
      <x:c r="B19" s="3" t="str">
        <x:f>IF(Master!C134="","",Master!C134)</x:f>
        <x:v>Via Activities/apps</x:v>
      </x:c>
      <x:c r="C19" s="3" t="str">
        <x:f>IF(Master!D134="","",Master!D134)</x:f>
      </x:c>
      <x:c r="D19" s="3" t="str">
        <x:f>IF(Master!E134="","",Master!E134)</x:f>
      </x:c>
      <x:c r="E19" s="3" t="str">
        <x:f>IF(Master!F134="","",Master!F134)</x:f>
      </x:c>
      <x:c r="F19" s="3" t="str">
        <x:f>IF(Master!G134="","",Master!G134)</x:f>
      </x:c>
      <x:c r="G19" s="3" t="str">
        <x:f>IF(Master!H134="","",Master!H134)</x:f>
      </x:c>
      <x:c r="H19" s="3" t="str">
        <x:f>IF(Master!I134="","",Master!I134)</x:f>
      </x:c>
      <x:c r="I19" s="3" t="str">
        <x:f>IF(Master!J134="","",Master!J134)</x:f>
      </x:c>
      <x:c r="J19" s="3" t="str">
        <x:f>IF(Master!K134="","",Master!K134)</x:f>
      </x:c>
      <x:c r="K19" s="3" t="str">
        <x:f>IF(Master!L134="","",Master!L134)</x:f>
        <x:v>No dedicated embedded-app implementation documented</x:v>
      </x:c>
      <x:c r="L19" s="3" t="str">
        <x:f>IF(Master!M134="","",Master!M134)</x:f>
      </x:c>
      <x:c r="M19" s="3" t="str">
        <x:f>IF(Master!N134="","",Master!N134)</x:f>
      </x:c>
      <x:c r="N19" s="3" t="str">
        <x:f>IF(Master!O134="","",Master!O134)</x:f>
        <x:v>Widget/integration dependent</x:v>
      </x:c>
      <x:c r="O19" s="3" t="str">
        <x:f>IF(Master!P134="","",Master!P134)</x:f>
      </x:c>
      <x:c r="P19" s="3" t="str">
        <x:f>IF(Master!Q134="","",Master!Q134)</x:f>
      </x:c>
      <x:c r="Q19" s="3" t="str">
        <x:f>IF(Master!R134="","",Master!R134)</x:f>
      </x:c>
      <x:c r="R19" s="3" t="str">
        <x:f>IF(Master!S134="","",Master!S134)</x:f>
      </x:c>
      <x:c r="S19" s="3" t="str">
        <x:f>IF(Master!T134="","",Master!T134)</x:f>
      </x:c>
      <x:c r="T19" s="3" t="str">
        <x:f>IF(Master!U134="","",Master!U134)</x:f>
      </x:c>
      <x:c r="U19" s="3" t="str">
        <x:f>IF(Master!V134="","",Master!V134)</x:f>
        <x:v>Yes: YouTube Portal</x:v>
      </x:c>
      <x:c r="V19" s="3" t="str">
        <x:f>IF(Master!W134="","",Master!W134)</x:f>
      </x:c>
      <x:c r="W19" s="3" t="str">
        <x:f>IF(Master!X134="","",Master!X134)</x:f>
      </x:c>
      <x:c r="X19" s="3" t="str">
        <x:f>IF(Master!Y134="","",Master!Y134)</x:f>
      </x:c>
      <x:c r="Y19" s="3" t="str">
        <x:f>IF(Master!Z134="","",Master!Z134)</x:f>
      </x:c>
      <x:c r="Z19" s="3" t="str">
        <x:f>IF(Master!AA134="","",Master!AA134)</x:f>
      </x:c>
      <x:c r="AA19" s="6" t="str">
        <x:f>IF(Master!AB134="","",Master!AB134)</x:f>
      </x:c>
      <x:c r="AB19" s="3" t="str">
        <x:f>IF(Master!AC134="","",Master!AC134)</x:f>
      </x:c>
      <x:c r="AC19" s="3" t="str">
        <x:f>IF(Master!AD134="","",Master!AD134)</x:f>
      </x:c>
      <x:c r="AD19" s="3" t="str">
        <x:f>IF(Master!AE134="","",Master!AE134)</x:f>
      </x:c>
      <x:c r="AE19" s="3" t="str">
        <x:f>IF(Master!AF134="","",Master!AF134)</x:f>
      </x:c>
      <x:c r="AF19" s="8" t="str">
        <x:f>IF(Master!AG134="","",Master!AG134)</x:f>
      </x:c>
    </x:row>
    <x:row r="20" ht="36" customHeight="1">
      <x:c r="A20" s="17" t="s">
        <x:v>361</x:v>
      </x:c>
      <x:c r="B20" s="3" t="str">
        <x:f>IF(Master!C135="","",Master!C135)</x:f>
        <x:v>Via apps/links</x:v>
      </x:c>
      <x:c r="C20" s="3" t="str">
        <x:f>IF(Master!D135="","",Master!D135)</x:f>
      </x:c>
      <x:c r="D20" s="3" t="str">
        <x:f>IF(Master!E135="","",Master!E135)</x:f>
      </x:c>
      <x:c r="E20" s="3" t="str">
        <x:f>IF(Master!F135="","",Master!F135)</x:f>
      </x:c>
      <x:c r="F20" s="3" t="str">
        <x:f>IF(Master!G135="","",Master!G135)</x:f>
      </x:c>
      <x:c r="G20" s="3" t="str">
        <x:f>IF(Master!H135="","",Master!H135)</x:f>
      </x:c>
      <x:c r="H20" s="3" t="str">
        <x:f>IF(Master!I135="","",Master!I135)</x:f>
      </x:c>
      <x:c r="I20" s="3" t="str">
        <x:f>IF(Master!J135="","",Master!J135)</x:f>
      </x:c>
      <x:c r="J20" s="3" t="str">
        <x:f>IF(Master!K135="","",Master!K135)</x:f>
      </x:c>
      <x:c r="K20" s="3" t="str">
        <x:f>IF(Master!L135="","",Master!L135)</x:f>
        <x:v>No dedicated embedded-app implementation documented</x:v>
      </x:c>
      <x:c r="L20" s="3" t="str">
        <x:f>IF(Master!M135="","",Master!M135)</x:f>
      </x:c>
      <x:c r="M20" s="3" t="str">
        <x:f>IF(Master!N135="","",Master!N135)</x:f>
      </x:c>
      <x:c r="N20" s="3" t="str">
        <x:f>IF(Master!O135="","",Master!O135)</x:f>
        <x:v>Widget/integration dependent</x:v>
      </x:c>
      <x:c r="O20" s="3" t="str">
        <x:f>IF(Master!P135="","",Master!P135)</x:f>
      </x:c>
      <x:c r="P20" s="3" t="str">
        <x:f>IF(Master!Q135="","",Master!Q135)</x:f>
      </x:c>
      <x:c r="Q20" s="3" t="str">
        <x:f>IF(Master!R135="","",Master!R135)</x:f>
      </x:c>
      <x:c r="R20" s="3" t="str">
        <x:f>IF(Master!S135="","",Master!S135)</x:f>
      </x:c>
      <x:c r="S20" s="3" t="str">
        <x:f>IF(Master!T135="","",Master!T135)</x:f>
      </x:c>
      <x:c r="T20" s="3" t="str">
        <x:f>IF(Master!U135="","",Master!U135)</x:f>
      </x:c>
      <x:c r="U20" s="3" t="str">
        <x:f>IF(Master!V135="","",Master!V135)</x:f>
        <x:v>Yes: Twitch Portal</x:v>
      </x:c>
      <x:c r="V20" s="3" t="str">
        <x:f>IF(Master!W135="","",Master!W135)</x:f>
      </x:c>
      <x:c r="W20" s="3" t="str">
        <x:f>IF(Master!X135="","",Master!X135)</x:f>
      </x:c>
      <x:c r="X20" s="3" t="str">
        <x:f>IF(Master!Y135="","",Master!Y135)</x:f>
      </x:c>
      <x:c r="Y20" s="3" t="str">
        <x:f>IF(Master!Z135="","",Master!Z135)</x:f>
      </x:c>
      <x:c r="Z20" s="3" t="str">
        <x:f>IF(Master!AA135="","",Master!AA135)</x:f>
      </x:c>
      <x:c r="AA20" s="6" t="str">
        <x:f>IF(Master!AB135="","",Master!AB135)</x:f>
      </x:c>
      <x:c r="AB20" s="3" t="str">
        <x:f>IF(Master!AC135="","",Master!AC135)</x:f>
      </x:c>
      <x:c r="AC20" s="3" t="str">
        <x:f>IF(Master!AD135="","",Master!AD135)</x:f>
      </x:c>
      <x:c r="AD20" s="3" t="str">
        <x:f>IF(Master!AE135="","",Master!AE135)</x:f>
      </x:c>
      <x:c r="AE20" s="3" t="str">
        <x:f>IF(Master!AF135="","",Master!AF135)</x:f>
      </x:c>
      <x:c r="AF20" s="8" t="str">
        <x:f>IF(Master!AG135="","",Master!AG135)</x:f>
      </x:c>
    </x:row>
    <x:row r="21" ht="36" customHeight="1">
      <x:c r="A21" s="17" t="s">
        <x:v>362</x:v>
      </x:c>
      <x:c r="B21" s="3" t="str">
        <x:f>IF(Master!C136="","",Master!C136)</x:f>
        <x:v>Yes: Activities can provide co-watching</x:v>
      </x:c>
      <x:c r="C21" s="3" t="str">
        <x:f>IF(Master!D136="","",Master!D136)</x:f>
      </x:c>
      <x:c r="D21" s="3" t="str">
        <x:f>IF(Master!E136="","",Master!E136)</x:f>
      </x:c>
      <x:c r="E21" s="3" t="str">
        <x:f>IF(Master!F136="","",Master!F136)</x:f>
      </x:c>
      <x:c r="F21" s="3" t="str">
        <x:f>IF(Master!G136="","",Master!G136)</x:f>
      </x:c>
      <x:c r="G21" s="3" t="str">
        <x:f>IF(Master!H136="","",Master!H136)</x:f>
      </x:c>
      <x:c r="H21" s="3" t="str">
        <x:f>IF(Master!I136="","",Master!I136)</x:f>
      </x:c>
      <x:c r="I21" s="3" t="str">
        <x:f>IF(Master!J136="","",Master!J136)</x:f>
      </x:c>
      <x:c r="J21" s="3" t="str">
        <x:f>IF(Master!K136="","",Master!K136)</x:f>
      </x:c>
      <x:c r="K21" s="3" t="str">
        <x:f>IF(Master!L136="","",Master!L136)</x:f>
        <x:v>No dedicated embedded-app implementation documented</x:v>
      </x:c>
      <x:c r="L21" s="3" t="str">
        <x:f>IF(Master!M136="","",Master!M136)</x:f>
      </x:c>
      <x:c r="M21" s="3" t="str">
        <x:f>IF(Master!N136="","",Master!N136)</x:f>
      </x:c>
      <x:c r="N21" s="3" t="str">
        <x:f>IF(Master!O136="","",Master!O136)</x:f>
        <x:v>Widget-dependent</x:v>
      </x:c>
      <x:c r="O21" s="3" t="str">
        <x:f>IF(Master!P136="","",Master!P136)</x:f>
      </x:c>
      <x:c r="P21" s="3" t="str">
        <x:f>IF(Master!Q136="","",Master!Q136)</x:f>
      </x:c>
      <x:c r="Q21" s="3" t="str">
        <x:f>IF(Master!R136="","",Master!R136)</x:f>
      </x:c>
      <x:c r="R21" s="3" t="str">
        <x:f>IF(Master!S136="","",Master!S136)</x:f>
      </x:c>
      <x:c r="S21" s="3" t="str">
        <x:f>IF(Master!T136="","",Master!T136)</x:f>
      </x:c>
      <x:c r="T21" s="3" t="str">
        <x:f>IF(Master!U136="","",Master!U136)</x:f>
      </x:c>
      <x:c r="U21" s="3" t="str">
        <x:f>IF(Master!V136="","",Master!V136)</x:f>
        <x:v>Yes: host-synchronized YouTube/Twitch Watch Party</x:v>
      </x:c>
      <x:c r="V21" s="3" t="str">
        <x:f>IF(Master!W136="","",Master!W136)</x:f>
      </x:c>
      <x:c r="W21" s="3" t="str">
        <x:f>IF(Master!X136="","",Master!X136)</x:f>
      </x:c>
      <x:c r="X21" s="3" t="str">
        <x:f>IF(Master!Y136="","",Master!Y136)</x:f>
      </x:c>
      <x:c r="Y21" s="3" t="str">
        <x:f>IF(Master!Z136="","",Master!Z136)</x:f>
      </x:c>
      <x:c r="Z21" s="3" t="str">
        <x:f>IF(Master!AA136="","",Master!AA136)</x:f>
      </x:c>
      <x:c r="AA21" s="6" t="str">
        <x:f>IF(Master!AB136="","",Master!AB136)</x:f>
      </x:c>
      <x:c r="AB21" s="3" t="str">
        <x:f>IF(Master!AC136="","",Master!AC136)</x:f>
      </x:c>
      <x:c r="AC21" s="3" t="str">
        <x:f>IF(Master!AD136="","",Master!AD136)</x:f>
      </x:c>
      <x:c r="AD21" s="3" t="str">
        <x:f>IF(Master!AE136="","",Master!AE136)</x:f>
      </x:c>
      <x:c r="AE21" s="3" t="str">
        <x:f>IF(Master!AF136="","",Master!AF136)</x:f>
      </x:c>
      <x:c r="AF21" s="8" t="str">
        <x:f>IF(Master!AG136="","",Master!AG136)</x:f>
      </x:c>
    </x:row>
    <x:row r="22" ht="36" customHeight="1">
      <x:c r="A22" s="17" t="s">
        <x:v>363</x:v>
      </x:c>
      <x:c r="B22" s="3" t="str">
        <x:f>IF(Master!C137="","",Master!C137)</x:f>
        <x:v>Apps/bots</x:v>
      </x:c>
      <x:c r="C22" s="3" t="str">
        <x:f>IF(Master!D137="","",Master!D137)</x:f>
      </x:c>
      <x:c r="D22" s="3" t="str">
        <x:f>IF(Master!E137="","",Master!E137)</x:f>
      </x:c>
      <x:c r="E22" s="3" t="str">
        <x:f>IF(Master!F137="","",Master!F137)</x:f>
      </x:c>
      <x:c r="F22" s="3" t="str">
        <x:f>IF(Master!G137="","",Master!G137)</x:f>
      </x:c>
      <x:c r="G22" s="3" t="str">
        <x:f>IF(Master!H137="","",Master!H137)</x:f>
      </x:c>
      <x:c r="H22" s="3" t="str">
        <x:f>IF(Master!I137="","",Master!I137)</x:f>
      </x:c>
      <x:c r="I22" s="3" t="str">
        <x:f>IF(Master!J137="","",Master!J137)</x:f>
      </x:c>
      <x:c r="J22" s="3" t="str">
        <x:f>IF(Master!K137="","",Master!K137)</x:f>
      </x:c>
      <x:c r="K22" s="3" t="str">
        <x:f>IF(Master!L137="","",Master!L137)</x:f>
        <x:v>No dedicated embedded-app implementation documented</x:v>
      </x:c>
      <x:c r="L22" s="3" t="str">
        <x:f>IF(Master!M137="","",Master!M137)</x:f>
      </x:c>
      <x:c r="M22" s="3" t="str">
        <x:f>IF(Master!N137="","",Master!N137)</x:f>
      </x:c>
      <x:c r="N22" s="3" t="str">
        <x:f>IF(Master!O137="","",Master!O137)</x:f>
        <x:v>Widget-dependent</x:v>
      </x:c>
      <x:c r="O22" s="3" t="str">
        <x:f>IF(Master!P137="","",Master!P137)</x:f>
      </x:c>
      <x:c r="P22" s="3" t="str">
        <x:f>IF(Master!Q137="","",Master!Q137)</x:f>
      </x:c>
      <x:c r="Q22" s="3" t="str">
        <x:f>IF(Master!R137="","",Master!R137)</x:f>
      </x:c>
      <x:c r="R22" s="3" t="str">
        <x:f>IF(Master!S137="","",Master!S137)</x:f>
      </x:c>
      <x:c r="S22" s="3" t="str">
        <x:f>IF(Master!T137="","",Master!T137)</x:f>
      </x:c>
      <x:c r="T22" s="3" t="str">
        <x:f>IF(Master!U137="","",Master!U137)</x:f>
      </x:c>
      <x:c r="U22" s="3" t="str">
        <x:f>IF(Master!V137="","",Master!V137)</x:f>
        <x:v>Yes: Radio Portal</x:v>
      </x:c>
      <x:c r="V22" s="3" t="str">
        <x:f>IF(Master!W137="","",Master!W137)</x:f>
      </x:c>
      <x:c r="W22" s="3" t="str">
        <x:f>IF(Master!X137="","",Master!X137)</x:f>
      </x:c>
      <x:c r="X22" s="3" t="str">
        <x:f>IF(Master!Y137="","",Master!Y137)</x:f>
      </x:c>
      <x:c r="Y22" s="3" t="str">
        <x:f>IF(Master!Z137="","",Master!Z137)</x:f>
      </x:c>
      <x:c r="Z22" s="3" t="str">
        <x:f>IF(Master!AA137="","",Master!AA137)</x:f>
      </x:c>
      <x:c r="AA22" s="6" t="str">
        <x:f>IF(Master!AB137="","",Master!AB137)</x:f>
      </x:c>
      <x:c r="AB22" s="3" t="str">
        <x:f>IF(Master!AC137="","",Master!AC137)</x:f>
      </x:c>
      <x:c r="AC22" s="3" t="str">
        <x:f>IF(Master!AD137="","",Master!AD137)</x:f>
      </x:c>
      <x:c r="AD22" s="3" t="str">
        <x:f>IF(Master!AE137="","",Master!AE137)</x:f>
      </x:c>
      <x:c r="AE22" s="3" t="str">
        <x:f>IF(Master!AF137="","",Master!AF137)</x:f>
      </x:c>
      <x:c r="AF22" s="8" t="str">
        <x:f>IF(Master!AG137="","",Master!AG137)</x:f>
      </x:c>
    </x:row>
    <x:row r="23" ht="36" customHeight="1">
      <x:c r="A23" s="17" t="s">
        <x:v>364</x:v>
      </x:c>
      <x:c r="B23" s="3" t="str">
        <x:f>IF(Master!C138="","",Master!C138)</x:f>
        <x:v>Native soundboard + apps</x:v>
      </x:c>
      <x:c r="C23" s="3" t="str">
        <x:f>IF(Master!D138="","",Master!D138)</x:f>
      </x:c>
      <x:c r="D23" s="3" t="str">
        <x:f>IF(Master!E138="","",Master!E138)</x:f>
      </x:c>
      <x:c r="E23" s="3" t="str">
        <x:f>IF(Master!F138="","",Master!F138)</x:f>
      </x:c>
      <x:c r="F23" s="3" t="str">
        <x:f>IF(Master!G138="","",Master!G138)</x:f>
      </x:c>
      <x:c r="G23" s="3" t="str">
        <x:f>IF(Master!H138="","",Master!H138)</x:f>
      </x:c>
      <x:c r="H23" s="3" t="str">
        <x:f>IF(Master!I138="","",Master!I138)</x:f>
      </x:c>
      <x:c r="I23" s="3" t="str">
        <x:f>IF(Master!J138="","",Master!J138)</x:f>
      </x:c>
      <x:c r="J23" s="3" t="str">
        <x:f>IF(Master!K138="","",Master!K138)</x:f>
      </x:c>
      <x:c r="K23" s="3" t="str">
        <x:f>IF(Master!L138="","",Master!L138)</x:f>
        <x:v>No dedicated embedded-app implementation documented</x:v>
      </x:c>
      <x:c r="L23" s="3" t="str">
        <x:f>IF(Master!M138="","",Master!M138)</x:f>
      </x:c>
      <x:c r="M23" s="3" t="str">
        <x:f>IF(Master!N138="","",Master!N138)</x:f>
      </x:c>
      <x:c r="N23" s="3" t="str">
        <x:f>IF(Master!O138="","",Master!O138)</x:f>
      </x:c>
      <x:c r="O23" s="3" t="str">
        <x:f>IF(Master!P138="","",Master!P138)</x:f>
      </x:c>
      <x:c r="P23" s="3" t="str">
        <x:f>IF(Master!Q138="","",Master!Q138)</x:f>
      </x:c>
      <x:c r="Q23" s="3" t="str">
        <x:f>IF(Master!R138="","",Master!R138)</x:f>
      </x:c>
      <x:c r="R23" s="3" t="str">
        <x:f>IF(Master!S138="","",Master!S138)</x:f>
      </x:c>
      <x:c r="S23" s="3" t="str">
        <x:f>IF(Master!T138="","",Master!T138)</x:f>
      </x:c>
      <x:c r="T23" s="3" t="str">
        <x:f>IF(Master!U138="","",Master!U138)</x:f>
      </x:c>
      <x:c r="U23" s="3" t="str">
        <x:f>IF(Master!V138="","",Master!V138)</x:f>
        <x:v>Yes: Portal + native personal/Shard soundboards</x:v>
      </x:c>
      <x:c r="V23" s="3" t="str">
        <x:f>IF(Master!W138="","",Master!W138)</x:f>
      </x:c>
      <x:c r="W23" s="3" t="str">
        <x:f>IF(Master!X138="","",Master!X138)</x:f>
      </x:c>
      <x:c r="X23" s="3" t="str">
        <x:f>IF(Master!Y138="","",Master!Y138)</x:f>
      </x:c>
      <x:c r="Y23" s="3" t="str">
        <x:f>IF(Master!Z138="","",Master!Z138)</x:f>
      </x:c>
      <x:c r="Z23" s="3" t="str">
        <x:f>IF(Master!AA138="","",Master!AA138)</x:f>
      </x:c>
      <x:c r="AA23" s="6" t="str">
        <x:f>IF(Master!AB138="","",Master!AB138)</x:f>
      </x:c>
      <x:c r="AB23" s="3" t="str">
        <x:f>IF(Master!AC138="","",Master!AC138)</x:f>
      </x:c>
      <x:c r="AC23" s="3" t="str">
        <x:f>IF(Master!AD138="","",Master!AD138)</x:f>
      </x:c>
      <x:c r="AD23" s="3" t="str">
        <x:f>IF(Master!AE138="","",Master!AE138)</x:f>
      </x:c>
      <x:c r="AE23" s="3" t="str">
        <x:f>IF(Master!AF138="","",Master!AF138)</x:f>
      </x:c>
      <x:c r="AF23" s="8" t="str">
        <x:f>IF(Master!AG138="","",Master!AG138)</x:f>
      </x:c>
    </x:row>
    <x:row r="24" ht="36" customHeight="1">
      <x:c r="A24" s="17" t="s">
        <x:v>365</x:v>
      </x:c>
      <x:c r="B24" s="3" t="str">
        <x:f>IF(Master!C139="","",Master!C139)</x:f>
        <x:v>Activities/game integrations</x:v>
      </x:c>
      <x:c r="C24" s="3" t="str">
        <x:f>IF(Master!D139="","",Master!D139)</x:f>
      </x:c>
      <x:c r="D24" s="3" t="str">
        <x:f>IF(Master!E139="","",Master!E139)</x:f>
      </x:c>
      <x:c r="E24" s="3" t="str">
        <x:f>IF(Master!F139="","",Master!F139)</x:f>
      </x:c>
      <x:c r="F24" s="3" t="str">
        <x:f>IF(Master!G139="","",Master!G139)</x:f>
      </x:c>
      <x:c r="G24" s="3" t="str">
        <x:f>IF(Master!H139="","",Master!H139)</x:f>
      </x:c>
      <x:c r="H24" s="3" t="str">
        <x:f>IF(Master!I139="","",Master!I139)</x:f>
      </x:c>
      <x:c r="I24" s="3" t="str">
        <x:f>IF(Master!J139="","",Master!J139)</x:f>
      </x:c>
      <x:c r="J24" s="3" t="str">
        <x:f>IF(Master!K139="","",Master!K139)</x:f>
      </x:c>
      <x:c r="K24" s="3" t="str">
        <x:f>IF(Master!L139="","",Master!L139)</x:f>
        <x:v>No dedicated embedded-app implementation documented</x:v>
      </x:c>
      <x:c r="L24" s="3" t="str">
        <x:f>IF(Master!M139="","",Master!M139)</x:f>
      </x:c>
      <x:c r="M24" s="3" t="str">
        <x:f>IF(Master!N139="","",Master!N139)</x:f>
      </x:c>
      <x:c r="N24" s="3" t="str">
        <x:f>IF(Master!O139="","",Master!O139)</x:f>
      </x:c>
      <x:c r="O24" s="3" t="str">
        <x:f>IF(Master!P139="","",Master!P139)</x:f>
      </x:c>
      <x:c r="P24" s="3" t="str">
        <x:f>IF(Master!Q139="","",Master!Q139)</x:f>
      </x:c>
      <x:c r="Q24" s="3" t="str">
        <x:f>IF(Master!R139="","",Master!R139)</x:f>
      </x:c>
      <x:c r="R24" s="3" t="str">
        <x:f>IF(Master!S139="","",Master!S139)</x:f>
      </x:c>
      <x:c r="S24" s="3" t="str">
        <x:f>IF(Master!T139="","",Master!T139)</x:f>
      </x:c>
      <x:c r="T24" s="3" t="str">
        <x:f>IF(Master!U139="","",Master!U139)</x:f>
      </x:c>
      <x:c r="U24" s="3" t="str">
        <x:f>IF(Master!V139="","",Master!V139)</x:f>
        <x:v>Yes: Steam library + overlap + Game Night voting</x:v>
      </x:c>
      <x:c r="V24" s="3" t="str">
        <x:f>IF(Master!W139="","",Master!W139)</x:f>
      </x:c>
      <x:c r="W24" s="3" t="str">
        <x:f>IF(Master!X139="","",Master!X139)</x:f>
      </x:c>
      <x:c r="X24" s="3" t="str">
        <x:f>IF(Master!Y139="","",Master!Y139)</x:f>
      </x:c>
      <x:c r="Y24" s="3" t="str">
        <x:f>IF(Master!Z139="","",Master!Z139)</x:f>
      </x:c>
      <x:c r="Z24" s="3" t="str">
        <x:f>IF(Master!AA139="","",Master!AA139)</x:f>
      </x:c>
      <x:c r="AA24" s="6" t="str">
        <x:f>IF(Master!AB139="","",Master!AB139)</x:f>
      </x:c>
      <x:c r="AB24" s="3" t="str">
        <x:f>IF(Master!AC139="","",Master!AC139)</x:f>
      </x:c>
      <x:c r="AC24" s="3" t="str">
        <x:f>IF(Master!AD139="","",Master!AD139)</x:f>
      </x:c>
      <x:c r="AD24" s="3" t="str">
        <x:f>IF(Master!AE139="","",Master!AE139)</x:f>
      </x:c>
      <x:c r="AE24" s="3" t="str">
        <x:f>IF(Master!AF139="","",Master!AF139)</x:f>
      </x:c>
      <x:c r="AF24" s="8" t="str">
        <x:f>IF(Master!AG139="","",Master!AG139)</x:f>
      </x:c>
    </x:row>
    <x:row r="25" ht="36" customHeight="1">
      <x:c r="A25" s="17" t="s">
        <x:v>342</x:v>
      </x:c>
      <x:c r="B25" s="3" t="str">
        <x:f>IF(Master!C140="","",Master!C140)</x:f>
        <x:v>Yes: Activities include games</x:v>
      </x:c>
      <x:c r="C25" s="3" t="str">
        <x:f>IF(Master!D140="","",Master!D140)</x:f>
      </x:c>
      <x:c r="D25" s="3" t="str">
        <x:f>IF(Master!E140="","",Master!E140)</x:f>
      </x:c>
      <x:c r="E25" s="3" t="str">
        <x:f>IF(Master!F140="","",Master!F140)</x:f>
      </x:c>
      <x:c r="F25" s="3" t="str">
        <x:f>IF(Master!G140="","",Master!G140)</x:f>
      </x:c>
      <x:c r="G25" s="3" t="str">
        <x:f>IF(Master!H140="","",Master!H140)</x:f>
      </x:c>
      <x:c r="H25" s="3" t="str">
        <x:f>IF(Master!I140="","",Master!I140)</x:f>
      </x:c>
      <x:c r="I25" s="3" t="str">
        <x:f>IF(Master!J140="","",Master!J140)</x:f>
      </x:c>
      <x:c r="J25" s="3" t="str">
        <x:f>IF(Master!K140="","",Master!K140)</x:f>
      </x:c>
      <x:c r="K25" s="3" t="str">
        <x:f>IF(Master!L140="","",Master!L140)</x:f>
        <x:v>No dedicated embedded-app implementation documented</x:v>
      </x:c>
      <x:c r="L25" s="3" t="str">
        <x:f>IF(Master!M140="","",Master!M140)</x:f>
      </x:c>
      <x:c r="M25" s="3" t="str">
        <x:f>IF(Master!N140="","",Master!N140)</x:f>
      </x:c>
      <x:c r="N25" s="3" t="str">
        <x:f>IF(Master!O140="","",Master!O140)</x:f>
      </x:c>
      <x:c r="O25" s="3" t="str">
        <x:f>IF(Master!P140="","",Master!P140)</x:f>
      </x:c>
      <x:c r="P25" s="3" t="str">
        <x:f>IF(Master!Q140="","",Master!Q140)</x:f>
      </x:c>
      <x:c r="Q25" s="3" t="str">
        <x:f>IF(Master!R140="","",Master!R140)</x:f>
      </x:c>
      <x:c r="R25" s="3" t="str">
        <x:f>IF(Master!S140="","",Master!S140)</x:f>
      </x:c>
      <x:c r="S25" s="3" t="str">
        <x:f>IF(Master!T140="","",Master!T140)</x:f>
      </x:c>
      <x:c r="T25" s="3" t="str">
        <x:f>IF(Master!U140="","",Master!U140)</x:f>
      </x:c>
      <x:c r="U25" s="3" t="str">
        <x:f>IF(Master!V140="","",Master!V140)</x:f>
        <x:v>IntegratedArcade</x:v>
      </x:c>
      <x:c r="V25" s="3" t="str">
        <x:f>IF(Master!W140="","",Master!W140)</x:f>
      </x:c>
      <x:c r="W25" s="3" t="str">
        <x:f>IF(Master!X140="","",Master!X140)</x:f>
      </x:c>
      <x:c r="X25" s="3" t="str">
        <x:f>IF(Master!Y140="","",Master!Y140)</x:f>
      </x:c>
      <x:c r="Y25" s="3" t="str">
        <x:f>IF(Master!Z140="","",Master!Z140)</x:f>
      </x:c>
      <x:c r="Z25" s="3" t="str">
        <x:f>IF(Master!AA140="","",Master!AA140)</x:f>
      </x:c>
      <x:c r="AA25" s="6" t="str">
        <x:f>IF(Master!AB140="","",Master!AB140)</x:f>
      </x:c>
      <x:c r="AB25" s="3" t="str">
        <x:f>IF(Master!AC140="","",Master!AC140)</x:f>
      </x:c>
      <x:c r="AC25" s="3" t="str">
        <x:f>IF(Master!AD140="","",Master!AD140)</x:f>
      </x:c>
      <x:c r="AD25" s="3" t="str">
        <x:f>IF(Master!AE140="","",Master!AE140)</x:f>
      </x:c>
      <x:c r="AE25" s="3" t="str">
        <x:f>IF(Master!AF140="","",Master!AF140)</x:f>
      </x:c>
      <x:c r="AF25" s="8" t="str">
        <x:f>IF(Master!AG140="","",Master!AG140)</x:f>
      </x:c>
    </x:row>
    <x:row r="26" ht="36" customHeight="1">
      <x:c r="A26" s="17" t="s">
        <x:v>366</x:v>
      </x:c>
      <x:c r="B26" s="3" t="str">
        <x:f>IF(Master!C141="","",Master!C141)</x:f>
        <x:v>Via Activities/apps</x:v>
      </x:c>
      <x:c r="C26" s="3" t="str">
        <x:f>IF(Master!D141="","",Master!D141)</x:f>
      </x:c>
      <x:c r="D26" s="3" t="str">
        <x:f>IF(Master!E141="","",Master!E141)</x:f>
      </x:c>
      <x:c r="E26" s="3" t="str">
        <x:f>IF(Master!F141="","",Master!F141)</x:f>
      </x:c>
      <x:c r="F26" s="3" t="str">
        <x:f>IF(Master!G141="","",Master!G141)</x:f>
      </x:c>
      <x:c r="G26" s="3" t="str">
        <x:f>IF(Master!H141="","",Master!H141)</x:f>
      </x:c>
      <x:c r="H26" s="3" t="str">
        <x:f>IF(Master!I141="","",Master!I141)</x:f>
      </x:c>
      <x:c r="I26" s="3" t="str">
        <x:f>IF(Master!J141="","",Master!J141)</x:f>
      </x:c>
      <x:c r="J26" s="3" t="str">
        <x:f>IF(Master!K141="","",Master!K141)</x:f>
      </x:c>
      <x:c r="K26" s="3" t="str">
        <x:f>IF(Master!L141="","",Master!L141)</x:f>
        <x:v>No dedicated embedded-app implementation documented</x:v>
      </x:c>
      <x:c r="L26" s="3" t="str">
        <x:f>IF(Master!M141="","",Master!M141)</x:f>
      </x:c>
      <x:c r="M26" s="3" t="str">
        <x:f>IF(Master!N141="","",Master!N141)</x:f>
      </x:c>
      <x:c r="N26" s="3" t="str">
        <x:f>IF(Master!O141="","",Master!O141)</x:f>
      </x:c>
      <x:c r="O26" s="3" t="str">
        <x:f>IF(Master!P141="","",Master!P141)</x:f>
      </x:c>
      <x:c r="P26" s="3" t="str">
        <x:f>IF(Master!Q141="","",Master!Q141)</x:f>
      </x:c>
      <x:c r="Q26" s="3" t="str">
        <x:f>IF(Master!R141="","",Master!R141)</x:f>
      </x:c>
      <x:c r="R26" s="3" t="str">
        <x:f>IF(Master!S141="","",Master!S141)</x:f>
      </x:c>
      <x:c r="S26" s="3" t="str">
        <x:f>IF(Master!T141="","",Master!T141)</x:f>
      </x:c>
      <x:c r="T26" s="3" t="str">
        <x:f>IF(Master!U141="","",Master!U141)</x:f>
      </x:c>
      <x:c r="U26" s="3" t="str">
        <x:f>IF(Master!V141="","",Master!V141)</x:f>
        <x:v>Yes - Portals -- native Tabletop</x:v>
      </x:c>
      <x:c r="V26" s="3" t="str">
        <x:f>IF(Master!W141="","",Master!W141)</x:f>
      </x:c>
      <x:c r="W26" s="3" t="str">
        <x:f>IF(Master!X141="","",Master!X141)</x:f>
      </x:c>
      <x:c r="X26" s="3" t="str">
        <x:f>IF(Master!Y141="","",Master!Y141)</x:f>
      </x:c>
      <x:c r="Y26" s="3" t="str">
        <x:f>IF(Master!Z141="","",Master!Z141)</x:f>
      </x:c>
      <x:c r="Z26" s="3" t="str">
        <x:f>IF(Master!AA141="","",Master!AA141)</x:f>
      </x:c>
      <x:c r="AA26" s="6" t="str">
        <x:f>IF(Master!AB141="","",Master!AB141)</x:f>
      </x:c>
      <x:c r="AB26" s="3" t="str">
        <x:f>IF(Master!AC141="","",Master!AC141)</x:f>
      </x:c>
      <x:c r="AC26" s="3" t="str">
        <x:f>IF(Master!AD141="","",Master!AD141)</x:f>
      </x:c>
      <x:c r="AD26" s="3" t="str">
        <x:f>IF(Master!AE141="","",Master!AE141)</x:f>
      </x:c>
      <x:c r="AE26" s="3" t="str">
        <x:f>IF(Master!AF141="","",Master!AF141)</x:f>
      </x:c>
      <x:c r="AF26" s="8" t="str">
        <x:f>IF(Master!AG141="","",Master!AG141)</x:f>
      </x:c>
    </x:row>
    <x:row r="27" ht="36" customHeight="1">
      <x:c r="A27" s="17" t="s">
        <x:v>367</x:v>
      </x:c>
      <x:c r="B27" s="3" t="str">
        <x:f>IF(Master!C142="","",Master!C142)</x:f>
        <x:v>No first-party DAW</x:v>
      </x:c>
      <x:c r="C27" s="3" t="str">
        <x:f>IF(Master!D142="","",Master!D142)</x:f>
      </x:c>
      <x:c r="D27" s="3" t="str">
        <x:f>IF(Master!E142="","",Master!E142)</x:f>
      </x:c>
      <x:c r="E27" s="3" t="str">
        <x:f>IF(Master!F142="","",Master!F142)</x:f>
      </x:c>
      <x:c r="F27" s="3" t="str">
        <x:f>IF(Master!G142="","",Master!G142)</x:f>
      </x:c>
      <x:c r="G27" s="3" t="str">
        <x:f>IF(Master!H142="","",Master!H142)</x:f>
      </x:c>
      <x:c r="H27" s="3" t="str">
        <x:f>IF(Master!I142="","",Master!I142)</x:f>
      </x:c>
      <x:c r="I27" s="3" t="str">
        <x:f>IF(Master!J142="","",Master!J142)</x:f>
      </x:c>
      <x:c r="J27" s="3" t="str">
        <x:f>IF(Master!K142="","",Master!K142)</x:f>
      </x:c>
      <x:c r="K27" s="3" t="str">
        <x:f>IF(Master!L142="","",Master!L142)</x:f>
        <x:v>No dedicated embedded-app implementation documented</x:v>
      </x:c>
      <x:c r="L27" s="3" t="str">
        <x:f>IF(Master!M142="","",Master!M142)</x:f>
      </x:c>
      <x:c r="M27" s="3" t="str">
        <x:f>IF(Master!N142="","",Master!N142)</x:f>
      </x:c>
      <x:c r="N27" s="3" t="str">
        <x:f>IF(Master!O142="","",Master!O142)</x:f>
      </x:c>
      <x:c r="O27" s="3" t="str">
        <x:f>IF(Master!P142="","",Master!P142)</x:f>
      </x:c>
      <x:c r="P27" s="3" t="str">
        <x:f>IF(Master!Q142="","",Master!Q142)</x:f>
      </x:c>
      <x:c r="Q27" s="3" t="str">
        <x:f>IF(Master!R142="","",Master!R142)</x:f>
      </x:c>
      <x:c r="R27" s="3" t="str">
        <x:f>IF(Master!S142="","",Master!S142)</x:f>
      </x:c>
      <x:c r="S27" s="3" t="str">
        <x:f>IF(Master!T142="","",Master!T142)</x:f>
      </x:c>
      <x:c r="T27" s="3" t="str">
        <x:f>IF(Master!U142="","",Master!U142)</x:f>
      </x:c>
      <x:c r="U27" s="3" t="str">
        <x:f>IF(Master!V142="","",Master!V142)</x:f>
        <x:v>Yes - Rift Studio</x:v>
      </x:c>
      <x:c r="V27" s="3" t="str">
        <x:f>IF(Master!W142="","",Master!W142)</x:f>
      </x:c>
      <x:c r="W27" s="3" t="str">
        <x:f>IF(Master!X142="","",Master!X142)</x:f>
      </x:c>
      <x:c r="X27" s="3" t="str">
        <x:f>IF(Master!Y142="","",Master!Y142)</x:f>
      </x:c>
      <x:c r="Y27" s="3" t="str">
        <x:f>IF(Master!Z142="","",Master!Z142)</x:f>
      </x:c>
      <x:c r="Z27" s="3" t="str">
        <x:f>IF(Master!AA142="","",Master!AA142)</x:f>
      </x:c>
      <x:c r="AA27" s="6" t="str">
        <x:f>IF(Master!AB142="","",Master!AB142)</x:f>
      </x:c>
      <x:c r="AB27" s="3" t="str">
        <x:f>IF(Master!AC142="","",Master!AC142)</x:f>
      </x:c>
      <x:c r="AC27" s="3" t="str">
        <x:f>IF(Master!AD142="","",Master!AD142)</x:f>
      </x:c>
      <x:c r="AD27" s="3" t="str">
        <x:f>IF(Master!AE142="","",Master!AE142)</x:f>
      </x:c>
      <x:c r="AE27" s="3" t="str">
        <x:f>IF(Master!AF142="","",Master!AF142)</x:f>
      </x:c>
      <x:c r="AF27" s="8" t="str">
        <x:f>IF(Master!AG142="","",Master!AG142)</x:f>
      </x:c>
    </x:row>
    <x:row r="28" ht="21.950000762939453" customHeight="1">
      <x:c r="A28" s="18" t="s">
        <x:v>368</x:v>
      </x:c>
      <x:c r="B28" s="18" t="str">
        <x:f t="shared" ref="B28:AF28" si="3">IF(""="","","")</x:f>
      </x:c>
      <x:c r="C28" s="18" t="str">
        <x:f t="shared" si="3"/>
      </x:c>
      <x:c r="D28" s="18" t="str">
        <x:f t="shared" si="3"/>
      </x:c>
      <x:c r="E28" s="18" t="str">
        <x:f t="shared" si="3"/>
      </x:c>
      <x:c r="F28" s="18" t="str">
        <x:f t="shared" si="3"/>
      </x:c>
      <x:c r="G28" s="18" t="str">
        <x:f t="shared" si="3"/>
      </x:c>
      <x:c r="H28" s="18" t="str">
        <x:f t="shared" si="3"/>
      </x:c>
      <x:c r="I28" s="18" t="str">
        <x:f t="shared" si="3"/>
      </x:c>
      <x:c r="J28" s="18" t="str">
        <x:f t="shared" si="3"/>
      </x:c>
      <x:c r="K28" s="18" t="str">
        <x:f t="shared" si="3"/>
      </x:c>
      <x:c r="L28" s="18" t="str">
        <x:f t="shared" si="3"/>
      </x:c>
      <x:c r="M28" s="18" t="str">
        <x:f t="shared" si="3"/>
      </x:c>
      <x:c r="N28" s="18" t="str">
        <x:f t="shared" si="3"/>
      </x:c>
      <x:c r="O28" s="18" t="str">
        <x:f t="shared" si="3"/>
      </x:c>
      <x:c r="P28" s="18" t="str">
        <x:f t="shared" si="3"/>
      </x:c>
      <x:c r="Q28" s="18" t="str">
        <x:f t="shared" si="3"/>
      </x:c>
      <x:c r="R28" s="18" t="str">
        <x:f t="shared" si="3"/>
      </x:c>
      <x:c r="S28" s="18" t="str">
        <x:f t="shared" si="3"/>
      </x:c>
      <x:c r="T28" s="18" t="str">
        <x:f t="shared" si="3"/>
      </x:c>
      <x:c r="U28" s="18" t="str">
        <x:f t="shared" si="3"/>
      </x:c>
      <x:c r="V28" s="18" t="str">
        <x:f t="shared" si="3"/>
      </x:c>
      <x:c r="W28" s="18" t="str">
        <x:f t="shared" si="3"/>
      </x:c>
      <x:c r="X28" s="18" t="str">
        <x:f t="shared" si="3"/>
      </x:c>
      <x:c r="Y28" s="18" t="str">
        <x:f t="shared" si="3"/>
      </x:c>
      <x:c r="Z28" s="18" t="str">
        <x:f t="shared" si="3"/>
      </x:c>
      <x:c r="AA28" s="18" t="str">
        <x:f t="shared" si="3"/>
      </x:c>
      <x:c r="AB28" s="18" t="str">
        <x:f t="shared" si="3"/>
      </x:c>
      <x:c r="AC28" s="18" t="str">
        <x:f t="shared" si="3"/>
      </x:c>
      <x:c r="AD28" s="18" t="str">
        <x:f t="shared" si="3"/>
      </x:c>
      <x:c r="AE28" s="18" t="str">
        <x:f t="shared" si="3"/>
      </x:c>
      <x:c r="AF28" s="19" t="str">
        <x:f t="shared" si="3"/>
      </x:c>
    </x:row>
    <x:row r="29" ht="36" customHeight="1">
      <x:c r="A29" s="17" t="s">
        <x:v>369</x:v>
      </x:c>
      <x:c r="B29" s="3" t="str">
        <x:f>IF(Master!C143="","",Master!C143)</x:f>
        <x:v>Apps/bots</x:v>
      </x:c>
      <x:c r="C29" s="3" t="str">
        <x:f>IF(Master!D143="","",Master!D143)</x:f>
      </x:c>
      <x:c r="D29" s="3" t="str">
        <x:f>IF(Master!E143="","",Master!E143)</x:f>
      </x:c>
      <x:c r="E29" s="3" t="str">
        <x:f>IF(Master!F143="","",Master!F143)</x:f>
      </x:c>
      <x:c r="F29" s="3" t="str">
        <x:f>IF(Master!G143="","",Master!G143)</x:f>
      </x:c>
      <x:c r="G29" s="3" t="str">
        <x:f>IF(Master!H143="","",Master!H143)</x:f>
      </x:c>
      <x:c r="H29" s="3" t="str">
        <x:f>IF(Master!I143="","",Master!I143)</x:f>
      </x:c>
      <x:c r="I29" s="3" t="str">
        <x:f>IF(Master!J143="","",Master!J143)</x:f>
      </x:c>
      <x:c r="J29" s="3" t="str">
        <x:f>IF(Master!K143="","",Master!K143)</x:f>
      </x:c>
      <x:c r="K29" s="3" t="str">
        <x:f>IF(Master!L143="","",Master!L143)</x:f>
        <x:v>No dedicated embedded-app implementation documented</x:v>
      </x:c>
      <x:c r="L29" s="3" t="str">
        <x:f>IF(Master!M143="","",Master!M143)</x:f>
      </x:c>
      <x:c r="M29" s="3" t="str">
        <x:f>IF(Master!N143="","",Master!N143)</x:f>
      </x:c>
      <x:c r="N29" s="3" t="str">
        <x:f>IF(Master!O143="","",Master!O143)</x:f>
        <x:v>Widget/integration dependent</x:v>
      </x:c>
      <x:c r="O29" s="3" t="str">
        <x:f>IF(Master!P143="","",Master!P143)</x:f>
      </x:c>
      <x:c r="P29" s="3" t="str">
        <x:f>IF(Master!Q143="","",Master!Q143)</x:f>
      </x:c>
      <x:c r="Q29" s="3" t="str">
        <x:f>IF(Master!R143="","",Master!R143)</x:f>
      </x:c>
      <x:c r="R29" s="3" t="str">
        <x:f>IF(Master!S143="","",Master!S143)</x:f>
      </x:c>
      <x:c r="S29" s="3" t="str">
        <x:f>IF(Master!T143="","",Master!T143)</x:f>
      </x:c>
      <x:c r="T29" s="3" t="str">
        <x:f>IF(Master!U143="","",Master!U143)</x:f>
      </x:c>
      <x:c r="U29" s="3" t="str">
        <x:f>IF(Master!V143="","",Master!V143)</x:f>
        <x:v>Yes: Weather + Windy radar</x:v>
      </x:c>
      <x:c r="V29" s="3" t="str">
        <x:f>IF(Master!W143="","",Master!W143)</x:f>
        <x:v>Apps possible</x:v>
      </x:c>
      <x:c r="W29" s="3" t="str">
        <x:f>IF(Master!X143="","",Master!X143)</x:f>
      </x:c>
      <x:c r="X29" s="3" t="str">
        <x:f>IF(Master!Y143="","",Master!Y143)</x:f>
      </x:c>
      <x:c r="Y29" s="3" t="str">
        <x:f>IF(Master!Z143="","",Master!Z143)</x:f>
      </x:c>
      <x:c r="Z29" s="3" t="str">
        <x:f>IF(Master!AA143="","",Master!AA143)</x:f>
      </x:c>
      <x:c r="AA29" s="6" t="str">
        <x:f>IF(Master!AB143="","",Master!AB143)</x:f>
      </x:c>
      <x:c r="AB29" s="3" t="str">
        <x:f>IF(Master!AC143="","",Master!AC143)</x:f>
      </x:c>
      <x:c r="AC29" s="3" t="str">
        <x:f>IF(Master!AD143="","",Master!AD143)</x:f>
      </x:c>
      <x:c r="AD29" s="3" t="str">
        <x:f>IF(Master!AE143="","",Master!AE143)</x:f>
      </x:c>
      <x:c r="AE29" s="3" t="str">
        <x:f>IF(Master!AF143="","",Master!AF143)</x:f>
      </x:c>
      <x:c r="AF29" s="8" t="str">
        <x:f>IF(Master!AG143="","",Master!AG143)</x:f>
        <x:v>Integrations/bots possible</x:v>
      </x:c>
    </x:row>
    <x:row r="30" ht="36" customHeight="1">
      <x:c r="A30" s="17" t="s">
        <x:v>370</x:v>
      </x:c>
      <x:c r="B30" s="3" t="str">
        <x:f>IF(Master!C144="","",Master!C144)</x:f>
        <x:v>Apps/bots; Scheduled Events native</x:v>
      </x:c>
      <x:c r="C30" s="3" t="str">
        <x:f>IF(Master!D144="","",Master!D144)</x:f>
      </x:c>
      <x:c r="D30" s="3" t="str">
        <x:f>IF(Master!E144="","",Master!E144)</x:f>
      </x:c>
      <x:c r="E30" s="3" t="str">
        <x:f>IF(Master!F144="","",Master!F144)</x:f>
      </x:c>
      <x:c r="F30" s="3" t="str">
        <x:f>IF(Master!G144="","",Master!G144)</x:f>
      </x:c>
      <x:c r="G30" s="3" t="str">
        <x:f>IF(Master!H144="","",Master!H144)</x:f>
      </x:c>
      <x:c r="H30" s="3" t="str">
        <x:f>IF(Master!I144="","",Master!I144)</x:f>
      </x:c>
      <x:c r="I30" s="3" t="str">
        <x:f>IF(Master!J144="","",Master!J144)</x:f>
      </x:c>
      <x:c r="J30" s="3" t="str">
        <x:f>IF(Master!K144="","",Master!K144)</x:f>
      </x:c>
      <x:c r="K30" s="3" t="str">
        <x:f>IF(Master!L144="","",Master!L144)</x:f>
        <x:v>No dedicated embedded-app implementation documented</x:v>
      </x:c>
      <x:c r="L30" s="3" t="str">
        <x:f>IF(Master!M144="","",Master!M144)</x:f>
      </x:c>
      <x:c r="M30" s="3" t="str">
        <x:f>IF(Master!N144="","",Master!N144)</x:f>
      </x:c>
      <x:c r="N30" s="3" t="str">
        <x:f>IF(Master!O144="","",Master!O144)</x:f>
        <x:v>Element integrations can include calendar widgets</x:v>
      </x:c>
      <x:c r="O30" s="3" t="str">
        <x:f>IF(Master!P144="","",Master!P144)</x:f>
      </x:c>
      <x:c r="P30" s="3" t="str">
        <x:f>IF(Master!Q144="","",Master!Q144)</x:f>
      </x:c>
      <x:c r="Q30" s="3" t="str">
        <x:f>IF(Master!R144="","",Master!R144)</x:f>
      </x:c>
      <x:c r="R30" s="3" t="str">
        <x:f>IF(Master!S144="","",Master!S144)</x:f>
      </x:c>
      <x:c r="S30" s="3" t="str">
        <x:f>IF(Master!T144="","",Master!T144)</x:f>
      </x:c>
      <x:c r="T30" s="3" t="str">
        <x:f>IF(Master!U144="","",Master!U144)</x:f>
      </x:c>
      <x:c r="U30" s="3" t="str">
        <x:f>IF(Master!V144="","",Master!V144)</x:f>
        <x:v>Yes: personal + Shard calendars, iCal sync</x:v>
      </x:c>
      <x:c r="V30" s="3" t="str">
        <x:f>IF(Master!W144="","",Master!W144)</x:f>
        <x:v>Apps possible</x:v>
      </x:c>
      <x:c r="W30" s="3" t="str">
        <x:f>IF(Master!X144="","",Master!X144)</x:f>
      </x:c>
      <x:c r="X30" s="3" t="str">
        <x:f>IF(Master!Y144="","",Master!Y144)</x:f>
      </x:c>
      <x:c r="Y30" s="3" t="str">
        <x:f>IF(Master!Z144="","",Master!Z144)</x:f>
      </x:c>
      <x:c r="Z30" s="3" t="str">
        <x:f>IF(Master!AA144="","",Master!AA144)</x:f>
      </x:c>
      <x:c r="AA30" s="6" t="str">
        <x:f>IF(Master!AB144="","",Master!AB144)</x:f>
      </x:c>
      <x:c r="AB30" s="3" t="str">
        <x:f>IF(Master!AC144="","",Master!AC144)</x:f>
      </x:c>
      <x:c r="AC30" s="3" t="str">
        <x:f>IF(Master!AD144="","",Master!AD144)</x:f>
      </x:c>
      <x:c r="AD30" s="3" t="str">
        <x:f>IF(Master!AE144="","",Master!AE144)</x:f>
      </x:c>
      <x:c r="AE30" s="3" t="str">
        <x:f>IF(Master!AF144="","",Master!AF144)</x:f>
      </x:c>
      <x:c r="AF30" s="8" t="str">
        <x:f>IF(Master!AG144="","",Master!AG144)</x:f>
        <x:v>Integrations possible</x:v>
      </x:c>
    </x:row>
    <x:row r="31" ht="36" customHeight="1">
      <x:c r="A31" s="17" t="s">
        <x:v>371</x:v>
      </x:c>
      <x:c r="B31" s="3" t="str">
        <x:f>IF(Master!C145="","",Master!C145)</x:f>
        <x:v>Apps/bots</x:v>
      </x:c>
      <x:c r="C31" s="3" t="str">
        <x:f>IF(Master!D145="","",Master!D145)</x:f>
      </x:c>
      <x:c r="D31" s="3" t="str">
        <x:f>IF(Master!E145="","",Master!E145)</x:f>
      </x:c>
      <x:c r="E31" s="3" t="str">
        <x:f>IF(Master!F145="","",Master!F145)</x:f>
      </x:c>
      <x:c r="F31" s="3" t="str">
        <x:f>IF(Master!G145="","",Master!G145)</x:f>
      </x:c>
      <x:c r="G31" s="3" t="str">
        <x:f>IF(Master!H145="","",Master!H145)</x:f>
      </x:c>
      <x:c r="H31" s="3" t="str">
        <x:f>IF(Master!I145="","",Master!I145)</x:f>
      </x:c>
      <x:c r="I31" s="3" t="str">
        <x:f>IF(Master!J145="","",Master!J145)</x:f>
      </x:c>
      <x:c r="J31" s="3" t="str">
        <x:f>IF(Master!K145="","",Master!K145)</x:f>
      </x:c>
      <x:c r="K31" s="3" t="str">
        <x:f>IF(Master!L145="","",Master!L145)</x:f>
        <x:v>No dedicated embedded-app implementation documented</x:v>
      </x:c>
      <x:c r="L31" s="3" t="str">
        <x:f>IF(Master!M145="","",Master!M145)</x:f>
      </x:c>
      <x:c r="M31" s="3" t="str">
        <x:f>IF(Master!N145="","",Master!N145)</x:f>
      </x:c>
      <x:c r="N31" s="3" t="str">
        <x:f>IF(Master!O145="","",Master!O145)</x:f>
      </x:c>
      <x:c r="O31" s="3" t="str">
        <x:f>IF(Master!P145="","",Master!P145)</x:f>
        <x:v>Plugins/integrations</x:v>
      </x:c>
      <x:c r="P31" s="3" t="str">
        <x:f>IF(Master!Q145="","",Master!Q145)</x:f>
      </x:c>
      <x:c r="Q31" s="3" t="str">
        <x:f>IF(Master!R145="","",Master!R145)</x:f>
      </x:c>
      <x:c r="R31" s="3" t="str">
        <x:f>IF(Master!S145="","",Master!S145)</x:f>
      </x:c>
      <x:c r="S31" s="3" t="str">
        <x:f>IF(Master!T145="","",Master!T145)</x:f>
      </x:c>
      <x:c r="T31" s="3" t="str">
        <x:f>IF(Master!U145="","",Master!U145)</x:f>
      </x:c>
      <x:c r="U31" s="3" t="str">
        <x:f>IF(Master!V145="","",Master!V145)</x:f>
        <x:v>Yes: personal To-do Portal</x:v>
      </x:c>
      <x:c r="V31" s="3" t="str">
        <x:f>IF(Master!W145="","",Master!W145)</x:f>
        <x:v>Apps</x:v>
      </x:c>
      <x:c r="W31" s="3" t="str">
        <x:f>IF(Master!X145="","",Master!X145)</x:f>
      </x:c>
      <x:c r="X31" s="3" t="str">
        <x:f>IF(Master!Y145="","",Master!Y145)</x:f>
      </x:c>
      <x:c r="Y31" s="3" t="str">
        <x:f>IF(Master!Z145="","",Master!Z145)</x:f>
      </x:c>
      <x:c r="Z31" s="3" t="str">
        <x:f>IF(Master!AA145="","",Master!AA145)</x:f>
      </x:c>
      <x:c r="AA31" s="6" t="str">
        <x:f>IF(Master!AB145="","",Master!AB145)</x:f>
      </x:c>
      <x:c r="AB31" s="3" t="str">
        <x:f>IF(Master!AC145="","",Master!AC145)</x:f>
      </x:c>
      <x:c r="AC31" s="3" t="str">
        <x:f>IF(Master!AD145="","",Master!AD145)</x:f>
      </x:c>
      <x:c r="AD31" s="3" t="str">
        <x:f>IF(Master!AE145="","",Master!AE145)</x:f>
      </x:c>
      <x:c r="AE31" s="3" t="str">
        <x:f>IF(Master!AF145="","",Master!AF145)</x:f>
      </x:c>
      <x:c r="AF31" s="8" t="str">
        <x:f>IF(Master!AG145="","",Master!AG145)</x:f>
        <x:v>Integrations/bots</x:v>
      </x:c>
    </x:row>
    <x:row r="32" ht="36" customHeight="1">
      <x:c r="A32" s="17" t="s">
        <x:v>372</x:v>
      </x:c>
      <x:c r="B32" s="3" t="str">
        <x:f>IF(Master!C146="","",Master!C146)</x:f>
        <x:v>Apps/webhooks</x:v>
      </x:c>
      <x:c r="C32" s="3" t="str">
        <x:f>IF(Master!D146="","",Master!D146)</x:f>
      </x:c>
      <x:c r="D32" s="3" t="str">
        <x:f>IF(Master!E146="","",Master!E146)</x:f>
      </x:c>
      <x:c r="E32" s="3" t="str">
        <x:f>IF(Master!F146="","",Master!F146)</x:f>
      </x:c>
      <x:c r="F32" s="3" t="str">
        <x:f>IF(Master!G146="","",Master!G146)</x:f>
      </x:c>
      <x:c r="G32" s="3" t="str">
        <x:f>IF(Master!H146="","",Master!H146)</x:f>
      </x:c>
      <x:c r="H32" s="3" t="str">
        <x:f>IF(Master!I146="","",Master!I146)</x:f>
      </x:c>
      <x:c r="I32" s="3" t="str">
        <x:f>IF(Master!J146="","",Master!J146)</x:f>
      </x:c>
      <x:c r="J32" s="3" t="str">
        <x:f>IF(Master!K146="","",Master!K146)</x:f>
      </x:c>
      <x:c r="K32" s="3" t="str">
        <x:f>IF(Master!L146="","",Master!L146)</x:f>
        <x:v>No dedicated embedded-app implementation documented</x:v>
      </x:c>
      <x:c r="L32" s="3" t="str">
        <x:f>IF(Master!M146="","",Master!M146)</x:f>
      </x:c>
      <x:c r="M32" s="3" t="str">
        <x:f>IF(Master!N146="","",Master!N146)</x:f>
      </x:c>
      <x:c r="N32" s="3" t="str">
        <x:f>IF(Master!O146="","",Master!O146)</x:f>
        <x:v>Element integration ecosystem includes feeds</x:v>
      </x:c>
      <x:c r="O32" s="3" t="str">
        <x:f>IF(Master!P146="","",Master!P146)</x:f>
      </x:c>
      <x:c r="P32" s="3" t="str">
        <x:f>IF(Master!Q146="","",Master!Q146)</x:f>
      </x:c>
      <x:c r="Q32" s="3" t="str">
        <x:f>IF(Master!R146="","",Master!R146)</x:f>
      </x:c>
      <x:c r="R32" s="3" t="str">
        <x:f>IF(Master!S146="","",Master!S146)</x:f>
      </x:c>
      <x:c r="S32" s="3" t="str">
        <x:f>IF(Master!T146="","",Master!T146)</x:f>
      </x:c>
      <x:c r="T32" s="3" t="str">
        <x:f>IF(Master!U146="","",Master!U146)</x:f>
      </x:c>
      <x:c r="U32" s="3" t="str">
        <x:f>IF(Master!V146="","",Master!V146)</x:f>
        <x:v>Yes: built-in Feeds/RSS Portal</x:v>
      </x:c>
      <x:c r="V32" s="3" t="str">
        <x:f>IF(Master!W146="","",Master!W146)</x:f>
        <x:v>Apps/webhooks</x:v>
      </x:c>
      <x:c r="W32" s="3" t="str">
        <x:f>IF(Master!X146="","",Master!X146)</x:f>
      </x:c>
      <x:c r="X32" s="3" t="str">
        <x:f>IF(Master!Y146="","",Master!Y146)</x:f>
      </x:c>
      <x:c r="Y32" s="3" t="str">
        <x:f>IF(Master!Z146="","",Master!Z146)</x:f>
      </x:c>
      <x:c r="Z32" s="3" t="str">
        <x:f>IF(Master!AA146="","",Master!AA146)</x:f>
      </x:c>
      <x:c r="AA32" s="6" t="str">
        <x:f>IF(Master!AB146="","",Master!AB146)</x:f>
      </x:c>
      <x:c r="AB32" s="3" t="str">
        <x:f>IF(Master!AC146="","",Master!AC146)</x:f>
      </x:c>
      <x:c r="AC32" s="3" t="str">
        <x:f>IF(Master!AD146="","",Master!AD146)</x:f>
      </x:c>
      <x:c r="AD32" s="3" t="str">
        <x:f>IF(Master!AE146="","",Master!AE146)</x:f>
      </x:c>
      <x:c r="AE32" s="3" t="str">
        <x:f>IF(Master!AF146="","",Master!AF146)</x:f>
      </x:c>
      <x:c r="AF32" s="8" t="str">
        <x:f>IF(Master!AG146="","",Master!AG146)</x:f>
        <x:v>Native integrations/webhooks</x:v>
      </x:c>
    </x:row>
    <x:row r="33" ht="36" customHeight="1">
      <x:c r="A33" s="17" t="s">
        <x:v>373</x:v>
      </x:c>
      <x:c r="B33" s="3" t="str">
        <x:f>IF(Master!C147="","",Master!C147)</x:f>
        <x:v>Apps/bots</x:v>
      </x:c>
      <x:c r="C33" s="3" t="str">
        <x:f>IF(Master!D147="","",Master!D147)</x:f>
      </x:c>
      <x:c r="D33" s="3" t="str">
        <x:f>IF(Master!E147="","",Master!E147)</x:f>
      </x:c>
      <x:c r="E33" s="3" t="str">
        <x:f>IF(Master!F147="","",Master!F147)</x:f>
      </x:c>
      <x:c r="F33" s="3" t="str">
        <x:f>IF(Master!G147="","",Master!G147)</x:f>
      </x:c>
      <x:c r="G33" s="3" t="str">
        <x:f>IF(Master!H147="","",Master!H147)</x:f>
      </x:c>
      <x:c r="H33" s="3" t="str">
        <x:f>IF(Master!I147="","",Master!I147)</x:f>
      </x:c>
      <x:c r="I33" s="3" t="str">
        <x:f>IF(Master!J147="","",Master!J147)</x:f>
      </x:c>
      <x:c r="J33" s="3" t="str">
        <x:f>IF(Master!K147="","",Master!K147)</x:f>
      </x:c>
      <x:c r="K33" s="3" t="str">
        <x:f>IF(Master!L147="","",Master!L147)</x:f>
        <x:v>No dedicated embedded-app implementation documented</x:v>
      </x:c>
      <x:c r="L33" s="3" t="str">
        <x:f>IF(Master!M147="","",Master!M147)</x:f>
      </x:c>
      <x:c r="M33" s="3" t="str">
        <x:f>IF(Master!N147="","",Master!N147)</x:f>
      </x:c>
      <x:c r="N33" s="3" t="str">
        <x:f>IF(Master!O147="","",Master!O147)</x:f>
        <x:v>Widget-dependent</x:v>
      </x:c>
      <x:c r="O33" s="3" t="str">
        <x:f>IF(Master!P147="","",Master!P147)</x:f>
      </x:c>
      <x:c r="P33" s="3" t="str">
        <x:f>IF(Master!Q147="","",Master!Q147)</x:f>
      </x:c>
      <x:c r="Q33" s="3" t="str">
        <x:f>IF(Master!R147="","",Master!R147)</x:f>
      </x:c>
      <x:c r="R33" s="3" t="str">
        <x:f>IF(Master!S147="","",Master!S147)</x:f>
      </x:c>
      <x:c r="S33" s="3" t="str">
        <x:f>IF(Master!T147="","",Master!T147)</x:f>
      </x:c>
      <x:c r="T33" s="3" t="str">
        <x:f>IF(Master!U147="","",Master!U147)</x:f>
      </x:c>
      <x:c r="U33" s="3" t="str">
        <x:f>IF(Master!V147="","",Master!V147)</x:f>
        <x:v>Yes: Markets Portal</x:v>
      </x:c>
      <x:c r="V33" s="3" t="str">
        <x:f>IF(Master!W147="","",Master!W147)</x:f>
        <x:v>Apps possible</x:v>
      </x:c>
      <x:c r="W33" s="3" t="str">
        <x:f>IF(Master!X147="","",Master!X147)</x:f>
      </x:c>
      <x:c r="X33" s="3" t="str">
        <x:f>IF(Master!Y147="","",Master!Y147)</x:f>
      </x:c>
      <x:c r="Y33" s="3" t="str">
        <x:f>IF(Master!Z147="","",Master!Z147)</x:f>
      </x:c>
      <x:c r="Z33" s="3" t="str">
        <x:f>IF(Master!AA147="","",Master!AA147)</x:f>
      </x:c>
      <x:c r="AA33" s="6" t="str">
        <x:f>IF(Master!AB147="","",Master!AB147)</x:f>
      </x:c>
      <x:c r="AB33" s="3" t="str">
        <x:f>IF(Master!AC147="","",Master!AC147)</x:f>
      </x:c>
      <x:c r="AC33" s="3" t="str">
        <x:f>IF(Master!AD147="","",Master!AD147)</x:f>
      </x:c>
      <x:c r="AD33" s="3" t="str">
        <x:f>IF(Master!AE147="","",Master!AE147)</x:f>
      </x:c>
      <x:c r="AE33" s="3" t="str">
        <x:f>IF(Master!AF147="","",Master!AF147)</x:f>
      </x:c>
      <x:c r="AF33" s="8" t="str">
        <x:f>IF(Master!AG147="","",Master!AG147)</x:f>
        <x:v>Bots/integrations</x:v>
      </x:c>
    </x:row>
    <x:row r="34" ht="36" customHeight="1">
      <x:c r="A34" s="17" t="s">
        <x:v>374</x:v>
      </x:c>
      <x:c r="B34" s="3" t="str">
        <x:f>IF(Master!C148="","",Master!C148)</x:f>
        <x:v>Apps/bots</x:v>
      </x:c>
      <x:c r="C34" s="3" t="str">
        <x:f>IF(Master!D148="","",Master!D148)</x:f>
      </x:c>
      <x:c r="D34" s="3" t="str">
        <x:f>IF(Master!E148="","",Master!E148)</x:f>
      </x:c>
      <x:c r="E34" s="3" t="str">
        <x:f>IF(Master!F148="","",Master!F148)</x:f>
      </x:c>
      <x:c r="F34" s="3" t="str">
        <x:f>IF(Master!G148="","",Master!G148)</x:f>
      </x:c>
      <x:c r="G34" s="3" t="str">
        <x:f>IF(Master!H148="","",Master!H148)</x:f>
      </x:c>
      <x:c r="H34" s="3" t="str">
        <x:f>IF(Master!I148="","",Master!I148)</x:f>
      </x:c>
      <x:c r="I34" s="3" t="str">
        <x:f>IF(Master!J148="","",Master!J148)</x:f>
      </x:c>
      <x:c r="J34" s="3" t="str">
        <x:f>IF(Master!K148="","",Master!K148)</x:f>
      </x:c>
      <x:c r="K34" s="3" t="str">
        <x:f>IF(Master!L148="","",Master!L148)</x:f>
        <x:v>No dedicated embedded-app implementation documented</x:v>
      </x:c>
      <x:c r="L34" s="3" t="str">
        <x:f>IF(Master!M148="","",Master!M148)</x:f>
      </x:c>
      <x:c r="M34" s="3" t="str">
        <x:f>IF(Master!N148="","",Master!N148)</x:f>
      </x:c>
      <x:c r="N34" s="3" t="str">
        <x:f>IF(Master!O148="","",Master!O148)</x:f>
        <x:v>Widget-dependent</x:v>
      </x:c>
      <x:c r="O34" s="3" t="str">
        <x:f>IF(Master!P148="","",Master!P148)</x:f>
      </x:c>
      <x:c r="P34" s="3" t="str">
        <x:f>IF(Master!Q148="","",Master!Q148)</x:f>
      </x:c>
      <x:c r="Q34" s="3" t="str">
        <x:f>IF(Master!R148="","",Master!R148)</x:f>
      </x:c>
      <x:c r="R34" s="3" t="str">
        <x:f>IF(Master!S148="","",Master!S148)</x:f>
      </x:c>
      <x:c r="S34" s="3" t="str">
        <x:f>IF(Master!T148="","",Master!T148)</x:f>
      </x:c>
      <x:c r="T34" s="3" t="str">
        <x:f>IF(Master!U148="","",Master!U148)</x:f>
      </x:c>
      <x:c r="U34" s="3" t="str">
        <x:f>IF(Master!V148="","",Master!V148)</x:f>
        <x:v>Yes: Portal</x:v>
      </x:c>
      <x:c r="V34" s="3" t="str">
        <x:f>IF(Master!W148="","",Master!W148)</x:f>
      </x:c>
      <x:c r="W34" s="3" t="str">
        <x:f>IF(Master!X148="","",Master!X148)</x:f>
      </x:c>
      <x:c r="X34" s="3" t="str">
        <x:f>IF(Master!Y148="","",Master!Y148)</x:f>
      </x:c>
      <x:c r="Y34" s="3" t="str">
        <x:f>IF(Master!Z148="","",Master!Z148)</x:f>
      </x:c>
      <x:c r="Z34" s="3" t="str">
        <x:f>IF(Master!AA148="","",Master!AA148)</x:f>
      </x:c>
      <x:c r="AA34" s="6" t="str">
        <x:f>IF(Master!AB148="","",Master!AB148)</x:f>
      </x:c>
      <x:c r="AB34" s="3" t="str">
        <x:f>IF(Master!AC148="","",Master!AC148)</x:f>
      </x:c>
      <x:c r="AC34" s="3" t="str">
        <x:f>IF(Master!AD148="","",Master!AD148)</x:f>
      </x:c>
      <x:c r="AD34" s="3" t="str">
        <x:f>IF(Master!AE148="","",Master!AE148)</x:f>
      </x:c>
      <x:c r="AE34" s="3" t="str">
        <x:f>IF(Master!AF148="","",Master!AF148)</x:f>
      </x:c>
      <x:c r="AF34" s="8" t="str">
        <x:f>IF(Master!AG148="","",Master!AG148)</x:f>
      </x:c>
    </x:row>
    <x:row r="35" ht="36" customHeight="1">
      <x:c r="A35" s="17" t="s">
        <x:v>375</x:v>
      </x:c>
      <x:c r="B35" s="3" t="str">
        <x:f>IF(Master!C149="","",Master!C149)</x:f>
        <x:v>Activities are sandboxed embedded web apps; not a general browser</x:v>
      </x:c>
      <x:c r="C35" s="3" t="str">
        <x:f>IF(Master!D149="","",Master!D149)</x:f>
      </x:c>
      <x:c r="D35" s="3" t="str">
        <x:f>IF(Master!E149="","",Master!E149)</x:f>
      </x:c>
      <x:c r="E35" s="3" t="str">
        <x:f>IF(Master!F149="","",Master!F149)</x:f>
      </x:c>
      <x:c r="F35" s="3" t="str">
        <x:f>IF(Master!G149="","",Master!G149)</x:f>
      </x:c>
      <x:c r="G35" s="3" t="str">
        <x:f>IF(Master!H149="","",Master!H149)</x:f>
      </x:c>
      <x:c r="H35" s="3" t="str">
        <x:f>IF(Master!I149="","",Master!I149)</x:f>
      </x:c>
      <x:c r="I35" s="3" t="str">
        <x:f>IF(Master!J149="","",Master!J149)</x:f>
      </x:c>
      <x:c r="J35" s="3" t="str">
        <x:f>IF(Master!K149="","",Master!K149)</x:f>
      </x:c>
      <x:c r="K35" s="3" t="str">
        <x:f>IF(Master!L149="","",Master!L149)</x:f>
        <x:v>No dedicated embedded-app implementation documented</x:v>
      </x:c>
      <x:c r="L35" s="3" t="str">
        <x:f>IF(Master!M149="","",Master!M149)</x:f>
      </x:c>
      <x:c r="M35" s="3" t="str">
        <x:f>IF(Master!N149="","",Master!N149)</x:f>
      </x:c>
      <x:c r="N35" s="3" t="str">
        <x:f>IF(Master!O149="","",Master!O149)</x:f>
        <x:v>Custom widgets can embed web pages in supported clients</x:v>
      </x:c>
      <x:c r="O35" s="3" t="str">
        <x:f>IF(Master!P149="","",Master!P149)</x:f>
      </x:c>
      <x:c r="P35" s="3" t="str">
        <x:f>IF(Master!Q149="","",Master!Q149)</x:f>
      </x:c>
      <x:c r="Q35" s="3" t="str">
        <x:f>IF(Master!R149="","",Master!R149)</x:f>
      </x:c>
      <x:c r="R35" s="3" t="str">
        <x:f>IF(Master!S149="","",Master!S149)</x:f>
      </x:c>
      <x:c r="S35" s="3" t="str">
        <x:f>IF(Master!T149="","",Master!T149)</x:f>
      </x:c>
      <x:c r="T35" s="3" t="str">
        <x:f>IF(Master!U149="","",Master!U149)</x:f>
      </x:c>
      <x:c r="U35" s="3" t="str">
        <x:f>IF(Master!V149="","",Master!V149)</x:f>
        <x:v>Yes: Mini Browser Portal</x:v>
      </x:c>
      <x:c r="V35" s="3" t="str">
        <x:f>IF(Master!W149="","",Master!W149)</x:f>
      </x:c>
      <x:c r="W35" s="3" t="str">
        <x:f>IF(Master!X149="","",Master!X149)</x:f>
      </x:c>
      <x:c r="X35" s="3" t="str">
        <x:f>IF(Master!Y149="","",Master!Y149)</x:f>
      </x:c>
      <x:c r="Y35" s="3" t="str">
        <x:f>IF(Master!Z149="","",Master!Z149)</x:f>
      </x:c>
      <x:c r="Z35" s="3" t="str">
        <x:f>IF(Master!AA149="","",Master!AA149)</x:f>
      </x:c>
      <x:c r="AA35" s="6" t="str">
        <x:f>IF(Master!AB149="","",Master!AB149)</x:f>
      </x:c>
      <x:c r="AB35" s="3" t="str">
        <x:f>IF(Master!AC149="","",Master!AC149)</x:f>
      </x:c>
      <x:c r="AC35" s="3" t="str">
        <x:f>IF(Master!AD149="","",Master!AD149)</x:f>
      </x:c>
      <x:c r="AD35" s="3" t="str">
        <x:f>IF(Master!AE149="","",Master!AE149)</x:f>
      </x:c>
      <x:c r="AE35" s="3" t="str">
        <x:f>IF(Master!AF149="","",Master!AF149)</x:f>
      </x:c>
      <x:c r="AF35" s="8" t="str">
        <x:f>IF(Master!AG149="","",Master!AG149)</x:f>
      </x:c>
    </x:row>
    <x:row r="36" ht="36" customHeight="1">
      <x:c r="A36" s="17" t="s">
        <x:v>376</x:v>
      </x:c>
      <x:c r="B36" s="3" t="str">
        <x:f>IF(Master!C150="","",Master!C150)</x:f>
        <x:v>Apps</x:v>
      </x:c>
      <x:c r="C36" s="3" t="str">
        <x:f>IF(Master!D150="","",Master!D150)</x:f>
      </x:c>
      <x:c r="D36" s="3" t="str">
        <x:f>IF(Master!E150="","",Master!E150)</x:f>
      </x:c>
      <x:c r="E36" s="3" t="str">
        <x:f>IF(Master!F150="","",Master!F150)</x:f>
      </x:c>
      <x:c r="F36" s="3" t="str">
        <x:f>IF(Master!G150="","",Master!G150)</x:f>
      </x:c>
      <x:c r="G36" s="3" t="str">
        <x:f>IF(Master!H150="","",Master!H150)</x:f>
      </x:c>
      <x:c r="H36" s="3" t="str">
        <x:f>IF(Master!I150="","",Master!I150)</x:f>
      </x:c>
      <x:c r="I36" s="3" t="str">
        <x:f>IF(Master!J150="","",Master!J150)</x:f>
      </x:c>
      <x:c r="J36" s="3" t="str">
        <x:f>IF(Master!K150="","",Master!K150)</x:f>
      </x:c>
      <x:c r="K36" s="3" t="str">
        <x:f>IF(Master!L150="","",Master!L150)</x:f>
        <x:v>No dedicated embedded-app implementation documented</x:v>
      </x:c>
      <x:c r="L36" s="3" t="str">
        <x:f>IF(Master!M150="","",Master!M150)</x:f>
      </x:c>
      <x:c r="M36" s="3" t="str">
        <x:f>IF(Master!N150="","",Master!N150)</x:f>
      </x:c>
      <x:c r="N36" s="3" t="str">
        <x:f>IF(Master!O150="","",Master!O150)</x:f>
        <x:v>Widget-dependent</x:v>
      </x:c>
      <x:c r="O36" s="3" t="str">
        <x:f>IF(Master!P150="","",Master!P150)</x:f>
      </x:c>
      <x:c r="P36" s="3" t="str">
        <x:f>IF(Master!Q150="","",Master!Q150)</x:f>
      </x:c>
      <x:c r="Q36" s="3" t="str">
        <x:f>IF(Master!R150="","",Master!R150)</x:f>
      </x:c>
      <x:c r="R36" s="3" t="str">
        <x:f>IF(Master!S150="","",Master!S150)</x:f>
      </x:c>
      <x:c r="S36" s="3" t="str">
        <x:f>IF(Master!T150="","",Master!T150)</x:f>
      </x:c>
      <x:c r="T36" s="3" t="str">
        <x:f>IF(Master!U150="","",Master!U150)</x:f>
      </x:c>
      <x:c r="U36" s="3" t="str">
        <x:f>IF(Master!V150="","",Master!V150)</x:f>
        <x:v>Yes: Post-it Portal</x:v>
      </x:c>
      <x:c r="V36" s="3" t="str">
        <x:f>IF(Master!W150="","",Master!W150)</x:f>
      </x:c>
      <x:c r="W36" s="3" t="str">
        <x:f>IF(Master!X150="","",Master!X150)</x:f>
      </x:c>
      <x:c r="X36" s="3" t="str">
        <x:f>IF(Master!Y150="","",Master!Y150)</x:f>
      </x:c>
      <x:c r="Y36" s="3" t="str">
        <x:f>IF(Master!Z150="","",Master!Z150)</x:f>
      </x:c>
      <x:c r="Z36" s="3" t="str">
        <x:f>IF(Master!AA150="","",Master!AA150)</x:f>
      </x:c>
      <x:c r="AA36" s="6" t="str">
        <x:f>IF(Master!AB150="","",Master!AB150)</x:f>
      </x:c>
      <x:c r="AB36" s="3" t="str">
        <x:f>IF(Master!AC150="","",Master!AC150)</x:f>
      </x:c>
      <x:c r="AC36" s="3" t="str">
        <x:f>IF(Master!AD150="","",Master!AD150)</x:f>
      </x:c>
      <x:c r="AD36" s="3" t="str">
        <x:f>IF(Master!AE150="","",Master!AE150)</x:f>
      </x:c>
      <x:c r="AE36" s="3" t="str">
        <x:f>IF(Master!AF150="","",Master!AF150)</x:f>
      </x:c>
      <x:c r="AF36" s="8" t="str">
        <x:f>IF(Master!AG150="","",Master!AG150)</x:f>
      </x:c>
    </x:row>
    <x:row r="37" ht="36" customHeight="1">
      <x:c r="A37" s="17" t="s">
        <x:v>377</x:v>
      </x:c>
      <x:c r="B37" s="3" t="str">
        <x:f>IF(Master!C151="","",Master!C151)</x:f>
        <x:v>Apps/bots</x:v>
      </x:c>
      <x:c r="C37" s="3" t="str">
        <x:f>IF(Master!D151="","",Master!D151)</x:f>
      </x:c>
      <x:c r="D37" s="3" t="str">
        <x:f>IF(Master!E151="","",Master!E151)</x:f>
      </x:c>
      <x:c r="E37" s="3" t="str">
        <x:f>IF(Master!F151="","",Master!F151)</x:f>
      </x:c>
      <x:c r="F37" s="3" t="str">
        <x:f>IF(Master!G151="","",Master!G151)</x:f>
      </x:c>
      <x:c r="G37" s="3" t="str">
        <x:f>IF(Master!H151="","",Master!H151)</x:f>
      </x:c>
      <x:c r="H37" s="3" t="str">
        <x:f>IF(Master!I151="","",Master!I151)</x:f>
      </x:c>
      <x:c r="I37" s="3" t="str">
        <x:f>IF(Master!J151="","",Master!J151)</x:f>
      </x:c>
      <x:c r="J37" s="3" t="str">
        <x:f>IF(Master!K151="","",Master!K151)</x:f>
      </x:c>
      <x:c r="K37" s="3" t="str">
        <x:f>IF(Master!L151="","",Master!L151)</x:f>
        <x:v>No dedicated embedded-app implementation documented</x:v>
      </x:c>
      <x:c r="L37" s="3" t="str">
        <x:f>IF(Master!M151="","",Master!M151)</x:f>
      </x:c>
      <x:c r="M37" s="3" t="str">
        <x:f>IF(Master!N151="","",Master!N151)</x:f>
      </x:c>
      <x:c r="N37" s="3" t="str">
        <x:f>IF(Master!O151="","",Master!O151)</x:f>
      </x:c>
      <x:c r="O37" s="3" t="str">
        <x:f>IF(Master!P151="","",Master!P151)</x:f>
      </x:c>
      <x:c r="P37" s="3" t="str">
        <x:f>IF(Master!Q151="","",Master!Q151)</x:f>
      </x:c>
      <x:c r="Q37" s="3" t="str">
        <x:f>IF(Master!R151="","",Master!R151)</x:f>
      </x:c>
      <x:c r="R37" s="3" t="str">
        <x:f>IF(Master!S151="","",Master!S151)</x:f>
      </x:c>
      <x:c r="S37" s="3" t="str">
        <x:f>IF(Master!T151="","",Master!T151)</x:f>
      </x:c>
      <x:c r="T37" s="3" t="str">
        <x:f>IF(Master!U151="","",Master!U151)</x:f>
      </x:c>
      <x:c r="U37" s="3" t="str">
        <x:f>IF(Master!V151="","",Master!V151)</x:f>
        <x:v>Yes: World Clock Portal</x:v>
      </x:c>
      <x:c r="V37" s="3" t="str">
        <x:f>IF(Master!W151="","",Master!W151)</x:f>
      </x:c>
      <x:c r="W37" s="3" t="str">
        <x:f>IF(Master!X151="","",Master!X151)</x:f>
      </x:c>
      <x:c r="X37" s="3" t="str">
        <x:f>IF(Master!Y151="","",Master!Y151)</x:f>
      </x:c>
      <x:c r="Y37" s="3" t="str">
        <x:f>IF(Master!Z151="","",Master!Z151)</x:f>
      </x:c>
      <x:c r="Z37" s="3" t="str">
        <x:f>IF(Master!AA151="","",Master!AA151)</x:f>
      </x:c>
      <x:c r="AA37" s="6" t="str">
        <x:f>IF(Master!AB151="","",Master!AB151)</x:f>
      </x:c>
      <x:c r="AB37" s="3" t="str">
        <x:f>IF(Master!AC151="","",Master!AC151)</x:f>
      </x:c>
      <x:c r="AC37" s="3" t="str">
        <x:f>IF(Master!AD151="","",Master!AD151)</x:f>
      </x:c>
      <x:c r="AD37" s="3" t="str">
        <x:f>IF(Master!AE151="","",Master!AE151)</x:f>
      </x:c>
      <x:c r="AE37" s="3" t="str">
        <x:f>IF(Master!AF151="","",Master!AF151)</x:f>
      </x:c>
      <x:c r="AF37" s="8" t="str">
        <x:f>IF(Master!AG151="","",Master!AG151)</x:f>
      </x:c>
    </x:row>
    <x:row r="38" ht="36" customHeight="1">
      <x:c r="A38" s="17" t="s">
        <x:v>378</x:v>
      </x:c>
      <x:c r="B38" s="3" t="str">
        <x:f>IF(Master!C152="","",Master!C152)</x:f>
        <x:v>No first-party hardware monitor</x:v>
      </x:c>
      <x:c r="C38" s="3" t="str">
        <x:f>IF(Master!D152="","",Master!D152)</x:f>
      </x:c>
      <x:c r="D38" s="3" t="str">
        <x:f>IF(Master!E152="","",Master!E152)</x:f>
      </x:c>
      <x:c r="E38" s="3" t="str">
        <x:f>IF(Master!F152="","",Master!F152)</x:f>
      </x:c>
      <x:c r="F38" s="3" t="str">
        <x:f>IF(Master!G152="","",Master!G152)</x:f>
      </x:c>
      <x:c r="G38" s="3" t="str">
        <x:f>IF(Master!H152="","",Master!H152)</x:f>
      </x:c>
      <x:c r="H38" s="3" t="str">
        <x:f>IF(Master!I152="","",Master!I152)</x:f>
      </x:c>
      <x:c r="I38" s="3" t="str">
        <x:f>IF(Master!J152="","",Master!J152)</x:f>
      </x:c>
      <x:c r="J38" s="3" t="str">
        <x:f>IF(Master!K152="","",Master!K152)</x:f>
      </x:c>
      <x:c r="K38" s="3" t="str">
        <x:f>IF(Master!L152="","",Master!L152)</x:f>
        <x:v>No dedicated embedded-app implementation documented</x:v>
      </x:c>
      <x:c r="L38" s="3" t="str">
        <x:f>IF(Master!M152="","",Master!M152)</x:f>
      </x:c>
      <x:c r="M38" s="3" t="str">
        <x:f>IF(Master!N152="","",Master!N152)</x:f>
      </x:c>
      <x:c r="N38" s="3" t="str">
        <x:f>IF(Master!O152="","",Master!O152)</x:f>
      </x:c>
      <x:c r="O38" s="3" t="str">
        <x:f>IF(Master!P152="","",Master!P152)</x:f>
      </x:c>
      <x:c r="P38" s="3" t="str">
        <x:f>IF(Master!Q152="","",Master!Q152)</x:f>
      </x:c>
      <x:c r="Q38" s="3" t="str">
        <x:f>IF(Master!R152="","",Master!R152)</x:f>
      </x:c>
      <x:c r="R38" s="3" t="str">
        <x:f>IF(Master!S152="","",Master!S152)</x:f>
      </x:c>
      <x:c r="S38" s="3" t="str">
        <x:f>IF(Master!T152="","",Master!T152)</x:f>
      </x:c>
      <x:c r="T38" s="3" t="str">
        <x:f>IF(Master!U152="","",Master!U152)</x:f>
      </x:c>
      <x:c r="U38" s="3" t="str">
        <x:f>IF(Master!V152="","",Master!V152)</x:f>
        <x:v>Yes: desktop-only CPU/GPU/RAM/VRAM/temp/disk/network HUD</x:v>
      </x:c>
      <x:c r="V38" s="3" t="str">
        <x:f>IF(Master!W152="","",Master!W152)</x:f>
      </x:c>
      <x:c r="W38" s="3" t="str">
        <x:f>IF(Master!X152="","",Master!X152)</x:f>
      </x:c>
      <x:c r="X38" s="3" t="str">
        <x:f>IF(Master!Y152="","",Master!Y152)</x:f>
      </x:c>
      <x:c r="Y38" s="3" t="str">
        <x:f>IF(Master!Z152="","",Master!Z152)</x:f>
      </x:c>
      <x:c r="Z38" s="3" t="str">
        <x:f>IF(Master!AA152="","",Master!AA152)</x:f>
      </x:c>
      <x:c r="AA38" s="6" t="str">
        <x:f>IF(Master!AB152="","",Master!AB152)</x:f>
      </x:c>
      <x:c r="AB38" s="3" t="str">
        <x:f>IF(Master!AC152="","",Master!AC152)</x:f>
      </x:c>
      <x:c r="AC38" s="3" t="str">
        <x:f>IF(Master!AD152="","",Master!AD152)</x:f>
      </x:c>
      <x:c r="AD38" s="3" t="str">
        <x:f>IF(Master!AE152="","",Master!AE152)</x:f>
      </x:c>
      <x:c r="AE38" s="3" t="str">
        <x:f>IF(Master!AF152="","",Master!AF152)</x:f>
      </x:c>
      <x:c r="AF38" s="8" t="str">
        <x:f>IF(Master!AG152="","",Master!AG152)</x:f>
      </x:c>
    </x:row>
    <x:row r="39" ht="21.950000762939453" customHeight="1">
      <x:c r="A39" s="18" t="s">
        <x:v>379</x:v>
      </x:c>
      <x:c r="B39" s="18" t="str">
        <x:f t="shared" ref="B39:AF39" si="4">IF(""="","","")</x:f>
      </x:c>
      <x:c r="C39" s="18" t="str">
        <x:f t="shared" si="4"/>
      </x:c>
      <x:c r="D39" s="18" t="str">
        <x:f t="shared" si="4"/>
      </x:c>
      <x:c r="E39" s="18" t="str">
        <x:f t="shared" si="4"/>
      </x:c>
      <x:c r="F39" s="18" t="str">
        <x:f t="shared" si="4"/>
      </x:c>
      <x:c r="G39" s="18" t="str">
        <x:f t="shared" si="4"/>
      </x:c>
      <x:c r="H39" s="18" t="str">
        <x:f t="shared" si="4"/>
      </x:c>
      <x:c r="I39" s="18" t="str">
        <x:f t="shared" si="4"/>
      </x:c>
      <x:c r="J39" s="18" t="str">
        <x:f t="shared" si="4"/>
      </x:c>
      <x:c r="K39" s="18" t="str">
        <x:f t="shared" si="4"/>
      </x:c>
      <x:c r="L39" s="18" t="str">
        <x:f t="shared" si="4"/>
      </x:c>
      <x:c r="M39" s="18" t="str">
        <x:f t="shared" si="4"/>
      </x:c>
      <x:c r="N39" s="18" t="str">
        <x:f t="shared" si="4"/>
      </x:c>
      <x:c r="O39" s="18" t="str">
        <x:f t="shared" si="4"/>
      </x:c>
      <x:c r="P39" s="18" t="str">
        <x:f t="shared" si="4"/>
      </x:c>
      <x:c r="Q39" s="18" t="str">
        <x:f t="shared" si="4"/>
      </x:c>
      <x:c r="R39" s="18" t="str">
        <x:f t="shared" si="4"/>
      </x:c>
      <x:c r="S39" s="18" t="str">
        <x:f t="shared" si="4"/>
      </x:c>
      <x:c r="T39" s="18" t="str">
        <x:f t="shared" si="4"/>
      </x:c>
      <x:c r="U39" s="18" t="str">
        <x:f t="shared" si="4"/>
      </x:c>
      <x:c r="V39" s="18" t="str">
        <x:f t="shared" si="4"/>
      </x:c>
      <x:c r="W39" s="18" t="str">
        <x:f t="shared" si="4"/>
      </x:c>
      <x:c r="X39" s="18" t="str">
        <x:f t="shared" si="4"/>
      </x:c>
      <x:c r="Y39" s="18" t="str">
        <x:f t="shared" si="4"/>
      </x:c>
      <x:c r="Z39" s="18" t="str">
        <x:f t="shared" si="4"/>
      </x:c>
      <x:c r="AA39" s="18" t="str">
        <x:f t="shared" si="4"/>
      </x:c>
      <x:c r="AB39" s="18" t="str">
        <x:f t="shared" si="4"/>
      </x:c>
      <x:c r="AC39" s="18" t="str">
        <x:f t="shared" si="4"/>
      </x:c>
      <x:c r="AD39" s="18" t="str">
        <x:f t="shared" si="4"/>
      </x:c>
      <x:c r="AE39" s="18" t="str">
        <x:f t="shared" si="4"/>
      </x:c>
      <x:c r="AF39" s="19" t="str">
        <x:f t="shared" si="4"/>
      </x:c>
    </x:row>
    <x:row r="40" ht="36" customHeight="1">
      <x:c r="A40" s="17" t="s">
        <x:v>380</x:v>
      </x:c>
      <x:c r="B40" s="3" t="str">
        <x:f>IF(Master!C153="","",Master!C153)</x:f>
        <x:v>Yes: OAuth2 + SDK scopes</x:v>
      </x:c>
      <x:c r="C40" s="3" t="str">
        <x:f>IF(Master!D153="","",Master!D153)</x:f>
      </x:c>
      <x:c r="D40" s="3" t="str">
        <x:f>IF(Master!E153="","",Master!E153)</x:f>
      </x:c>
      <x:c r="E40" s="3" t="str">
        <x:f>IF(Master!F153="","",Master!F153)</x:f>
      </x:c>
      <x:c r="F40" s="3" t="str">
        <x:f>IF(Master!G153="","",Master!G153)</x:f>
      </x:c>
      <x:c r="G40" s="3" t="str">
        <x:f>IF(Master!H153="","",Master!H153)</x:f>
      </x:c>
      <x:c r="H40" s="3" t="str">
        <x:f>IF(Master!I153="","",Master!I153)</x:f>
      </x:c>
      <x:c r="I40" s="3" t="str">
        <x:f>IF(Master!J153="","",Master!J153)</x:f>
      </x:c>
      <x:c r="J40" s="3" t="str">
        <x:f>IF(Master!K153="","",Master!K153)</x:f>
      </x:c>
      <x:c r="K40" s="3" t="str">
        <x:f>IF(Master!L153="","",Master!L153)</x:f>
        <x:v>Yes: granular REST scopes, Gateway intents, guild permissions, E2EE modes and exact-instance allow/deny policies</x:v>
      </x:c>
      <x:c r="L40" s="3" t="str">
        <x:f>IF(Master!M153="","",Master!M153)</x:f>
      </x:c>
      <x:c r="M40" s="3" t="str">
        <x:f>IF(Master!N153="","",Master!N153)</x:f>
      </x:c>
      <x:c r="N40" s="3" t="str">
        <x:f>IF(Master!O153="","",Master!O153)</x:f>
        <x:v>Client/widget/integration dependent</x:v>
      </x:c>
      <x:c r="O40" s="3" t="str">
        <x:f>IF(Master!P153="","",Master!P153)</x:f>
        <x:v>Admin/plugin permission model</x:v>
      </x:c>
      <x:c r="P40" s="3" t="str">
        <x:f>IF(Master!Q153="","",Master!Q153)</x:f>
      </x:c>
      <x:c r="Q40" s="3" t="str">
        <x:f>IF(Master!R153="","",Master!R153)</x:f>
      </x:c>
      <x:c r="R40" s="3" t="str">
        <x:f>IF(Master!S153="","",Master!S153)</x:f>
      </x:c>
      <x:c r="S40" s="3" t="str">
        <x:f>IF(Master!T153="","",Master!T153)</x:f>
      </x:c>
      <x:c r="T40" s="3" t="str">
        <x:f>IF(Master!U153="","",Master!U153)</x:f>
      </x:c>
      <x:c r="U40" s="3" t="str">
        <x:f>IF(Master!V153="","",Master!V153)</x:f>
        <x:v>N/A</x:v>
      </x:c>
      <x:c r="V40" s="3" t="str">
        <x:f>IF(Master!W153="","",Master!W153)</x:f>
        <x:v>Apps-Engine permission model</x:v>
      </x:c>
      <x:c r="W40" s="3" t="str">
        <x:f>IF(Master!X153="","",Master!X153)</x:f>
      </x:c>
      <x:c r="X40" s="3" t="str">
        <x:f>IF(Master!Y153="","",Master!Y153)</x:f>
      </x:c>
      <x:c r="Y40" s="3" t="str">
        <x:f>IF(Master!Z153="","",Master!Z153)</x:f>
      </x:c>
      <x:c r="Z40" s="3" t="str">
        <x:f>IF(Master!AA153="","",Master!AA153)</x:f>
      </x:c>
      <x:c r="AA40" s="6" t="str">
        <x:f>IF(Master!AB153="","",Master!AB153)</x:f>
      </x:c>
      <x:c r="AB40" s="3" t="str">
        <x:f>IF(Master!AC153="","",Master!AC153)</x:f>
      </x:c>
      <x:c r="AC40" s="3" t="str">
        <x:f>IF(Master!AD153="","",Master!AD153)</x:f>
      </x:c>
      <x:c r="AD40" s="3" t="str">
        <x:f>IF(Master!AE153="","",Master!AE153)</x:f>
      </x:c>
      <x:c r="AE40" s="3" t="str">
        <x:f>IF(Master!AF153="","",Master!AF153)</x:f>
      </x:c>
      <x:c r="AF40" s="8" t="str">
        <x:f>IF(Master!AG153="","",Master!AG153)</x:f>
        <x:v>Bot type + API key/permissions</x:v>
      </x:c>
    </x:row>
    <x:row r="41" ht="36" customHeight="1">
      <x:c r="A41" s="17" t="s">
        <x:v>381</x:v>
      </x:c>
      <x:c r="B41" s="3" t="str">
        <x:f>IF(Master!C154="","",Master!C154)</x:f>
        <x:v>Development/private apps supported</x:v>
      </x:c>
      <x:c r="C41" s="3" t="str">
        <x:f>IF(Master!D154="","",Master!D154)</x:f>
      </x:c>
      <x:c r="D41" s="3" t="str">
        <x:f>IF(Master!E154="","",Master!E154)</x:f>
      </x:c>
      <x:c r="E41" s="3" t="str">
        <x:f>IF(Master!F154="","",Master!F154)</x:f>
      </x:c>
      <x:c r="F41" s="3" t="str">
        <x:f>IF(Master!G154="","",Master!G154)</x:f>
      </x:c>
      <x:c r="G41" s="3" t="str">
        <x:f>IF(Master!H154="","",Master!H154)</x:f>
      </x:c>
      <x:c r="H41" s="3" t="str">
        <x:f>IF(Master!I154="","",Master!I154)</x:f>
      </x:c>
      <x:c r="I41" s="3" t="str">
        <x:f>IF(Master!J154="","",Master!J154)</x:f>
      </x:c>
      <x:c r="J41" s="3" t="str">
        <x:f>IF(Master!K154="","",Master!K154)</x:f>
      </x:c>
      <x:c r="K41" s="3" t="str">
        <x:f>IF(Master!L154="","",Master!L154)</x:f>
        <x:v>Yes: apps can be installed by invite without public-directory listing</x:v>
      </x:c>
      <x:c r="L41" s="3" t="str">
        <x:f>IF(Master!M154="","",Master!M154)</x:f>
      </x:c>
      <x:c r="M41" s="3" t="str">
        <x:f>IF(Master!N154="","",Master!N154)</x:f>
      </x:c>
      <x:c r="N41" s="3" t="str">
        <x:f>IF(Master!O154="","",Master!O154)</x:f>
        <x:v>Custom widgets supported in Element deployments</x:v>
      </x:c>
      <x:c r="O41" s="3" t="str">
        <x:f>IF(Master!P154="","",Master!P154)</x:f>
        <x:v>Yes: uploaded plugins depending admin policy</x:v>
      </x:c>
      <x:c r="P41" s="3" t="str">
        <x:f>IF(Master!Q154="","",Master!Q154)</x:f>
      </x:c>
      <x:c r="Q41" s="3" t="str">
        <x:f>IF(Master!R154="","",Master!R154)</x:f>
      </x:c>
      <x:c r="R41" s="3" t="str">
        <x:f>IF(Master!S154="","",Master!S154)</x:f>
      </x:c>
      <x:c r="S41" s="3" t="str">
        <x:f>IF(Master!T154="","",Master!T154)</x:f>
      </x:c>
      <x:c r="T41" s="3" t="str">
        <x:f>IF(Master!U154="","",Master!U154)</x:f>
      </x:c>
      <x:c r="U41" s="3" t="str">
        <x:f>IF(Master!V154="","",Master!V154)</x:f>
        <x:v>No</x:v>
      </x:c>
      <x:c r="V41" s="3" t="str">
        <x:f>IF(Master!W154="","",Master!W154)</x:f>
        <x:v>Yes: private apps on supported plans</x:v>
      </x:c>
      <x:c r="W41" s="3" t="str">
        <x:f>IF(Master!X154="","",Master!X154)</x:f>
      </x:c>
      <x:c r="X41" s="3" t="str">
        <x:f>IF(Master!Y154="","",Master!Y154)</x:f>
      </x:c>
      <x:c r="Y41" s="3" t="str">
        <x:f>IF(Master!Z154="","",Master!Z154)</x:f>
      </x:c>
      <x:c r="Z41" s="3" t="str">
        <x:f>IF(Master!AA154="","",Master!AA154)</x:f>
      </x:c>
      <x:c r="AA41" s="6" t="str">
        <x:f>IF(Master!AB154="","",Master!AB154)</x:f>
      </x:c>
      <x:c r="AB41" s="3" t="str">
        <x:f>IF(Master!AC154="","",Master!AC154)</x:f>
      </x:c>
      <x:c r="AC41" s="3" t="str">
        <x:f>IF(Master!AD154="","",Master!AD154)</x:f>
      </x:c>
      <x:c r="AD41" s="3" t="str">
        <x:f>IF(Master!AE154="","",Master!AE154)</x:f>
      </x:c>
      <x:c r="AE41" s="3" t="str">
        <x:f>IF(Master!AF154="","",Master!AF154)</x:f>
      </x:c>
      <x:c r="AF41" s="8" t="str">
        <x:f>IF(Master!AG154="","",Master!AG154)</x:f>
        <x:v>Custom bots/integrations</x:v>
      </x:c>
    </x:row>
    <x:row r="42" ht="36" customHeight="1">
      <x:c r="A42" s="17" t="s">
        <x:v>382</x:v>
      </x:c>
      <x:c r="B42" s="3" t="str">
        <x:f>IF(Master!C155="","",Master!C155)</x:f>
        <x:v>Yes: Activity SKUs/IAP supported</x:v>
      </x:c>
      <x:c r="C42" s="3" t="str">
        <x:f>IF(Master!D155="","",Master!D155)</x:f>
      </x:c>
      <x:c r="D42" s="3" t="str">
        <x:f>IF(Master!E155="","",Master!E155)</x:f>
      </x:c>
      <x:c r="E42" s="3" t="str">
        <x:f>IF(Master!F155="","",Master!F155)</x:f>
      </x:c>
      <x:c r="F42" s="3" t="str">
        <x:f>IF(Master!G155="","",Master!G155)</x:f>
      </x:c>
      <x:c r="G42" s="3" t="str">
        <x:f>IF(Master!H155="","",Master!H155)</x:f>
      </x:c>
      <x:c r="H42" s="3" t="str">
        <x:f>IF(Master!I155="","",Master!I155)</x:f>
      </x:c>
      <x:c r="I42" s="3" t="str">
        <x:f>IF(Master!J155="","",Master!J155)</x:f>
      </x:c>
      <x:c r="J42" s="3" t="str">
        <x:f>IF(Master!K155="","",Master!K155)</x:f>
      </x:c>
      <x:c r="K42" s="3" t="str">
        <x:f>IF(Master!L155="","",Master!L155)</x:f>
        <x:v>No current paid-app/IAP system documented</x:v>
      </x:c>
      <x:c r="L42" s="3" t="str">
        <x:f>IF(Master!M155="","",Master!M155)</x:f>
      </x:c>
      <x:c r="M42" s="3" t="str">
        <x:f>IF(Master!N155="","",Master!N155)</x:f>
      </x:c>
      <x:c r="N42" s="3" t="str">
        <x:f>IF(Master!O155="","",Master!O155)</x:f>
        <x:v>Provider/app dependent</x:v>
      </x:c>
      <x:c r="O42" s="3" t="str">
        <x:f>IF(Master!P155="","",Master!P155)</x:f>
        <x:v>Marketplace/plugin dependent</x:v>
      </x:c>
      <x:c r="P42" s="3" t="str">
        <x:f>IF(Master!Q155="","",Master!Q155)</x:f>
      </x:c>
      <x:c r="Q42" s="3" t="str">
        <x:f>IF(Master!R155="","",Master!R155)</x:f>
      </x:c>
      <x:c r="R42" s="3" t="str">
        <x:f>IF(Master!S155="","",Master!S155)</x:f>
      </x:c>
      <x:c r="S42" s="3" t="str">
        <x:f>IF(Master!T155="","",Master!T155)</x:f>
      </x:c>
      <x:c r="T42" s="3" t="str">
        <x:f>IF(Master!U155="","",Master!U155)</x:f>
      </x:c>
      <x:c r="U42" s="3" t="str">
        <x:f>IF(Master!V155="","",Master!V155)</x:f>
        <x:v>No Paid App</x:v>
      </x:c>
      <x:c r="V42" s="3" t="str">
        <x:f>IF(Master!W155="","",Master!W155)</x:f>
        <x:v>Yes: paid marketplace apps</x:v>
      </x:c>
      <x:c r="W42" s="3" t="str">
        <x:f>IF(Master!X155="","",Master!X155)</x:f>
      </x:c>
      <x:c r="X42" s="3" t="str">
        <x:f>IF(Master!Y155="","",Master!Y155)</x:f>
      </x:c>
      <x:c r="Y42" s="3" t="str">
        <x:f>IF(Master!Z155="","",Master!Z155)</x:f>
      </x:c>
      <x:c r="Z42" s="3" t="str">
        <x:f>IF(Master!AA155="","",Master!AA155)</x:f>
      </x:c>
      <x:c r="AA42" s="6" t="str">
        <x:f>IF(Master!AB155="","",Master!AB155)</x:f>
      </x:c>
      <x:c r="AB42" s="3" t="str">
        <x:f>IF(Master!AC155="","",Master!AC155)</x:f>
      </x:c>
      <x:c r="AC42" s="3" t="str">
        <x:f>IF(Master!AD155="","",Master!AD155)</x:f>
      </x:c>
      <x:c r="AD42" s="3" t="str">
        <x:f>IF(Master!AE155="","",Master!AE155)</x:f>
      </x:c>
      <x:c r="AE42" s="3" t="str">
        <x:f>IF(Master!AF155="","",Master!AF155)</x:f>
      </x:c>
      <x:c r="AF42" s="8" t="str">
        <x:f>IF(Master!AG155="","",Master!AG155)</x:f>
        <x:v>Integration vendor dependent</x:v>
      </x:c>
    </x:row>
    <x:row r="43" ht="36" customHeight="1">
      <x:c r="A43" s="17" t="s">
        <x:v>383</x:v>
      </x:c>
      <x:c r="B43" s="3" t="str">
        <x:f>IF(Master!C156="","",Master!C156)</x:f>
        <x:v>Activities are iframe web apps designed for games, social experiences, co-watching and collaborative tools.</x:v>
      </x:c>
      <x:c r="C43" s="3" t="str">
        <x:f>IF(Master!D156="","",Master!D156)</x:f>
      </x:c>
      <x:c r="D43" s="3" t="str">
        <x:f>IF(Master!E156="","",Master!E156)</x:f>
      </x:c>
      <x:c r="E43" s="3" t="str">
        <x:f>IF(Master!F156="","",Master!F156)</x:f>
      </x:c>
      <x:c r="F43" s="3" t="str">
        <x:f>IF(Master!G156="","",Master!G156)</x:f>
      </x:c>
      <x:c r="G43" s="3" t="str">
        <x:f>IF(Master!H156="","",Master!H156)</x:f>
      </x:c>
      <x:c r="H43" s="3" t="str">
        <x:f>IF(Master!I156="","",Master!I156)</x:f>
      </x:c>
      <x:c r="I43" s="3" t="str">
        <x:f>IF(Master!J156="","",Master!J156)</x:f>
      </x:c>
      <x:c r="J43" s="3" t="str">
        <x:f>IF(Master!K156="","",Master!K156)</x:f>
      </x:c>
      <x:c r="K43" s="3" t="str">
        <x:f>IF(Master!L156="","",Master!L156)</x:f>
        <x:v>Bot/application ecosystem with Developer Portal, federated installs and App Directory; not a Discord Activity/iframe model</x:v>
      </x:c>
      <x:c r="L43" s="3" t="str">
        <x:f>IF(Master!M156="","",Master!M156)</x:f>
      </x:c>
      <x:c r="M43" s="3" t="str">
        <x:f>IF(Master!N156="","",Master!N156)</x:f>
      </x:c>
      <x:c r="N43" s="3" t="str">
        <x:f>IF(Master!O156="","",Master!O156)</x:f>
        <x:v>Do not treat Element widget support as a Matrix-wide guarantee; behavior is client/integration-manager dependent.</x:v>
      </x:c>
      <x:c r="O43" s="3" t="str">
        <x:f>IF(Master!P156="","",Master!P156)</x:f>
        <x:v>Plugin webapps can deeply extend client UI but are admin-installed extensions rather than a consumer-style Activity launcher.</x:v>
      </x:c>
      <x:c r="P43" s="3" t="str">
        <x:f>IF(Master!Q156="","",Master!Q156)</x:f>
      </x:c>
      <x:c r="Q43" s="3" t="str">
        <x:f>IF(Master!R156="","",Master!R156)</x:f>
      </x:c>
      <x:c r="R43" s="3" t="str">
        <x:f>IF(Master!S156="","",Master!S156)</x:f>
      </x:c>
      <x:c r="S43" s="3" t="str">
        <x:f>IF(Master!T156="","",Master!T156)</x:f>
      </x:c>
      <x:c r="T43" s="3" t="str">
        <x:f>IF(Master!U156="","",Master!U156)</x:f>
      </x:c>
      <x:c r="U43" s="3" t="str">
        <x:f>IF(Master!V156="","",Master!V156)</x:f>
        <x:v>Portals are a core workspace model with draggable, resizable apps beside chat and saved layouts. Rift also documents experimental Studio, Arcade, and Tabletop.</x:v>
      </x:c>
      <x:c r="V43" s="3" t="str">
        <x:f>IF(Master!W156="","",Master!W156)</x:f>
        <x:v>Apps-Engine/Marketplace extends a workspace; app UI model varies by app.</x:v>
      </x:c>
      <x:c r="W43" s="3" t="str">
        <x:f>IF(Master!X156="","",Master!X156)</x:f>
      </x:c>
      <x:c r="X43" s="3" t="str">
        <x:f>IF(Master!Y156="","",Master!Y156)</x:f>
      </x:c>
      <x:c r="Y43" s="3" t="str">
        <x:f>IF(Master!Z156="","",Master!Z156)</x:f>
      </x:c>
      <x:c r="Z43" s="3" t="str">
        <x:f>IF(Master!AA156="","",Master!AA156)</x:f>
      </x:c>
      <x:c r="AA43" s="6" t="str">
        <x:f>IF(Master!AB156="","",Master!AB156)</x:f>
      </x:c>
      <x:c r="AB43" s="3" t="str">
        <x:f>IF(Master!AC156="","",Master!AC156)</x:f>
      </x:c>
      <x:c r="AC43" s="3" t="str">
        <x:f>IF(Master!AD156="","",Master!AD156)</x:f>
      </x:c>
      <x:c r="AD43" s="3" t="str">
        <x:f>IF(Master!AE156="","",Master!AE156)</x:f>
      </x:c>
      <x:c r="AE43" s="3" t="str">
        <x:f>IF(Master!AF156="","",Master!AF156)</x:f>
      </x:c>
      <x:c r="AF43" s="8" t="str">
        <x:f>IF(Master!AG156="","",Master!AG156)</x:f>
        <x:v>Extensibility is strong through bots, webhooks and 120+ integrations, but not as an embedded-app workspace.</x:v>
      </x:c>
    </x:row>
  </x:sheetData>
  <x:mergeCells>
    <x:mergeCell ref="A1:A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Directory'!A1","Community, Channel &amp; Usage Limits"),"Community, Channel &amp; Usage Limits")</x:f>
        <x:v>Community, Channel &amp; Usage Limits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384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385</x:v>
      </x:c>
      <x:c r="B4" s="3" t="str">
        <x:f>IF(Master!C157="","",Master!C157)</x:f>
        <x:v>100</x:v>
      </x:c>
      <x:c r="C4" s="3" t="str">
        <x:f>IF(Master!D157="","",Master!D157)</x:f>
      </x:c>
      <x:c r="D4" s="3" t="str">
        <x:f>IF(Master!E157="","",Master!E157)</x:f>
      </x:c>
      <x:c r="E4" s="3" t="str">
        <x:f>IF(Master!F157="","",Master!F157)</x:f>
      </x:c>
      <x:c r="F4" s="3" t="str">
        <x:f>IF(Master!G157="","",Master!G157)</x:f>
      </x:c>
      <x:c r="G4" s="3" t="str">
        <x:f>IF(Master!H157="","",Master!H157)</x:f>
        <x:v>100</x:v>
      </x:c>
      <x:c r="H4" s="3" t="str">
        <x:f>IF(Master!I157="","",Master!I157)</x:f>
      </x:c>
      <x:c r="I4" s="3" t="str">
        <x:f>IF(Master!J157="","",Master!J157)</x:f>
      </x:c>
      <x:c r="J4" s="3" t="str">
        <x:f>IF(Master!K157="","",Master!K157)</x:f>
      </x:c>
      <x:c r="K4" s="3" t="str">
        <x:f>IF(Master!L157="","",Master!L157)</x:f>
      </x:c>
      <x:c r="L4" s="3" t="str">
        <x:f>IF(Master!M157="","",Master!M157)</x:f>
      </x:c>
      <x:c r="M4" s="3" t="str">
        <x:f>IF(Master!N157="","",Master!N157)</x:f>
      </x:c>
      <x:c r="N4" s="3" t="str">
        <x:f>IF(Master!O157="","",Master!O157)</x:f>
      </x:c>
      <x:c r="O4" s="3" t="str">
        <x:f>IF(Master!P157="","",Master!P157)</x:f>
      </x:c>
      <x:c r="P4" s="3" t="str">
        <x:f>IF(Master!Q157="","",Master!Q157)</x:f>
      </x:c>
      <x:c r="Q4" s="3" t="str">
        <x:f>IF(Master!R157="","",Master!R157)</x:f>
      </x:c>
      <x:c r="R4" s="3" t="str">
        <x:f>IF(Master!S157="","",Master!S157)</x:f>
      </x:c>
      <x:c r="S4" s="3" t="str">
        <x:f>IF(Master!T157="","",Master!T157)</x:f>
      </x:c>
      <x:c r="T4" s="3" t="str">
        <x:f>IF(Master!U157="","",Master!U157)</x:f>
      </x:c>
      <x:c r="U4" s="3" t="str">
        <x:f>IF(Master!V157="","",Master!V157)</x:f>
        <x:v>Unlimited Shards (published plan)</x:v>
      </x:c>
      <x:c r="V4" s="3" t="str">
        <x:f>IF(Master!W157="","",Master!W157)</x:f>
      </x:c>
      <x:c r="W4" s="3" t="str">
        <x:f>IF(Master!X157="","",Master!X157)</x:f>
      </x:c>
      <x:c r="X4" s="3" t="str">
        <x:f>IF(Master!Y157="","",Master!Y157)</x:f>
      </x:c>
      <x:c r="Y4" s="3" t="str">
        <x:f>IF(Master!Z157="","",Master!Z157)</x:f>
      </x:c>
      <x:c r="Z4" s="3" t="str">
        <x:f>IF(Master!AA157="","",Master!AA157)</x:f>
      </x:c>
      <x:c r="AA4" s="6" t="str">
        <x:f>IF(Master!AB157="","",Master!AB157)</x:f>
      </x:c>
      <x:c r="AB4" s="3" t="str">
        <x:f>IF(Master!AC157="","",Master!AC157)</x:f>
      </x:c>
      <x:c r="AC4" s="3" t="str">
        <x:f>IF(Master!AD157="","",Master!AD157)</x:f>
      </x:c>
      <x:c r="AD4" s="3" t="str">
        <x:f>IF(Master!AE157="","",Master!AE157)</x:f>
      </x:c>
      <x:c r="AE4" s="3" t="str">
        <x:f>IF(Master!AF157="","",Master!AF157)</x:f>
      </x:c>
      <x:c r="AF4" s="8" t="str">
        <x:f>IF(Master!AG157="","",Master!AG157)</x:f>
      </x:c>
    </x:row>
    <x:row r="5" ht="36" customHeight="1">
      <x:c r="A5" s="17" t="s">
        <x:v>386</x:v>
      </x:c>
      <x:c r="B5" s="3" t="str">
        <x:f>IF(Master!C158="","",Master!C158)</x:f>
        <x:v>200 with Nitro</x:v>
      </x:c>
      <x:c r="C5" s="3" t="str">
        <x:f>IF(Master!D158="","",Master!D158)</x:f>
      </x:c>
      <x:c r="D5" s="3" t="str">
        <x:f>IF(Master!E158="","",Master!E158)</x:f>
      </x:c>
      <x:c r="E5" s="3" t="str">
        <x:f>IF(Master!F158="","",Master!F158)</x:f>
      </x:c>
      <x:c r="F5" s="3" t="str">
        <x:f>IF(Master!G158="","",Master!G158)</x:f>
      </x:c>
      <x:c r="G5" s="3" t="str">
        <x:f>IF(Master!H158="","",Master!H158)</x:f>
        <x:v>200</x:v>
      </x:c>
      <x:c r="H5" s="3" t="str">
        <x:f>IF(Master!I158="","",Master!I158)</x:f>
      </x:c>
      <x:c r="I5" s="3" t="str">
        <x:f>IF(Master!J158="","",Master!J158)</x:f>
      </x:c>
      <x:c r="J5" s="3" t="str">
        <x:f>IF(Master!K158="","",Master!K158)</x:f>
      </x:c>
      <x:c r="K5" s="3" t="str">
        <x:f>IF(Master!L158="","",Master!L158)</x:f>
      </x:c>
      <x:c r="L5" s="3" t="str">
        <x:f>IF(Master!M158="","",Master!M158)</x:f>
      </x:c>
      <x:c r="M5" s="3" t="str">
        <x:f>IF(Master!N158="","",Master!N158)</x:f>
      </x:c>
      <x:c r="N5" s="3" t="str">
        <x:f>IF(Master!O158="","",Master!O158)</x:f>
      </x:c>
      <x:c r="O5" s="3" t="str">
        <x:f>IF(Master!P158="","",Master!P158)</x:f>
      </x:c>
      <x:c r="P5" s="3" t="str">
        <x:f>IF(Master!Q158="","",Master!Q158)</x:f>
      </x:c>
      <x:c r="Q5" s="3" t="str">
        <x:f>IF(Master!R158="","",Master!R158)</x:f>
      </x:c>
      <x:c r="R5" s="3" t="str">
        <x:f>IF(Master!S158="","",Master!S158)</x:f>
      </x:c>
      <x:c r="S5" s="3" t="str">
        <x:f>IF(Master!T158="","",Master!T158)</x:f>
      </x:c>
      <x:c r="T5" s="3" t="str">
        <x:f>IF(Master!U158="","",Master!U158)</x:f>
      </x:c>
      <x:c r="U5" s="3" t="str">
        <x:f>IF(Master!V158="","",Master!V158)</x:f>
        <x:v>Unlimited Shards</x:v>
      </x:c>
      <x:c r="V5" s="3" t="str">
        <x:f>IF(Master!W158="","",Master!W158)</x:f>
      </x:c>
      <x:c r="W5" s="3" t="str">
        <x:f>IF(Master!X158="","",Master!X158)</x:f>
      </x:c>
      <x:c r="X5" s="3" t="str">
        <x:f>IF(Master!Y158="","",Master!Y158)</x:f>
      </x:c>
      <x:c r="Y5" s="3" t="str">
        <x:f>IF(Master!Z158="","",Master!Z158)</x:f>
      </x:c>
      <x:c r="Z5" s="3" t="str">
        <x:f>IF(Master!AA158="","",Master!AA158)</x:f>
      </x:c>
      <x:c r="AA5" s="6" t="str">
        <x:f>IF(Master!AB158="","",Master!AB158)</x:f>
      </x:c>
      <x:c r="AB5" s="3" t="str">
        <x:f>IF(Master!AC158="","",Master!AC158)</x:f>
      </x:c>
      <x:c r="AC5" s="3" t="str">
        <x:f>IF(Master!AD158="","",Master!AD158)</x:f>
      </x:c>
      <x:c r="AD5" s="3" t="str">
        <x:f>IF(Master!AE158="","",Master!AE158)</x:f>
      </x:c>
      <x:c r="AE5" s="3" t="str">
        <x:f>IF(Master!AF158="","",Master!AF158)</x:f>
      </x:c>
      <x:c r="AF5" s="8" t="str">
        <x:f>IF(Master!AG158="","",Master!AG158)</x:f>
      </x:c>
    </x:row>
    <x:row r="6" ht="36" customHeight="1">
      <x:c r="A6" s="17" t="s">
        <x:v>387</x:v>
      </x:c>
      <x:c r="B6" s="3" t="str">
        <x:f>IF(Master!C159="","",Master!C159)</x:f>
      </x:c>
      <x:c r="C6" s="3" t="str">
        <x:f>IF(Master!D159="","",Master!D159)</x:f>
      </x:c>
      <x:c r="D6" s="3" t="str">
        <x:f>IF(Master!E159="","",Master!E159)</x:f>
      </x:c>
      <x:c r="E6" s="3" t="str">
        <x:f>IF(Master!F159="","",Master!F159)</x:f>
      </x:c>
      <x:c r="F6" s="3" t="str">
        <x:f>IF(Master!G159="","",Master!G159)</x:f>
      </x:c>
      <x:c r="G6" s="3" t="str">
        <x:f>IF(Master!H159="","",Master!H159)</x:f>
      </x:c>
      <x:c r="H6" s="3" t="str">
        <x:f>IF(Master!I159="","",Master!I159)</x:f>
        <x:v>100</x:v>
      </x:c>
      <x:c r="I6" s="3" t="str">
        <x:f>IF(Master!J159="","",Master!J159)</x:f>
      </x:c>
      <x:c r="J6" s="3" t="str">
        <x:f>IF(Master!K159="","",Master!K159)</x:f>
      </x:c>
      <x:c r="K6" s="3" t="str">
        <x:f>IF(Master!L159="","",Master!L159)</x:f>
      </x:c>
      <x:c r="L6" s="3" t="str">
        <x:f>IF(Master!M159="","",Master!M159)</x:f>
      </x:c>
      <x:c r="M6" s="3" t="str">
        <x:f>IF(Master!N159="","",Master!N159)</x:f>
      </x:c>
      <x:c r="N6" s="3" t="str">
        <x:f>IF(Master!O159="","",Master!O159)</x:f>
      </x:c>
      <x:c r="O6" s="3" t="str">
        <x:f>IF(Master!P159="","",Master!P159)</x:f>
      </x:c>
      <x:c r="P6" s="3" t="str">
        <x:f>IF(Master!Q159="","",Master!Q159)</x:f>
        <x:v>No published member cap / thousands supported</x:v>
      </x:c>
      <x:c r="Q6" s="3" t="str">
        <x:f>IF(Master!R159="","",Master!R159)</x:f>
      </x:c>
      <x:c r="R6" s="3" t="str">
        <x:f>IF(Master!S159="","",Master!S159)</x:f>
      </x:c>
      <x:c r="S6" s="3" t="str">
        <x:f>IF(Master!T159="","",Master!T159)</x:f>
      </x:c>
      <x:c r="T6" s="3" t="str">
        <x:f>IF(Master!U159="","",Master!U159)</x:f>
      </x:c>
      <x:c r="U6" s="3" t="str">
        <x:f>IF(Master!V159="","",Master!V159)</x:f>
        <x:v>Unlimited</x:v>
      </x:c>
      <x:c r="V6" s="3" t="str">
        <x:f>IF(Master!W159="","",Master!W159)</x:f>
      </x:c>
      <x:c r="W6" s="3" t="str">
        <x:f>IF(Master!X159="","",Master!X159)</x:f>
      </x:c>
      <x:c r="X6" s="3" t="str">
        <x:f>IF(Master!Y159="","",Master!Y159)</x:f>
      </x:c>
      <x:c r="Y6" s="3" t="str">
        <x:f>IF(Master!Z159="","",Master!Z159)</x:f>
      </x:c>
      <x:c r="Z6" s="3" t="str">
        <x:f>IF(Master!AA159="","",Master!AA159)</x:f>
      </x:c>
      <x:c r="AA6" s="6" t="str">
        <x:f>IF(Master!AB159="","",Master!AB159)</x:f>
        <x:v>32 slots self-host free</x:v>
      </x:c>
      <x:c r="AB6" s="3" t="str">
        <x:f>IF(Master!AC159="","",Master!AC159)</x:f>
      </x:c>
      <x:c r="AC6" s="3" t="str">
        <x:f>IF(Master!AD159="","",Master!AD159)</x:f>
      </x:c>
      <x:c r="AD6" s="3" t="str">
        <x:f>IF(Master!AE159="","",Master!AE159)</x:f>
        <x:v>No seat limits for using public lobbies</x:v>
      </x:c>
      <x:c r="AE6" s="3" t="str">
        <x:f>IF(Master!AF159="","",Master!AF159)</x:f>
      </x:c>
      <x:c r="AF6" s="8" t="str">
        <x:f>IF(Master!AG159="","",Master!AG159)</x:f>
      </x:c>
    </x:row>
    <x:row r="7" ht="36" customHeight="1">
      <x:c r="A7" s="17" t="s">
        <x:v>388</x:v>
      </x:c>
      <x:c r="B7" s="3" t="str">
        <x:f>IF(Master!C160="","",Master!C160)</x:f>
      </x:c>
      <x:c r="C7" s="3" t="str">
        <x:f>IF(Master!D160="","",Master!D160)</x:f>
      </x:c>
      <x:c r="D7" s="3" t="str">
        <x:f>IF(Master!E160="","",Master!E160)</x:f>
      </x:c>
      <x:c r="E7" s="3" t="str">
        <x:f>IF(Master!F160="","",Master!F160)</x:f>
      </x:c>
      <x:c r="F7" s="3" t="str">
        <x:f>IF(Master!G160="","",Master!G160)</x:f>
      </x:c>
      <x:c r="G7" s="3" t="str">
        <x:f>IF(Master!H160="","",Master!H160)</x:f>
      </x:c>
      <x:c r="H7" s="3" t="str">
        <x:f>IF(Master!I160="","",Master!I160)</x:f>
        <x:v>200 Silver / 500 Gold / Unlimited Diamond</x:v>
      </x:c>
      <x:c r="I7" s="3" t="str">
        <x:f>IF(Master!J160="","",Master!J160)</x:f>
      </x:c>
      <x:c r="J7" s="3" t="str">
        <x:f>IF(Master!K160="","",Master!K160)</x:f>
      </x:c>
      <x:c r="K7" s="3" t="str">
        <x:f>IF(Master!L160="","",Master!L160)</x:f>
      </x:c>
      <x:c r="L7" s="3" t="str">
        <x:f>IF(Master!M160="","",Master!M160)</x:f>
      </x:c>
      <x:c r="M7" s="3" t="str">
        <x:f>IF(Master!N160="","",Master!N160)</x:f>
      </x:c>
      <x:c r="N7" s="3" t="str">
        <x:f>IF(Master!O160="","",Master!O160)</x:f>
      </x:c>
      <x:c r="O7" s="3" t="str">
        <x:f>IF(Master!P160="","",Master!P160)</x:f>
      </x:c>
      <x:c r="P7" s="3" t="str">
        <x:f>IF(Master!Q160="","",Master!Q160)</x:f>
      </x:c>
      <x:c r="Q7" s="3" t="str">
        <x:f>IF(Master!R160="","",Master!R160)</x:f>
      </x:c>
      <x:c r="R7" s="3" t="str">
        <x:f>IF(Master!S160="","",Master!S160)</x:f>
      </x:c>
      <x:c r="S7" s="3" t="str">
        <x:f>IF(Master!T160="","",Master!T160)</x:f>
      </x:c>
      <x:c r="T7" s="3" t="str">
        <x:f>IF(Master!U160="","",Master!U160)</x:f>
      </x:c>
      <x:c r="U7" s="3" t="str">
        <x:f>IF(Master!V160="","",Master!V160)</x:f>
        <x:v>Unlimited</x:v>
      </x:c>
      <x:c r="V7" s="3" t="str">
        <x:f>IF(Master!W160="","",Master!W160)</x:f>
      </x:c>
      <x:c r="W7" s="3" t="str">
        <x:f>IF(Master!X160="","",Master!X160)</x:f>
      </x:c>
      <x:c r="X7" s="3" t="str">
        <x:f>IF(Master!Y160="","",Master!Y160)</x:f>
      </x:c>
      <x:c r="Y7" s="3" t="str">
        <x:f>IF(Master!Z160="","",Master!Z160)</x:f>
      </x:c>
      <x:c r="Z7" s="3" t="str">
        <x:f>IF(Master!AA160="","",Master!AA160)</x:f>
      </x:c>
      <x:c r="AA7" s="6" t="str">
        <x:f>IF(Master!AB160="","",Master!AB160)</x:f>
        <x:v>Hosted 11/27/64 including bonus; self-host up to 1024 licensed</x:v>
      </x:c>
      <x:c r="AB7" s="3" t="str">
        <x:f>IF(Master!AC160="","",Master!AC160)</x:f>
      </x:c>
      <x:c r="AC7" s="3" t="str">
        <x:f>IF(Master!AD160="","",Master!AD160)</x:f>
      </x:c>
      <x:c r="AD7" s="3" t="str">
        <x:f>IF(Master!AE160="","",Master!AE160)</x:f>
      </x:c>
      <x:c r="AE7" s="3" t="str">
        <x:f>IF(Master!AF160="","",Master!AF160)</x:f>
      </x:c>
      <x:c r="AF7" s="8" t="str">
        <x:f>IF(Master!AG160="","",Master!AG160)</x:f>
      </x:c>
    </x:row>
    <x:row r="8" ht="36" customHeight="1">
      <x:c r="A8" s="17" t="s">
        <x:v>389</x:v>
      </x:c>
      <x:c r="B8" s="3" t="str">
        <x:f>IF(Master!C161="","",Master!C161)</x:f>
      </x:c>
      <x:c r="C8" s="3" t="str">
        <x:f>IF(Master!D161="","",Master!D161)</x:f>
      </x:c>
      <x:c r="D8" s="3" t="str">
        <x:f>IF(Master!E161="","",Master!E161)</x:f>
      </x:c>
      <x:c r="E8" s="3" t="str">
        <x:f>IF(Master!F161="","",Master!F161)</x:f>
      </x:c>
      <x:c r="F8" s="3" t="str">
        <x:f>IF(Master!G161="","",Master!G161)</x:f>
      </x:c>
      <x:c r="G8" s="3" t="str">
        <x:f>IF(Master!H161="","",Master!H161)</x:f>
      </x:c>
      <x:c r="H8" s="3" t="str">
        <x:f>IF(Master!I161="","",Master!I161)</x:f>
        <x:v>Yes: Diamond</x:v>
      </x:c>
      <x:c r="I8" s="3" t="str">
        <x:f>IF(Master!J161="","",Master!J161)</x:f>
      </x:c>
      <x:c r="J8" s="3" t="str">
        <x:f>IF(Master!K161="","",Master!K161)</x:f>
      </x:c>
      <x:c r="K8" s="3" t="str">
        <x:f>IF(Master!L161="","",Master!L161)</x:f>
      </x:c>
      <x:c r="L8" s="3" t="str">
        <x:f>IF(Master!M161="","",Master!M161)</x:f>
      </x:c>
      <x:c r="M8" s="3" t="str">
        <x:f>IF(Master!N161="","",Master!N161)</x:f>
      </x:c>
      <x:c r="N8" s="3" t="str">
        <x:f>IF(Master!O161="","",Master!O161)</x:f>
      </x:c>
      <x:c r="O8" s="3" t="str">
        <x:f>IF(Master!P161="","",Master!P161)</x:f>
      </x:c>
      <x:c r="P8" s="3" t="str">
        <x:f>IF(Master!Q161="","",Master!Q161)</x:f>
        <x:v>Yes / no published Clan cap</x:v>
      </x:c>
      <x:c r="Q8" s="3" t="str">
        <x:f>IF(Master!R161="","",Master!R161)</x:f>
      </x:c>
      <x:c r="R8" s="3" t="str">
        <x:f>IF(Master!S161="","",Master!S161)</x:f>
      </x:c>
      <x:c r="S8" s="3" t="str">
        <x:f>IF(Master!T161="","",Master!T161)</x:f>
      </x:c>
      <x:c r="T8" s="3" t="str">
        <x:f>IF(Master!U161="","",Master!U161)</x:f>
      </x:c>
      <x:c r="U8" s="3" t="str">
        <x:f>IF(Master!V161="","",Master!V161)</x:f>
        <x:v>Yes</x:v>
      </x:c>
      <x:c r="V8" s="3" t="str">
        <x:f>IF(Master!W161="","",Master!W161)</x:f>
      </x:c>
      <x:c r="W8" s="3" t="str">
        <x:f>IF(Master!X161="","",Master!X161)</x:f>
      </x:c>
      <x:c r="X8" s="3" t="str">
        <x:f>IF(Master!Y161="","",Master!Y161)</x:f>
      </x:c>
      <x:c r="Y8" s="3" t="str">
        <x:f>IF(Master!Z161="","",Master!Z161)</x:f>
      </x:c>
      <x:c r="Z8" s="3" t="str">
        <x:f>IF(Master!AA161="","",Master!AA161)</x:f>
      </x:c>
      <x:c r="AA8" s="6" t="str">
        <x:f>IF(Master!AB161="","",Master!AB161)</x:f>
      </x:c>
      <x:c r="AB8" s="3" t="str">
        <x:f>IF(Master!AC161="","",Master!AC161)</x:f>
      </x:c>
      <x:c r="AC8" s="3" t="str">
        <x:f>IF(Master!AD161="","",Master!AD161)</x:f>
      </x:c>
      <x:c r="AD8" s="3" t="str">
        <x:f>IF(Master!AE161="","",Master!AE161)</x:f>
        <x:v>No seat limits for platform use; custom builds sized by community</x:v>
      </x:c>
      <x:c r="AE8" s="3" t="str">
        <x:f>IF(Master!AF161="","",Master!AF161)</x:f>
      </x:c>
      <x:c r="AF8" s="8" t="str">
        <x:f>IF(Master!AG161="","",Master!AG161)</x:f>
      </x:c>
    </x:row>
    <x:row r="9" ht="21.950000762939453" customHeight="1">
      <x:c r="A9" s="18" t="s">
        <x:v>390</x:v>
      </x:c>
      <x:c r="B9" s="18" t="str">
        <x:f t="shared" ref="B9:AF9" si="1">IF(""="","","")</x:f>
      </x:c>
      <x:c r="C9" s="18" t="str">
        <x:f t="shared" si="1"/>
      </x:c>
      <x:c r="D9" s="18" t="str">
        <x:f t="shared" si="1"/>
      </x:c>
      <x:c r="E9" s="18" t="str">
        <x:f t="shared" si="1"/>
      </x:c>
      <x:c r="F9" s="18" t="str">
        <x:f t="shared" si="1"/>
      </x:c>
      <x:c r="G9" s="18" t="str">
        <x:f t="shared" si="1"/>
      </x:c>
      <x:c r="H9" s="18" t="str">
        <x:f t="shared" si="1"/>
      </x:c>
      <x:c r="I9" s="18" t="str">
        <x:f t="shared" si="1"/>
      </x:c>
      <x:c r="J9" s="18" t="str">
        <x:f t="shared" si="1"/>
      </x:c>
      <x:c r="K9" s="18" t="str">
        <x:f t="shared" si="1"/>
      </x:c>
      <x:c r="L9" s="18" t="str">
        <x:f t="shared" si="1"/>
      </x:c>
      <x:c r="M9" s="18" t="str">
        <x:f t="shared" si="1"/>
      </x:c>
      <x:c r="N9" s="18" t="str">
        <x:f t="shared" si="1"/>
      </x:c>
      <x:c r="O9" s="18" t="str">
        <x:f t="shared" si="1"/>
      </x:c>
      <x:c r="P9" s="18" t="str">
        <x:f t="shared" si="1"/>
      </x:c>
      <x:c r="Q9" s="18" t="str">
        <x:f t="shared" si="1"/>
      </x:c>
      <x:c r="R9" s="18" t="str">
        <x:f t="shared" si="1"/>
      </x:c>
      <x:c r="S9" s="18" t="str">
        <x:f t="shared" si="1"/>
      </x:c>
      <x:c r="T9" s="18" t="str">
        <x:f t="shared" si="1"/>
      </x:c>
      <x:c r="U9" s="18" t="str">
        <x:f t="shared" si="1"/>
      </x:c>
      <x:c r="V9" s="18" t="str">
        <x:f t="shared" si="1"/>
      </x:c>
      <x:c r="W9" s="18" t="str">
        <x:f t="shared" si="1"/>
      </x:c>
      <x:c r="X9" s="18" t="str">
        <x:f t="shared" si="1"/>
      </x:c>
      <x:c r="Y9" s="18" t="str">
        <x:f t="shared" si="1"/>
      </x:c>
      <x:c r="Z9" s="18" t="str">
        <x:f t="shared" si="1"/>
      </x:c>
      <x:c r="AA9" s="18" t="str">
        <x:f t="shared" si="1"/>
      </x:c>
      <x:c r="AB9" s="18" t="str">
        <x:f t="shared" si="1"/>
      </x:c>
      <x:c r="AC9" s="18" t="str">
        <x:f t="shared" si="1"/>
      </x:c>
      <x:c r="AD9" s="18" t="str">
        <x:f t="shared" si="1"/>
      </x:c>
      <x:c r="AE9" s="18" t="str">
        <x:f t="shared" si="1"/>
      </x:c>
      <x:c r="AF9" s="19" t="str">
        <x:f t="shared" si="1"/>
      </x:c>
    </x:row>
    <x:row r="10" ht="36" customHeight="1">
      <x:c r="A10" s="17" t="s">
        <x:v>391</x:v>
      </x:c>
      <x:c r="B10" s="3" t="str">
        <x:f>IF(Master!C162="","",Master!C162)</x:f>
      </x:c>
      <x:c r="C10" s="3" t="str">
        <x:f>IF(Master!D162="","",Master!D162)</x:f>
      </x:c>
      <x:c r="D10" s="3" t="str">
        <x:f>IF(Master!E162="","",Master!E162)</x:f>
      </x:c>
      <x:c r="E10" s="3" t="str">
        <x:f>IF(Master!F162="","",Master!F162)</x:f>
      </x:c>
      <x:c r="F10" s="3" t="str">
        <x:f>IF(Master!G162="","",Master!G162)</x:f>
      </x:c>
      <x:c r="G10" s="3" t="str">
        <x:f>IF(Master!H162="","",Master!H162)</x:f>
      </x:c>
      <x:c r="H10" s="3" t="str">
        <x:f>IF(Master!I162="","",Master!I162)</x:f>
      </x:c>
      <x:c r="I10" s="3" t="str">
        <x:f>IF(Master!J162="","",Master!J162)</x:f>
      </x:c>
      <x:c r="J10" s="3" t="str">
        <x:f>IF(Master!K162="","",Master!K162)</x:f>
      </x:c>
      <x:c r="K10" s="3" t="str">
        <x:f>IF(Master!L162="","",Master!L162)</x:f>
      </x:c>
      <x:c r="L10" s="3" t="str">
        <x:f>IF(Master!M162="","",Master!M162)</x:f>
      </x:c>
      <x:c r="M10" s="3" t="str">
        <x:f>IF(Master!N162="","",Master!N162)</x:f>
      </x:c>
      <x:c r="N10" s="3" t="str">
        <x:f>IF(Master!O162="","",Master!O162)</x:f>
      </x:c>
      <x:c r="O10" s="3" t="str">
        <x:f>IF(Master!P162="","",Master!P162)</x:f>
      </x:c>
      <x:c r="P10" s="3" t="str">
        <x:f>IF(Master!Q162="","",Master!Q162)</x:f>
      </x:c>
      <x:c r="Q10" s="3" t="str">
        <x:f>IF(Master!R162="","",Master!R162)</x:f>
      </x:c>
      <x:c r="R10" s="3" t="str">
        <x:f>IF(Master!S162="","",Master!S162)</x:f>
      </x:c>
      <x:c r="S10" s="3" t="str">
        <x:f>IF(Master!T162="","",Master!T162)</x:f>
      </x:c>
      <x:c r="T10" s="3" t="str">
        <x:f>IF(Master!U162="","",Master!U162)</x:f>
      </x:c>
      <x:c r="U10" s="3" t="str">
        <x:f>IF(Master!V162="","",Master!V162)</x:f>
        <x:v>Unlimited</x:v>
      </x:c>
      <x:c r="V10" s="3" t="str">
        <x:f>IF(Master!W162="","",Master!W162)</x:f>
      </x:c>
      <x:c r="W10" s="3" t="str">
        <x:f>IF(Master!X162="","",Master!X162)</x:f>
      </x:c>
      <x:c r="X10" s="3" t="str">
        <x:f>IF(Master!Y162="","",Master!Y162)</x:f>
      </x:c>
      <x:c r="Y10" s="3" t="str">
        <x:f>IF(Master!Z162="","",Master!Z162)</x:f>
      </x:c>
      <x:c r="Z10" s="3" t="str">
        <x:f>IF(Master!AA162="","",Master!AA162)</x:f>
      </x:c>
      <x:c r="AA10" s="6" t="str">
        <x:f>IF(Master!AB162="","",Master!AB162)</x:f>
      </x:c>
      <x:c r="AB10" s="3" t="str">
        <x:f>IF(Master!AC162="","",Master!AC162)</x:f>
      </x:c>
      <x:c r="AC10" s="3" t="str">
        <x:f>IF(Master!AD162="","",Master!AD162)</x:f>
      </x:c>
      <x:c r="AD10" s="3" t="str">
        <x:f>IF(Master!AE162="","",Master!AE162)</x:f>
      </x:c>
      <x:c r="AE10" s="3" t="str">
        <x:f>IF(Master!AF162="","",Master!AF162)</x:f>
      </x:c>
      <x:c r="AF10" s="8" t="str">
        <x:f>IF(Master!AG162="","",Master!AG162)</x:f>
      </x:c>
    </x:row>
    <x:row r="11" ht="36" customHeight="1">
      <x:c r="A11" s="17" t="s">
        <x:v>392</x:v>
      </x:c>
      <x:c r="B11" s="3" t="str">
        <x:f>IF(Master!C163="","",Master!C163)</x:f>
      </x:c>
      <x:c r="C11" s="3" t="str">
        <x:f>IF(Master!D163="","",Master!D163)</x:f>
      </x:c>
      <x:c r="D11" s="3" t="str">
        <x:f>IF(Master!E163="","",Master!E163)</x:f>
      </x:c>
      <x:c r="E11" s="3" t="str">
        <x:f>IF(Master!F163="","",Master!F163)</x:f>
      </x:c>
      <x:c r="F11" s="3" t="str">
        <x:f>IF(Master!G163="","",Master!G163)</x:f>
      </x:c>
      <x:c r="G11" s="3" t="str">
        <x:f>IF(Master!H163="","",Master!H163)</x:f>
      </x:c>
      <x:c r="H11" s="3" t="str">
        <x:f>IF(Master!I163="","",Master!I163)</x:f>
        <x:v>5 free / 9 Silver / 18 Gold / 64 Diamond</x:v>
      </x:c>
      <x:c r="I11" s="3" t="str">
        <x:f>IF(Master!J163="","",Master!J163)</x:f>
      </x:c>
      <x:c r="J11" s="3" t="str">
        <x:f>IF(Master!K163="","",Master!K163)</x:f>
      </x:c>
      <x:c r="K11" s="3" t="str">
        <x:f>IF(Master!L163="","",Master!L163)</x:f>
      </x:c>
      <x:c r="L11" s="3" t="str">
        <x:f>IF(Master!M163="","",Master!M163)</x:f>
      </x:c>
      <x:c r="M11" s="3" t="str">
        <x:f>IF(Master!N163="","",Master!N163)</x:f>
      </x:c>
      <x:c r="N11" s="3" t="str">
        <x:f>IF(Master!O163="","",Master!O163)</x:f>
      </x:c>
      <x:c r="O11" s="3" t="str">
        <x:f>IF(Master!P163="","",Master!P163)</x:f>
      </x:c>
      <x:c r="P11" s="3" t="str">
        <x:f>IF(Master!Q163="","",Master!Q163)</x:f>
      </x:c>
      <x:c r="Q11" s="3" t="str">
        <x:f>IF(Master!R163="","",Master!R163)</x:f>
      </x:c>
      <x:c r="R11" s="3" t="str">
        <x:f>IF(Master!S163="","",Master!S163)</x:f>
      </x:c>
      <x:c r="S11" s="3" t="str">
        <x:f>IF(Master!T163="","",Master!T163)</x:f>
      </x:c>
      <x:c r="T11" s="3" t="str">
        <x:f>IF(Master!U163="","",Master!U163)</x:f>
      </x:c>
      <x:c r="U11" s="3" t="str">
        <x:f>IF(Master!V163="","",Master!V163)</x:f>
        <x:v>Unlimited</x:v>
      </x:c>
      <x:c r="V11" s="3" t="str">
        <x:f>IF(Master!W163="","",Master!W163)</x:f>
      </x:c>
      <x:c r="W11" s="3" t="str">
        <x:f>IF(Master!X163="","",Master!X163)</x:f>
      </x:c>
      <x:c r="X11" s="3" t="str">
        <x:f>IF(Master!Y163="","",Master!Y163)</x:f>
      </x:c>
      <x:c r="Y11" s="3" t="str">
        <x:f>IF(Master!Z163="","",Master!Z163)</x:f>
      </x:c>
      <x:c r="Z11" s="3" t="str">
        <x:f>IF(Master!AA163="","",Master!AA163)</x:f>
      </x:c>
      <x:c r="AA11" s="6" t="str">
        <x:f>IF(Master!AB163="","",Master!AB163)</x:f>
      </x:c>
      <x:c r="AB11" s="3" t="str">
        <x:f>IF(Master!AC163="","",Master!AC163)</x:f>
      </x:c>
      <x:c r="AC11" s="3" t="str">
        <x:f>IF(Master!AD163="","",Master!AD163)</x:f>
      </x:c>
      <x:c r="AD11" s="3" t="str">
        <x:f>IF(Master!AE163="","",Master!AE163)</x:f>
      </x:c>
      <x:c r="AE11" s="3" t="str">
        <x:f>IF(Master!AF163="","",Master!AF163)</x:f>
      </x:c>
      <x:c r="AF11" s="8" t="str">
        <x:f>IF(Master!AG163="","",Master!AG163)</x:f>
      </x:c>
    </x:row>
    <x:row r="12" ht="36" customHeight="1">
      <x:c r="A12" s="17" t="s">
        <x:v>393</x:v>
      </x:c>
      <x:c r="B12" s="3" t="str">
        <x:f>IF(Master!C164="","",Master!C164)</x:f>
      </x:c>
      <x:c r="C12" s="3" t="str">
        <x:f>IF(Master!D164="","",Master!D164)</x:f>
      </x:c>
      <x:c r="D12" s="3" t="str">
        <x:f>IF(Master!E164="","",Master!E164)</x:f>
      </x:c>
      <x:c r="E12" s="3" t="str">
        <x:f>IF(Master!F164="","",Master!F164)</x:f>
      </x:c>
      <x:c r="F12" s="3" t="str">
        <x:f>IF(Master!G164="","",Master!G164)</x:f>
      </x:c>
      <x:c r="G12" s="3" t="str">
        <x:f>IF(Master!H164="","",Master!H164)</x:f>
      </x:c>
      <x:c r="H12" s="3" t="str">
        <x:f>IF(Master!I164="","",Master!I164)</x:f>
      </x:c>
      <x:c r="I12" s="3" t="str">
        <x:f>IF(Master!J164="","",Master!J164)</x:f>
      </x:c>
      <x:c r="J12" s="3" t="str">
        <x:f>IF(Master!K164="","",Master!K164)</x:f>
      </x:c>
      <x:c r="K12" s="3" t="str">
        <x:f>IF(Master!L164="","",Master!L164)</x:f>
      </x:c>
      <x:c r="L12" s="3" t="str">
        <x:f>IF(Master!M164="","",Master!M164)</x:f>
      </x:c>
      <x:c r="M12" s="3" t="str">
        <x:f>IF(Master!N164="","",Master!N164)</x:f>
      </x:c>
      <x:c r="N12" s="3" t="str">
        <x:f>IF(Master!O164="","",Master!O164)</x:f>
      </x:c>
      <x:c r="O12" s="3" t="str">
        <x:f>IF(Master!P164="","",Master!P164)</x:f>
      </x:c>
      <x:c r="P12" s="3" t="str">
        <x:f>IF(Master!Q164="","",Master!Q164)</x:f>
      </x:c>
      <x:c r="Q12" s="3" t="str">
        <x:f>IF(Master!R164="","",Master!R164)</x:f>
      </x:c>
      <x:c r="R12" s="3" t="str">
        <x:f>IF(Master!S164="","",Master!S164)</x:f>
      </x:c>
      <x:c r="S12" s="3" t="str">
        <x:f>IF(Master!T164="","",Master!T164)</x:f>
      </x:c>
      <x:c r="T12" s="3" t="str">
        <x:f>IF(Master!U164="","",Master!U164)</x:f>
      </x:c>
      <x:c r="U12" s="3" t="str">
        <x:f>IF(Master!V164="","",Master!V164)</x:f>
        <x:v>Unlimited</x:v>
      </x:c>
      <x:c r="V12" s="3" t="str">
        <x:f>IF(Master!W164="","",Master!W164)</x:f>
      </x:c>
      <x:c r="W12" s="3" t="str">
        <x:f>IF(Master!X164="","",Master!X164)</x:f>
      </x:c>
      <x:c r="X12" s="3" t="str">
        <x:f>IF(Master!Y164="","",Master!Y164)</x:f>
      </x:c>
      <x:c r="Y12" s="3" t="str">
        <x:f>IF(Master!Z164="","",Master!Z164)</x:f>
      </x:c>
      <x:c r="Z12" s="3" t="str">
        <x:f>IF(Master!AA164="","",Master!AA164)</x:f>
      </x:c>
      <x:c r="AA12" s="6" t="str">
        <x:f>IF(Master!AB164="","",Master!AB164)</x:f>
      </x:c>
      <x:c r="AB12" s="3" t="str">
        <x:f>IF(Master!AC164="","",Master!AC164)</x:f>
      </x:c>
      <x:c r="AC12" s="3" t="str">
        <x:f>IF(Master!AD164="","",Master!AD164)</x:f>
      </x:c>
      <x:c r="AD12" s="3" t="str">
        <x:f>IF(Master!AE164="","",Master!AE164)</x:f>
      </x:c>
      <x:c r="AE12" s="3" t="str">
        <x:f>IF(Master!AF164="","",Master!AF164)</x:f>
      </x:c>
      <x:c r="AF12" s="8" t="str">
        <x:f>IF(Master!AG164="","",Master!AG164)</x:f>
      </x:c>
    </x:row>
    <x:row r="13" ht="21.950000762939453" customHeight="1">
      <x:c r="A13" s="18" t="s">
        <x:v>394</x:v>
      </x:c>
      <x:c r="B13" s="18" t="str">
        <x:f t="shared" ref="B13:K15" si="2">IF(""="","","")</x:f>
      </x:c>
      <x:c r="C13" s="18" t="str">
        <x:f t="shared" si="2"/>
      </x:c>
      <x:c r="D13" s="18" t="str">
        <x:f t="shared" si="2"/>
      </x:c>
      <x:c r="E13" s="18" t="str">
        <x:f t="shared" si="2"/>
      </x:c>
      <x:c r="F13" s="18" t="str">
        <x:f t="shared" si="2"/>
      </x:c>
      <x:c r="G13" s="18" t="str">
        <x:f t="shared" si="2"/>
      </x:c>
      <x:c r="H13" s="18" t="str">
        <x:f t="shared" si="2"/>
      </x:c>
      <x:c r="I13" s="18" t="str">
        <x:f t="shared" si="2"/>
      </x:c>
      <x:c r="J13" s="18" t="str">
        <x:f t="shared" si="2"/>
      </x:c>
      <x:c r="K13" s="18" t="str">
        <x:f t="shared" si="2"/>
      </x:c>
      <x:c r="L13" s="18" t="str">
        <x:f t="shared" ref="L13:U15" si="3">IF(""="","","")</x:f>
      </x:c>
      <x:c r="M13" s="18" t="str">
        <x:f t="shared" si="3"/>
      </x:c>
      <x:c r="N13" s="18" t="str">
        <x:f t="shared" si="3"/>
      </x:c>
      <x:c r="O13" s="18" t="str">
        <x:f t="shared" si="3"/>
      </x:c>
      <x:c r="P13" s="18" t="str">
        <x:f t="shared" si="3"/>
      </x:c>
      <x:c r="Q13" s="18" t="str">
        <x:f t="shared" si="3"/>
      </x:c>
      <x:c r="R13" s="18" t="str">
        <x:f t="shared" si="3"/>
      </x:c>
      <x:c r="S13" s="18" t="str">
        <x:f t="shared" si="3"/>
      </x:c>
      <x:c r="T13" s="18" t="str">
        <x:f t="shared" si="3"/>
      </x:c>
      <x:c r="U13" s="18" t="str">
        <x:f t="shared" si="3"/>
      </x:c>
      <x:c r="V13" s="18" t="str">
        <x:f t="shared" ref="V13:AF15" si="4">IF(""="","","")</x:f>
      </x:c>
      <x:c r="W13" s="18" t="str">
        <x:f t="shared" si="4"/>
      </x:c>
      <x:c r="X13" s="18" t="str">
        <x:f t="shared" si="4"/>
      </x:c>
      <x:c r="Y13" s="18" t="str">
        <x:f t="shared" si="4"/>
      </x:c>
      <x:c r="Z13" s="18" t="str">
        <x:f t="shared" si="4"/>
      </x:c>
      <x:c r="AA13" s="18" t="str">
        <x:f t="shared" si="4"/>
      </x:c>
      <x:c r="AB13" s="18" t="str">
        <x:f t="shared" si="4"/>
      </x:c>
      <x:c r="AC13" s="18" t="str">
        <x:f t="shared" si="4"/>
      </x:c>
      <x:c r="AD13" s="18" t="str">
        <x:f t="shared" si="4"/>
      </x:c>
      <x:c r="AE13" s="18" t="str">
        <x:f t="shared" si="4"/>
      </x:c>
      <x:c r="AF13" s="19" t="str">
        <x:f t="shared" si="4"/>
      </x:c>
    </x:row>
    <x:row r="14" ht="21.950000762939453" customHeight="1">
      <x:c r="A14" s="18" t="s">
        <x:v>395</x:v>
      </x:c>
      <x:c r="B14" s="18" t="str">
        <x:f t="shared" si="2"/>
      </x:c>
      <x:c r="C14" s="18" t="str">
        <x:f t="shared" si="2"/>
      </x:c>
      <x:c r="D14" s="18" t="str">
        <x:f t="shared" si="2"/>
      </x:c>
      <x:c r="E14" s="18" t="str">
        <x:f t="shared" si="2"/>
      </x:c>
      <x:c r="F14" s="18" t="str">
        <x:f t="shared" si="2"/>
      </x:c>
      <x:c r="G14" s="18" t="str">
        <x:f t="shared" si="2"/>
      </x:c>
      <x:c r="H14" s="18" t="str">
        <x:f t="shared" si="2"/>
      </x:c>
      <x:c r="I14" s="18" t="str">
        <x:f t="shared" si="2"/>
      </x:c>
      <x:c r="J14" s="18" t="str">
        <x:f t="shared" si="2"/>
      </x:c>
      <x:c r="K14" s="18" t="str">
        <x:f t="shared" si="2"/>
      </x:c>
      <x:c r="L14" s="18" t="str">
        <x:f t="shared" si="3"/>
      </x:c>
      <x:c r="M14" s="18" t="str">
        <x:f t="shared" si="3"/>
      </x:c>
      <x:c r="N14" s="18" t="str">
        <x:f t="shared" si="3"/>
      </x:c>
      <x:c r="O14" s="18" t="str">
        <x:f t="shared" si="3"/>
      </x:c>
      <x:c r="P14" s="18" t="str">
        <x:f t="shared" si="3"/>
      </x:c>
      <x:c r="Q14" s="18" t="str">
        <x:f t="shared" si="3"/>
      </x:c>
      <x:c r="R14" s="18" t="str">
        <x:f t="shared" si="3"/>
      </x:c>
      <x:c r="S14" s="18" t="str">
        <x:f t="shared" si="3"/>
      </x:c>
      <x:c r="T14" s="18" t="str">
        <x:f t="shared" si="3"/>
      </x:c>
      <x:c r="U14" s="18" t="str">
        <x:f t="shared" si="3"/>
      </x:c>
      <x:c r="V14" s="18" t="str">
        <x:f t="shared" si="4"/>
      </x:c>
      <x:c r="W14" s="18" t="str">
        <x:f t="shared" si="4"/>
      </x:c>
      <x:c r="X14" s="18" t="str">
        <x:f t="shared" si="4"/>
      </x:c>
      <x:c r="Y14" s="18" t="str">
        <x:f t="shared" si="4"/>
      </x:c>
      <x:c r="Z14" s="18" t="str">
        <x:f t="shared" si="4"/>
      </x:c>
      <x:c r="AA14" s="18" t="str">
        <x:f t="shared" si="4"/>
      </x:c>
      <x:c r="AB14" s="18" t="str">
        <x:f t="shared" si="4"/>
      </x:c>
      <x:c r="AC14" s="18" t="str">
        <x:f t="shared" si="4"/>
      </x:c>
      <x:c r="AD14" s="18" t="str">
        <x:f t="shared" si="4"/>
      </x:c>
      <x:c r="AE14" s="18" t="str">
        <x:f t="shared" si="4"/>
      </x:c>
      <x:c r="AF14" s="19" t="str">
        <x:f t="shared" si="4"/>
      </x:c>
    </x:row>
    <x:row r="15" ht="21.950000762939453" customHeight="1">
      <x:c r="A15" s="18" t="s">
        <x:v>396</x:v>
      </x:c>
      <x:c r="B15" s="18" t="str">
        <x:f t="shared" si="2"/>
      </x:c>
      <x:c r="C15" s="18" t="str">
        <x:f t="shared" si="2"/>
      </x:c>
      <x:c r="D15" s="18" t="str">
        <x:f t="shared" si="2"/>
      </x:c>
      <x:c r="E15" s="18" t="str">
        <x:f t="shared" si="2"/>
      </x:c>
      <x:c r="F15" s="18" t="str">
        <x:f t="shared" si="2"/>
      </x:c>
      <x:c r="G15" s="18" t="str">
        <x:f t="shared" si="2"/>
      </x:c>
      <x:c r="H15" s="18" t="str">
        <x:f t="shared" si="2"/>
      </x:c>
      <x:c r="I15" s="18" t="str">
        <x:f t="shared" si="2"/>
      </x:c>
      <x:c r="J15" s="18" t="str">
        <x:f t="shared" si="2"/>
      </x:c>
      <x:c r="K15" s="18" t="str">
        <x:f t="shared" si="2"/>
      </x:c>
      <x:c r="L15" s="18" t="str">
        <x:f t="shared" si="3"/>
      </x:c>
      <x:c r="M15" s="18" t="str">
        <x:f t="shared" si="3"/>
      </x:c>
      <x:c r="N15" s="18" t="str">
        <x:f t="shared" si="3"/>
      </x:c>
      <x:c r="O15" s="18" t="str">
        <x:f t="shared" si="3"/>
      </x:c>
      <x:c r="P15" s="18" t="str">
        <x:f t="shared" si="3"/>
      </x:c>
      <x:c r="Q15" s="18" t="str">
        <x:f t="shared" si="3"/>
      </x:c>
      <x:c r="R15" s="18" t="str">
        <x:f t="shared" si="3"/>
      </x:c>
      <x:c r="S15" s="18" t="str">
        <x:f t="shared" si="3"/>
      </x:c>
      <x:c r="T15" s="18" t="str">
        <x:f t="shared" si="3"/>
      </x:c>
      <x:c r="U15" s="18" t="str">
        <x:f t="shared" si="3"/>
      </x:c>
      <x:c r="V15" s="18" t="str">
        <x:f t="shared" si="4"/>
      </x:c>
      <x:c r="W15" s="18" t="str">
        <x:f t="shared" si="4"/>
      </x:c>
      <x:c r="X15" s="18" t="str">
        <x:f t="shared" si="4"/>
      </x:c>
      <x:c r="Y15" s="18" t="str">
        <x:f t="shared" si="4"/>
      </x:c>
      <x:c r="Z15" s="18" t="str">
        <x:f t="shared" si="4"/>
      </x:c>
      <x:c r="AA15" s="18" t="str">
        <x:f t="shared" si="4"/>
      </x:c>
      <x:c r="AB15" s="18" t="str">
        <x:f t="shared" si="4"/>
      </x:c>
      <x:c r="AC15" s="18" t="str">
        <x:f t="shared" si="4"/>
      </x:c>
      <x:c r="AD15" s="18" t="str">
        <x:f t="shared" si="4"/>
      </x:c>
      <x:c r="AE15" s="18" t="str">
        <x:f t="shared" si="4"/>
      </x:c>
      <x:c r="AF15" s="19" t="str">
        <x:f t="shared" si="4"/>
      </x:c>
    </x:row>
    <x:row r="16" ht="36" customHeight="1">
      <x:c r="A16" s="17" t="s">
        <x:v>397</x:v>
      </x:c>
      <x:c r="B16" s="3" t="str">
        <x:f>IF(Master!C165="","",Master!C165)</x:f>
        <x:v>Server-level slots depend boost/community configuration</x:v>
      </x:c>
      <x:c r="C16" s="3" t="str">
        <x:f>IF(Master!D165="","",Master!D165)</x:f>
      </x:c>
      <x:c r="D16" s="3" t="str">
        <x:f>IF(Master!E165="","",Master!E165)</x:f>
      </x:c>
      <x:c r="E16" s="3" t="str">
        <x:f>IF(Master!F165="","",Master!F165)</x:f>
      </x:c>
      <x:c r="F16" s="3" t="str">
        <x:f>IF(Master!G165="","",Master!G165)</x:f>
      </x:c>
      <x:c r="G16" s="3" t="str">
        <x:f>IF(Master!H165="","",Master!H165)</x:f>
      </x:c>
      <x:c r="H16" s="3" t="str">
        <x:f>IF(Master!I165="","",Master!I165)</x:f>
      </x:c>
      <x:c r="I16" s="3" t="str">
        <x:f>IF(Master!J165="","",Master!J165)</x:f>
      </x:c>
      <x:c r="J16" s="3" t="str">
        <x:f>IF(Master!K165="","",Master!K165)</x:f>
      </x:c>
      <x:c r="K16" s="3" t="str">
        <x:f>IF(Master!L165="","",Master!L165)</x:f>
      </x:c>
      <x:c r="L16" s="3" t="str">
        <x:f>IF(Master!M165="","",Master!M165)</x:f>
      </x:c>
      <x:c r="M16" s="3" t="str">
        <x:f>IF(Master!N165="","",Master!N165)</x:f>
      </x:c>
      <x:c r="N16" s="3" t="str">
        <x:f>IF(Master!O165="","",Master!O165)</x:f>
      </x:c>
      <x:c r="O16" s="3" t="str">
        <x:f>IF(Master!P165="","",Master!P165)</x:f>
      </x:c>
      <x:c r="P16" s="3" t="str">
        <x:f>IF(Master!Q165="","",Master!Q165)</x:f>
      </x:c>
      <x:c r="Q16" s="3" t="str">
        <x:f>IF(Master!R165="","",Master!R165)</x:f>
      </x:c>
      <x:c r="R16" s="3" t="str">
        <x:f>IF(Master!S165="","",Master!S165)</x:f>
      </x:c>
      <x:c r="S16" s="3" t="str">
        <x:f>IF(Master!T165="","",Master!T165)</x:f>
      </x:c>
      <x:c r="T16" s="3" t="str">
        <x:f>IF(Master!U165="","",Master!U165)</x:f>
      </x:c>
      <x:c r="U16" s="3" t="str">
        <x:f>IF(Master!V165="","",Master!V165)</x:f>
        <x:v>50 Shard + 25 personal</x:v>
      </x:c>
      <x:c r="V16" s="3" t="str">
        <x:f>IF(Master!W165="","",Master!W165)</x:f>
      </x:c>
      <x:c r="W16" s="3" t="str">
        <x:f>IF(Master!X165="","",Master!X165)</x:f>
      </x:c>
      <x:c r="X16" s="3" t="str">
        <x:f>IF(Master!Y165="","",Master!Y165)</x:f>
      </x:c>
      <x:c r="Y16" s="3" t="str">
        <x:f>IF(Master!Z165="","",Master!Z165)</x:f>
      </x:c>
      <x:c r="Z16" s="3" t="str">
        <x:f>IF(Master!AA165="","",Master!AA165)</x:f>
      </x:c>
      <x:c r="AA16" s="6" t="str">
        <x:f>IF(Master!AB165="","",Master!AB165)</x:f>
      </x:c>
      <x:c r="AB16" s="3" t="str">
        <x:f>IF(Master!AC165="","",Master!AC165)</x:f>
      </x:c>
      <x:c r="AC16" s="3" t="str">
        <x:f>IF(Master!AD165="","",Master!AD165)</x:f>
      </x:c>
      <x:c r="AD16" s="3" t="str">
        <x:f>IF(Master!AE165="","",Master!AE165)</x:f>
      </x:c>
      <x:c r="AE16" s="3" t="str">
        <x:f>IF(Master!AF165="","",Master!AF165)</x:f>
      </x:c>
      <x:c r="AF16" s="8" t="str">
        <x:f>IF(Master!AG165="","",Master!AG165)</x:f>
      </x:c>
    </x:row>
    <x:row r="17" ht="36" customHeight="1">
      <x:c r="A17" s="17" t="s">
        <x:v>398</x:v>
      </x:c>
      <x:c r="B17" s="3" t="str">
        <x:f>IF(Master!C166="","",Master!C166)</x:f>
      </x:c>
      <x:c r="C17" s="3" t="str">
        <x:f>IF(Master!D166="","",Master!D166)</x:f>
      </x:c>
      <x:c r="D17" s="3" t="str">
        <x:f>IF(Master!E166="","",Master!E166)</x:f>
      </x:c>
      <x:c r="E17" s="3" t="str">
        <x:f>IF(Master!F166="","",Master!F166)</x:f>
      </x:c>
      <x:c r="F17" s="3" t="str">
        <x:f>IF(Master!G166="","",Master!G166)</x:f>
      </x:c>
      <x:c r="G17" s="3" t="str">
        <x:f>IF(Master!H166="","",Master!H166)</x:f>
      </x:c>
      <x:c r="H17" s="3" t="str">
        <x:f>IF(Master!I166="","",Master!I166)</x:f>
        <x:v>500 Diamond</x:v>
      </x:c>
      <x:c r="I17" s="3" t="str">
        <x:f>IF(Master!J166="","",Master!J166)</x:f>
      </x:c>
      <x:c r="J17" s="3" t="str">
        <x:f>IF(Master!K166="","",Master!K166)</x:f>
      </x:c>
      <x:c r="K17" s="3" t="str">
        <x:f>IF(Master!L166="","",Master!L166)</x:f>
      </x:c>
      <x:c r="L17" s="3" t="str">
        <x:f>IF(Master!M166="","",Master!M166)</x:f>
      </x:c>
      <x:c r="M17" s="3" t="str">
        <x:f>IF(Master!N166="","",Master!N166)</x:f>
      </x:c>
      <x:c r="N17" s="3" t="str">
        <x:f>IF(Master!O166="","",Master!O166)</x:f>
      </x:c>
      <x:c r="O17" s="3" t="str">
        <x:f>IF(Master!P166="","",Master!P166)</x:f>
      </x:c>
      <x:c r="P17" s="3" t="str">
        <x:f>IF(Master!Q166="","",Master!Q166)</x:f>
      </x:c>
      <x:c r="Q17" s="3" t="str">
        <x:f>IF(Master!R166="","",Master!R166)</x:f>
      </x:c>
      <x:c r="R17" s="3" t="str">
        <x:f>IF(Master!S166="","",Master!S166)</x:f>
      </x:c>
      <x:c r="S17" s="3" t="str">
        <x:f>IF(Master!T166="","",Master!T166)</x:f>
      </x:c>
      <x:c r="T17" s="3" t="str">
        <x:f>IF(Master!U166="","",Master!U166)</x:f>
      </x:c>
      <x:c r="U17" s="3" t="str">
        <x:f>IF(Master!V166="","",Master!V166)</x:f>
        <x:v>250 Forge + 100 Rift+</x:v>
      </x:c>
      <x:c r="V17" s="3" t="str">
        <x:f>IF(Master!W166="","",Master!W166)</x:f>
      </x:c>
      <x:c r="W17" s="3" t="str">
        <x:f>IF(Master!X166="","",Master!X166)</x:f>
      </x:c>
      <x:c r="X17" s="3" t="str">
        <x:f>IF(Master!Y166="","",Master!Y166)</x:f>
      </x:c>
      <x:c r="Y17" s="3" t="str">
        <x:f>IF(Master!Z166="","",Master!Z166)</x:f>
      </x:c>
      <x:c r="Z17" s="3" t="str">
        <x:f>IF(Master!AA166="","",Master!AA166)</x:f>
      </x:c>
      <x:c r="AA17" s="6" t="str">
        <x:f>IF(Master!AB166="","",Master!AB166)</x:f>
      </x:c>
      <x:c r="AB17" s="3" t="str">
        <x:f>IF(Master!AC166="","",Master!AC166)</x:f>
      </x:c>
      <x:c r="AC17" s="3" t="str">
        <x:f>IF(Master!AD166="","",Master!AD166)</x:f>
      </x:c>
      <x:c r="AD17" s="3" t="str">
        <x:f>IF(Master!AE166="","",Master!AE166)</x:f>
      </x:c>
      <x:c r="AE17" s="3" t="str">
        <x:f>IF(Master!AF166="","",Master!AF166)</x:f>
      </x:c>
      <x:c r="AF17" s="8" t="str">
        <x:f>IF(Master!AG166="","",Master!AG166)</x:f>
      </x:c>
    </x:row>
    <x:row r="18" ht="36" customHeight="1">
      <x:c r="A18" s="17" t="s">
        <x:v>399</x:v>
      </x:c>
      <x:c r="B18" s="3" t="str">
        <x:f>IF(Master!C167="","",Master!C167)</x:f>
      </x:c>
      <x:c r="C18" s="3" t="str">
        <x:f>IF(Master!D167="","",Master!D167)</x:f>
      </x:c>
      <x:c r="D18" s="3" t="str">
        <x:f>IF(Master!E167="","",Master!E167)</x:f>
      </x:c>
      <x:c r="E18" s="3" t="str">
        <x:f>IF(Master!F167="","",Master!F167)</x:f>
      </x:c>
      <x:c r="F18" s="3" t="str">
        <x:f>IF(Master!G167="","",Master!G167)</x:f>
      </x:c>
      <x:c r="G18" s="3" t="str">
        <x:f>IF(Master!H167="","",Master!H167)</x:f>
      </x:c>
      <x:c r="H18" s="3" t="str">
        <x:f>IF(Master!I167="","",Master!I167)</x:f>
        <x:v>8</x:v>
      </x:c>
      <x:c r="I18" s="3" t="str">
        <x:f>IF(Master!J167="","",Master!J167)</x:f>
      </x:c>
      <x:c r="J18" s="3" t="str">
        <x:f>IF(Master!K167="","",Master!K167)</x:f>
      </x:c>
      <x:c r="K18" s="3" t="str">
        <x:f>IF(Master!L167="","",Master!L167)</x:f>
      </x:c>
      <x:c r="L18" s="3" t="str">
        <x:f>IF(Master!M167="","",Master!M167)</x:f>
      </x:c>
      <x:c r="M18" s="3" t="str">
        <x:f>IF(Master!N167="","",Master!N167)</x:f>
      </x:c>
      <x:c r="N18" s="3" t="str">
        <x:f>IF(Master!O167="","",Master!O167)</x:f>
      </x:c>
      <x:c r="O18" s="3" t="str">
        <x:f>IF(Master!P167="","",Master!P167)</x:f>
      </x:c>
      <x:c r="P18" s="3" t="str">
        <x:f>IF(Master!Q167="","",Master!Q167)</x:f>
      </x:c>
      <x:c r="Q18" s="3" t="str">
        <x:f>IF(Master!R167="","",Master!R167)</x:f>
      </x:c>
      <x:c r="R18" s="3" t="str">
        <x:f>IF(Master!S167="","",Master!S167)</x:f>
      </x:c>
      <x:c r="S18" s="3" t="str">
        <x:f>IF(Master!T167="","",Master!T167)</x:f>
      </x:c>
      <x:c r="T18" s="3" t="str">
        <x:f>IF(Master!U167="","",Master!U167)</x:f>
      </x:c>
      <x:c r="U18" s="3" t="str">
        <x:f>IF(Master!V167="","",Master!V167)</x:f>
        <x:v>10 Shard + 5 personal</x:v>
      </x:c>
      <x:c r="V18" s="3" t="str">
        <x:f>IF(Master!W167="","",Master!W167)</x:f>
      </x:c>
      <x:c r="W18" s="3" t="str">
        <x:f>IF(Master!X167="","",Master!X167)</x:f>
      </x:c>
      <x:c r="X18" s="3" t="str">
        <x:f>IF(Master!Y167="","",Master!Y167)</x:f>
      </x:c>
      <x:c r="Y18" s="3" t="str">
        <x:f>IF(Master!Z167="","",Master!Z167)</x:f>
      </x:c>
      <x:c r="Z18" s="3" t="str">
        <x:f>IF(Master!AA167="","",Master!AA167)</x:f>
      </x:c>
      <x:c r="AA18" s="6" t="str">
        <x:f>IF(Master!AB167="","",Master!AB167)</x:f>
      </x:c>
      <x:c r="AB18" s="3" t="str">
        <x:f>IF(Master!AC167="","",Master!AC167)</x:f>
      </x:c>
      <x:c r="AC18" s="3" t="str">
        <x:f>IF(Master!AD167="","",Master!AD167)</x:f>
      </x:c>
      <x:c r="AD18" s="3" t="str">
        <x:f>IF(Master!AE167="","",Master!AE167)</x:f>
      </x:c>
      <x:c r="AE18" s="3" t="str">
        <x:f>IF(Master!AF167="","",Master!AF167)</x:f>
      </x:c>
      <x:c r="AF18" s="8" t="str">
        <x:f>IF(Master!AG167="","",Master!AG167)</x:f>
      </x:c>
    </x:row>
    <x:row r="19" ht="36" customHeight="1">
      <x:c r="A19" s="17" t="s">
        <x:v>400</x:v>
      </x:c>
      <x:c r="B19" s="3" t="str">
        <x:f>IF(Master!C168="","",Master!C168)</x:f>
      </x:c>
      <x:c r="C19" s="3" t="str">
        <x:f>IF(Master!D168="","",Master!D168)</x:f>
      </x:c>
      <x:c r="D19" s="3" t="str">
        <x:f>IF(Master!E168="","",Master!E168)</x:f>
      </x:c>
      <x:c r="E19" s="3" t="str">
        <x:f>IF(Master!F168="","",Master!F168)</x:f>
      </x:c>
      <x:c r="F19" s="3" t="str">
        <x:f>IF(Master!G168="","",Master!G168)</x:f>
      </x:c>
      <x:c r="G19" s="3" t="str">
        <x:f>IF(Master!H168="","",Master!H168)</x:f>
      </x:c>
      <x:c r="H19" s="3" t="str">
        <x:f>IF(Master!I168="","",Master!I168)</x:f>
        <x:v>48 Diamond</x:v>
      </x:c>
      <x:c r="I19" s="3" t="str">
        <x:f>IF(Master!J168="","",Master!J168)</x:f>
      </x:c>
      <x:c r="J19" s="3" t="str">
        <x:f>IF(Master!K168="","",Master!K168)</x:f>
      </x:c>
      <x:c r="K19" s="3" t="str">
        <x:f>IF(Master!L168="","",Master!L168)</x:f>
      </x:c>
      <x:c r="L19" s="3" t="str">
        <x:f>IF(Master!M168="","",Master!M168)</x:f>
      </x:c>
      <x:c r="M19" s="3" t="str">
        <x:f>IF(Master!N168="","",Master!N168)</x:f>
      </x:c>
      <x:c r="N19" s="3" t="str">
        <x:f>IF(Master!O168="","",Master!O168)</x:f>
      </x:c>
      <x:c r="O19" s="3" t="str">
        <x:f>IF(Master!P168="","",Master!P168)</x:f>
      </x:c>
      <x:c r="P19" s="3" t="str">
        <x:f>IF(Master!Q168="","",Master!Q168)</x:f>
      </x:c>
      <x:c r="Q19" s="3" t="str">
        <x:f>IF(Master!R168="","",Master!R168)</x:f>
      </x:c>
      <x:c r="R19" s="3" t="str">
        <x:f>IF(Master!S168="","",Master!S168)</x:f>
      </x:c>
      <x:c r="S19" s="3" t="str">
        <x:f>IF(Master!T168="","",Master!T168)</x:f>
      </x:c>
      <x:c r="T19" s="3" t="str">
        <x:f>IF(Master!U168="","",Master!U168)</x:f>
      </x:c>
      <x:c r="U19" s="3" t="str">
        <x:f>IF(Master!V168="","",Master!V168)</x:f>
        <x:v>75 Shard Forge + 25 personal Rift+</x:v>
      </x:c>
      <x:c r="V19" s="3" t="str">
        <x:f>IF(Master!W168="","",Master!W168)</x:f>
      </x:c>
      <x:c r="W19" s="3" t="str">
        <x:f>IF(Master!X168="","",Master!X168)</x:f>
      </x:c>
      <x:c r="X19" s="3" t="str">
        <x:f>IF(Master!Y168="","",Master!Y168)</x:f>
      </x:c>
      <x:c r="Y19" s="3" t="str">
        <x:f>IF(Master!Z168="","",Master!Z168)</x:f>
      </x:c>
      <x:c r="Z19" s="3" t="str">
        <x:f>IF(Master!AA168="","",Master!AA168)</x:f>
      </x:c>
      <x:c r="AA19" s="6" t="str">
        <x:f>IF(Master!AB168="","",Master!AB168)</x:f>
      </x:c>
      <x:c r="AB19" s="3" t="str">
        <x:f>IF(Master!AC168="","",Master!AC168)</x:f>
      </x:c>
      <x:c r="AC19" s="3" t="str">
        <x:f>IF(Master!AD168="","",Master!AD168)</x:f>
      </x:c>
      <x:c r="AD19" s="3" t="str">
        <x:f>IF(Master!AE168="","",Master!AE168)</x:f>
      </x:c>
      <x:c r="AE19" s="3" t="str">
        <x:f>IF(Master!AF168="","",Master!AF168)</x:f>
      </x:c>
      <x:c r="AF19" s="8" t="str">
        <x:f>IF(Master!AG168="","",Master!AG168)</x:f>
      </x:c>
    </x:row>
    <x:row r="20" ht="21.950000762939453" customHeight="1">
      <x:c r="A20" s="18" t="s">
        <x:v>401</x:v>
      </x:c>
      <x:c r="B20" s="18" t="str">
        <x:f t="shared" ref="B20:K22" si="5">IF(""="","","")</x:f>
      </x:c>
      <x:c r="C20" s="18" t="str">
        <x:f t="shared" si="5"/>
      </x:c>
      <x:c r="D20" s="18" t="str">
        <x:f t="shared" si="5"/>
      </x:c>
      <x:c r="E20" s="18" t="str">
        <x:f t="shared" si="5"/>
      </x:c>
      <x:c r="F20" s="18" t="str">
        <x:f t="shared" si="5"/>
      </x:c>
      <x:c r="G20" s="18" t="str">
        <x:f t="shared" si="5"/>
      </x:c>
      <x:c r="H20" s="18" t="str">
        <x:f t="shared" si="5"/>
      </x:c>
      <x:c r="I20" s="18" t="str">
        <x:f t="shared" si="5"/>
      </x:c>
      <x:c r="J20" s="18" t="str">
        <x:f t="shared" si="5"/>
      </x:c>
      <x:c r="K20" s="18" t="str">
        <x:f t="shared" si="5"/>
      </x:c>
      <x:c r="L20" s="18" t="str">
        <x:f t="shared" ref="L20:U22" si="6">IF(""="","","")</x:f>
      </x:c>
      <x:c r="M20" s="18" t="str">
        <x:f t="shared" si="6"/>
      </x:c>
      <x:c r="N20" s="18" t="str">
        <x:f t="shared" si="6"/>
      </x:c>
      <x:c r="O20" s="18" t="str">
        <x:f t="shared" si="6"/>
      </x:c>
      <x:c r="P20" s="18" t="str">
        <x:f t="shared" si="6"/>
      </x:c>
      <x:c r="Q20" s="18" t="str">
        <x:f t="shared" si="6"/>
      </x:c>
      <x:c r="R20" s="18" t="str">
        <x:f t="shared" si="6"/>
      </x:c>
      <x:c r="S20" s="18" t="str">
        <x:f t="shared" si="6"/>
      </x:c>
      <x:c r="T20" s="18" t="str">
        <x:f t="shared" si="6"/>
      </x:c>
      <x:c r="U20" s="18" t="str">
        <x:f t="shared" si="6"/>
      </x:c>
      <x:c r="V20" s="18" t="str">
        <x:f t="shared" ref="V20:AF22" si="7">IF(""="","","")</x:f>
      </x:c>
      <x:c r="W20" s="18" t="str">
        <x:f t="shared" si="7"/>
      </x:c>
      <x:c r="X20" s="18" t="str">
        <x:f t="shared" si="7"/>
      </x:c>
      <x:c r="Y20" s="18" t="str">
        <x:f t="shared" si="7"/>
      </x:c>
      <x:c r="Z20" s="18" t="str">
        <x:f t="shared" si="7"/>
      </x:c>
      <x:c r="AA20" s="18" t="str">
        <x:f t="shared" si="7"/>
      </x:c>
      <x:c r="AB20" s="18" t="str">
        <x:f t="shared" si="7"/>
      </x:c>
      <x:c r="AC20" s="18" t="str">
        <x:f t="shared" si="7"/>
      </x:c>
      <x:c r="AD20" s="18" t="str">
        <x:f t="shared" si="7"/>
      </x:c>
      <x:c r="AE20" s="18" t="str">
        <x:f t="shared" si="7"/>
      </x:c>
      <x:c r="AF20" s="19" t="str">
        <x:f t="shared" si="7"/>
      </x:c>
    </x:row>
    <x:row r="21" ht="21.950000762939453" customHeight="1">
      <x:c r="A21" s="18" t="s">
        <x:v>402</x:v>
      </x:c>
      <x:c r="B21" s="18" t="str">
        <x:f t="shared" si="5"/>
      </x:c>
      <x:c r="C21" s="18" t="str">
        <x:f t="shared" si="5"/>
      </x:c>
      <x:c r="D21" s="18" t="str">
        <x:f t="shared" si="5"/>
      </x:c>
      <x:c r="E21" s="18" t="str">
        <x:f t="shared" si="5"/>
      </x:c>
      <x:c r="F21" s="18" t="str">
        <x:f t="shared" si="5"/>
      </x:c>
      <x:c r="G21" s="18" t="str">
        <x:f t="shared" si="5"/>
      </x:c>
      <x:c r="H21" s="18" t="str">
        <x:f t="shared" si="5"/>
      </x:c>
      <x:c r="I21" s="18" t="str">
        <x:f t="shared" si="5"/>
      </x:c>
      <x:c r="J21" s="18" t="str">
        <x:f t="shared" si="5"/>
      </x:c>
      <x:c r="K21" s="18" t="str">
        <x:f t="shared" si="5"/>
      </x:c>
      <x:c r="L21" s="18" t="str">
        <x:f t="shared" si="6"/>
      </x:c>
      <x:c r="M21" s="18" t="str">
        <x:f t="shared" si="6"/>
      </x:c>
      <x:c r="N21" s="18" t="str">
        <x:f t="shared" si="6"/>
      </x:c>
      <x:c r="O21" s="18" t="str">
        <x:f t="shared" si="6"/>
      </x:c>
      <x:c r="P21" s="18" t="str">
        <x:f t="shared" si="6"/>
      </x:c>
      <x:c r="Q21" s="18" t="str">
        <x:f t="shared" si="6"/>
      </x:c>
      <x:c r="R21" s="18" t="str">
        <x:f t="shared" si="6"/>
      </x:c>
      <x:c r="S21" s="18" t="str">
        <x:f t="shared" si="6"/>
      </x:c>
      <x:c r="T21" s="18" t="str">
        <x:f t="shared" si="6"/>
      </x:c>
      <x:c r="U21" s="18" t="str">
        <x:f t="shared" si="6"/>
      </x:c>
      <x:c r="V21" s="18" t="str">
        <x:f t="shared" si="7"/>
      </x:c>
      <x:c r="W21" s="18" t="str">
        <x:f t="shared" si="7"/>
      </x:c>
      <x:c r="X21" s="18" t="str">
        <x:f t="shared" si="7"/>
      </x:c>
      <x:c r="Y21" s="18" t="str">
        <x:f t="shared" si="7"/>
      </x:c>
      <x:c r="Z21" s="18" t="str">
        <x:f t="shared" si="7"/>
      </x:c>
      <x:c r="AA21" s="18" t="str">
        <x:f t="shared" si="7"/>
      </x:c>
      <x:c r="AB21" s="18" t="str">
        <x:f t="shared" si="7"/>
      </x:c>
      <x:c r="AC21" s="18" t="str">
        <x:f t="shared" si="7"/>
      </x:c>
      <x:c r="AD21" s="18" t="str">
        <x:f t="shared" si="7"/>
      </x:c>
      <x:c r="AE21" s="18" t="str">
        <x:f t="shared" si="7"/>
      </x:c>
      <x:c r="AF21" s="19" t="str">
        <x:f t="shared" si="7"/>
      </x:c>
    </x:row>
    <x:row r="22" ht="21.950000762939453" customHeight="1">
      <x:c r="A22" s="18" t="s">
        <x:v>403</x:v>
      </x:c>
      <x:c r="B22" s="18" t="str">
        <x:f t="shared" si="5"/>
      </x:c>
      <x:c r="C22" s="18" t="str">
        <x:f t="shared" si="5"/>
      </x:c>
      <x:c r="D22" s="18" t="str">
        <x:f t="shared" si="5"/>
      </x:c>
      <x:c r="E22" s="18" t="str">
        <x:f t="shared" si="5"/>
      </x:c>
      <x:c r="F22" s="18" t="str">
        <x:f t="shared" si="5"/>
      </x:c>
      <x:c r="G22" s="18" t="str">
        <x:f t="shared" si="5"/>
      </x:c>
      <x:c r="H22" s="18" t="str">
        <x:f t="shared" si="5"/>
      </x:c>
      <x:c r="I22" s="18" t="str">
        <x:f t="shared" si="5"/>
      </x:c>
      <x:c r="J22" s="18" t="str">
        <x:f t="shared" si="5"/>
      </x:c>
      <x:c r="K22" s="18" t="str">
        <x:f t="shared" si="5"/>
      </x:c>
      <x:c r="L22" s="18" t="str">
        <x:f t="shared" si="6"/>
      </x:c>
      <x:c r="M22" s="18" t="str">
        <x:f t="shared" si="6"/>
      </x:c>
      <x:c r="N22" s="18" t="str">
        <x:f t="shared" si="6"/>
      </x:c>
      <x:c r="O22" s="18" t="str">
        <x:f t="shared" si="6"/>
      </x:c>
      <x:c r="P22" s="18" t="str">
        <x:f t="shared" si="6"/>
      </x:c>
      <x:c r="Q22" s="18" t="str">
        <x:f t="shared" si="6"/>
      </x:c>
      <x:c r="R22" s="18" t="str">
        <x:f t="shared" si="6"/>
      </x:c>
      <x:c r="S22" s="18" t="str">
        <x:f t="shared" si="6"/>
      </x:c>
      <x:c r="T22" s="18" t="str">
        <x:f t="shared" si="6"/>
      </x:c>
      <x:c r="U22" s="18" t="str">
        <x:f t="shared" si="6"/>
      </x:c>
      <x:c r="V22" s="18" t="str">
        <x:f t="shared" si="7"/>
      </x:c>
      <x:c r="W22" s="18" t="str">
        <x:f t="shared" si="7"/>
      </x:c>
      <x:c r="X22" s="18" t="str">
        <x:f t="shared" si="7"/>
      </x:c>
      <x:c r="Y22" s="18" t="str">
        <x:f t="shared" si="7"/>
      </x:c>
      <x:c r="Z22" s="18" t="str">
        <x:f t="shared" si="7"/>
      </x:c>
      <x:c r="AA22" s="18" t="str">
        <x:f t="shared" si="7"/>
      </x:c>
      <x:c r="AB22" s="18" t="str">
        <x:f t="shared" si="7"/>
      </x:c>
      <x:c r="AC22" s="18" t="str">
        <x:f t="shared" si="7"/>
      </x:c>
      <x:c r="AD22" s="18" t="str">
        <x:f t="shared" si="7"/>
      </x:c>
      <x:c r="AE22" s="18" t="str">
        <x:f t="shared" si="7"/>
      </x:c>
      <x:c r="AF22" s="19" t="str">
        <x:f t="shared" si="7"/>
      </x:c>
    </x:row>
    <x:row r="23" ht="36" customHeight="1">
      <x:c r="A23" s="17" t="s">
        <x:v>404</x:v>
      </x:c>
      <x:c r="B23" s="3" t="str">
        <x:f>IF(Master!C169="","",Master!C169)</x:f>
        <x:v>2,000</x:v>
      </x:c>
      <x:c r="C23" s="3" t="str">
        <x:f>IF(Master!D169="","",Master!D169)</x:f>
      </x:c>
      <x:c r="D23" s="3" t="str">
        <x:f>IF(Master!E169="","",Master!E169)</x:f>
      </x:c>
      <x:c r="E23" s="3" t="str">
        <x:f>IF(Master!F169="","",Master!F169)</x:f>
      </x:c>
      <x:c r="F23" s="3" t="str">
        <x:f>IF(Master!G169="","",Master!G169)</x:f>
      </x:c>
      <x:c r="G23" s="3" t="str">
        <x:f>IF(Master!H169="","",Master!H169)</x:f>
        <x:v>2,000</x:v>
      </x:c>
      <x:c r="H23" s="3" t="str">
        <x:f>IF(Master!I169="","",Master!I169)</x:f>
      </x:c>
      <x:c r="I23" s="3" t="str">
        <x:f>IF(Master!J169="","",Master!J169)</x:f>
      </x:c>
      <x:c r="J23" s="3" t="str">
        <x:f>IF(Master!K169="","",Master!K169)</x:f>
      </x:c>
      <x:c r="K23" s="3" t="str">
        <x:f>IF(Master!L169="","",Master!L169)</x:f>
      </x:c>
      <x:c r="L23" s="3" t="str">
        <x:f>IF(Master!M169="","",Master!M169)</x:f>
      </x:c>
      <x:c r="M23" s="3" t="str">
        <x:f>IF(Master!N169="","",Master!N169)</x:f>
      </x:c>
      <x:c r="N23" s="3" t="str">
        <x:f>IF(Master!O169="","",Master!O169)</x:f>
      </x:c>
      <x:c r="O23" s="3" t="str">
        <x:f>IF(Master!P169="","",Master!P169)</x:f>
      </x:c>
      <x:c r="P23" s="3" t="str">
        <x:f>IF(Master!Q169="","",Master!Q169)</x:f>
      </x:c>
      <x:c r="Q23" s="3" t="str">
        <x:f>IF(Master!R169="","",Master!R169)</x:f>
      </x:c>
      <x:c r="R23" s="3" t="str">
        <x:f>IF(Master!S169="","",Master!S169)</x:f>
      </x:c>
      <x:c r="S23" s="3" t="str">
        <x:f>IF(Master!T169="","",Master!T169)</x:f>
      </x:c>
      <x:c r="T23" s="3" t="str">
        <x:f>IF(Master!U169="","",Master!U169)</x:f>
      </x:c>
      <x:c r="U23" s="3" t="str">
        <x:f>IF(Master!V169="","",Master!V169)</x:f>
        <x:v>8,000</x:v>
      </x:c>
      <x:c r="V23" s="3" t="str">
        <x:f>IF(Master!W169="","",Master!W169)</x:f>
      </x:c>
      <x:c r="W23" s="3" t="str">
        <x:f>IF(Master!X169="","",Master!X169)</x:f>
      </x:c>
      <x:c r="X23" s="3" t="str">
        <x:f>IF(Master!Y169="","",Master!Y169)</x:f>
      </x:c>
      <x:c r="Y23" s="3" t="str">
        <x:f>IF(Master!Z169="","",Master!Z169)</x:f>
      </x:c>
      <x:c r="Z23" s="3" t="str">
        <x:f>IF(Master!AA169="","",Master!AA169)</x:f>
      </x:c>
      <x:c r="AA23" s="6" t="str">
        <x:f>IF(Master!AB169="","",Master!AB169)</x:f>
      </x:c>
      <x:c r="AB23" s="3" t="str">
        <x:f>IF(Master!AC169="","",Master!AC169)</x:f>
      </x:c>
      <x:c r="AC23" s="3" t="str">
        <x:f>IF(Master!AD169="","",Master!AD169)</x:f>
      </x:c>
      <x:c r="AD23" s="3" t="str">
        <x:f>IF(Master!AE169="","",Master!AE169)</x:f>
      </x:c>
      <x:c r="AE23" s="3" t="str">
        <x:f>IF(Master!AF169="","",Master!AF169)</x:f>
      </x:c>
      <x:c r="AF23" s="8" t="str">
        <x:f>IF(Master!AG169="","",Master!AG169)</x:f>
      </x:c>
    </x:row>
    <x:row r="24" ht="36" customHeight="1">
      <x:c r="A24" s="17" t="s">
        <x:v>405</x:v>
      </x:c>
      <x:c r="B24" s="3" t="str">
        <x:f>IF(Master!C170="","",Master!C170)</x:f>
        <x:v>4,000 with Nitro</x:v>
      </x:c>
      <x:c r="C24" s="3" t="str">
        <x:f>IF(Master!D170="","",Master!D170)</x:f>
      </x:c>
      <x:c r="D24" s="3" t="str">
        <x:f>IF(Master!E170="","",Master!E170)</x:f>
      </x:c>
      <x:c r="E24" s="3" t="str">
        <x:f>IF(Master!F170="","",Master!F170)</x:f>
      </x:c>
      <x:c r="F24" s="3" t="str">
        <x:f>IF(Master!G170="","",Master!G170)</x:f>
      </x:c>
      <x:c r="G24" s="3" t="str">
        <x:f>IF(Master!H170="","",Master!H170)</x:f>
        <x:v>4,000</x:v>
      </x:c>
      <x:c r="H24" s="3" t="str">
        <x:f>IF(Master!I170="","",Master!I170)</x:f>
      </x:c>
      <x:c r="I24" s="3" t="str">
        <x:f>IF(Master!J170="","",Master!J170)</x:f>
      </x:c>
      <x:c r="J24" s="3" t="str">
        <x:f>IF(Master!K170="","",Master!K170)</x:f>
      </x:c>
      <x:c r="K24" s="3" t="str">
        <x:f>IF(Master!L170="","",Master!L170)</x:f>
      </x:c>
      <x:c r="L24" s="3" t="str">
        <x:f>IF(Master!M170="","",Master!M170)</x:f>
      </x:c>
      <x:c r="M24" s="3" t="str">
        <x:f>IF(Master!N170="","",Master!N170)</x:f>
      </x:c>
      <x:c r="N24" s="3" t="str">
        <x:f>IF(Master!O170="","",Master!O170)</x:f>
      </x:c>
      <x:c r="O24" s="3" t="str">
        <x:f>IF(Master!P170="","",Master!P170)</x:f>
      </x:c>
      <x:c r="P24" s="3" t="str">
        <x:f>IF(Master!Q170="","",Master!Q170)</x:f>
      </x:c>
      <x:c r="Q24" s="3" t="str">
        <x:f>IF(Master!R170="","",Master!R170)</x:f>
      </x:c>
      <x:c r="R24" s="3" t="str">
        <x:f>IF(Master!S170="","",Master!S170)</x:f>
      </x:c>
      <x:c r="S24" s="3" t="str">
        <x:f>IF(Master!T170="","",Master!T170)</x:f>
      </x:c>
      <x:c r="T24" s="3" t="str">
        <x:f>IF(Master!U170="","",Master!U170)</x:f>
      </x:c>
      <x:c r="U24" s="3" t="str">
        <x:f>IF(Master!V170="","",Master!V170)</x:f>
        <x:v>16,000 Rift+</x:v>
      </x:c>
      <x:c r="V24" s="3" t="str">
        <x:f>IF(Master!W170="","",Master!W170)</x:f>
      </x:c>
      <x:c r="W24" s="3" t="str">
        <x:f>IF(Master!X170="","",Master!X170)</x:f>
      </x:c>
      <x:c r="X24" s="3" t="str">
        <x:f>IF(Master!Y170="","",Master!Y170)</x:f>
      </x:c>
      <x:c r="Y24" s="3" t="str">
        <x:f>IF(Master!Z170="","",Master!Z170)</x:f>
      </x:c>
      <x:c r="Z24" s="3" t="str">
        <x:f>IF(Master!AA170="","",Master!AA170)</x:f>
      </x:c>
      <x:c r="AA24" s="6" t="str">
        <x:f>IF(Master!AB170="","",Master!AB170)</x:f>
      </x:c>
      <x:c r="AB24" s="3" t="str">
        <x:f>IF(Master!AC170="","",Master!AC170)</x:f>
      </x:c>
      <x:c r="AC24" s="3" t="str">
        <x:f>IF(Master!AD170="","",Master!AD170)</x:f>
      </x:c>
      <x:c r="AD24" s="3" t="str">
        <x:f>IF(Master!AE170="","",Master!AE170)</x:f>
      </x:c>
      <x:c r="AE24" s="3" t="str">
        <x:f>IF(Master!AF170="","",Master!AF170)</x:f>
      </x:c>
      <x:c r="AF24" s="8" t="str">
        <x:f>IF(Master!AG170="","",Master!AG170)</x:f>
      </x:c>
    </x:row>
    <x:row r="25" ht="36" customHeight="1">
      <x:c r="A25" s="17" t="s">
        <x:v>406</x:v>
      </x:c>
      <x:c r="B25" s="3" t="str">
        <x:f>IF(Master!C171="","",Master!C171)</x:f>
      </x:c>
      <x:c r="C25" s="3" t="str">
        <x:f>IF(Master!D171="","",Master!D171)</x:f>
      </x:c>
      <x:c r="D25" s="3" t="str">
        <x:f>IF(Master!E171="","",Master!E171)</x:f>
      </x:c>
      <x:c r="E25" s="3" t="str">
        <x:f>IF(Master!F171="","",Master!F171)</x:f>
      </x:c>
      <x:c r="F25" s="3" t="str">
        <x:f>IF(Master!G171="","",Master!G171)</x:f>
      </x:c>
      <x:c r="G25" s="3" t="str">
        <x:f>IF(Master!H171="","",Master!H171)</x:f>
      </x:c>
      <x:c r="H25" s="3" t="str">
        <x:f>IF(Master!I171="","",Master!I171)</x:f>
      </x:c>
      <x:c r="I25" s="3" t="str">
        <x:f>IF(Master!J171="","",Master!J171)</x:f>
      </x:c>
      <x:c r="J25" s="3" t="str">
        <x:f>IF(Master!K171="","",Master!K171)</x:f>
      </x:c>
      <x:c r="K25" s="3" t="str">
        <x:f>IF(Master!L171="","",Master!L171)</x:f>
      </x:c>
      <x:c r="L25" s="3" t="str">
        <x:f>IF(Master!M171="","",Master!M171)</x:f>
      </x:c>
      <x:c r="M25" s="3" t="str">
        <x:f>IF(Master!N171="","",Master!N171)</x:f>
      </x:c>
      <x:c r="N25" s="3" t="str">
        <x:f>IF(Master!O171="","",Master!O171)</x:f>
      </x:c>
      <x:c r="O25" s="3" t="str">
        <x:f>IF(Master!P171="","",Master!P171)</x:f>
      </x:c>
      <x:c r="P25" s="3" t="str">
        <x:f>IF(Master!Q171="","",Master!Q171)</x:f>
        <x:v>10</x:v>
      </x:c>
      <x:c r="Q25" s="3" t="str">
        <x:f>IF(Master!R171="","",Master!R171)</x:f>
      </x:c>
      <x:c r="R25" s="3" t="str">
        <x:f>IF(Master!S171="","",Master!S171)</x:f>
      </x:c>
      <x:c r="S25" s="3" t="str">
        <x:f>IF(Master!T171="","",Master!T171)</x:f>
      </x:c>
      <x:c r="T25" s="3" t="str">
        <x:f>IF(Master!U171="","",Master!U171)</x:f>
      </x:c>
      <x:c r="U25" s="3" t="str">
        <x:f>IF(Master!V171="","",Master!V171)</x:f>
      </x:c>
      <x:c r="V25" s="3" t="str">
        <x:f>IF(Master!W171="","",Master!W171)</x:f>
      </x:c>
      <x:c r="W25" s="3" t="str">
        <x:f>IF(Master!X171="","",Master!X171)</x:f>
      </x:c>
      <x:c r="X25" s="3" t="str">
        <x:f>IF(Master!Y171="","",Master!Y171)</x:f>
      </x:c>
      <x:c r="Y25" s="3" t="str">
        <x:f>IF(Master!Z171="","",Master!Z171)</x:f>
      </x:c>
      <x:c r="Z25" s="3" t="str">
        <x:f>IF(Master!AA171="","",Master!AA171)</x:f>
      </x:c>
      <x:c r="AA25" s="6" t="str">
        <x:f>IF(Master!AB171="","",Master!AB171)</x:f>
      </x:c>
      <x:c r="AB25" s="3" t="str">
        <x:f>IF(Master!AC171="","",Master!AC171)</x:f>
      </x:c>
      <x:c r="AC25" s="3" t="str">
        <x:f>IF(Master!AD171="","",Master!AD171)</x:f>
      </x:c>
      <x:c r="AD25" s="3" t="str">
        <x:f>IF(Master!AE171="","",Master!AE171)</x:f>
      </x:c>
      <x:c r="AE25" s="3" t="str">
        <x:f>IF(Master!AF171="","",Master!AF171)</x:f>
      </x:c>
      <x:c r="AF25" s="8" t="str">
        <x:f>IF(Master!AG171="","",Master!AG171)</x:f>
      </x:c>
    </x:row>
    <x:row r="26" ht="36" customHeight="1">
      <x:c r="A26" s="17" t="s">
        <x:v>407</x:v>
      </x:c>
      <x:c r="B26" s="3" t="str">
        <x:f>IF(Master!C258="","",Master!C258)</x:f>
        <x:v>25 when video active in server voice</x:v>
      </x:c>
      <x:c r="C26" s="3" t="str">
        <x:f>IF(Master!D258="","",Master!D258)</x:f>
      </x:c>
      <x:c r="D26" s="3" t="str">
        <x:f>IF(Master!E258="","",Master!E258)</x:f>
      </x:c>
      <x:c r="E26" s="3" t="str">
        <x:f>IF(Master!F258="","",Master!F258)</x:f>
      </x:c>
      <x:c r="F26" s="3" t="str">
        <x:f>IF(Master!G258="","",Master!G258)</x:f>
      </x:c>
      <x:c r="G26" s="3" t="str">
        <x:f>IF(Master!H258="","",Master!H258)</x:f>
      </x:c>
      <x:c r="H26" s="3" t="str">
        <x:f>IF(Master!I258="","",Master!I258)</x:f>
      </x:c>
      <x:c r="I26" s="3" t="str">
        <x:f>IF(Master!J258="","",Master!J258)</x:f>
      </x:c>
      <x:c r="J26" s="3" t="str">
        <x:f>IF(Master!K258="","",Master!K258)</x:f>
        <x:v>No</x:v>
      </x:c>
      <x:c r="K26" s="3" t="str">
        <x:f>IF(Master!L258="","",Master!L258)</x:f>
        <x:v>Not documented</x:v>
      </x:c>
      <x:c r="L26" s="3" t="str">
        <x:f>IF(Master!M258="","",Master!M258)</x:f>
      </x:c>
      <x:c r="M26" s="3" t="str">
        <x:f>IF(Master!N258="","",Master!N258)</x:f>
      </x:c>
      <x:c r="N26" s="3" t="str">
        <x:f>IF(Master!O258="","",Master!O258)</x:f>
        <x:v>Client-dependent</x:v>
      </x:c>
      <x:c r="O26" s="3" t="str">
        <x:f>IF(Master!P258="","",Master!P258)</x:f>
        <x:v>Yes</x:v>
      </x:c>
      <x:c r="P26" s="3" t="str">
        <x:f>IF(Master!Q258="","",Master!Q258)</x:f>
      </x:c>
      <x:c r="Q26" s="3" t="str">
        <x:f>IF(Master!R258="","",Master!R258)</x:f>
        <x:v>No</x:v>
      </x:c>
      <x:c r="R26" s="3" t="str">
        <x:f>IF(Master!S258="","",Master!S258)</x:f>
      </x:c>
      <x:c r="S26" s="3" t="str">
        <x:f>IF(Master!T258="","",Master!T258)</x:f>
      </x:c>
      <x:c r="T26" s="3" t="str">
        <x:f>IF(Master!U258="","",Master!U258)</x:f>
      </x:c>
      <x:c r="U26" s="3" t="str">
        <x:f>IF(Master!V258="","",Master!V258)</x:f>
      </x:c>
      <x:c r="V26" s="3" t="str">
        <x:f>IF(Master!W258="","",Master!W258)</x:f>
        <x:v>Provider-dependent</x:v>
      </x:c>
      <x:c r="W26" s="3" t="str">
        <x:f>IF(Master!X258="","",Master!X258)</x:f>
        <x:v>N/A</x:v>
      </x:c>
      <x:c r="X26" s="3" t="str">
        <x:f>IF(Master!Y258="","",Master!Y258)</x:f>
      </x:c>
      <x:c r="Y26" s="3" t="str">
        <x:f>IF(Master!Z258="","",Master!Z258)</x:f>
      </x:c>
      <x:c r="Z26" s="3" t="str">
        <x:f>IF(Master!AA258="","",Master!AA258)</x:f>
        <x:v>No stated camera-per-call limit</x:v>
      </x:c>
      <x:c r="AA26" s="6" t="str">
        <x:f>IF(Master!AB258="","",Master!AB258)</x:f>
      </x:c>
      <x:c r="AB26" s="3" t="str">
        <x:f>IF(Master!AC258="","",Master!AC258)</x:f>
      </x:c>
      <x:c r="AC26" s="3" t="str">
        <x:f>IF(Master!AD258="","",Master!AD258)</x:f>
      </x:c>
      <x:c r="AD26" s="3" t="str">
        <x:f>IF(Master!AE258="","",Master!AE258)</x:f>
      </x:c>
      <x:c r="AE26" s="3" t="str">
        <x:f>IF(Master!AF258="","",Master!AF258)</x:f>
        <x:v>No</x:v>
      </x:c>
      <x:c r="AF26" s="8" t="str">
        <x:f>IF(Master!AG258="","",Master!AG258)</x:f>
        <x:v>Provider-dependent</x:v>
      </x:c>
    </x:row>
    <x:row r="27" ht="36" customHeight="1">
      <x:c r="A27" s="17" t="s">
        <x:v>408</x:v>
      </x:c>
      <x:c r="B27" s="3" t="str">
        <x:f>IF(Master!C172="","",Master!C172)</x:f>
      </x:c>
      <x:c r="C27" s="3" t="str">
        <x:f>IF(Master!D172="","",Master!D172)</x:f>
      </x:c>
      <x:c r="D27" s="3" t="str">
        <x:f>IF(Master!E172="","",Master!E172)</x:f>
      </x:c>
      <x:c r="E27" s="3" t="str">
        <x:f>IF(Master!F172="","",Master!F172)</x:f>
      </x:c>
      <x:c r="F27" s="3" t="str">
        <x:f>IF(Master!G172="","",Master!G172)</x:f>
      </x:c>
      <x:c r="G27" s="3" t="str">
        <x:f>IF(Master!H172="","",Master!H172)</x:f>
      </x:c>
      <x:c r="H27" s="3" t="str">
        <x:f>IF(Master!I172="","",Master!I172)</x:f>
      </x:c>
      <x:c r="I27" s="3" t="str">
        <x:f>IF(Master!J172="","",Master!J172)</x:f>
      </x:c>
      <x:c r="J27" s="3" t="str">
        <x:f>IF(Master!K172="","",Master!K172)</x:f>
      </x:c>
      <x:c r="K27" s="3" t="str">
        <x:f>IF(Master!L172="","",Master!L172)</x:f>
        <x:v>Not documented</x:v>
      </x:c>
      <x:c r="L27" s="3" t="str">
        <x:f>IF(Master!M172="","",Master!M172)</x:f>
      </x:c>
      <x:c r="M27" s="3" t="str">
        <x:f>IF(Master!N172="","",Master!N172)</x:f>
      </x:c>
      <x:c r="N27" s="3" t="str">
        <x:f>IF(Master!O172="","",Master!O172)</x:f>
      </x:c>
      <x:c r="O27" s="3" t="str">
        <x:f>IF(Master!P172="","",Master!P172)</x:f>
      </x:c>
      <x:c r="P27" s="3" t="str">
        <x:f>IF(Master!Q172="","",Master!Q172)</x:f>
      </x:c>
      <x:c r="Q27" s="3" t="str">
        <x:f>IF(Master!R172="","",Master!R172)</x:f>
      </x:c>
      <x:c r="R27" s="3" t="str">
        <x:f>IF(Master!S172="","",Master!S172)</x:f>
      </x:c>
      <x:c r="S27" s="3" t="str">
        <x:f>IF(Master!T172="","",Master!T172)</x:f>
      </x:c>
      <x:c r="T27" s="3" t="str">
        <x:f>IF(Master!U172="","",Master!U172)</x:f>
        <x:v>2 presenters in smaller rooms; 4 in big rooms</x:v>
      </x:c>
      <x:c r="U27" s="3" t="str">
        <x:f>IF(Master!V172="","",Master!V172)</x:f>
      </x:c>
      <x:c r="V27" s="3" t="str">
        <x:f>IF(Master!W172="","",Master!W172)</x:f>
      </x:c>
      <x:c r="W27" s="3" t="str">
        <x:f>IF(Master!X172="","",Master!X172)</x:f>
      </x:c>
      <x:c r="X27" s="3" t="str">
        <x:f>IF(Master!Y172="","",Master!Y172)</x:f>
      </x:c>
      <x:c r="Y27" s="3" t="str">
        <x:f>IF(Master!Z172="","",Master!Z172)</x:f>
      </x:c>
      <x:c r="Z27" s="3" t="str">
        <x:f>IF(Master!AA172="","",Master!AA172)</x:f>
      </x:c>
      <x:c r="AA27" s="6" t="str">
        <x:f>IF(Master!AB172="","",Master!AB172)</x:f>
      </x:c>
      <x:c r="AB27" s="3" t="str">
        <x:f>IF(Master!AC172="","",Master!AC172)</x:f>
      </x:c>
      <x:c r="AC27" s="3" t="str">
        <x:f>IF(Master!AD172="","",Master!AD172)</x:f>
      </x:c>
      <x:c r="AD27" s="3" t="str">
        <x:f>IF(Master!AE172="","",Master!AE172)</x:f>
      </x:c>
      <x:c r="AE27" s="3" t="str">
        <x:f>IF(Master!AF172="","",Master!AF172)</x:f>
      </x:c>
      <x:c r="AF27" s="8" t="str">
        <x:f>IF(Master!AG172="","",Master!AG172)</x:f>
      </x:c>
    </x:row>
    <x:row r="28" ht="21.950000762939453" customHeight="1">
      <x:c r="A28" s="18" t="s">
        <x:v>409</x:v>
      </x:c>
      <x:c r="B28" s="18" t="str">
        <x:f t="shared" ref="B28:AF28" si="8">IF(""="","","")</x:f>
      </x:c>
      <x:c r="C28" s="18" t="str">
        <x:f t="shared" si="8"/>
      </x:c>
      <x:c r="D28" s="18" t="str">
        <x:f t="shared" si="8"/>
      </x:c>
      <x:c r="E28" s="18" t="str">
        <x:f t="shared" si="8"/>
      </x:c>
      <x:c r="F28" s="18" t="str">
        <x:f t="shared" si="8"/>
      </x:c>
      <x:c r="G28" s="18" t="str">
        <x:f t="shared" si="8"/>
      </x:c>
      <x:c r="H28" s="18" t="str">
        <x:f t="shared" si="8"/>
      </x:c>
      <x:c r="I28" s="18" t="str">
        <x:f t="shared" si="8"/>
      </x:c>
      <x:c r="J28" s="18" t="str">
        <x:f t="shared" si="8"/>
      </x:c>
      <x:c r="K28" s="18" t="str">
        <x:f t="shared" si="8"/>
      </x:c>
      <x:c r="L28" s="18" t="str">
        <x:f t="shared" si="8"/>
      </x:c>
      <x:c r="M28" s="18" t="str">
        <x:f t="shared" si="8"/>
      </x:c>
      <x:c r="N28" s="18" t="str">
        <x:f t="shared" si="8"/>
      </x:c>
      <x:c r="O28" s="18" t="str">
        <x:f t="shared" si="8"/>
      </x:c>
      <x:c r="P28" s="18" t="str">
        <x:f t="shared" si="8"/>
      </x:c>
      <x:c r="Q28" s="18" t="str">
        <x:f t="shared" si="8"/>
      </x:c>
      <x:c r="R28" s="18" t="str">
        <x:f t="shared" si="8"/>
      </x:c>
      <x:c r="S28" s="18" t="str">
        <x:f t="shared" si="8"/>
      </x:c>
      <x:c r="T28" s="18" t="str">
        <x:f t="shared" si="8"/>
      </x:c>
      <x:c r="U28" s="18" t="str">
        <x:f t="shared" si="8"/>
      </x:c>
      <x:c r="V28" s="18" t="str">
        <x:f t="shared" si="8"/>
      </x:c>
      <x:c r="W28" s="18" t="str">
        <x:f t="shared" si="8"/>
      </x:c>
      <x:c r="X28" s="18" t="str">
        <x:f t="shared" si="8"/>
      </x:c>
      <x:c r="Y28" s="18" t="str">
        <x:f t="shared" si="8"/>
      </x:c>
      <x:c r="Z28" s="18" t="str">
        <x:f t="shared" si="8"/>
      </x:c>
      <x:c r="AA28" s="18" t="str">
        <x:f t="shared" si="8"/>
      </x:c>
      <x:c r="AB28" s="18" t="str">
        <x:f t="shared" si="8"/>
      </x:c>
      <x:c r="AC28" s="18" t="str">
        <x:f t="shared" si="8"/>
      </x:c>
      <x:c r="AD28" s="18" t="str">
        <x:f t="shared" si="8"/>
      </x:c>
      <x:c r="AE28" s="18" t="str">
        <x:f t="shared" si="8"/>
      </x:c>
      <x:c r="AF28" s="19" t="str">
        <x:f t="shared" si="8"/>
      </x:c>
    </x:row>
    <x:row r="29" ht="23.100000381469727" customHeight="1">
      <x:c r="A29" s="17" t="s">
        <x:v>410</x:v>
      </x:c>
      <x:c r="B29" s="4" t="str">
        <x:f>IF(Master!C173="","",Master!C173)</x:f>
      </x:c>
      <x:c r="C29" s="4" t="str">
        <x:f>IF(Master!D173="","",Master!D173)</x:f>
      </x:c>
      <x:c r="D29" s="4" t="str">
        <x:f>IF(Master!E173="","",Master!E173)</x:f>
      </x:c>
      <x:c r="E29" s="4" t="str">
        <x:f>IF(Master!F173="","",Master!F173)</x:f>
      </x:c>
      <x:c r="F29" s="4" t="str">
        <x:f>IF(Master!G173="","",Master!G173)</x:f>
      </x:c>
      <x:c r="G29" s="4" t="str">
        <x:f>IF(Master!H173="","",Master!H173)</x:f>
      </x:c>
      <x:c r="H29" s="4" t="str">
        <x:f>IF(Master!I173="","",Master!I173)</x:f>
      </x:c>
      <x:c r="I29" s="4" t="str">
        <x:f>IF(Master!J173="","",Master!J173)</x:f>
      </x:c>
      <x:c r="J29" s="4" t="str">
        <x:f>IF(Master!K173="","",Master!K173)</x:f>
      </x:c>
      <x:c r="K29" s="4" t="str">
        <x:f>IF(Master!L173="","",Master!L173)</x:f>
        <x:v>Guild install cap not located; developer teams may own up to 75 active applications</x:v>
      </x:c>
      <x:c r="L29" s="4" t="str">
        <x:f>IF(Master!M173="","",Master!M173)</x:f>
      </x:c>
      <x:c r="M29" s="4" t="str">
        <x:f>IF(Master!N173="","",Master!N173)</x:f>
      </x:c>
      <x:c r="N29" s="4" t="str">
        <x:f>IF(Master!O173="","",Master!O173)</x:f>
      </x:c>
      <x:c r="O29" s="4" t="str">
        <x:f>IF(Master!P173="","",Master!P173)</x:f>
      </x:c>
      <x:c r="P29" s="4" t="str">
        <x:f>IF(Master!Q173="","",Master!Q173)</x:f>
      </x:c>
      <x:c r="Q29" s="4" t="str">
        <x:f>IF(Master!R173="","",Master!R173)</x:f>
      </x:c>
      <x:c r="R29" s="4" t="str">
        <x:f>IF(Master!S173="","",Master!S173)</x:f>
      </x:c>
      <x:c r="S29" s="4" t="str">
        <x:f>IF(Master!T173="","",Master!T173)</x:f>
      </x:c>
      <x:c r="T29" s="4" t="str">
        <x:f>IF(Master!U173="","",Master!U173)</x:f>
      </x:c>
      <x:c r="U29" s="4" t="str">
        <x:f>IF(Master!V173="","",Master!V173)</x:f>
        <x:v>N/A</x:v>
      </x:c>
      <x:c r="V29" s="4" t="str">
        <x:f>IF(Master!W173="","",Master!W173)</x:f>
      </x:c>
      <x:c r="W29" s="4" t="str">
        <x:f>IF(Master!X173="","",Master!X173)</x:f>
      </x:c>
      <x:c r="X29" s="4" t="str">
        <x:f>IF(Master!Y173="","",Master!Y173)</x:f>
      </x:c>
      <x:c r="Y29" s="4" t="str">
        <x:f>IF(Master!Z173="","",Master!Z173)</x:f>
      </x:c>
      <x:c r="Z29" s="4" t="str">
        <x:f>IF(Master!AA173="","",Master!AA173)</x:f>
      </x:c>
      <x:c r="AA29" s="5" t="str">
        <x:f>IF(Master!AB173="","",Master!AB173)</x:f>
      </x:c>
      <x:c r="AB29" s="4" t="str">
        <x:f>IF(Master!AC173="","",Master!AC173)</x:f>
      </x:c>
      <x:c r="AC29" s="4" t="str">
        <x:f>IF(Master!AD173="","",Master!AD173)</x:f>
      </x:c>
      <x:c r="AD29" s="4" t="str">
        <x:f>IF(Master!AE173="","",Master!AE173)</x:f>
      </x:c>
      <x:c r="AE29" s="4" t="str">
        <x:f>IF(Master!AF173="","",Master!AF173)</x:f>
      </x:c>
      <x:c r="AF29" s="8" t="str">
        <x:f>IF(Master!AG173="","",Master!AG173)</x:f>
      </x:c>
    </x:row>
    <x:row r="30" ht="36" customHeight="1">
      <x:c r="A30" s="17" t="s">
        <x:v>411</x:v>
      </x:c>
      <x:c r="B30" s="3" t="str">
        <x:f>IF(Master!C174="","",Master!C174)</x:f>
      </x:c>
      <x:c r="C30" s="3" t="str">
        <x:f>IF(Master!D174="","",Master!D174)</x:f>
      </x:c>
      <x:c r="D30" s="3" t="str">
        <x:f>IF(Master!E174="","",Master!E174)</x:f>
      </x:c>
      <x:c r="E30" s="3" t="str">
        <x:f>IF(Master!F174="","",Master!F174)</x:f>
      </x:c>
      <x:c r="F30" s="3" t="str">
        <x:f>IF(Master!G174="","",Master!G174)</x:f>
      </x:c>
      <x:c r="G30" s="3" t="str">
        <x:f>IF(Master!H174="","",Master!H174)</x:f>
      </x:c>
      <x:c r="H30" s="3" t="str">
        <x:f>IF(Master!I174="","",Master!I174)</x:f>
      </x:c>
      <x:c r="I30" s="3" t="str">
        <x:f>IF(Master!J174="","",Master!J174)</x:f>
      </x:c>
      <x:c r="J30" s="3" t="str">
        <x:f>IF(Master!K174="","",Master!K174)</x:f>
      </x:c>
      <x:c r="K30" s="3" t="str">
        <x:f>IF(Master!L174="","",Master!L174)</x:f>
        <x:v>Not located</x:v>
      </x:c>
      <x:c r="L30" s="3" t="str">
        <x:f>IF(Master!M174="","",Master!M174)</x:f>
      </x:c>
      <x:c r="M30" s="3" t="str">
        <x:f>IF(Master!N174="","",Master!N174)</x:f>
      </x:c>
      <x:c r="N30" s="3" t="str">
        <x:f>IF(Master!O174="","",Master!O174)</x:f>
      </x:c>
      <x:c r="O30" s="3" t="str">
        <x:f>IF(Master!P174="","",Master!P174)</x:f>
      </x:c>
      <x:c r="P30" s="3" t="str">
        <x:f>IF(Master!Q174="","",Master!Q174)</x:f>
      </x:c>
      <x:c r="Q30" s="3" t="str">
        <x:f>IF(Master!R174="","",Master!R174)</x:f>
      </x:c>
      <x:c r="R30" s="3" t="str">
        <x:f>IF(Master!S174="","",Master!S174)</x:f>
      </x:c>
      <x:c r="S30" s="3" t="str">
        <x:f>IF(Master!T174="","",Master!T174)</x:f>
      </x:c>
      <x:c r="T30" s="3" t="str">
        <x:f>IF(Master!U174="","",Master!U174)</x:f>
        <x:v>No public hard limit claimed</x:v>
      </x:c>
      <x:c r="U30" s="3" t="str">
        <x:f>IF(Master!V174="","",Master!V174)</x:f>
        <x:v>5 free / 15 Ember / 30 Forge</x:v>
      </x:c>
      <x:c r="V30" s="3" t="str">
        <x:f>IF(Master!W174="","",Master!W174)</x:f>
      </x:c>
      <x:c r="W30" s="3" t="str">
        <x:f>IF(Master!X174="","",Master!X174)</x:f>
      </x:c>
      <x:c r="X30" s="3" t="str">
        <x:f>IF(Master!Y174="","",Master!Y174)</x:f>
      </x:c>
      <x:c r="Y30" s="3" t="str">
        <x:f>IF(Master!Z174="","",Master!Z174)</x:f>
      </x:c>
      <x:c r="Z30" s="3" t="str">
        <x:f>IF(Master!AA174="","",Master!AA174)</x:f>
      </x:c>
      <x:c r="AA30" s="6" t="str">
        <x:f>IF(Master!AB174="","",Master!AB174)</x:f>
      </x:c>
      <x:c r="AB30" s="3" t="str">
        <x:f>IF(Master!AC174="","",Master!AC174)</x:f>
      </x:c>
      <x:c r="AC30" s="3" t="str">
        <x:f>IF(Master!AD174="","",Master!AD174)</x:f>
      </x:c>
      <x:c r="AD30" s="3" t="str">
        <x:f>IF(Master!AE174="","",Master!AE174)</x:f>
      </x:c>
      <x:c r="AE30" s="3" t="str">
        <x:f>IF(Master!AF174="","",Master!AF174)</x:f>
      </x:c>
      <x:c r="AF30" s="8" t="str">
        <x:f>IF(Master!AG174="","",Master!AG174)</x:f>
      </x:c>
    </x:row>
    <x:row r="31" ht="36" customHeight="1">
      <x:c r="A31" s="17" t="s">
        <x:v>412</x:v>
      </x:c>
      <x:c r="B31" s="3" t="str">
        <x:f>IF(Master!C175="","",Master!C175)</x:f>
      </x:c>
      <x:c r="C31" s="3" t="str">
        <x:f>IF(Master!D175="","",Master!D175)</x:f>
      </x:c>
      <x:c r="D31" s="3" t="str">
        <x:f>IF(Master!E175="","",Master!E175)</x:f>
      </x:c>
      <x:c r="E31" s="3" t="str">
        <x:f>IF(Master!F175="","",Master!F175)</x:f>
      </x:c>
      <x:c r="F31" s="3" t="str">
        <x:f>IF(Master!G175="","",Master!G175)</x:f>
      </x:c>
      <x:c r="G31" s="3" t="str">
        <x:f>IF(Master!H175="","",Master!H175)</x:f>
      </x:c>
      <x:c r="H31" s="3" t="str">
        <x:f>IF(Master!I175="","",Master!I175)</x:f>
      </x:c>
      <x:c r="I31" s="3" t="str">
        <x:f>IF(Master!J175="","",Master!J175)</x:f>
      </x:c>
      <x:c r="J31" s="3" t="str">
        <x:f>IF(Master!K175="","",Master!K175)</x:f>
      </x:c>
      <x:c r="K31" s="3" t="str">
        <x:f>IF(Master!L175="","",Master!L175)</x:f>
        <x:v>0: feature not documented</x:v>
      </x:c>
      <x:c r="L31" s="3" t="str">
        <x:f>IF(Master!M175="","",Master!M175)</x:f>
      </x:c>
      <x:c r="M31" s="3" t="str">
        <x:f>IF(Master!N175="","",Master!N175)</x:f>
      </x:c>
      <x:c r="N31" s="3" t="str">
        <x:f>IF(Master!O175="","",Master!O175)</x:f>
      </x:c>
      <x:c r="O31" s="3" t="str">
        <x:f>IF(Master!P175="","",Master!P175)</x:f>
      </x:c>
      <x:c r="P31" s="3" t="str">
        <x:f>IF(Master!Q175="","",Master!Q175)</x:f>
      </x:c>
      <x:c r="Q31" s="3" t="str">
        <x:f>IF(Master!R175="","",Master!R175)</x:f>
      </x:c>
      <x:c r="R31" s="3" t="str">
        <x:f>IF(Master!S175="","",Master!S175)</x:f>
      </x:c>
      <x:c r="S31" s="3" t="str">
        <x:f>IF(Master!T175="","",Master!T175)</x:f>
      </x:c>
      <x:c r="T31" s="3" t="str">
        <x:f>IF(Master!U175="","",Master!U175)</x:f>
      </x:c>
      <x:c r="U31" s="3" t="str">
        <x:f>IF(Master!V175="","",Master!V175)</x:f>
        <x:v>2 free / 8 Rift+</x:v>
      </x:c>
      <x:c r="V31" s="3" t="str">
        <x:f>IF(Master!W175="","",Master!W175)</x:f>
      </x:c>
      <x:c r="W31" s="3" t="str">
        <x:f>IF(Master!X175="","",Master!X175)</x:f>
      </x:c>
      <x:c r="X31" s="3" t="str">
        <x:f>IF(Master!Y175="","",Master!Y175)</x:f>
      </x:c>
      <x:c r="Y31" s="3" t="str">
        <x:f>IF(Master!Z175="","",Master!Z175)</x:f>
      </x:c>
      <x:c r="Z31" s="3" t="str">
        <x:f>IF(Master!AA175="","",Master!AA175)</x:f>
      </x:c>
      <x:c r="AA31" s="6" t="str">
        <x:f>IF(Master!AB175="","",Master!AB175)</x:f>
      </x:c>
      <x:c r="AB31" s="3" t="str">
        <x:f>IF(Master!AC175="","",Master!AC175)</x:f>
      </x:c>
      <x:c r="AC31" s="3" t="str">
        <x:f>IF(Master!AD175="","",Master!AD175)</x:f>
      </x:c>
      <x:c r="AD31" s="3" t="str">
        <x:f>IF(Master!AE175="","",Master!AE175)</x:f>
      </x:c>
      <x:c r="AE31" s="3" t="str">
        <x:f>IF(Master!AF175="","",Master!AF175)</x:f>
      </x:c>
      <x:c r="AF31" s="8" t="str">
        <x:f>IF(Master!AG175="","",Master!AG175)</x:f>
      </x:c>
    </x:row>
    <x:row r="32" ht="21.950000762939453" customHeight="1">
      <x:c r="A32" s="18" t="s">
        <x:v>413</x:v>
      </x:c>
      <x:c r="B32" s="18" t="str">
        <x:f t="shared" ref="B32:AF32" si="9">IF(""="","","")</x:f>
      </x:c>
      <x:c r="C32" s="18" t="str">
        <x:f t="shared" si="9"/>
      </x:c>
      <x:c r="D32" s="18" t="str">
        <x:f t="shared" si="9"/>
      </x:c>
      <x:c r="E32" s="18" t="str">
        <x:f t="shared" si="9"/>
      </x:c>
      <x:c r="F32" s="18" t="str">
        <x:f t="shared" si="9"/>
      </x:c>
      <x:c r="G32" s="18" t="str">
        <x:f t="shared" si="9"/>
      </x:c>
      <x:c r="H32" s="18" t="str">
        <x:f t="shared" si="9"/>
      </x:c>
      <x:c r="I32" s="18" t="str">
        <x:f t="shared" si="9"/>
      </x:c>
      <x:c r="J32" s="18" t="str">
        <x:f t="shared" si="9"/>
      </x:c>
      <x:c r="K32" s="18" t="str">
        <x:f t="shared" si="9"/>
      </x:c>
      <x:c r="L32" s="18" t="str">
        <x:f t="shared" si="9"/>
      </x:c>
      <x:c r="M32" s="18" t="str">
        <x:f t="shared" si="9"/>
      </x:c>
      <x:c r="N32" s="18" t="str">
        <x:f t="shared" si="9"/>
      </x:c>
      <x:c r="O32" s="18" t="str">
        <x:f t="shared" si="9"/>
      </x:c>
      <x:c r="P32" s="18" t="str">
        <x:f t="shared" si="9"/>
      </x:c>
      <x:c r="Q32" s="18" t="str">
        <x:f t="shared" si="9"/>
      </x:c>
      <x:c r="R32" s="18" t="str">
        <x:f t="shared" si="9"/>
      </x:c>
      <x:c r="S32" s="18" t="str">
        <x:f t="shared" si="9"/>
      </x:c>
      <x:c r="T32" s="18" t="str">
        <x:f t="shared" si="9"/>
      </x:c>
      <x:c r="U32" s="18" t="str">
        <x:f t="shared" si="9"/>
      </x:c>
      <x:c r="V32" s="18" t="str">
        <x:f t="shared" si="9"/>
      </x:c>
      <x:c r="W32" s="18" t="str">
        <x:f t="shared" si="9"/>
      </x:c>
      <x:c r="X32" s="18" t="str">
        <x:f t="shared" si="9"/>
      </x:c>
      <x:c r="Y32" s="18" t="str">
        <x:f t="shared" si="9"/>
      </x:c>
      <x:c r="Z32" s="18" t="str">
        <x:f t="shared" si="9"/>
      </x:c>
      <x:c r="AA32" s="18" t="str">
        <x:f t="shared" si="9"/>
      </x:c>
      <x:c r="AB32" s="18" t="str">
        <x:f t="shared" si="9"/>
      </x:c>
      <x:c r="AC32" s="18" t="str">
        <x:f t="shared" si="9"/>
      </x:c>
      <x:c r="AD32" s="18" t="str">
        <x:f t="shared" si="9"/>
      </x:c>
      <x:c r="AE32" s="18" t="str">
        <x:f t="shared" si="9"/>
      </x:c>
      <x:c r="AF32" s="19" t="str">
        <x:f t="shared" si="9"/>
      </x:c>
    </x:row>
    <x:row r="33" ht="36" customHeight="1">
      <x:c r="A33" s="17" t="s">
        <x:v>414</x:v>
      </x:c>
      <x:c r="B33" s="3" t="str">
        <x:f>IF(Master!C176="","",Master!C176)</x:f>
        <x:v>https://support.discord.com/hc/en-us/articles/115000435108-What-are-Nitro-Nitro-Basic</x:v>
      </x:c>
      <x:c r="C33" s="3" t="str">
        <x:f>IF(Master!D176="","",Master!D176)</x:f>
      </x:c>
      <x:c r="D33" s="3" t="str">
        <x:f>IF(Master!E176="","",Master!E176)</x:f>
      </x:c>
      <x:c r="E33" s="3" t="str">
        <x:f>IF(Master!F176="","",Master!F176)</x:f>
      </x:c>
      <x:c r="F33" s="3" t="str">
        <x:f>IF(Master!G176="","",Master!G176)</x:f>
      </x:c>
      <x:c r="G33" s="3" t="str">
        <x:f>IF(Master!H176="","",Master!H176)</x:f>
        <x:v>https://fluxer.app/plutonium</x:v>
      </x:c>
      <x:c r="H33" s="3" t="str">
        <x:f>IF(Master!I176="","",Master!I176)</x:f>
        <x:v>https://gamevox.com/blog/gamevox-vs-discord/</x:v>
      </x:c>
      <x:c r="I33" s="3" t="str">
        <x:f>IF(Master!J176="","",Master!J176)</x:f>
      </x:c>
      <x:c r="J33" s="3" t="str">
        <x:f>IF(Master!K176="","",Master!K176)</x:f>
      </x:c>
      <x:c r="K33" s="3" t="str">
        <x:f>IF(Master!L176="","",Master!L176)</x:f>
        <x:v>https://kaede.chat/ | https://github.com/CookieNom/KaedeChat</x:v>
      </x:c>
      <x:c r="L33" s="3" t="str">
        <x:f>IF(Master!M176="","",Master!M176)</x:f>
      </x:c>
      <x:c r="M33" s="3" t="str">
        <x:f>IF(Master!N176="","",Master!N176)</x:f>
      </x:c>
      <x:c r="N33" s="3" t="str">
        <x:f>IF(Master!O176="","",Master!O176)</x:f>
      </x:c>
      <x:c r="O33" s="3" t="str">
        <x:f>IF(Master!P176="","",Master!P176)</x:f>
      </x:c>
      <x:c r="P33" s="3" t="str">
        <x:f>IF(Master!Q176="","",Master!Q176)</x:f>
        <x:v>https://mezon.ai/docs/user/resources/FAQ/</x:v>
      </x:c>
      <x:c r="Q33" s="3" t="str">
        <x:f>IF(Master!R176="","",Master!R176)</x:f>
      </x:c>
      <x:c r="R33" s="3" t="str">
        <x:f>IF(Master!S176="","",Master!S176)</x:f>
      </x:c>
      <x:c r="S33" s="3" t="str">
        <x:f>IF(Master!T176="","",Master!T176)</x:f>
      </x:c>
      <x:c r="T33" s="3" t="str">
        <x:f>IF(Master!U176="","",Master!U176)</x:f>
      </x:c>
      <x:c r="U33" s="3" t="str">
        <x:f>IF(Master!V176="","",Master!V176)</x:f>
        <x:v>https://therift.chat/de/plans/</x:v>
      </x:c>
      <x:c r="V33" s="3" t="str">
        <x:f>IF(Master!W176="","",Master!W176)</x:f>
      </x:c>
      <x:c r="W33" s="3" t="str">
        <x:f>IF(Master!X176="","",Master!X176)</x:f>
      </x:c>
      <x:c r="X33" s="3" t="str">
        <x:f>IF(Master!Y176="","",Master!Y176)</x:f>
      </x:c>
      <x:c r="Y33" s="3" t="str">
        <x:f>IF(Master!Z176="","",Master!Z176)</x:f>
      </x:c>
      <x:c r="Z33" s="3" t="str">
        <x:f>IF(Master!AA176="","",Master!AA176)</x:f>
      </x:c>
      <x:c r="AA33" s="6" t="str">
        <x:f>IF(Master!AB176="","",Master!AB176)</x:f>
        <x:v>https://support.teamspeak.com/hc/en-us/articles/26033099878045-Current-Community-Options</x:v>
      </x:c>
      <x:c r="AB33" s="3" t="str">
        <x:f>IF(Master!AC176="","",Master!AC176)</x:f>
      </x:c>
      <x:c r="AC33" s="3" t="str">
        <x:f>IF(Master!AD176="","",Master!AD176)</x:f>
      </x:c>
      <x:c r="AD33" s="3" t="str">
        <x:f>IF(Master!AE176="","",Master!AE176)</x:f>
        <x:v>https://weered.ca/pricing</x:v>
      </x:c>
      <x:c r="AE33" s="3" t="str">
        <x:f>IF(Master!AF176="","",Master!AF176)</x:f>
      </x:c>
      <x:c r="AF33" s="8" t="str">
        <x:f>IF(Master!AG176="","",Master!AG176)</x:f>
      </x:c>
    </x:row>
    <x:row r="34" ht="36" customHeight="1">
      <x:c r="A34" s="17" t="s">
        <x:v>415</x:v>
      </x:c>
      <x:c r="B34" s="3" t="str">
        <x:f>IF(Master!C177="","",Master!C177)</x:f>
      </x:c>
      <x:c r="C34" s="3" t="str">
        <x:f>IF(Master!D177="","",Master!D177)</x:f>
      </x:c>
      <x:c r="D34" s="3" t="str">
        <x:f>IF(Master!E177="","",Master!E177)</x:f>
      </x:c>
      <x:c r="E34" s="3" t="str">
        <x:f>IF(Master!F177="","",Master!F177)</x:f>
      </x:c>
      <x:c r="F34" s="3" t="str">
        <x:f>IF(Master!G177="","",Master!G177)</x:f>
      </x:c>
      <x:c r="G34" s="3" t="str">
        <x:f>IF(Master!H177="","",Master!H177)</x:f>
      </x:c>
      <x:c r="H34" s="3" t="str">
        <x:f>IF(Master!I177="","",Master!I177)</x:f>
        <x:v>Server-wide tiers; all members inherit the server tier.</x:v>
      </x:c>
      <x:c r="I34" s="3" t="str">
        <x:f>IF(Master!J177="","",Master!J177)</x:f>
      </x:c>
      <x:c r="J34" s="3" t="str">
        <x:f>IF(Master!K177="","",Master!K177)</x:f>
      </x:c>
      <x:c r="K34" s="3" t="str">
        <x:f>IF(Master!L177="","",Master!L177)</x:f>
        <x:v>Official instance capacity limits are not fully published. The 15 MB upload limit comes from the developer questionnaire. Many self-host quotas are configurable.</x:v>
      </x:c>
      <x:c r="L34" s="3" t="str">
        <x:f>IF(Master!M177="","",Master!M177)</x:f>
      </x:c>
      <x:c r="M34" s="3" t="str">
        <x:f>IF(Master!N177="","",Master!N177)</x:f>
      </x:c>
      <x:c r="N34" s="3" t="str">
        <x:f>IF(Master!O177="","",Master!O177)</x:f>
      </x:c>
      <x:c r="O34" s="3" t="str">
        <x:f>IF(Master!P177="","",Master!P177)</x:f>
      </x:c>
      <x:c r="P34" s="3" t="str">
        <x:f>IF(Master!Q177="","",Master!Q177)</x:f>
      </x:c>
      <x:c r="Q34" s="3" t="str">
        <x:f>IF(Master!R177="","",Master!R177)</x:f>
      </x:c>
      <x:c r="R34" s="3" t="str">
        <x:f>IF(Master!S177="","",Master!S177)</x:f>
      </x:c>
      <x:c r="S34" s="3" t="str">
        <x:f>IF(Master!T177="","",Master!T177)</x:f>
      </x:c>
      <x:c r="T34" s="3" t="str">
        <x:f>IF(Master!U177="","",Master!U177)</x:f>
      </x:c>
      <x:c r="U34" s="3" t="str">
        <x:f>IF(Master!V177="","",Master!V177)</x:f>
      </x:c>
      <x:c r="V34" s="3" t="str">
        <x:f>IF(Master!W177="","",Master!W177)</x:f>
      </x:c>
      <x:c r="W34" s="3" t="str">
        <x:f>IF(Master!X177="","",Master!X177)</x:f>
      </x:c>
      <x:c r="X34" s="3" t="str">
        <x:f>IF(Master!Y177="","",Master!Y177)</x:f>
      </x:c>
      <x:c r="Y34" s="3" t="str">
        <x:f>IF(Master!Z177="","",Master!Z177)</x:f>
      </x:c>
      <x:c r="Z34" s="3" t="str">
        <x:f>IF(Master!AA177="","",Master!AA177)</x:f>
      </x:c>
      <x:c r="AA34" s="6" t="str">
        <x:f>IF(Master!AB177="","",Master!AB177)</x:f>
      </x:c>
      <x:c r="AB34" s="3" t="str">
        <x:f>IF(Master!AC177="","",Master!AC177)</x:f>
      </x:c>
      <x:c r="AC34" s="3" t="str">
        <x:f>IF(Master!AD177="","",Master!AD177)</x:f>
      </x:c>
      <x:c r="AD34" s="3" t="str">
        <x:f>IF(Master!AE177="","",Master!AE177)</x:f>
      </x:c>
      <x:c r="AE34" s="3" t="str">
        <x:f>IF(Master!AF177="","",Master!AF177)</x:f>
      </x:c>
      <x:c r="AF34" s="8" t="str">
        <x:f>IF(Master!AG177="","",Master!AG177)</x:f>
      </x:c>
    </x:row>
    <x:row r="35" ht="21.950000762939453" customHeight="1">
      <x:c r="A35" s="18" t="s">
        <x:v>416</x:v>
      </x:c>
      <x:c r="B35" s="18" t="str">
        <x:f t="shared" ref="B35:K37" si="10">IF(""="","","")</x:f>
      </x:c>
      <x:c r="C35" s="18" t="str">
        <x:f t="shared" si="10"/>
      </x:c>
      <x:c r="D35" s="18" t="str">
        <x:f t="shared" si="10"/>
      </x:c>
      <x:c r="E35" s="18" t="str">
        <x:f t="shared" si="10"/>
      </x:c>
      <x:c r="F35" s="18" t="str">
        <x:f t="shared" si="10"/>
      </x:c>
      <x:c r="G35" s="18" t="str">
        <x:f t="shared" si="10"/>
      </x:c>
      <x:c r="H35" s="18" t="str">
        <x:f t="shared" si="10"/>
      </x:c>
      <x:c r="I35" s="18" t="str">
        <x:f t="shared" si="10"/>
      </x:c>
      <x:c r="J35" s="18" t="str">
        <x:f t="shared" si="10"/>
      </x:c>
      <x:c r="K35" s="18" t="str">
        <x:f t="shared" si="10"/>
      </x:c>
      <x:c r="L35" s="18" t="str">
        <x:f t="shared" ref="L35:U37" si="11">IF(""="","","")</x:f>
      </x:c>
      <x:c r="M35" s="18" t="str">
        <x:f t="shared" si="11"/>
      </x:c>
      <x:c r="N35" s="18" t="str">
        <x:f t="shared" si="11"/>
      </x:c>
      <x:c r="O35" s="18" t="str">
        <x:f t="shared" si="11"/>
      </x:c>
      <x:c r="P35" s="18" t="str">
        <x:f t="shared" si="11"/>
      </x:c>
      <x:c r="Q35" s="18" t="str">
        <x:f t="shared" si="11"/>
      </x:c>
      <x:c r="R35" s="18" t="str">
        <x:f t="shared" si="11"/>
      </x:c>
      <x:c r="S35" s="18" t="str">
        <x:f t="shared" si="11"/>
      </x:c>
      <x:c r="T35" s="18" t="str">
        <x:f t="shared" si="11"/>
      </x:c>
      <x:c r="U35" s="18" t="str">
        <x:f t="shared" si="11"/>
      </x:c>
      <x:c r="V35" s="18" t="str">
        <x:f t="shared" ref="V35:AF37" si="12">IF(""="","","")</x:f>
      </x:c>
      <x:c r="W35" s="18" t="str">
        <x:f t="shared" si="12"/>
      </x:c>
      <x:c r="X35" s="18" t="str">
        <x:f t="shared" si="12"/>
      </x:c>
      <x:c r="Y35" s="18" t="str">
        <x:f t="shared" si="12"/>
      </x:c>
      <x:c r="Z35" s="18" t="str">
        <x:f t="shared" si="12"/>
      </x:c>
      <x:c r="AA35" s="18" t="str">
        <x:f t="shared" si="12"/>
      </x:c>
      <x:c r="AB35" s="18" t="str">
        <x:f t="shared" si="12"/>
      </x:c>
      <x:c r="AC35" s="18" t="str">
        <x:f t="shared" si="12"/>
      </x:c>
      <x:c r="AD35" s="18" t="str">
        <x:f t="shared" si="12"/>
      </x:c>
      <x:c r="AE35" s="18" t="str">
        <x:f t="shared" si="12"/>
      </x:c>
      <x:c r="AF35" s="19" t="str">
        <x:f t="shared" si="12"/>
      </x:c>
    </x:row>
    <x:row r="36" ht="21.950000762939453" customHeight="1">
      <x:c r="A36" s="18" t="s">
        <x:v>417</x:v>
      </x:c>
      <x:c r="B36" s="18" t="str">
        <x:f t="shared" si="10"/>
      </x:c>
      <x:c r="C36" s="18" t="str">
        <x:f t="shared" si="10"/>
      </x:c>
      <x:c r="D36" s="18" t="str">
        <x:f t="shared" si="10"/>
      </x:c>
      <x:c r="E36" s="18" t="str">
        <x:f t="shared" si="10"/>
      </x:c>
      <x:c r="F36" s="18" t="str">
        <x:f t="shared" si="10"/>
      </x:c>
      <x:c r="G36" s="18" t="str">
        <x:f t="shared" si="10"/>
      </x:c>
      <x:c r="H36" s="18" t="str">
        <x:f t="shared" si="10"/>
      </x:c>
      <x:c r="I36" s="18" t="str">
        <x:f t="shared" si="10"/>
      </x:c>
      <x:c r="J36" s="18" t="str">
        <x:f t="shared" si="10"/>
      </x:c>
      <x:c r="K36" s="18" t="str">
        <x:f t="shared" si="10"/>
      </x:c>
      <x:c r="L36" s="18" t="str">
        <x:f t="shared" si="11"/>
      </x:c>
      <x:c r="M36" s="18" t="str">
        <x:f t="shared" si="11"/>
      </x:c>
      <x:c r="N36" s="18" t="str">
        <x:f t="shared" si="11"/>
      </x:c>
      <x:c r="O36" s="18" t="str">
        <x:f t="shared" si="11"/>
      </x:c>
      <x:c r="P36" s="18" t="str">
        <x:f t="shared" si="11"/>
      </x:c>
      <x:c r="Q36" s="18" t="str">
        <x:f t="shared" si="11"/>
      </x:c>
      <x:c r="R36" s="18" t="str">
        <x:f t="shared" si="11"/>
      </x:c>
      <x:c r="S36" s="18" t="str">
        <x:f t="shared" si="11"/>
      </x:c>
      <x:c r="T36" s="18" t="str">
        <x:f t="shared" si="11"/>
      </x:c>
      <x:c r="U36" s="18" t="str">
        <x:f t="shared" si="11"/>
      </x:c>
      <x:c r="V36" s="18" t="str">
        <x:f t="shared" si="12"/>
      </x:c>
      <x:c r="W36" s="18" t="str">
        <x:f t="shared" si="12"/>
      </x:c>
      <x:c r="X36" s="18" t="str">
        <x:f t="shared" si="12"/>
      </x:c>
      <x:c r="Y36" s="18" t="str">
        <x:f t="shared" si="12"/>
      </x:c>
      <x:c r="Z36" s="18" t="str">
        <x:f t="shared" si="12"/>
      </x:c>
      <x:c r="AA36" s="18" t="str">
        <x:f t="shared" si="12"/>
      </x:c>
      <x:c r="AB36" s="18" t="str">
        <x:f t="shared" si="12"/>
      </x:c>
      <x:c r="AC36" s="18" t="str">
        <x:f t="shared" si="12"/>
      </x:c>
      <x:c r="AD36" s="18" t="str">
        <x:f t="shared" si="12"/>
      </x:c>
      <x:c r="AE36" s="18" t="str">
        <x:f t="shared" si="12"/>
      </x:c>
      <x:c r="AF36" s="19" t="str">
        <x:f t="shared" si="12"/>
      </x:c>
    </x:row>
    <x:row r="37" ht="21.950000762939453" customHeight="1">
      <x:c r="A37" s="18" t="s">
        <x:v>418</x:v>
      </x:c>
      <x:c r="B37" s="18" t="str">
        <x:f t="shared" si="10"/>
      </x:c>
      <x:c r="C37" s="18" t="str">
        <x:f t="shared" si="10"/>
      </x:c>
      <x:c r="D37" s="18" t="str">
        <x:f t="shared" si="10"/>
      </x:c>
      <x:c r="E37" s="18" t="str">
        <x:f t="shared" si="10"/>
      </x:c>
      <x:c r="F37" s="18" t="str">
        <x:f t="shared" si="10"/>
      </x:c>
      <x:c r="G37" s="18" t="str">
        <x:f t="shared" si="10"/>
      </x:c>
      <x:c r="H37" s="18" t="str">
        <x:f t="shared" si="10"/>
      </x:c>
      <x:c r="I37" s="18" t="str">
        <x:f t="shared" si="10"/>
      </x:c>
      <x:c r="J37" s="18" t="str">
        <x:f t="shared" si="10"/>
      </x:c>
      <x:c r="K37" s="18" t="str">
        <x:f t="shared" si="10"/>
      </x:c>
      <x:c r="L37" s="18" t="str">
        <x:f t="shared" si="11"/>
      </x:c>
      <x:c r="M37" s="18" t="str">
        <x:f t="shared" si="11"/>
      </x:c>
      <x:c r="N37" s="18" t="str">
        <x:f t="shared" si="11"/>
      </x:c>
      <x:c r="O37" s="18" t="str">
        <x:f t="shared" si="11"/>
      </x:c>
      <x:c r="P37" s="18" t="str">
        <x:f t="shared" si="11"/>
      </x:c>
      <x:c r="Q37" s="18" t="str">
        <x:f t="shared" si="11"/>
      </x:c>
      <x:c r="R37" s="18" t="str">
        <x:f t="shared" si="11"/>
      </x:c>
      <x:c r="S37" s="18" t="str">
        <x:f t="shared" si="11"/>
      </x:c>
      <x:c r="T37" s="18" t="str">
        <x:f t="shared" si="11"/>
      </x:c>
      <x:c r="U37" s="18" t="str">
        <x:f t="shared" si="11"/>
      </x:c>
      <x:c r="V37" s="18" t="str">
        <x:f t="shared" si="12"/>
      </x:c>
      <x:c r="W37" s="18" t="str">
        <x:f t="shared" si="12"/>
      </x:c>
      <x:c r="X37" s="18" t="str">
        <x:f t="shared" si="12"/>
      </x:c>
      <x:c r="Y37" s="18" t="str">
        <x:f t="shared" si="12"/>
      </x:c>
      <x:c r="Z37" s="18" t="str">
        <x:f t="shared" si="12"/>
      </x:c>
      <x:c r="AA37" s="18" t="str">
        <x:f t="shared" si="12"/>
      </x:c>
      <x:c r="AB37" s="18" t="str">
        <x:f t="shared" si="12"/>
      </x:c>
      <x:c r="AC37" s="18" t="str">
        <x:f t="shared" si="12"/>
      </x:c>
      <x:c r="AD37" s="18" t="str">
        <x:f t="shared" si="12"/>
      </x:c>
      <x:c r="AE37" s="18" t="str">
        <x:f t="shared" si="12"/>
      </x:c>
      <x:c r="AF37" s="19" t="str">
        <x:f t="shared" si="12"/>
      </x:c>
    </x:row>
    <x:row r="38" ht="36" customHeight="1">
      <x:c r="A38" s="17" t="s">
        <x:v>419</x:v>
      </x:c>
      <x:c r="B38" s="3" t="str">
        <x:f>IF(Master!C178="","",Master!C178)</x:f>
        <x:v>Channel-count constrained</x:v>
      </x:c>
      <x:c r="C38" s="3" t="str">
        <x:f>IF(Master!D178="","",Master!D178)</x:f>
      </x:c>
      <x:c r="D38" s="3" t="str">
        <x:f>IF(Master!E178="","",Master!E178)</x:f>
      </x:c>
      <x:c r="E38" s="3" t="str">
        <x:f>IF(Master!F178="","",Master!F178)</x:f>
      </x:c>
      <x:c r="F38" s="3" t="str">
        <x:f>IF(Master!G178="","",Master!G178)</x:f>
      </x:c>
      <x:c r="G38" s="3" t="str">
        <x:f>IF(Master!H178="","",Master!H178)</x:f>
      </x:c>
      <x:c r="H38" s="3" t="str">
        <x:f>IF(Master!I178="","",Master!I178)</x:f>
      </x:c>
      <x:c r="I38" s="3" t="str">
        <x:f>IF(Master!J178="","",Master!J178)</x:f>
      </x:c>
      <x:c r="J38" s="3" t="str">
        <x:f>IF(Master!K178="","",Master!K178)</x:f>
      </x:c>
      <x:c r="K38" s="3" t="str">
        <x:f>IF(Master!L178="","",Master!L178)</x:f>
      </x:c>
      <x:c r="L38" s="3" t="str">
        <x:f>IF(Master!M178="","",Master!M178)</x:f>
      </x:c>
      <x:c r="M38" s="3" t="str">
        <x:f>IF(Master!N178="","",Master!N178)</x:f>
      </x:c>
      <x:c r="N38" s="3" t="str">
        <x:f>IF(Master!O178="","",Master!O178)</x:f>
      </x:c>
      <x:c r="O38" s="3" t="str">
        <x:f>IF(Master!P178="","",Master!P178)</x:f>
      </x:c>
      <x:c r="P38" s="3" t="str">
        <x:f>IF(Master!Q178="","",Master!Q178)</x:f>
      </x:c>
      <x:c r="Q38" s="3" t="str">
        <x:f>IF(Master!R178="","",Master!R178)</x:f>
      </x:c>
      <x:c r="R38" s="3" t="str">
        <x:f>IF(Master!S178="","",Master!S178)</x:f>
      </x:c>
      <x:c r="S38" s="3" t="str">
        <x:f>IF(Master!T178="","",Master!T178)</x:f>
      </x:c>
      <x:c r="T38" s="3" t="str">
        <x:f>IF(Master!U178="","",Master!U178)</x:f>
      </x:c>
      <x:c r="U38" s="3" t="str">
        <x:f>IF(Master!V178="","",Master!V178)</x:f>
        <x:v>Unlimited</x:v>
      </x:c>
      <x:c r="V38" s="3" t="str">
        <x:f>IF(Master!W178="","",Master!W178)</x:f>
      </x:c>
      <x:c r="W38" s="3" t="str">
        <x:f>IF(Master!X178="","",Master!X178)</x:f>
      </x:c>
      <x:c r="X38" s="3" t="str">
        <x:f>IF(Master!Y178="","",Master!Y178)</x:f>
      </x:c>
      <x:c r="Y38" s="3" t="str">
        <x:f>IF(Master!Z178="","",Master!Z178)</x:f>
      </x:c>
      <x:c r="Z38" s="3" t="str">
        <x:f>IF(Master!AA178="","",Master!AA178)</x:f>
      </x:c>
      <x:c r="AA38" s="6" t="str">
        <x:f>IF(Master!AB178="","",Master!AB178)</x:f>
      </x:c>
      <x:c r="AB38" s="3" t="str">
        <x:f>IF(Master!AC178="","",Master!AC178)</x:f>
      </x:c>
      <x:c r="AC38" s="3" t="str">
        <x:f>IF(Master!AD178="","",Master!AD178)</x:f>
      </x:c>
      <x:c r="AD38" s="3" t="str">
        <x:f>IF(Master!AE178="","",Master!AE178)</x:f>
      </x:c>
      <x:c r="AE38" s="3" t="str">
        <x:f>IF(Master!AF178="","",Master!AF178)</x:f>
      </x:c>
      <x:c r="AF38" s="8" t="str">
        <x:f>IF(Master!AG178="","",Master!AG178)</x:f>
      </x:c>
    </x:row>
    <x:row r="39" ht="36" customHeight="1">
      <x:c r="A39" s="17" t="s">
        <x:v>420</x:v>
      </x:c>
      <x:c r="B39" s="3" t="str">
        <x:f>IF(Master!C179="","",Master!C179)</x:f>
        <x:v>Activity/session dependent</x:v>
      </x:c>
      <x:c r="C39" s="3" t="str">
        <x:f>IF(Master!D179="","",Master!D179)</x:f>
      </x:c>
      <x:c r="D39" s="3" t="str">
        <x:f>IF(Master!E179="","",Master!E179)</x:f>
      </x:c>
      <x:c r="E39" s="3" t="str">
        <x:f>IF(Master!F179="","",Master!F179)</x:f>
      </x:c>
      <x:c r="F39" s="3" t="str">
        <x:f>IF(Master!G179="","",Master!G179)</x:f>
      </x:c>
      <x:c r="G39" s="3" t="str">
        <x:f>IF(Master!H179="","",Master!H179)</x:f>
      </x:c>
      <x:c r="H39" s="3" t="str">
        <x:f>IF(Master!I179="","",Master!I179)</x:f>
      </x:c>
      <x:c r="I39" s="3" t="str">
        <x:f>IF(Master!J179="","",Master!J179)</x:f>
      </x:c>
      <x:c r="J39" s="3" t="str">
        <x:f>IF(Master!K179="","",Master!K179)</x:f>
      </x:c>
      <x:c r="K39" s="3" t="str">
        <x:f>IF(Master!L179="","",Master!L179)</x:f>
        <x:v>0: no embedded Portal/widget runtime documented</x:v>
      </x:c>
      <x:c r="L39" s="3" t="str">
        <x:f>IF(Master!M179="","",Master!M179)</x:f>
      </x:c>
      <x:c r="M39" s="3" t="str">
        <x:f>IF(Master!N179="","",Master!N179)</x:f>
      </x:c>
      <x:c r="N39" s="3" t="str">
        <x:f>IF(Master!O179="","",Master!O179)</x:f>
      </x:c>
      <x:c r="O39" s="3" t="str">
        <x:f>IF(Master!P179="","",Master!P179)</x:f>
      </x:c>
      <x:c r="P39" s="3" t="str">
        <x:f>IF(Master!Q179="","",Master!Q179)</x:f>
      </x:c>
      <x:c r="Q39" s="3" t="str">
        <x:f>IF(Master!R179="","",Master!R179)</x:f>
      </x:c>
      <x:c r="R39" s="3" t="str">
        <x:f>IF(Master!S179="","",Master!S179)</x:f>
      </x:c>
      <x:c r="S39" s="3" t="str">
        <x:f>IF(Master!T179="","",Master!T179)</x:f>
      </x:c>
      <x:c r="T39" s="3" t="str">
        <x:f>IF(Master!U179="","",Master!U179)</x:f>
      </x:c>
      <x:c r="U39" s="3" t="str">
        <x:f>IF(Master!V179="","",Master!V179)</x:f>
        <x:v>All Portals included; saved layout count is 2 free / 8 Rift+</x:v>
      </x:c>
      <x:c r="V39" s="3" t="str">
        <x:f>IF(Master!W179="","",Master!W179)</x:f>
      </x:c>
      <x:c r="W39" s="3" t="str">
        <x:f>IF(Master!X179="","",Master!X179)</x:f>
      </x:c>
      <x:c r="X39" s="3" t="str">
        <x:f>IF(Master!Y179="","",Master!Y179)</x:f>
      </x:c>
      <x:c r="Y39" s="3" t="str">
        <x:f>IF(Master!Z179="","",Master!Z179)</x:f>
      </x:c>
      <x:c r="Z39" s="3" t="str">
        <x:f>IF(Master!AA179="","",Master!AA179)</x:f>
      </x:c>
      <x:c r="AA39" s="6" t="str">
        <x:f>IF(Master!AB179="","",Master!AB179)</x:f>
      </x:c>
      <x:c r="AB39" s="3" t="str">
        <x:f>IF(Master!AC179="","",Master!AC179)</x:f>
      </x:c>
      <x:c r="AC39" s="3" t="str">
        <x:f>IF(Master!AD179="","",Master!AD179)</x:f>
      </x:c>
      <x:c r="AD39" s="3" t="str">
        <x:f>IF(Master!AE179="","",Master!AE179)</x:f>
      </x:c>
      <x:c r="AE39" s="3" t="str">
        <x:f>IF(Master!AF179="","",Master!AF179)</x:f>
      </x:c>
      <x:c r="AF39" s="8" t="str">
        <x:f>IF(Master!AG179="","",Master!AG179)</x:f>
      </x:c>
    </x:row>
  </x:sheetData>
  <x:mergeCells>
    <x:mergeCell ref="A1:A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Directory'!A1","Voice &amp; Audio"),"Voice &amp; Audio")</x:f>
        <x:v>Voice &amp; Audio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421</x:v>
      </x:c>
      <x:c r="B3" s="3" t="str">
        <x:f>IF(Master!C180="","",Master!C180)</x:f>
        <x:v>Persistent server voice channels + ad-hoc DM/GDM calls</x:v>
      </x:c>
      <x:c r="C3" s="3" t="str">
        <x:f>IF(Master!D180="","",Master!D180)</x:f>
        <x:v>Live voice rooms</x:v>
      </x:c>
      <x:c r="D3" s="3" t="str">
        <x:f>IF(Master!E180="","",Master!E180)</x:f>
        <x:v>Persistent server voice + messenger</x:v>
      </x:c>
      <x:c r="E3" s="3" t="str">
        <x:f>IF(Master!F180="","",Master!F180)</x:f>
        <x:v>Persistent voice channels</x:v>
      </x:c>
      <x:c r="F3" s="3" t="str">
        <x:f>IF(Master!G180="","",Master!G180)</x:f>
        <x:v>Persistent community voice + calls</x:v>
      </x:c>
      <x:c r="G3" s="3" t="str">
        <x:f>IF(Master!H180="","",Master!H180)</x:f>
        <x:v>Persistent community voice + DM calls</x:v>
      </x:c>
      <x:c r="H3" s="3" t="str">
        <x:f>IF(Master!I180="","",Master!I180)</x:f>
        <x:v>Persistent voice rooms + calls</x:v>
      </x:c>
      <x:c r="I3" s="3" t="str">
        <x:f>IF(Master!J180="","",Master!J180)</x:f>
        <x:v>LiveKit-powered voice channels</x:v>
      </x:c>
      <x:c r="J3" s="3" t="str">
        <x:f>IF(Master!K180="","",Master!K180)</x:f>
      </x:c>
      <x:c r="K3" s="3" t="str">
        <x:f>IF(Master!L180="","",Master!L180)</x:f>
        <x:v>Persistent guild voice channels + ad-hoc 1:1/group-DM calls</x:v>
      </x:c>
      <x:c r="L3" s="3" t="str">
        <x:f>IF(Master!M180="","",Master!M180)</x:f>
        <x:v>Voice channels</x:v>
      </x:c>
      <x:c r="M3" s="3" t="str">
        <x:f>IF(Master!N180="","",Master!N180)</x:f>
        <x:v>Persistent voice rooms</x:v>
      </x:c>
      <x:c r="N3" s="3" t="str">
        <x:f>IF(Master!O180="","",Master!O180)</x:f>
        <x:v>Client-dependent; MatrixRTC/VoIP rooms and calls</x:v>
      </x:c>
      <x:c r="O3" s="3" t="str">
        <x:f>IF(Master!P180="","",Master!P180)</x:f>
        <x:v>Native Calls in channels/DMs; persistent text channels with ad-hoc calls</x:v>
      </x:c>
      <x:c r="P3" s="3" t="str">
        <x:f>IF(Master!Q180="","",Master!Q180)</x:f>
        <x:v>Voice/video calls</x:v>
      </x:c>
      <x:c r="Q3" s="3" t="str">
        <x:f>IF(Master!R180="","",Master!R180)</x:f>
        <x:v>Persistent hierarchical voice channels</x:v>
      </x:c>
      <x:c r="R3" s="3" t="str">
        <x:f>IF(Master!S180="","",Master!S180)</x:f>
      </x:c>
      <x:c r="S3" s="3" t="str">
        <x:f>IF(Master!T180="","",Master!T180)</x:f>
        <x:v>Persistent voice/video channels</x:v>
      </x:c>
      <x:c r="T3" s="3" t="str">
        <x:f>IF(Master!U180="","",Master!U180)</x:f>
        <x:v>Persistent voice channels; small rooms/DM calls can be P2P; listed/larger hosted rooms use LiveKit</x:v>
      </x:c>
      <x:c r="U3" s="3" t="str">
        <x:f>IF(Master!V180="","",Master!V180)</x:f>
        <x:v>Yes - Persistant voice/communities</x:v>
      </x:c>
      <x:c r="V3" s="3" t="str">
        <x:f>IF(Master!W180="","",Master!W180)</x:f>
        <x:v>Calls/video depend on deployment/provider/integration; not Discord-style universal persistent voice</x:v>
      </x:c>
      <x:c r="W3" s="3" t="str">
        <x:f>IF(Master!X180="","",Master!X180)</x:f>
        <x:v>No mature native voice feature verified</x:v>
      </x:c>
      <x:c r="X3" s="3" t="str">
        <x:f>IF(Master!Y180="","",Master!Y180)</x:f>
        <x:v>Persistent community voice + DM calls</x:v>
      </x:c>
      <x:c r="Y3" s="3" t="str">
        <x:f>IF(Master!Z180="","",Master!Z180)</x:f>
        <x:v>Optional persistent guild + DM voice via WebRTC media package</x:v>
      </x:c>
      <x:c r="Z3" s="3" t="str">
        <x:f>IF(Master!AA180="","",Master!AA180)</x:f>
        <x:v>Persistent server voice channels + calls</x:v>
      </x:c>
      <x:c r="AA3" s="6" t="str">
        <x:f>IF(Master!AB180="","",Master!AB180)</x:f>
        <x:v>Persistent voice channels</x:v>
      </x:c>
      <x:c r="AB3" s="3" t="str">
        <x:f>IF(Master!AC180="","",Master!AC180)</x:f>
        <x:v>Persistent voice channels</x:v>
      </x:c>
      <x:c r="AC3" s="3" t="str">
        <x:f>IF(Master!AD180="","",Master!AD180)</x:f>
        <x:v>Voice supported; Linux mic I/O issues reported</x:v>
      </x:c>
      <x:c r="AD3" s="3" t="str">
        <x:f>IF(Master!AE180="","",Master!AE180)</x:f>
        <x:v>Voice in every room</x:v>
      </x:c>
      <x:c r="AE3" s="3" t="str">
        <x:f>IF(Master!AF180="","",Master!AF180)</x:f>
        <x:v>Persistent spatial voice channels</x:v>
      </x:c>
      <x:c r="AF3" s="8" t="str">
        <x:f>IF(Master!AG180="","",Master!AG180)</x:f>
        <x:v>No native persistent voice rooms; integrates external call providers</x:v>
      </x:c>
    </x:row>
    <x:row r="4" ht="36" customHeight="1">
      <x:c r="A4" s="17" t="s">
        <x:v>422</x:v>
      </x:c>
      <x:c r="B4" s="3" t="str">
        <x:f>IF(Master!C196="","",Master!C196)</x:f>
        <x:v>Opus</x:v>
      </x:c>
      <x:c r="C4" s="3" t="str">
        <x:f>IF(Master!D196="","",Master!D196)</x:f>
      </x:c>
      <x:c r="D4" s="3" t="str">
        <x:f>IF(Master!E196="","",Master!E196)</x:f>
        <x:v>Opus</x:v>
      </x:c>
      <x:c r="E4" s="3" t="str">
        <x:f>IF(Master!F196="","",Master!F196)</x:f>
        <x:v>Opus/WebRTC</x:v>
      </x:c>
      <x:c r="F4" s="3" t="str">
        <x:f>IF(Master!G196="","",Master!G196)</x:f>
        <x:v>WebRTC/LiveKit</x:v>
      </x:c>
      <x:c r="G4" s="3" t="str">
        <x:f>IF(Master!H196="","",Master!H196)</x:f>
        <x:v>WebRTC/LiveKit</x:v>
      </x:c>
      <x:c r="H4" s="3" t="str">
        <x:f>IF(Master!I196="","",Master!I196)</x:f>
      </x:c>
      <x:c r="I4" s="3" t="str">
        <x:f>IF(Master!J196="","",Master!J196)</x:f>
      </x:c>
      <x:c r="J4" s="3" t="str">
        <x:f>IF(Master!K196="","",Master!K196)</x:f>
      </x:c>
      <x:c r="K4" s="3" t="str">
        <x:f>IF(Master!L196="","",Master!L196)</x:f>
        <x:v>Opus</x:v>
      </x:c>
      <x:c r="L4" s="3" t="str">
        <x:f>IF(Master!M196="","",Master!M196)</x:f>
      </x:c>
      <x:c r="M4" s="3" t="str">
        <x:f>IF(Master!N196="","",Master!N196)</x:f>
        <x:v>Opus/WebRTC</x:v>
      </x:c>
      <x:c r="N4" s="3" t="str">
        <x:f>IF(Master!O196="","",Master!O196)</x:f>
        <x:v>Opus commonly via WebRTC; protocol/client-dependent</x:v>
      </x:c>
      <x:c r="O4" s="3" t="str">
        <x:f>IF(Master!P196="","",Master!P196)</x:f>
        <x:v>WebRTC/Opus</x:v>
      </x:c>
      <x:c r="P4" s="3" t="str">
        <x:f>IF(Master!Q196="","",Master!Q196)</x:f>
        <x:v>Yes</x:v>
      </x:c>
      <x:c r="Q4" s="3" t="str">
        <x:f>IF(Master!R196="","",Master!R196)</x:f>
        <x:v>Opus</x:v>
      </x:c>
      <x:c r="R4" s="3" t="str">
        <x:f>IF(Master!S196="","",Master!S196)</x:f>
      </x:c>
      <x:c r="S4" s="3" t="str">
        <x:f>IF(Master!T196="","",Master!T196)</x:f>
      </x:c>
      <x:c r="T4" s="3" t="str">
        <x:f>IF(Master!U196="","",Master!U196)</x:f>
        <x:v>Not publicly claimed</x:v>
      </x:c>
      <x:c r="U4" s="3" t="str">
        <x:f>IF(Master!V196="","",Master!V196)</x:f>
        <x:v>Proprietary</x:v>
      </x:c>
      <x:c r="V4" s="3" t="str">
        <x:f>IF(Master!W196="","",Master!W196)</x:f>
        <x:v>WebRTC/integration-dependent</x:v>
      </x:c>
      <x:c r="W4" s="3" t="str">
        <x:f>IF(Master!X196="","",Master!X196)</x:f>
        <x:v>N/A</x:v>
      </x:c>
      <x:c r="X4" s="3" t="str">
        <x:f>IF(Master!Y196="","",Master!Y196)</x:f>
      </x:c>
      <x:c r="Y4" s="3" t="str">
        <x:f>IF(Master!Z196="","",Master!Z196)</x:f>
        <x:v>WebRTC; implementation-dependent codecs</x:v>
      </x:c>
      <x:c r="Z4" s="3" t="str">
        <x:f>IF(Master!AA196="","",Master!AA196)</x:f>
        <x:v>Opus/WebRTC via LiveKit</x:v>
      </x:c>
      <x:c r="AA4" s="6" t="str">
        <x:f>IF(Master!AB196="","",Master!AB196)</x:f>
        <x:v>Opus / proprietary stack depending generation</x:v>
      </x:c>
      <x:c r="AB4" s="3" t="str">
        <x:f>IF(Master!AC196="","",Master!AC196)</x:f>
        <x:v>Opus/WebRTC</x:v>
      </x:c>
      <x:c r="AC4" s="3" t="str">
        <x:f>IF(Master!AD196="","",Master!AD196)</x:f>
      </x:c>
      <x:c r="AD4" s="3" t="str">
        <x:f>IF(Master!AE196="","",Master!AE196)</x:f>
        <x:v>Opus/WebRTC</x:v>
      </x:c>
      <x:c r="AE4" s="3" t="str">
        <x:f>IF(Master!AF196="","",Master!AF196)</x:f>
      </x:c>
      <x:c r="AF4" s="8" t="str">
        <x:f>IF(Master!AG196="","",Master!AG196)</x:f>
        <x:v>Provider-dependent</x:v>
      </x:c>
    </x:row>
    <x:row r="5" ht="36" customHeight="1">
      <x:c r="A5" s="17" t="s">
        <x:v>423</x:v>
      </x:c>
      <x:c r="B5" s="3" t="str">
        <x:f>IF(Master!C181="","",Master!C181)</x:f>
        <x:v>384 max (Level 3 boost); 96 base</x:v>
      </x:c>
      <x:c r="C5" s="3" t="str">
        <x:f>IF(Master!D181="","",Master!D181)</x:f>
      </x:c>
      <x:c r="D5" s="3" t="str">
        <x:f>IF(Master!E181="","",Master!E181)</x:f>
      </x:c>
      <x:c r="E5" s="3" t="str">
        <x:f>IF(Master!F181="","",Master!F181)</x:f>
        <x:v>Yes</x:v>
      </x:c>
      <x:c r="F5" s="3" t="str">
        <x:f>IF(Master!G181="","",Master!G181)</x:f>
      </x:c>
      <x:c r="G5" s="3" t="str">
        <x:f>IF(Master!H181="","",Master!H181)</x:f>
      </x:c>
      <x:c r="H5" s="3" t="str">
        <x:f>IF(Master!I181="","",Master!I181)</x:f>
      </x:c>
      <x:c r="I5" s="3" t="str">
        <x:f>IF(Master!J181="","",Master!J181)</x:f>
      </x:c>
      <x:c r="J5" s="3" t="str">
        <x:f>IF(Master!K181="","",Master!K181)</x:f>
      </x:c>
      <x:c r="K5" s="3" t="str">
        <x:f>IF(Master!L181="","",Master!L181)</x:f>
        <x:v>128</x:v>
      </x:c>
      <x:c r="L5" s="3" t="str">
        <x:f>IF(Master!M181="","",Master!M181)</x:f>
      </x:c>
      <x:c r="M5" s="3" t="str">
        <x:f>IF(Master!N181="","",Master!N181)</x:f>
        <x:v>Yes</x:v>
      </x:c>
      <x:c r="N5" s="3" t="str">
        <x:f>IF(Master!O181="","",Master!O181)</x:f>
        <x:v>Varies by client/media stack</x:v>
      </x:c>
      <x:c r="O5" s="3" t="str">
        <x:f>IF(Master!P181="","",Master!P181)</x:f>
      </x:c>
      <x:c r="P5" s="3" t="str">
        <x:f>IF(Master!Q181="","",Master!Q181)</x:f>
        <x:v>Yes</x:v>
      </x:c>
      <x:c r="Q5" s="3" t="str">
        <x:f>IF(Master!R181="","",Master!R181)</x:f>
      </x:c>
      <x:c r="R5" s="3" t="str">
        <x:f>IF(Master!S181="","",Master!S181)</x:f>
      </x:c>
      <x:c r="S5" s="3" t="str">
        <x:f>IF(Master!T181="","",Master!T181)</x:f>
      </x:c>
      <x:c r="T5" s="3" t="str">
        <x:f>IF(Master!U181="","",Master!U181)</x:f>
        <x:v>Not publicly claimed</x:v>
      </x:c>
      <x:c r="U5" s="3" t="str">
        <x:f>IF(Master!V181="","",Master!V181)</x:f>
        <x:v>192 kbps on Forge Shard; personal Rift+ high-fidelity 128 kbps</x:v>
      </x:c>
      <x:c r="V5" s="3" t="str">
        <x:f>IF(Master!W181="","",Master!W181)</x:f>
      </x:c>
      <x:c r="W5" s="3" t="str">
        <x:f>IF(Master!X181="","",Master!X181)</x:f>
      </x:c>
      <x:c r="X5" s="3" t="str">
        <x:f>IF(Master!Y181="","",Master!Y181)</x:f>
      </x:c>
      <x:c r="Y5" s="3" t="str">
        <x:f>IF(Master!Z181="","",Master!Z181)</x:f>
      </x:c>
      <x:c r="Z5" s="3" t="str">
        <x:f>IF(Master!AA181="","",Master!AA181)</x:f>
      </x:c>
      <x:c r="AA5" s="6" t="str">
        <x:f>IF(Master!AB181="","",Master!AB181)</x:f>
      </x:c>
      <x:c r="AB5" s="3" t="str">
        <x:f>IF(Master!AC181="","",Master!AC181)</x:f>
      </x:c>
      <x:c r="AC5" s="3" t="str">
        <x:f>IF(Master!AD181="","",Master!AD181)</x:f>
      </x:c>
      <x:c r="AD5" s="3" t="str">
        <x:f>IF(Master!AE181="","",Master!AE181)</x:f>
        <x:v>Yes</x:v>
      </x:c>
      <x:c r="AE5" s="3" t="str">
        <x:f>IF(Master!AF181="","",Master!AF181)</x:f>
      </x:c>
      <x:c r="AF5" s="8" t="str">
        <x:f>IF(Master!AG181="","",Master!AG181)</x:f>
        <x:v>N/A</x:v>
      </x:c>
    </x:row>
    <x:row r="6" ht="36" customHeight="1">
      <x:c r="A6" s="17" t="s">
        <x:v>424</x:v>
      </x:c>
      <x:c r="B6" s="3" t="str">
        <x:f>IF(Master!C182="","",Master!C182)</x:f>
        <x:v>Krisp</x:v>
      </x:c>
      <x:c r="C6" s="3" t="str">
        <x:f>IF(Master!D182="","",Master!D182)</x:f>
      </x:c>
      <x:c r="D6" s="3" t="str">
        <x:f>IF(Master!E182="","",Master!E182)</x:f>
        <x:v>LiveKit/WebRTC</x:v>
      </x:c>
      <x:c r="E6" s="3" t="str">
        <x:f>IF(Master!F182="","",Master!F182)</x:f>
        <x:v>LiveKit</x:v>
      </x:c>
      <x:c r="F6" s="3" t="str">
        <x:f>IF(Master!G182="","",Master!G182)</x:f>
        <x:v>DeepFilterNet3 local noise suppression planned/used</x:v>
      </x:c>
      <x:c r="G6" s="3" t="str">
        <x:f>IF(Master!H182="","",Master!H182)</x:f>
        <x:v>DeepFilterNet3 + media processing controls</x:v>
      </x:c>
      <x:c r="H6" s="3" t="str">
        <x:f>IF(Master!I182="","",Master!I182)</x:f>
        <x:v>Built-in noise/echo processing</x:v>
      </x:c>
      <x:c r="I6" s="3" t="str">
        <x:f>IF(Master!J182="","",Master!J182)</x:f>
        <x:v>WebRTC</x:v>
      </x:c>
      <x:c r="J6" s="3" t="str">
        <x:f>IF(Master!K182="","",Master!K182)</x:f>
        <x:v>P2P WebRTC with STUN/TURN fallback</x:v>
      </x:c>
      <x:c r="K6" s="3" t="str">
        <x:f>IF(Master!L182="","",Master!L182)</x:f>
        <x:v>Desktop/mobile local suppression; no web suppression per developer report</x:v>
      </x:c>
      <x:c r="L6" s="3" t="str">
        <x:f>IF(Master!M182="","",Master!M182)</x:f>
      </x:c>
      <x:c r="M6" s="3" t="str">
        <x:f>IF(Master!N182="","",Master!N182)</x:f>
        <x:v>LiveKit/WebRTC</x:v>
      </x:c>
      <x:c r="N6" s="3" t="str">
        <x:f>IF(Master!O182="","",Master!O182)</x:f>
        <x:v>Varies by client</x:v>
      </x:c>
      <x:c r="O6" s="3" t="str">
        <x:f>IF(Master!P182="","",Master!P182)</x:f>
      </x:c>
      <x:c r="P6" s="3" t="str">
        <x:f>IF(Master!Q182="","",Master!Q182)</x:f>
        <x:v>Custom WebRTC SFU</x:v>
      </x:c>
      <x:c r="Q6" s="3" t="str">
        <x:f>IF(Master!R182="","",Master!R182)</x:f>
        <x:v>Built-in client processing; exact engine varies</x:v>
      </x:c>
      <x:c r="R6" s="3" t="str">
        <x:f>IF(Master!S182="","",Master!S182)</x:f>
      </x:c>
      <x:c r="S6" s="3" t="str">
        <x:f>IF(Master!T182="","",Master!T182)</x:f>
        <x:v>Custom voice infrastructure</x:v>
      </x:c>
      <x:c r="T6" s="3" t="str">
        <x:f>IF(Master!U182="","",Master!U182)</x:f>
        <x:v>No branded/public noise-suppression engine claim</x:v>
      </x:c>
      <x:c r="U6" s="3" t="str">
        <x:f>IF(Master!V182="","",Master!V182)</x:f>
        <x:v>Proprietary</x:v>
      </x:c>
      <x:c r="V6" s="3" t="str">
        <x:f>IF(Master!W182="","",Master!W182)</x:f>
        <x:v>Provider-dependent</x:v>
      </x:c>
      <x:c r="W6" s="3" t="str">
        <x:f>IF(Master!X182="","",Master!X182)</x:f>
        <x:v>N/A</x:v>
      </x:c>
      <x:c r="X6" s="3" t="str">
        <x:f>IF(Master!Y182="","",Master!Y182)</x:f>
      </x:c>
      <x:c r="Y6" s="3" t="str">
        <x:f>IF(Master!Z182="","",Master!Z182)</x:f>
      </x:c>
      <x:c r="Z6" s="3" t="str">
        <x:f>IF(Master!AA182="","",Master!AA182)</x:f>
        <x:v>RNNoise</x:v>
      </x:c>
      <x:c r="AA6" s="6" t="str">
        <x:f>IF(Master!AB182="","",Master!AB182)</x:f>
      </x:c>
      <x:c r="AB6" s="3" t="str">
        <x:f>IF(Master!AC182="","",Master!AC182)</x:f>
        <x:v>LiveKit</x:v>
      </x:c>
      <x:c r="AC6" s="3" t="str">
        <x:f>IF(Master!AD182="","",Master!AD182)</x:f>
      </x:c>
      <x:c r="AD6" s="3" t="str">
        <x:f>IF(Master!AE182="","",Master!AE182)</x:f>
        <x:v>LiveKit</x:v>
      </x:c>
      <x:c r="AE6" s="3" t="str">
        <x:f>IF(Master!AF182="","",Master!AF182)</x:f>
        <x:v>Self-host media server</x:v>
      </x:c>
      <x:c r="AF6" s="8" t="str">
        <x:f>IF(Master!AG182="","",Master!AG182)</x:f>
        <x:v>N/A</x:v>
      </x:c>
    </x:row>
    <x:row r="7" ht="36" customHeight="1">
      <x:c r="A7" s="17" t="s">
        <x:v>425</x:v>
      </x:c>
      <x:c r="B7" s="3" t="str">
        <x:f>IF(Master!C183="","",Master!C183)</x:f>
        <x:v>Yes</x:v>
      </x:c>
      <x:c r="C7" s="3" t="str">
        <x:f>IF(Master!D183="","",Master!D183)</x:f>
      </x:c>
      <x:c r="D7" s="3" t="str">
        <x:f>IF(Master!E183="","",Master!E183)</x:f>
        <x:v>Opus</x:v>
      </x:c>
      <x:c r="E7" s="3" t="str">
        <x:f>IF(Master!F183="","",Master!F183)</x:f>
      </x:c>
      <x:c r="F7" s="3" t="str">
        <x:f>IF(Master!G183="","",Master!G183)</x:f>
        <x:v>Yes</x:v>
      </x:c>
      <x:c r="G7" s="3" t="str">
        <x:f>IF(Master!H183="","",Master!H183)</x:f>
        <x:v>Yes</x:v>
      </x:c>
      <x:c r="H7" s="3" t="str">
        <x:f>IF(Master!I183="","",Master!I183)</x:f>
        <x:v>Yes</x:v>
      </x:c>
      <x:c r="I7" s="3" t="str">
        <x:f>IF(Master!J183="","",Master!J183)</x:f>
      </x:c>
      <x:c r="J7" s="3" t="str">
        <x:f>IF(Master!K183="","",Master!K183)</x:f>
      </x:c>
      <x:c r="K7" s="3" t="str">
        <x:f>IF(Master!L183="","",Master!L183)</x:f>
        <x:v>Yes</x:v>
      </x:c>
      <x:c r="L7" s="3" t="str">
        <x:f>IF(Master!M183="","",Master!M183)</x:f>
      </x:c>
      <x:c r="M7" s="3" t="str">
        <x:f>IF(Master!N183="","",Master!N183)</x:f>
      </x:c>
      <x:c r="N7" s="3" t="str">
        <x:f>IF(Master!O183="","",Master!O183)</x:f>
        <x:v>Varies by client</x:v>
      </x:c>
      <x:c r="O7" s="3" t="str">
        <x:f>IF(Master!P183="","",Master!P183)</x:f>
      </x:c>
      <x:c r="P7" s="3" t="str">
        <x:f>IF(Master!Q183="","",Master!Q183)</x:f>
      </x:c>
      <x:c r="Q7" s="3" t="str">
        <x:f>IF(Master!R183="","",Master!R183)</x:f>
        <x:v>Yes</x:v>
      </x:c>
      <x:c r="R7" s="3" t="str">
        <x:f>IF(Master!S183="","",Master!S183)</x:f>
      </x:c>
      <x:c r="S7" s="3" t="str">
        <x:f>IF(Master!T183="","",Master!T183)</x:f>
      </x:c>
      <x:c r="T7" s="3" t="str">
        <x:f>IF(Master!U183="","",Master!U183)</x:f>
      </x:c>
      <x:c r="U7" s="3" t="str">
        <x:f>IF(Master!V183="","",Master!V183)</x:f>
        <x:v>Yes</x:v>
      </x:c>
      <x:c r="V7" s="3" t="str">
        <x:f>IF(Master!W183="","",Master!W183)</x:f>
      </x:c>
      <x:c r="W7" s="3" t="str">
        <x:f>IF(Master!X183="","",Master!X183)</x:f>
        <x:v>N/A</x:v>
      </x:c>
      <x:c r="X7" s="3" t="str">
        <x:f>IF(Master!Y183="","",Master!Y183)</x:f>
        <x:v>Yes</x:v>
      </x:c>
      <x:c r="Y7" s="3" t="str">
        <x:f>IF(Master!Z183="","",Master!Z183)</x:f>
        <x:v>Client-dependent</x:v>
      </x:c>
      <x:c r="Z7" s="3" t="str">
        <x:f>IF(Master!AA183="","",Master!AA183)</x:f>
        <x:v>Yes</x:v>
      </x:c>
      <x:c r="AA7" s="6" t="str">
        <x:f>IF(Master!AB183="","",Master!AB183)</x:f>
        <x:v>Yes</x:v>
      </x:c>
      <x:c r="AB7" s="3" t="str">
        <x:f>IF(Master!AC183="","",Master!AC183)</x:f>
      </x:c>
      <x:c r="AC7" s="3" t="str">
        <x:f>IF(Master!AD183="","",Master!AD183)</x:f>
      </x:c>
      <x:c r="AD7" s="3" t="str">
        <x:f>IF(Master!AE183="","",Master!AE183)</x:f>
      </x:c>
      <x:c r="AE7" s="3" t="str">
        <x:f>IF(Master!AF183="","",Master!AF183)</x:f>
      </x:c>
      <x:c r="AF7" s="8" t="str">
        <x:f>IF(Master!AG183="","",Master!AG183)</x:f>
        <x:v>N/A</x:v>
      </x:c>
    </x:row>
    <x:row r="8" ht="36" customHeight="1">
      <x:c r="A8" s="17" t="s">
        <x:v>426</x:v>
      </x:c>
      <x:c r="B8" s="3" t="str">
        <x:f>IF(Master!C184="","",Master!C184)</x:f>
        <x:v>Yes</x:v>
      </x:c>
      <x:c r="C8" s="3" t="str">
        <x:f>IF(Master!D184="","",Master!D184)</x:f>
      </x:c>
      <x:c r="D8" s="3" t="str">
        <x:f>IF(Master!E184="","",Master!E184)</x:f>
      </x:c>
      <x:c r="E8" s="3" t="str">
        <x:f>IF(Master!F184="","",Master!F184)</x:f>
        <x:v>Yes</x:v>
      </x:c>
      <x:c r="F8" s="3" t="str">
        <x:f>IF(Master!G184="","",Master!G184)</x:f>
        <x:v>Yes</x:v>
      </x:c>
      <x:c r="G8" s="3" t="str">
        <x:f>IF(Master!H184="","",Master!H184)</x:f>
        <x:v>Yes</x:v>
      </x:c>
      <x:c r="H8" s="3" t="str">
        <x:f>IF(Master!I184="","",Master!I184)</x:f>
        <x:v>Yes</x:v>
      </x:c>
      <x:c r="I8" s="3" t="str">
        <x:f>IF(Master!J184="","",Master!J184)</x:f>
      </x:c>
      <x:c r="J8" s="3" t="str">
        <x:f>IF(Master!K184="","",Master!K184)</x:f>
      </x:c>
      <x:c r="K8" s="3" t="str">
        <x:f>IF(Master!L184="","",Master!L184)</x:f>
        <x:v>Yes: developer-reported/LiveKit client controls</x:v>
      </x:c>
      <x:c r="L8" s="3" t="str">
        <x:f>IF(Master!M184="","",Master!M184)</x:f>
      </x:c>
      <x:c r="M8" s="3" t="str">
        <x:f>IF(Master!N184="","",Master!N184)</x:f>
        <x:v>Yes</x:v>
      </x:c>
      <x:c r="N8" s="3" t="str">
        <x:f>IF(Master!O184="","",Master!O184)</x:f>
        <x:v>Varies by client</x:v>
      </x:c>
      <x:c r="O8" s="3" t="str">
        <x:f>IF(Master!P184="","",Master!P184)</x:f>
        <x:v>Yes</x:v>
      </x:c>
      <x:c r="P8" s="3" t="str">
        <x:f>IF(Master!Q184="","",Master!Q184)</x:f>
      </x:c>
      <x:c r="Q8" s="3" t="str">
        <x:f>IF(Master!R184="","",Master!R184)</x:f>
        <x:v>Yes</x:v>
      </x:c>
      <x:c r="R8" s="3" t="str">
        <x:f>IF(Master!S184="","",Master!S184)</x:f>
      </x:c>
      <x:c r="S8" s="3" t="str">
        <x:f>IF(Master!T184="","",Master!T184)</x:f>
      </x:c>
      <x:c r="T8" s="3" t="str">
        <x:f>IF(Master!U184="","",Master!U184)</x:f>
        <x:v>Yes</x:v>
      </x:c>
      <x:c r="U8" s="3" t="str">
        <x:f>IF(Master!V184="","",Master!V184)</x:f>
        <x:v>Yes</x:v>
      </x:c>
      <x:c r="V8" s="3" t="str">
        <x:f>IF(Master!W184="","",Master!W184)</x:f>
      </x:c>
      <x:c r="W8" s="3" t="str">
        <x:f>IF(Master!X184="","",Master!X184)</x:f>
        <x:v>N/A</x:v>
      </x:c>
      <x:c r="X8" s="3" t="str">
        <x:f>IF(Master!Y184="","",Master!Y184)</x:f>
        <x:v>Yes</x:v>
      </x:c>
      <x:c r="Y8" s="3" t="str">
        <x:f>IF(Master!Z184="","",Master!Z184)</x:f>
        <x:v>Client-dependent</x:v>
      </x:c>
      <x:c r="Z8" s="3" t="str">
        <x:f>IF(Master!AA184="","",Master!AA184)</x:f>
        <x:v>Yes</x:v>
      </x:c>
      <x:c r="AA8" s="6" t="str">
        <x:f>IF(Master!AB184="","",Master!AB184)</x:f>
        <x:v>Yes</x:v>
      </x:c>
      <x:c r="AB8" s="3" t="str">
        <x:f>IF(Master!AC184="","",Master!AC184)</x:f>
      </x:c>
      <x:c r="AC8" s="3" t="str">
        <x:f>IF(Master!AD184="","",Master!AD184)</x:f>
      </x:c>
      <x:c r="AD8" s="3" t="str">
        <x:f>IF(Master!AE184="","",Master!AE184)</x:f>
        <x:v>Yes</x:v>
      </x:c>
      <x:c r="AE8" s="3" t="str">
        <x:f>IF(Master!AF184="","",Master!AF184)</x:f>
      </x:c>
      <x:c r="AF8" s="8" t="str">
        <x:f>IF(Master!AG184="","",Master!AG184)</x:f>
        <x:v>N/A</x:v>
      </x:c>
    </x:row>
    <x:row r="9" ht="36" customHeight="1">
      <x:c r="A9" s="17" t="s">
        <x:v>427</x:v>
      </x:c>
      <x:c r="B9" s="3" t="str">
        <x:f>IF(Master!C185="","",Master!C185)</x:f>
        <x:v>No native client proximity/spatial audio; possible in third-party game integrations</x:v>
      </x:c>
      <x:c r="C9" s="3" t="str">
        <x:f>IF(Master!D185="","",Master!D185)</x:f>
        <x:v>No</x:v>
      </x:c>
      <x:c r="D9" s="3" t="str">
        <x:f>IF(Master!E185="","",Master!E185)</x:f>
        <x:v>No</x:v>
      </x:c>
      <x:c r="E9" s="3" t="str">
        <x:f>IF(Master!F185="","",Master!F185)</x:f>
        <x:v>No</x:v>
      </x:c>
      <x:c r="F9" s="3" t="str">
        <x:f>IF(Master!G185="","",Master!G185)</x:f>
      </x:c>
      <x:c r="G9" s="3" t="str">
        <x:f>IF(Master!H185="","",Master!H185)</x:f>
        <x:v>No native proximity audio</x:v>
      </x:c>
      <x:c r="H9" s="3" t="str">
        <x:f>IF(Master!I185="","",Master!I185)</x:f>
        <x:v>GameLink spatial audio</x:v>
      </x:c>
      <x:c r="I9" s="3" t="str">
        <x:f>IF(Master!J185="","",Master!J185)</x:f>
        <x:v>No</x:v>
      </x:c>
      <x:c r="J9" s="3" t="str">
        <x:f>IF(Master!K185="","",Master!K185)</x:f>
        <x:v>No</x:v>
      </x:c>
      <x:c r="K9" s="3" t="str">
        <x:f>IF(Master!L185="","",Master!L185)</x:f>
      </x:c>
      <x:c r="L9" s="3" t="str">
        <x:f>IF(Master!M185="","",Master!M185)</x:f>
        <x:v>No</x:v>
      </x:c>
      <x:c r="M9" s="3" t="str">
        <x:f>IF(Master!N185="","",Master!N185)</x:f>
        <x:v>No</x:v>
      </x:c>
      <x:c r="N9" s="3" t="str">
        <x:f>IF(Master!O185="","",Master!O185)</x:f>
        <x:v>Possible via specialized clients; not a core default</x:v>
      </x:c>
      <x:c r="O9" s="3" t="str">
        <x:f>IF(Master!P185="","",Master!P185)</x:f>
        <x:v>No</x:v>
      </x:c>
      <x:c r="P9" s="3" t="str">
        <x:f>IF(Master!Q185="","",Master!Q185)</x:f>
        <x:v>No</x:v>
      </x:c>
      <x:c r="Q9" s="3" t="str">
        <x:f>IF(Master!R185="","",Master!R185)</x:f>
        <x:v>Yes: positional audio supported with games/plugins</x:v>
      </x:c>
      <x:c r="R9" s="3" t="str">
        <x:f>IF(Master!S185="","",Master!S185)</x:f>
        <x:v>No</x:v>
      </x:c>
      <x:c r="S9" s="3" t="str">
        <x:f>IF(Master!T185="","",Master!T185)</x:f>
        <x:v>No</x:v>
      </x:c>
      <x:c r="T9" s="3" t="str">
        <x:f>IF(Master!U185="","",Master!U185)</x:f>
        <x:v>No</x:v>
      </x:c>
      <x:c r="U9" s="3" t="str">
        <x:f>IF(Master!V185="","",Master!V185)</x:f>
        <x:v>No</x:v>
      </x:c>
      <x:c r="V9" s="3" t="str">
        <x:f>IF(Master!W185="","",Master!W185)</x:f>
        <x:v>No</x:v>
      </x:c>
      <x:c r="W9" s="3" t="str">
        <x:f>IF(Master!X185="","",Master!X185)</x:f>
        <x:v>N/A</x:v>
      </x:c>
      <x:c r="X9" s="3" t="str">
        <x:f>IF(Master!Y185="","",Master!Y185)</x:f>
        <x:v>No native proximity audio</x:v>
      </x:c>
      <x:c r="Y9" s="3" t="str">
        <x:f>IF(Master!Z185="","",Master!Z185)</x:f>
        <x:v>No native proximity</x:v>
      </x:c>
      <x:c r="Z9" s="3" t="str">
        <x:f>IF(Master!AA185="","",Master!AA185)</x:f>
        <x:v>No native proximity audio</x:v>
      </x:c>
      <x:c r="AA9" s="6" t="str">
        <x:f>IF(Master!AB185="","",Master!AB185)</x:f>
      </x:c>
      <x:c r="AB9" s="3" t="str">
        <x:f>IF(Master!AC185="","",Master!AC185)</x:f>
        <x:v>No</x:v>
      </x:c>
      <x:c r="AC9" s="3" t="str">
        <x:f>IF(Master!AD185="","",Master!AD185)</x:f>
        <x:v>No</x:v>
      </x:c>
      <x:c r="AD9" s="3" t="str">
        <x:f>IF(Master!AE185="","",Master!AE185)</x:f>
        <x:v>No</x:v>
      </x:c>
      <x:c r="AE9" s="3" t="str">
        <x:f>IF(Master!AF185="","",Master!AF185)</x:f>
        <x:v>Yes: spatial/proximity</x:v>
      </x:c>
      <x:c r="AF9" s="8" t="str">
        <x:f>IF(Master!AG185="","",Master!AG185)</x:f>
        <x:v>N/A</x:v>
      </x:c>
    </x:row>
    <x:row r="10" ht="36" customHeight="1">
      <x:c r="A10" s="17" t="s">
        <x:v>428</x:v>
      </x:c>
      <x:c r="B10" s="3" t="str">
        <x:f>IF(Master!C186="","",Master!C186)</x:f>
        <x:v>Yes</x:v>
      </x:c>
      <x:c r="C10" s="3" t="str">
        <x:f>IF(Master!D186="","",Master!D186)</x:f>
      </x:c>
      <x:c r="D10" s="3" t="str">
        <x:f>IF(Master!E186="","",Master!E186)</x:f>
        <x:v>No Stage verified</x:v>
      </x:c>
      <x:c r="E10" s="3" t="str">
        <x:f>IF(Master!F186="","",Master!F186)</x:f>
        <x:v>No Stage verified</x:v>
      </x:c>
      <x:c r="F10" s="3" t="str">
        <x:f>IF(Master!G186="","",Master!G186)</x:f>
        <x:v>Nested voice / host-broadcasting planned</x:v>
      </x:c>
      <x:c r="G10" s="3" t="str">
        <x:f>IF(Master!H186="","",Master!H186)</x:f>
      </x:c>
      <x:c r="H10" s="3" t="str">
        <x:f>IF(Master!I186="","",Master!I186)</x:f>
        <x:v>No Discord-style Stage verified</x:v>
      </x:c>
      <x:c r="I10" s="3" t="str">
        <x:f>IF(Master!J186="","",Master!J186)</x:f>
        <x:v>No</x:v>
      </x:c>
      <x:c r="J10" s="3" t="str">
        <x:f>IF(Master!K186="","",Master!K186)</x:f>
        <x:v>No</x:v>
      </x:c>
      <x:c r="K10" s="3" t="str">
        <x:f>IF(Master!L186="","",Master!L186)</x:f>
        <x:v>Yes: developer reports Stage channels</x:v>
      </x:c>
      <x:c r="L10" s="3" t="str">
        <x:f>IF(Master!M186="","",Master!M186)</x:f>
        <x:v>No</x:v>
      </x:c>
      <x:c r="M10" s="3" t="str">
        <x:f>IF(Master!N186="","",Master!N186)</x:f>
      </x:c>
      <x:c r="N10" s="3" t="str">
        <x:f>IF(Master!O186="","",Master!O186)</x:f>
        <x:v>Client-dependent</x:v>
      </x:c>
      <x:c r="O10" s="3" t="str">
        <x:f>IF(Master!P186="","",Master!P186)</x:f>
        <x:v>Raise-hand supported in Calls</x:v>
      </x:c>
      <x:c r="P10" s="3" t="str">
        <x:f>IF(Master!Q186="","",Master!Q186)</x:f>
      </x:c>
      <x:c r="Q10" s="3" t="str">
        <x:f>IF(Master!R186="","",Master!R186)</x:f>
        <x:v>No Discord Stage equivalent</x:v>
      </x:c>
      <x:c r="R10" s="3" t="str">
        <x:f>IF(Master!S186="","",Master!S186)</x:f>
        <x:v>No</x:v>
      </x:c>
      <x:c r="S10" s="3" t="str">
        <x:f>IF(Master!T186="","",Master!T186)</x:f>
        <x:v>No Stage verified</x:v>
      </x:c>
      <x:c r="T10" s="3" t="str">
        <x:f>IF(Master!U186="","",Master!U186)</x:f>
        <x:v>No Stage</x:v>
      </x:c>
      <x:c r="U10" s="3" t="str">
        <x:f>IF(Master!V186="","",Master!V186)</x:f>
        <x:v>No Stage</x:v>
      </x:c>
      <x:c r="V10" s="3" t="str">
        <x:f>IF(Master!W186="","",Master!W186)</x:f>
      </x:c>
      <x:c r="W10" s="3" t="str">
        <x:f>IF(Master!X186="","",Master!X186)</x:f>
        <x:v>N/A</x:v>
      </x:c>
      <x:c r="X10" s="3" t="str">
        <x:f>IF(Master!Y186="","",Master!Y186)</x:f>
        <x:v>No dedicated Stage verified</x:v>
      </x:c>
      <x:c r="Y10" s="3" t="str">
        <x:f>IF(Master!Z186="","",Master!Z186)</x:f>
      </x:c>
      <x:c r="Z10" s="3" t="str">
        <x:f>IF(Master!AA186="","",Master!AA186)</x:f>
        <x:v>No Discord-style Stage verified</x:v>
      </x:c>
      <x:c r="AA10" s="6" t="str">
        <x:f>IF(Master!AB186="","",Master!AB186)</x:f>
        <x:v>No Discord Stage equivalent verified</x:v>
      </x:c>
      <x:c r="AB10" s="3" t="str">
        <x:f>IF(Master!AC186="","",Master!AC186)</x:f>
        <x:v>No Stage verified</x:v>
      </x:c>
      <x:c r="AC10" s="3" t="str">
        <x:f>IF(Master!AD186="","",Master!AD186)</x:f>
        <x:v>No</x:v>
      </x:c>
      <x:c r="AD10" s="3" t="str">
        <x:f>IF(Master!AE186="","",Master!AE186)</x:f>
        <x:v>Stage is a general room stage/media surface, not Discord Stage</x:v>
      </x:c>
      <x:c r="AE10" s="3" t="str">
        <x:f>IF(Master!AF186="","",Master!AF186)</x:f>
        <x:v>No Stage</x:v>
      </x:c>
      <x:c r="AF10" s="8" t="str">
        <x:f>IF(Master!AG186="","",Master!AG186)</x:f>
        <x:v>N/A</x:v>
      </x:c>
    </x:row>
    <x:row r="11" ht="36" customHeight="1">
      <x:c r="A11" s="17" t="s">
        <x:v>429</x:v>
      </x:c>
      <x:c r="B11" s="3" t="str">
        <x:f>IF(Master!C187="","",Master!C187)</x:f>
        <x:v>Yes</x:v>
      </x:c>
      <x:c r="C11" s="3" t="str">
        <x:f>IF(Master!D187="","",Master!D187)</x:f>
      </x:c>
      <x:c r="D11" s="3" t="str">
        <x:f>IF(Master!E187="","",Master!E187)</x:f>
      </x:c>
      <x:c r="E11" s="3" t="str">
        <x:f>IF(Master!F187="","",Master!F187)</x:f>
      </x:c>
      <x:c r="F11" s="3" t="str">
        <x:f>IF(Master!G187="","",Master!G187)</x:f>
      </x:c>
      <x:c r="G11" s="3" t="str">
        <x:f>IF(Master!H187="","",Master!H187)</x:f>
      </x:c>
      <x:c r="H11" s="3" t="str">
        <x:f>IF(Master!I187="","",Master!I187)</x:f>
      </x:c>
      <x:c r="I11" s="3" t="str">
        <x:f>IF(Master!J187="","",Master!J187)</x:f>
      </x:c>
      <x:c r="J11" s="3" t="str">
        <x:f>IF(Master!K187="","",Master!K187)</x:f>
      </x:c>
      <x:c r="K11" s="3" t="str">
        <x:f>IF(Master!L187="","",Master!L187)</x:f>
        <x:v>Stage exists; raise-hand/speaker-request behavior not independently documented</x:v>
      </x:c>
      <x:c r="L11" s="3" t="str">
        <x:f>IF(Master!M187="","",Master!M187)</x:f>
      </x:c>
      <x:c r="M11" s="3" t="str">
        <x:f>IF(Master!N187="","",Master!N187)</x:f>
      </x:c>
      <x:c r="N11" s="3" t="str">
        <x:f>IF(Master!O187="","",Master!O187)</x:f>
        <x:v>Client-dependent</x:v>
      </x:c>
      <x:c r="O11" s="3" t="str">
        <x:f>IF(Master!P187="","",Master!P187)</x:f>
        <x:v>Yes</x:v>
      </x:c>
      <x:c r="P11" s="3" t="str">
        <x:f>IF(Master!Q187="","",Master!Q187)</x:f>
      </x:c>
      <x:c r="Q11" s="3" t="str">
        <x:f>IF(Master!R187="","",Master!R187)</x:f>
        <x:v>No</x:v>
      </x:c>
      <x:c r="R11" s="3" t="str">
        <x:f>IF(Master!S187="","",Master!S187)</x:f>
      </x:c>
      <x:c r="S11" s="3" t="str">
        <x:f>IF(Master!T187="","",Master!T187)</x:f>
      </x:c>
      <x:c r="T11" s="3" t="str">
        <x:f>IF(Master!U187="","",Master!U187)</x:f>
      </x:c>
      <x:c r="U11" s="3" t="str">
        <x:f>IF(Master!V187="","",Master!V187)</x:f>
        <x:v>No</x:v>
      </x:c>
      <x:c r="V11" s="3" t="str">
        <x:f>IF(Master!W187="","",Master!W187)</x:f>
      </x:c>
      <x:c r="W11" s="3" t="str">
        <x:f>IF(Master!X187="","",Master!X187)</x:f>
        <x:v>N/A</x:v>
      </x:c>
      <x:c r="X11" s="3" t="str">
        <x:f>IF(Master!Y187="","",Master!Y187)</x:f>
      </x:c>
      <x:c r="Y11" s="3" t="str">
        <x:f>IF(Master!Z187="","",Master!Z187)</x:f>
      </x:c>
      <x:c r="Z11" s="3" t="str">
        <x:f>IF(Master!AA187="","",Master!AA187)</x:f>
      </x:c>
      <x:c r="AA11" s="6" t="str">
        <x:f>IF(Master!AB187="","",Master!AB187)</x:f>
      </x:c>
      <x:c r="AB11" s="3" t="str">
        <x:f>IF(Master!AC187="","",Master!AC187)</x:f>
      </x:c>
      <x:c r="AC11" s="3" t="str">
        <x:f>IF(Master!AD187="","",Master!AD187)</x:f>
      </x:c>
      <x:c r="AD11" s="3" t="str">
        <x:f>IF(Master!AE187="","",Master!AE187)</x:f>
      </x:c>
      <x:c r="AE11" s="3" t="str">
        <x:f>IF(Master!AF187="","",Master!AF187)</x:f>
        <x:v>No</x:v>
      </x:c>
      <x:c r="AF11" s="8" t="str">
        <x:f>IF(Master!AG187="","",Master!AG187)</x:f>
        <x:v>N/A</x:v>
      </x:c>
    </x:row>
    <x:row r="12" ht="21.950000762939453" customHeight="1">
      <x:c r="A12" s="18" t="s">
        <x:v>430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431</x:v>
      </x:c>
      <x:c r="B13" s="3" t="str">
        <x:f>IF(Master!C191="","",Master!C191)</x:f>
        <x:v>Yes</x:v>
      </x:c>
      <x:c r="C13" s="3" t="str">
        <x:f>IF(Master!D191="","",Master!D191)</x:f>
      </x:c>
      <x:c r="D13" s="3" t="str">
        <x:f>IF(Master!E191="","",Master!E191)</x:f>
      </x:c>
      <x:c r="E13" s="3" t="str">
        <x:f>IF(Master!F191="","",Master!F191)</x:f>
        <x:v>Yes</x:v>
      </x:c>
      <x:c r="F13" s="3" t="str">
        <x:f>IF(Master!G191="","",Master!G191)</x:f>
        <x:v>Yes</x:v>
      </x:c>
      <x:c r="G13" s="3" t="str">
        <x:f>IF(Master!H191="","",Master!H191)</x:f>
        <x:v>Yes</x:v>
      </x:c>
      <x:c r="H13" s="3" t="str">
        <x:f>IF(Master!I191="","",Master!I191)</x:f>
        <x:v>Yes</x:v>
      </x:c>
      <x:c r="I13" s="3" t="str">
        <x:f>IF(Master!J191="","",Master!J191)</x:f>
      </x:c>
      <x:c r="J13" s="3" t="str">
        <x:f>IF(Master!K191="","",Master!K191)</x:f>
      </x:c>
      <x:c r="K13" s="3" t="str">
        <x:f>IF(Master!L191="","",Master!L191)</x:f>
        <x:v>Yes</x:v>
      </x:c>
      <x:c r="L13" s="3" t="str">
        <x:f>IF(Master!M191="","",Master!M191)</x:f>
      </x:c>
      <x:c r="M13" s="3" t="str">
        <x:f>IF(Master!N191="","",Master!N191)</x:f>
      </x:c>
      <x:c r="N13" s="3" t="str">
        <x:f>IF(Master!O191="","",Master!O191)</x:f>
        <x:v>Client-dependent</x:v>
      </x:c>
      <x:c r="O13" s="3" t="str">
        <x:f>IF(Master!P191="","",Master!P191)</x:f>
      </x:c>
      <x:c r="P13" s="3" t="str">
        <x:f>IF(Master!Q191="","",Master!Q191)</x:f>
        <x:v>Yes</x:v>
      </x:c>
      <x:c r="Q13" s="3" t="str">
        <x:f>IF(Master!R191="","",Master!R191)</x:f>
      </x:c>
      <x:c r="R13" s="3" t="str">
        <x:f>IF(Master!S191="","",Master!S191)</x:f>
      </x:c>
      <x:c r="S13" s="3" t="str">
        <x:f>IF(Master!T191="","",Master!T191)</x:f>
      </x:c>
      <x:c r="T13" s="3" t="str">
        <x:f>IF(Master!U191="","",Master!U191)</x:f>
        <x:v>Yes</x:v>
      </x:c>
      <x:c r="U13" s="3" t="str">
        <x:f>IF(Master!V191="","",Master!V191)</x:f>
        <x:v>Yes</x:v>
      </x:c>
      <x:c r="V13" s="3" t="str">
        <x:f>IF(Master!W191="","",Master!W191)</x:f>
      </x:c>
      <x:c r="W13" s="3" t="str">
        <x:f>IF(Master!X191="","",Master!X191)</x:f>
      </x:c>
      <x:c r="X13" s="3" t="str">
        <x:f>IF(Master!Y191="","",Master!Y191)</x:f>
        <x:v>Yes</x:v>
      </x:c>
      <x:c r="Y13" s="3" t="str">
        <x:f>IF(Master!Z191="","",Master!Z191)</x:f>
      </x:c>
      <x:c r="Z13" s="3" t="str">
        <x:f>IF(Master!AA191="","",Master!AA191)</x:f>
      </x:c>
      <x:c r="AA13" s="6" t="str">
        <x:f>IF(Master!AB191="","",Master!AB191)</x:f>
      </x:c>
      <x:c r="AB13" s="3" t="str">
        <x:f>IF(Master!AC191="","",Master!AC191)</x:f>
      </x:c>
      <x:c r="AC13" s="3" t="str">
        <x:f>IF(Master!AD191="","",Master!AD191)</x:f>
      </x:c>
      <x:c r="AD13" s="3" t="str">
        <x:f>IF(Master!AE191="","",Master!AE191)</x:f>
        <x:v>Yes</x:v>
      </x:c>
      <x:c r="AE13" s="3" t="str">
        <x:f>IF(Master!AF191="","",Master!AF191)</x:f>
      </x:c>
      <x:c r="AF13" s="8" t="str">
        <x:f>IF(Master!AG191="","",Master!AG191)</x:f>
      </x:c>
    </x:row>
    <x:row r="14" ht="36" customHeight="1">
      <x:c r="A14" s="17" t="s">
        <x:v>432</x:v>
      </x:c>
      <x:c r="B14" s="3" t="str">
        <x:f>IF(Master!C192="","",Master!C192)</x:f>
        <x:v>Yes</x:v>
      </x:c>
      <x:c r="C14" s="3" t="str">
        <x:f>IF(Master!D192="","",Master!D192)</x:f>
      </x:c>
      <x:c r="D14" s="3" t="str">
        <x:f>IF(Master!E192="","",Master!E192)</x:f>
      </x:c>
      <x:c r="E14" s="3" t="str">
        <x:f>IF(Master!F192="","",Master!F192)</x:f>
        <x:v>Yes</x:v>
      </x:c>
      <x:c r="F14" s="3" t="str">
        <x:f>IF(Master!G192="","",Master!G192)</x:f>
        <x:v>Yes</x:v>
      </x:c>
      <x:c r="G14" s="3" t="str">
        <x:f>IF(Master!H192="","",Master!H192)</x:f>
        <x:v>Yes</x:v>
      </x:c>
      <x:c r="H14" s="3" t="str">
        <x:f>IF(Master!I192="","",Master!I192)</x:f>
        <x:v>Yes</x:v>
      </x:c>
      <x:c r="I14" s="3" t="str">
        <x:f>IF(Master!J192="","",Master!J192)</x:f>
      </x:c>
      <x:c r="J14" s="3" t="str">
        <x:f>IF(Master!K192="","",Master!K192)</x:f>
      </x:c>
      <x:c r="K14" s="3" t="str">
        <x:f>IF(Master!L192="","",Master!L192)</x:f>
        <x:v>Yes</x:v>
      </x:c>
      <x:c r="L14" s="3" t="str">
        <x:f>IF(Master!M192="","",Master!M192)</x:f>
      </x:c>
      <x:c r="M14" s="3" t="str">
        <x:f>IF(Master!N192="","",Master!N192)</x:f>
      </x:c>
      <x:c r="N14" s="3" t="str">
        <x:f>IF(Master!O192="","",Master!O192)</x:f>
        <x:v>Client-dependent</x:v>
      </x:c>
      <x:c r="O14" s="3" t="str">
        <x:f>IF(Master!P192="","",Master!P192)</x:f>
      </x:c>
      <x:c r="P14" s="3" t="str">
        <x:f>IF(Master!Q192="","",Master!Q192)</x:f>
        <x:v>Yes</x:v>
      </x:c>
      <x:c r="Q14" s="3" t="str">
        <x:f>IF(Master!R192="","",Master!R192)</x:f>
      </x:c>
      <x:c r="R14" s="3" t="str">
        <x:f>IF(Master!S192="","",Master!S192)</x:f>
      </x:c>
      <x:c r="S14" s="3" t="str">
        <x:f>IF(Master!T192="","",Master!T192)</x:f>
      </x:c>
      <x:c r="T14" s="3" t="str">
        <x:f>IF(Master!U192="","",Master!U192)</x:f>
      </x:c>
      <x:c r="U14" s="3" t="str">
        <x:f>IF(Master!V192="","",Master!V192)</x:f>
        <x:v>No</x:v>
      </x:c>
      <x:c r="V14" s="3" t="str">
        <x:f>IF(Master!W192="","",Master!W192)</x:f>
      </x:c>
      <x:c r="W14" s="3" t="str">
        <x:f>IF(Master!X192="","",Master!X192)</x:f>
      </x:c>
      <x:c r="X14" s="3" t="str">
        <x:f>IF(Master!Y192="","",Master!Y192)</x:f>
        <x:v>Yes</x:v>
      </x:c>
      <x:c r="Y14" s="3" t="str">
        <x:f>IF(Master!Z192="","",Master!Z192)</x:f>
      </x:c>
      <x:c r="Z14" s="3" t="str">
        <x:f>IF(Master!AA192="","",Master!AA192)</x:f>
      </x:c>
      <x:c r="AA14" s="6" t="str">
        <x:f>IF(Master!AB192="","",Master!AB192)</x:f>
      </x:c>
      <x:c r="AB14" s="3" t="str">
        <x:f>IF(Master!AC192="","",Master!AC192)</x:f>
      </x:c>
      <x:c r="AC14" s="3" t="str">
        <x:f>IF(Master!AD192="","",Master!AD192)</x:f>
      </x:c>
      <x:c r="AD14" s="3" t="str">
        <x:f>IF(Master!AE192="","",Master!AE192)</x:f>
        <x:v>Yes</x:v>
      </x:c>
      <x:c r="AE14" s="3" t="str">
        <x:f>IF(Master!AF192="","",Master!AF192)</x:f>
      </x:c>
      <x:c r="AF14" s="8" t="str">
        <x:f>IF(Master!AG192="","",Master!AG192)</x:f>
      </x:c>
    </x:row>
    <x:row r="15" ht="36" customHeight="1">
      <x:c r="A15" s="17" t="s">
        <x:v>433</x:v>
      </x:c>
      <x:c r="B15" s="3" t="str">
        <x:f>IF(Master!C201="","",Master!C201)</x:f>
        <x:v>Yes</x:v>
      </x:c>
      <x:c r="C15" s="3" t="str">
        <x:f>IF(Master!D201="","",Master!D201)</x:f>
      </x:c>
      <x:c r="D15" s="3" t="str">
        <x:f>IF(Master!E201="","",Master!E201)</x:f>
      </x:c>
      <x:c r="E15" s="3" t="str">
        <x:f>IF(Master!F201="","",Master!F201)</x:f>
      </x:c>
      <x:c r="F15" s="3" t="str">
        <x:f>IF(Master!G201="","",Master!G201)</x:f>
      </x:c>
      <x:c r="G15" s="3" t="str">
        <x:f>IF(Master!H201="","",Master!H201)</x:f>
      </x:c>
      <x:c r="H15" s="3" t="str">
        <x:f>IF(Master!I201="","",Master!I201)</x:f>
        <x:v>Yes</x:v>
      </x:c>
      <x:c r="I15" s="3" t="str">
        <x:f>IF(Master!J201="","",Master!J201)</x:f>
      </x:c>
      <x:c r="J15" s="3" t="str">
        <x:f>IF(Master!K201="","",Master!K201)</x:f>
      </x:c>
      <x:c r="K15" s="3" t="str">
        <x:f>IF(Master!L201="","",Master!L201)</x:f>
        <x:v>Yes</x:v>
      </x:c>
      <x:c r="L15" s="3" t="str">
        <x:f>IF(Master!M201="","",Master!M201)</x:f>
      </x:c>
      <x:c r="M15" s="3" t="str">
        <x:f>IF(Master!N201="","",Master!N201)</x:f>
      </x:c>
      <x:c r="N15" s="3" t="str">
        <x:f>IF(Master!O201="","",Master!O201)</x:f>
      </x:c>
      <x:c r="O15" s="3" t="str">
        <x:f>IF(Master!P201="","",Master!P201)</x:f>
      </x:c>
      <x:c r="P15" s="3" t="str">
        <x:f>IF(Master!Q201="","",Master!Q201)</x:f>
      </x:c>
      <x:c r="Q15" s="3" t="str">
        <x:f>IF(Master!R201="","",Master!R201)</x:f>
        <x:v>Yes</x:v>
      </x:c>
      <x:c r="R15" s="3" t="str">
        <x:f>IF(Master!S201="","",Master!S201)</x:f>
      </x:c>
      <x:c r="S15" s="3" t="str">
        <x:f>IF(Master!T201="","",Master!T201)</x:f>
      </x:c>
      <x:c r="T15" s="3" t="str">
        <x:f>IF(Master!U201="","",Master!U201)</x:f>
      </x:c>
      <x:c r="U15" s="3" t="str">
        <x:f>IF(Master!V201="","",Master!V201)</x:f>
        <x:v>Yes</x:v>
      </x:c>
      <x:c r="V15" s="3" t="str">
        <x:f>IF(Master!W201="","",Master!W201)</x:f>
      </x:c>
      <x:c r="W15" s="3" t="str">
        <x:f>IF(Master!X201="","",Master!X201)</x:f>
      </x:c>
      <x:c r="X15" s="3" t="str">
        <x:f>IF(Master!Y201="","",Master!Y201)</x:f>
      </x:c>
      <x:c r="Y15" s="3" t="str">
        <x:f>IF(Master!Z201="","",Master!Z201)</x:f>
      </x:c>
      <x:c r="Z15" s="3" t="str">
        <x:f>IF(Master!AA201="","",Master!AA201)</x:f>
      </x:c>
      <x:c r="AA15" s="6" t="str">
        <x:f>IF(Master!AB201="","",Master!AB201)</x:f>
        <x:v>Yes</x:v>
      </x:c>
      <x:c r="AB15" s="3" t="str">
        <x:f>IF(Master!AC201="","",Master!AC201)</x:f>
      </x:c>
      <x:c r="AC15" s="3" t="str">
        <x:f>IF(Master!AD201="","",Master!AD201)</x:f>
      </x:c>
      <x:c r="AD15" s="3" t="str">
        <x:f>IF(Master!AE201="","",Master!AE201)</x:f>
        <x:v>Yes</x:v>
      </x:c>
      <x:c r="AE15" s="3" t="str">
        <x:f>IF(Master!AF201="","",Master!AF201)</x:f>
      </x:c>
      <x:c r="AF15" s="8" t="str">
        <x:f>IF(Master!AG201="","",Master!AG201)</x:f>
      </x:c>
    </x:row>
    <x:row r="16" ht="36" customHeight="1">
      <x:c r="A16" s="17" t="s">
        <x:v>434</x:v>
      </x:c>
      <x:c r="B16" s="3" t="str">
        <x:f>IF(Master!C206="","",Master!C206)</x:f>
        <x:v>Yes</x:v>
      </x:c>
      <x:c r="C16" s="3" t="str">
        <x:f>IF(Master!D206="","",Master!D206)</x:f>
      </x:c>
      <x:c r="D16" s="3" t="str">
        <x:f>IF(Master!E206="","",Master!E206)</x:f>
      </x:c>
      <x:c r="E16" s="3" t="str">
        <x:f>IF(Master!F206="","",Master!F206)</x:f>
        <x:v>Yes</x:v>
      </x:c>
      <x:c r="F16" s="3" t="str">
        <x:f>IF(Master!G206="","",Master!G206)</x:f>
        <x:v>Yes</x:v>
      </x:c>
      <x:c r="G16" s="3" t="str">
        <x:f>IF(Master!H206="","",Master!H206)</x:f>
        <x:v>Yes</x:v>
      </x:c>
      <x:c r="H16" s="3" t="str">
        <x:f>IF(Master!I206="","",Master!I206)</x:f>
        <x:v>Yes</x:v>
      </x:c>
      <x:c r="I16" s="3" t="str">
        <x:f>IF(Master!J206="","",Master!J206)</x:f>
      </x:c>
      <x:c r="J16" s="3" t="str">
        <x:f>IF(Master!K206="","",Master!K206)</x:f>
      </x:c>
      <x:c r="K16" s="3" t="str">
        <x:f>IF(Master!L206="","",Master!L206)</x:f>
        <x:v>Yes: desktop native graph; mobile uses native audio processing</x:v>
      </x:c>
      <x:c r="L16" s="3" t="str">
        <x:f>IF(Master!M206="","",Master!M206)</x:f>
      </x:c>
      <x:c r="M16" s="3" t="str">
        <x:f>IF(Master!N206="","",Master!N206)</x:f>
      </x:c>
      <x:c r="N16" s="3" t="str">
        <x:f>IF(Master!O206="","",Master!O206)</x:f>
      </x:c>
      <x:c r="O16" s="3" t="str">
        <x:f>IF(Master!P206="","",Master!P206)</x:f>
      </x:c>
      <x:c r="P16" s="3" t="str">
        <x:f>IF(Master!Q206="","",Master!Q206)</x:f>
        <x:v>Yes</x:v>
      </x:c>
      <x:c r="Q16" s="3" t="str">
        <x:f>IF(Master!R206="","",Master!R206)</x:f>
      </x:c>
      <x:c r="R16" s="3" t="str">
        <x:f>IF(Master!S206="","",Master!S206)</x:f>
      </x:c>
      <x:c r="S16" s="3" t="str">
        <x:f>IF(Master!T206="","",Master!T206)</x:f>
      </x:c>
      <x:c r="T16" s="3" t="str">
        <x:f>IF(Master!U206="","",Master!U206)</x:f>
      </x:c>
      <x:c r="U16" s="3" t="str">
        <x:f>IF(Master!V206="","",Master!V206)</x:f>
        <x:v>Yes</x:v>
      </x:c>
      <x:c r="V16" s="3" t="str">
        <x:f>IF(Master!W206="","",Master!W206)</x:f>
      </x:c>
      <x:c r="W16" s="3" t="str">
        <x:f>IF(Master!X206="","",Master!X206)</x:f>
      </x:c>
      <x:c r="X16" s="3" t="str">
        <x:f>IF(Master!Y206="","",Master!Y206)</x:f>
      </x:c>
      <x:c r="Y16" s="3" t="str">
        <x:f>IF(Master!Z206="","",Master!Z206)</x:f>
      </x:c>
      <x:c r="Z16" s="3" t="str">
        <x:f>IF(Master!AA206="","",Master!AA206)</x:f>
      </x:c>
      <x:c r="AA16" s="6" t="str">
        <x:f>IF(Master!AB206="","",Master!AB206)</x:f>
      </x:c>
      <x:c r="AB16" s="3" t="str">
        <x:f>IF(Master!AC206="","",Master!AC206)</x:f>
      </x:c>
      <x:c r="AC16" s="3" t="str">
        <x:f>IF(Master!AD206="","",Master!AD206)</x:f>
      </x:c>
      <x:c r="AD16" s="3" t="str">
        <x:f>IF(Master!AE206="","",Master!AE206)</x:f>
        <x:v>Yes</x:v>
      </x:c>
      <x:c r="AE16" s="3" t="str">
        <x:f>IF(Master!AF206="","",Master!AF206)</x:f>
      </x:c>
      <x:c r="AF16" s="8" t="str">
        <x:f>IF(Master!AG206="","",Master!AG206)</x:f>
      </x:c>
    </x:row>
    <x:row r="17" ht="36" customHeight="1">
      <x:c r="A17" s="17" t="s">
        <x:v>435</x:v>
      </x:c>
      <x:c r="B17" s="3" t="str">
        <x:f>IF(Master!C207="","",Master!C207)</x:f>
      </x:c>
      <x:c r="C17" s="3" t="str">
        <x:f>IF(Master!D207="","",Master!D207)</x:f>
      </x:c>
      <x:c r="D17" s="3" t="str">
        <x:f>IF(Master!E207="","",Master!E207)</x:f>
      </x:c>
      <x:c r="E17" s="3" t="str">
        <x:f>IF(Master!F207="","",Master!F207)</x:f>
        <x:v>Yes</x:v>
      </x:c>
      <x:c r="F17" s="3" t="str">
        <x:f>IF(Master!G207="","",Master!G207)</x:f>
      </x:c>
      <x:c r="G17" s="3" t="str">
        <x:f>IF(Master!H207="","",Master!H207)</x:f>
      </x:c>
      <x:c r="H17" s="3" t="str">
        <x:f>IF(Master!I207="","",Master!I207)</x:f>
        <x:v>Yes</x:v>
      </x:c>
      <x:c r="I17" s="3" t="str">
        <x:f>IF(Master!J207="","",Master!J207)</x:f>
      </x:c>
      <x:c r="J17" s="3" t="str">
        <x:f>IF(Master!K207="","",Master!K207)</x:f>
      </x:c>
      <x:c r="K17" s="3" t="str">
        <x:f>IF(Master!L207="","",Master!L207)</x:f>
        <x:v>Not independently documented</x:v>
      </x:c>
      <x:c r="L17" s="3" t="str">
        <x:f>IF(Master!M207="","",Master!M207)</x:f>
      </x:c>
      <x:c r="M17" s="3" t="str">
        <x:f>IF(Master!N207="","",Master!N207)</x:f>
      </x:c>
      <x:c r="N17" s="3" t="str">
        <x:f>IF(Master!O207="","",Master!O207)</x:f>
      </x:c>
      <x:c r="O17" s="3" t="str">
        <x:f>IF(Master!P207="","",Master!P207)</x:f>
      </x:c>
      <x:c r="P17" s="3" t="str">
        <x:f>IF(Master!Q207="","",Master!Q207)</x:f>
      </x:c>
      <x:c r="Q17" s="3" t="str">
        <x:f>IF(Master!R207="","",Master!R207)</x:f>
      </x:c>
      <x:c r="R17" s="3" t="str">
        <x:f>IF(Master!S207="","",Master!S207)</x:f>
      </x:c>
      <x:c r="S17" s="3" t="str">
        <x:f>IF(Master!T207="","",Master!T207)</x:f>
      </x:c>
      <x:c r="T17" s="3" t="str">
        <x:f>IF(Master!U207="","",Master!U207)</x:f>
      </x:c>
      <x:c r="U17" s="3" t="str">
        <x:f>IF(Master!V207="","",Master!V207)</x:f>
        <x:v>Yes</x:v>
      </x:c>
      <x:c r="V17" s="3" t="str">
        <x:f>IF(Master!W207="","",Master!W207)</x:f>
      </x:c>
      <x:c r="W17" s="3" t="str">
        <x:f>IF(Master!X207="","",Master!X207)</x:f>
      </x:c>
      <x:c r="X17" s="3" t="str">
        <x:f>IF(Master!Y207="","",Master!Y207)</x:f>
      </x:c>
      <x:c r="Y17" s="3" t="str">
        <x:f>IF(Master!Z207="","",Master!Z207)</x:f>
      </x:c>
      <x:c r="Z17" s="3" t="str">
        <x:f>IF(Master!AA207="","",Master!AA207)</x:f>
      </x:c>
      <x:c r="AA17" s="6" t="str">
        <x:f>IF(Master!AB207="","",Master!AB207)</x:f>
      </x:c>
      <x:c r="AB17" s="3" t="str">
        <x:f>IF(Master!AC207="","",Master!AC207)</x:f>
      </x:c>
      <x:c r="AC17" s="3" t="str">
        <x:f>IF(Master!AD207="","",Master!AD207)</x:f>
      </x:c>
      <x:c r="AD17" s="3" t="str">
        <x:f>IF(Master!AE207="","",Master!AE207)</x:f>
      </x:c>
      <x:c r="AE17" s="3" t="str">
        <x:f>IF(Master!AF207="","",Master!AF207)</x:f>
      </x:c>
      <x:c r="AF17" s="8" t="str">
        <x:f>IF(Master!AG207="","",Master!AG207)</x:f>
      </x:c>
    </x:row>
    <x:row r="18" ht="23.100000381469727" customHeight="1">
      <x:c r="A18" s="17" t="s">
        <x:v>436</x:v>
      </x:c>
      <x:c r="B18" s="4" t="str">
        <x:f>IF(Master!C210="","",Master!C210)</x:f>
      </x:c>
      <x:c r="C18" s="4" t="str">
        <x:f>IF(Master!D210="","",Master!D210)</x:f>
      </x:c>
      <x:c r="D18" s="4" t="str">
        <x:f>IF(Master!E210="","",Master!E210)</x:f>
      </x:c>
      <x:c r="E18" s="4" t="str">
        <x:f>IF(Master!F210="","",Master!F210)</x:f>
      </x:c>
      <x:c r="F18" s="4" t="str">
        <x:f>IF(Master!G210="","",Master!G210)</x:f>
      </x:c>
      <x:c r="G18" s="4" t="str">
        <x:f>IF(Master!H210="","",Master!H210)</x:f>
      </x:c>
      <x:c r="H18" s="4" t="str">
        <x:f>IF(Master!I210="","",Master!I210)</x:f>
      </x:c>
      <x:c r="I18" s="4" t="str">
        <x:f>IF(Master!J210="","",Master!J210)</x:f>
      </x:c>
      <x:c r="J18" s="4" t="str">
        <x:f>IF(Master!K210="","",Master!K210)</x:f>
      </x:c>
      <x:c r="K18" s="4" t="str">
        <x:f>IF(Master!L210="","",Master!L210)</x:f>
        <x:v>No native recording</x:v>
      </x:c>
      <x:c r="L18" s="4" t="str">
        <x:f>IF(Master!M210="","",Master!M210)</x:f>
      </x:c>
      <x:c r="M18" s="4" t="str">
        <x:f>IF(Master!N210="","",Master!N210)</x:f>
      </x:c>
      <x:c r="N18" s="4" t="str">
        <x:f>IF(Master!O210="","",Master!O210)</x:f>
      </x:c>
      <x:c r="O18" s="4" t="str">
        <x:f>IF(Master!P210="","",Master!P210)</x:f>
      </x:c>
      <x:c r="P18" s="4" t="str">
        <x:f>IF(Master!Q210="","",Master!Q210)</x:f>
      </x:c>
      <x:c r="Q18" s="4" t="str">
        <x:f>IF(Master!R210="","",Master!R210)</x:f>
      </x:c>
      <x:c r="R18" s="4" t="str">
        <x:f>IF(Master!S210="","",Master!S210)</x:f>
      </x:c>
      <x:c r="S18" s="4" t="str">
        <x:f>IF(Master!T210="","",Master!T210)</x:f>
      </x:c>
      <x:c r="T18" s="4" t="str">
        <x:f>IF(Master!U210="","",Master!U210)</x:f>
      </x:c>
      <x:c r="U18" s="4" t="str">
        <x:f>IF(Master!V210="","",Master!V210)</x:f>
      </x:c>
      <x:c r="V18" s="4" t="str">
        <x:f>IF(Master!W210="","",Master!W210)</x:f>
      </x:c>
      <x:c r="W18" s="4" t="str">
        <x:f>IF(Master!X210="","",Master!X210)</x:f>
      </x:c>
      <x:c r="X18" s="4" t="str">
        <x:f>IF(Master!Y210="","",Master!Y210)</x:f>
      </x:c>
      <x:c r="Y18" s="4" t="str">
        <x:f>IF(Master!Z210="","",Master!Z210)</x:f>
      </x:c>
      <x:c r="Z18" s="4" t="str">
        <x:f>IF(Master!AA210="","",Master!AA210)</x:f>
      </x:c>
      <x:c r="AA18" s="5" t="str">
        <x:f>IF(Master!AB210="","",Master!AB210)</x:f>
      </x:c>
      <x:c r="AB18" s="4" t="str">
        <x:f>IF(Master!AC210="","",Master!AC210)</x:f>
      </x:c>
      <x:c r="AC18" s="4" t="str">
        <x:f>IF(Master!AD210="","",Master!AD210)</x:f>
      </x:c>
      <x:c r="AD18" s="4" t="str">
        <x:f>IF(Master!AE210="","",Master!AE210)</x:f>
      </x:c>
      <x:c r="AE18" s="4" t="str">
        <x:f>IF(Master!AF210="","",Master!AF210)</x:f>
      </x:c>
      <x:c r="AF18" s="8" t="str">
        <x:f>IF(Master!AG210="","",Master!AG210)</x:f>
      </x:c>
    </x:row>
    <x:row r="19" ht="36" customHeight="1">
      <x:c r="A19" s="17" t="s">
        <x:v>437</x:v>
      </x:c>
      <x:c r="B19" s="3" t="str">
        <x:f>IF(Master!C211="","",Master!C211)</x:f>
      </x:c>
      <x:c r="C19" s="3" t="str">
        <x:f>IF(Master!D211="","",Master!D211)</x:f>
      </x:c>
      <x:c r="D19" s="3" t="str">
        <x:f>IF(Master!E211="","",Master!E211)</x:f>
      </x:c>
      <x:c r="E19" s="3" t="str">
        <x:f>IF(Master!F211="","",Master!F211)</x:f>
      </x:c>
      <x:c r="F19" s="3" t="str">
        <x:f>IF(Master!G211="","",Master!G211)</x:f>
      </x:c>
      <x:c r="G19" s="3" t="str">
        <x:f>IF(Master!H211="","",Master!H211)</x:f>
      </x:c>
      <x:c r="H19" s="3" t="str">
        <x:f>IF(Master!I211="","",Master!I211)</x:f>
      </x:c>
      <x:c r="I19" s="3" t="str">
        <x:f>IF(Master!J211="","",Master!J211)</x:f>
      </x:c>
      <x:c r="J19" s="3" t="str">
        <x:f>IF(Master!K211="","",Master!K211)</x:f>
      </x:c>
      <x:c r="K19" s="3" t="str">
        <x:f>IF(Master!L211="","",Master!L211)</x:f>
        <x:v>No native transcription</x:v>
      </x:c>
      <x:c r="L19" s="3" t="str">
        <x:f>IF(Master!M211="","",Master!M211)</x:f>
      </x:c>
      <x:c r="M19" s="3" t="str">
        <x:f>IF(Master!N211="","",Master!N211)</x:f>
      </x:c>
      <x:c r="N19" s="3" t="str">
        <x:f>IF(Master!O211="","",Master!O211)</x:f>
      </x:c>
      <x:c r="O19" s="3" t="str">
        <x:f>IF(Master!P211="","",Master!P211)</x:f>
        <x:v>Yes</x:v>
      </x:c>
      <x:c r="P19" s="3" t="str">
        <x:f>IF(Master!Q211="","",Master!Q211)</x:f>
        <x:v>Yes</x:v>
      </x:c>
      <x:c r="Q19" s="3" t="str">
        <x:f>IF(Master!R211="","",Master!R211)</x:f>
      </x:c>
      <x:c r="R19" s="3" t="str">
        <x:f>IF(Master!S211="","",Master!S211)</x:f>
      </x:c>
      <x:c r="S19" s="3" t="str">
        <x:f>IF(Master!T211="","",Master!T211)</x:f>
      </x:c>
      <x:c r="T19" s="3" t="str">
        <x:f>IF(Master!U211="","",Master!U211)</x:f>
      </x:c>
      <x:c r="U19" s="3" t="str">
        <x:f>IF(Master!V211="","",Master!V211)</x:f>
        <x:v>No</x:v>
      </x:c>
      <x:c r="V19" s="3" t="str">
        <x:f>IF(Master!W211="","",Master!W211)</x:f>
      </x:c>
      <x:c r="W19" s="3" t="str">
        <x:f>IF(Master!X211="","",Master!X211)</x:f>
      </x:c>
      <x:c r="X19" s="3" t="str">
        <x:f>IF(Master!Y211="","",Master!Y211)</x:f>
      </x:c>
      <x:c r="Y19" s="3" t="str">
        <x:f>IF(Master!Z211="","",Master!Z211)</x:f>
      </x:c>
      <x:c r="Z19" s="3" t="str">
        <x:f>IF(Master!AA211="","",Master!AA211)</x:f>
      </x:c>
      <x:c r="AA19" s="6" t="str">
        <x:f>IF(Master!AB211="","",Master!AB211)</x:f>
      </x:c>
      <x:c r="AB19" s="3" t="str">
        <x:f>IF(Master!AC211="","",Master!AC211)</x:f>
      </x:c>
      <x:c r="AC19" s="3" t="str">
        <x:f>IF(Master!AD211="","",Master!AD211)</x:f>
      </x:c>
      <x:c r="AD19" s="3" t="str">
        <x:f>IF(Master!AE211="","",Master!AE211)</x:f>
      </x:c>
      <x:c r="AE19" s="3" t="str">
        <x:f>IF(Master!AF211="","",Master!AF211)</x:f>
      </x:c>
      <x:c r="AF19" s="8" t="str">
        <x:f>IF(Master!AG211="","",Master!AG211)</x:f>
      </x:c>
    </x:row>
    <x:row r="20" ht="36" customHeight="1">
      <x:c r="A20" s="17" t="s">
        <x:v>438</x:v>
      </x:c>
      <x:c r="B20" s="3" t="str">
        <x:f>IF(Master!C188="","",Master!C188)</x:f>
        <x:v>No native launcher</x:v>
      </x:c>
      <x:c r="C20" s="3" t="str">
        <x:f>IF(Master!D188="","",Master!D188)</x:f>
      </x:c>
      <x:c r="D20" s="3" t="str">
        <x:f>IF(Master!E188="","",Master!E188)</x:f>
      </x:c>
      <x:c r="E20" s="3" t="str">
        <x:f>IF(Master!F188="","",Master!F188)</x:f>
      </x:c>
      <x:c r="F20" s="3" t="str">
        <x:f>IF(Master!G188="","",Master!G188)</x:f>
      </x:c>
      <x:c r="G20" s="3" t="str">
        <x:f>IF(Master!H188="","",Master!H188)</x:f>
      </x:c>
      <x:c r="H20" s="3" t="str">
        <x:f>IF(Master!I188="","",Master!I188)</x:f>
      </x:c>
      <x:c r="I20" s="3" t="str">
        <x:f>IF(Master!J188="","",Master!J188)</x:f>
      </x:c>
      <x:c r="J20" s="3" t="str">
        <x:f>IF(Master!K188="","",Master!K188)</x:f>
      </x:c>
      <x:c r="K20" s="3" t="str">
        <x:f>IF(Master!L188="","",Master!L188)</x:f>
        <x:v>No temporary/launcher voice-room workflow documented</x:v>
      </x:c>
      <x:c r="L20" s="3" t="str">
        <x:f>IF(Master!M188="","",Master!M188)</x:f>
      </x:c>
      <x:c r="M20" s="3" t="str">
        <x:f>IF(Master!N188="","",Master!N188)</x:f>
      </x:c>
      <x:c r="N20" s="3" t="str">
        <x:f>IF(Master!O188="","",Master!O188)</x:f>
      </x:c>
      <x:c r="O20" s="3" t="str">
        <x:f>IF(Master!P188="","",Master!P188)</x:f>
      </x:c>
      <x:c r="P20" s="3" t="str">
        <x:f>IF(Master!Q188="","",Master!Q188)</x:f>
      </x:c>
      <x:c r="Q20" s="3" t="str">
        <x:f>IF(Master!R188="","",Master!R188)</x:f>
      </x:c>
      <x:c r="R20" s="3" t="str">
        <x:f>IF(Master!S188="","",Master!S188)</x:f>
      </x:c>
      <x:c r="S20" s="3" t="str">
        <x:f>IF(Master!T188="","",Master!T188)</x:f>
      </x:c>
      <x:c r="T20" s="3" t="str">
        <x:f>IF(Master!U188="","",Master!U188)</x:f>
      </x:c>
      <x:c r="U20" s="3" t="str">
        <x:f>IF(Master!V188="","",Master!V188)</x:f>
        <x:v>Yes: auto-spawn/delete rooms</x:v>
      </x:c>
      <x:c r="V20" s="3" t="str">
        <x:f>IF(Master!W188="","",Master!W188)</x:f>
      </x:c>
      <x:c r="W20" s="3" t="str">
        <x:f>IF(Master!X188="","",Master!X188)</x:f>
      </x:c>
      <x:c r="X20" s="3" t="str">
        <x:f>IF(Master!Y188="","",Master!Y188)</x:f>
      </x:c>
      <x:c r="Y20" s="3" t="str">
        <x:f>IF(Master!Z188="","",Master!Z188)</x:f>
      </x:c>
      <x:c r="Z20" s="3" t="str">
        <x:f>IF(Master!AA188="","",Master!AA188)</x:f>
      </x:c>
      <x:c r="AA20" s="6" t="str">
        <x:f>IF(Master!AB188="","",Master!AB188)</x:f>
      </x:c>
      <x:c r="AB20" s="3" t="str">
        <x:f>IF(Master!AC188="","",Master!AC188)</x:f>
      </x:c>
      <x:c r="AC20" s="3" t="str">
        <x:f>IF(Master!AD188="","",Master!AD188)</x:f>
      </x:c>
      <x:c r="AD20" s="3" t="str">
        <x:f>IF(Master!AE188="","",Master!AE188)</x:f>
      </x:c>
      <x:c r="AE20" s="3" t="str">
        <x:f>IF(Master!AF188="","",Master!AF188)</x:f>
      </x:c>
      <x:c r="AF20" s="8" t="str">
        <x:f>IF(Master!AG188="","",Master!AG188)</x:f>
      </x:c>
    </x:row>
  </x:sheetData>
  <x:mergeCells>
    <x:mergeCell ref="A1:A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Directory'!A1","Voice &amp; Audio: Normalized Detail"),"Voice &amp; Audio: Normalized Detail")</x:f>
        <x:v>Voice &amp; Audio: Normalized Detail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439</x:v>
      </x:c>
      <x:c r="B3" s="4" t="str">
        <x:f>IF(Master!C189="","",Master!C189)</x:f>
      </x:c>
      <x:c r="C3" s="4" t="str">
        <x:f>IF(Master!D189="","",Master!D189)</x:f>
      </x:c>
      <x:c r="D3" s="4" t="str">
        <x:f>IF(Master!E189="","",Master!E189)</x:f>
      </x:c>
      <x:c r="E3" s="4" t="str">
        <x:f>IF(Master!F189="","",Master!F189)</x:f>
      </x:c>
      <x:c r="F3" s="4" t="str">
        <x:f>IF(Master!G189="","",Master!G189)</x:f>
      </x:c>
      <x:c r="G3" s="4" t="str">
        <x:f>IF(Master!H189="","",Master!H189)</x:f>
      </x:c>
      <x:c r="H3" s="4" t="str">
        <x:f>IF(Master!I189="","",Master!I189)</x:f>
      </x:c>
      <x:c r="I3" s="4" t="str">
        <x:f>IF(Master!J189="","",Master!J189)</x:f>
      </x:c>
      <x:c r="J3" s="4" t="str">
        <x:f>IF(Master!K189="","",Master!K189)</x:f>
      </x:c>
      <x:c r="K3" s="4" t="str">
        <x:f>IF(Master!L189="","",Master!L189)</x:f>
        <x:v>Persistent guild voice channels + ad-hoc 1:1/group-DM calls</x:v>
      </x:c>
      <x:c r="L3" s="4" t="str">
        <x:f>IF(Master!M189="","",Master!M189)</x:f>
      </x:c>
      <x:c r="M3" s="4" t="str">
        <x:f>IF(Master!N189="","",Master!N189)</x:f>
      </x:c>
      <x:c r="N3" s="4" t="str">
        <x:f>IF(Master!O189="","",Master!O189)</x:f>
      </x:c>
      <x:c r="O3" s="4" t="str">
        <x:f>IF(Master!P189="","",Master!P189)</x:f>
      </x:c>
      <x:c r="P3" s="4" t="str">
        <x:f>IF(Master!Q189="","",Master!Q189)</x:f>
      </x:c>
      <x:c r="Q3" s="4" t="str">
        <x:f>IF(Master!R189="","",Master!R189)</x:f>
      </x:c>
      <x:c r="R3" s="4" t="str">
        <x:f>IF(Master!S189="","",Master!S189)</x:f>
      </x:c>
      <x:c r="S3" s="4" t="str">
        <x:f>IF(Master!T189="","",Master!T189)</x:f>
      </x:c>
      <x:c r="T3" s="4" t="str">
        <x:f>IF(Master!U189="","",Master!U189)</x:f>
      </x:c>
      <x:c r="U3" s="4" t="str">
        <x:f>IF(Master!V189="","",Master!V189)</x:f>
        <x:v>Persistant Shard Voice
DM Calls</x:v>
      </x:c>
      <x:c r="V3" s="4" t="str">
        <x:f>IF(Master!W189="","",Master!W189)</x:f>
      </x:c>
      <x:c r="W3" s="4" t="str">
        <x:f>IF(Master!X189="","",Master!X189)</x:f>
      </x:c>
      <x:c r="X3" s="4" t="str">
        <x:f>IF(Master!Y189="","",Master!Y189)</x:f>
      </x:c>
      <x:c r="Y3" s="4" t="str">
        <x:f>IF(Master!Z189="","",Master!Z189)</x:f>
      </x:c>
      <x:c r="Z3" s="4" t="str">
        <x:f>IF(Master!AA189="","",Master!AA189)</x:f>
      </x:c>
      <x:c r="AA3" s="5" t="str">
        <x:f>IF(Master!AB189="","",Master!AB189)</x:f>
      </x:c>
      <x:c r="AB3" s="4" t="str">
        <x:f>IF(Master!AC189="","",Master!AC189)</x:f>
      </x:c>
      <x:c r="AC3" s="4" t="str">
        <x:f>IF(Master!AD189="","",Master!AD189)</x:f>
      </x:c>
      <x:c r="AD3" s="4" t="str">
        <x:f>IF(Master!AE189="","",Master!AE189)</x:f>
      </x:c>
      <x:c r="AE3" s="4" t="str">
        <x:f>IF(Master!AF189="","",Master!AF189)</x:f>
      </x:c>
      <x:c r="AF3" s="8" t="str">
        <x:f>IF(Master!AG189="","",Master!AG189)</x:f>
      </x:c>
    </x:row>
    <x:row r="4" ht="36" customHeight="1">
      <x:c r="A4" s="17" t="s">
        <x:v>440</x:v>
      </x:c>
      <x:c r="B4" s="3" t="str">
        <x:f>IF(Master!C190="","",Master!C190)</x:f>
        <x:v>Persistent server voice channels + ad-hoc DM/GDM calls</x:v>
      </x:c>
      <x:c r="C4" s="3" t="str">
        <x:f>IF(Master!D190="","",Master!D190)</x:f>
        <x:v>Live voice rooms</x:v>
      </x:c>
      <x:c r="D4" s="3" t="str">
        <x:f>IF(Master!E190="","",Master!E190)</x:f>
        <x:v>Persistent server voice + messenger</x:v>
      </x:c>
      <x:c r="E4" s="3" t="str">
        <x:f>IF(Master!F190="","",Master!F190)</x:f>
        <x:v>Persistent voice channels</x:v>
      </x:c>
      <x:c r="F4" s="3" t="str">
        <x:f>IF(Master!G190="","",Master!G190)</x:f>
        <x:v>Persistent community voice + calls</x:v>
      </x:c>
      <x:c r="G4" s="3" t="str">
        <x:f>IF(Master!H190="","",Master!H190)</x:f>
        <x:v>Persistent community voice + DM calls</x:v>
      </x:c>
      <x:c r="H4" s="3" t="str">
        <x:f>IF(Master!I190="","",Master!I190)</x:f>
        <x:v>Persistent voice rooms + calls</x:v>
      </x:c>
      <x:c r="I4" s="3" t="str">
        <x:f>IF(Master!J190="","",Master!J190)</x:f>
        <x:v>Yes: LiveKit</x:v>
      </x:c>
      <x:c r="J4" s="3" t="str">
        <x:f>IF(Master!K190="","",Master!K190)</x:f>
      </x:c>
      <x:c r="K4" s="3" t="str">
        <x:f>IF(Master!L190="","",Master!L190)</x:f>
        <x:v>Yes</x:v>
      </x:c>
      <x:c r="L4" s="3" t="str">
        <x:f>IF(Master!M190="","",Master!M190)</x:f>
        <x:v>Voice channels</x:v>
      </x:c>
      <x:c r="M4" s="3" t="str">
        <x:f>IF(Master!N190="","",Master!N190)</x:f>
        <x:v>Persistent voice rooms</x:v>
      </x:c>
      <x:c r="N4" s="3" t="str">
        <x:f>IF(Master!O190="","",Master!O190)</x:f>
        <x:v>Client-dependent; MatrixRTC/VoIP rooms and calls</x:v>
      </x:c>
      <x:c r="O4" s="3" t="str">
        <x:f>IF(Master!P190="","",Master!P190)</x:f>
        <x:v>Native Calls in channels/DMs; persistent text channels with ad-hoc calls</x:v>
      </x:c>
      <x:c r="P4" s="3" t="str">
        <x:f>IF(Master!Q190="","",Master!Q190)</x:f>
        <x:v>Voice/video calls</x:v>
      </x:c>
      <x:c r="Q4" s="3" t="str">
        <x:f>IF(Master!R190="","",Master!R190)</x:f>
        <x:v>Persistent hierarchical voice channels</x:v>
      </x:c>
      <x:c r="R4" s="3" t="str">
        <x:f>IF(Master!S190="","",Master!S190)</x:f>
      </x:c>
      <x:c r="S4" s="3" t="str">
        <x:f>IF(Master!T190="","",Master!T190)</x:f>
        <x:v>Persistent voice/video channels</x:v>
      </x:c>
      <x:c r="T4" s="3" t="str">
        <x:f>IF(Master!U190="","",Master!U190)</x:f>
        <x:v>Yes</x:v>
      </x:c>
      <x:c r="U4" s="3" t="str">
        <x:f>IF(Master!V190="","",Master!V190)</x:f>
        <x:v>Yes: voice/communities</x:v>
      </x:c>
      <x:c r="V4" s="3" t="str">
        <x:f>IF(Master!W190="","",Master!W190)</x:f>
        <x:v>Calls/video depend on deployment/provider/integration; not Discord-style universal persistent voice</x:v>
      </x:c>
      <x:c r="W4" s="3" t="str">
        <x:f>IF(Master!X190="","",Master!X190)</x:f>
        <x:v>No mature native voice feature verified</x:v>
      </x:c>
      <x:c r="X4" s="3" t="str">
        <x:f>IF(Master!Y190="","",Master!Y190)</x:f>
        <x:v>Persistent community voice + DM calls</x:v>
      </x:c>
      <x:c r="Y4" s="3" t="str">
        <x:f>IF(Master!Z190="","",Master!Z190)</x:f>
        <x:v>Optional persistent guild + DM voice via WebRTC media package</x:v>
      </x:c>
      <x:c r="Z4" s="3" t="str">
        <x:f>IF(Master!AA190="","",Master!AA190)</x:f>
        <x:v>Persistent server voice channels + calls</x:v>
      </x:c>
      <x:c r="AA4" s="6" t="str">
        <x:f>IF(Master!AB190="","",Master!AB190)</x:f>
        <x:v>Persistent voice channels</x:v>
      </x:c>
      <x:c r="AB4" s="3" t="str">
        <x:f>IF(Master!AC190="","",Master!AC190)</x:f>
        <x:v>Persistent voice channels</x:v>
      </x:c>
      <x:c r="AC4" s="3" t="str">
        <x:f>IF(Master!AD190="","",Master!AD190)</x:f>
        <x:v>Voice supported; Linux mic I/O issues reported</x:v>
      </x:c>
      <x:c r="AD4" s="3" t="str">
        <x:f>IF(Master!AE190="","",Master!AE190)</x:f>
        <x:v>Voice in every room</x:v>
      </x:c>
      <x:c r="AE4" s="3" t="str">
        <x:f>IF(Master!AF190="","",Master!AF190)</x:f>
        <x:v>Persistent spatial voice channels</x:v>
      </x:c>
      <x:c r="AF4" s="8" t="str">
        <x:f>IF(Master!AG190="","",Master!AG190)</x:f>
        <x:v>No native persistent voice rooms; integrates external call providers</x:v>
      </x:c>
    </x:row>
    <x:row r="5" ht="36" customHeight="1">
      <x:c r="A5" s="17" t="s">
        <x:v>431</x:v>
      </x:c>
      <x:c r="B5" s="3" t="str">
        <x:f>IF(Master!C191="","",Master!C191)</x:f>
        <x:v>Yes</x:v>
      </x:c>
      <x:c r="C5" s="3" t="str">
        <x:f>IF(Master!D191="","",Master!D191)</x:f>
      </x:c>
      <x:c r="D5" s="3" t="str">
        <x:f>IF(Master!E191="","",Master!E191)</x:f>
      </x:c>
      <x:c r="E5" s="3" t="str">
        <x:f>IF(Master!F191="","",Master!F191)</x:f>
        <x:v>Yes</x:v>
      </x:c>
      <x:c r="F5" s="3" t="str">
        <x:f>IF(Master!G191="","",Master!G191)</x:f>
        <x:v>Yes</x:v>
      </x:c>
      <x:c r="G5" s="3" t="str">
        <x:f>IF(Master!H191="","",Master!H191)</x:f>
        <x:v>Yes</x:v>
      </x:c>
      <x:c r="H5" s="3" t="str">
        <x:f>IF(Master!I191="","",Master!I191)</x:f>
        <x:v>Yes</x:v>
      </x:c>
      <x:c r="I5" s="3" t="str">
        <x:f>IF(Master!J191="","",Master!J191)</x:f>
      </x:c>
      <x:c r="J5" s="3" t="str">
        <x:f>IF(Master!K191="","",Master!K191)</x:f>
      </x:c>
      <x:c r="K5" s="3" t="str">
        <x:f>IF(Master!L191="","",Master!L191)</x:f>
        <x:v>Yes</x:v>
      </x:c>
      <x:c r="L5" s="3" t="str">
        <x:f>IF(Master!M191="","",Master!M191)</x:f>
      </x:c>
      <x:c r="M5" s="3" t="str">
        <x:f>IF(Master!N191="","",Master!N191)</x:f>
      </x:c>
      <x:c r="N5" s="3" t="str">
        <x:f>IF(Master!O191="","",Master!O191)</x:f>
        <x:v>Client-dependent</x:v>
      </x:c>
      <x:c r="O5" s="3" t="str">
        <x:f>IF(Master!P191="","",Master!P191)</x:f>
      </x:c>
      <x:c r="P5" s="3" t="str">
        <x:f>IF(Master!Q191="","",Master!Q191)</x:f>
        <x:v>Yes</x:v>
      </x:c>
      <x:c r="Q5" s="3" t="str">
        <x:f>IF(Master!R191="","",Master!R191)</x:f>
      </x:c>
      <x:c r="R5" s="3" t="str">
        <x:f>IF(Master!S191="","",Master!S191)</x:f>
      </x:c>
      <x:c r="S5" s="3" t="str">
        <x:f>IF(Master!T191="","",Master!T191)</x:f>
      </x:c>
      <x:c r="T5" s="3" t="str">
        <x:f>IF(Master!U191="","",Master!U191)</x:f>
        <x:v>Yes</x:v>
      </x:c>
      <x:c r="U5" s="3" t="str">
        <x:f>IF(Master!V191="","",Master!V191)</x:f>
        <x:v>Yes</x:v>
      </x:c>
      <x:c r="V5" s="3" t="str">
        <x:f>IF(Master!W191="","",Master!W191)</x:f>
      </x:c>
      <x:c r="W5" s="3" t="str">
        <x:f>IF(Master!X191="","",Master!X191)</x:f>
      </x:c>
      <x:c r="X5" s="3" t="str">
        <x:f>IF(Master!Y191="","",Master!Y191)</x:f>
        <x:v>Yes</x:v>
      </x:c>
      <x:c r="Y5" s="3" t="str">
        <x:f>IF(Master!Z191="","",Master!Z191)</x:f>
      </x:c>
      <x:c r="Z5" s="3" t="str">
        <x:f>IF(Master!AA191="","",Master!AA191)</x:f>
      </x:c>
      <x:c r="AA5" s="6" t="str">
        <x:f>IF(Master!AB191="","",Master!AB191)</x:f>
      </x:c>
      <x:c r="AB5" s="3" t="str">
        <x:f>IF(Master!AC191="","",Master!AC191)</x:f>
      </x:c>
      <x:c r="AC5" s="3" t="str">
        <x:f>IF(Master!AD191="","",Master!AD191)</x:f>
      </x:c>
      <x:c r="AD5" s="3" t="str">
        <x:f>IF(Master!AE191="","",Master!AE191)</x:f>
        <x:v>Yes</x:v>
      </x:c>
      <x:c r="AE5" s="3" t="str">
        <x:f>IF(Master!AF191="","",Master!AF191)</x:f>
      </x:c>
      <x:c r="AF5" s="8" t="str">
        <x:f>IF(Master!AG191="","",Master!AG191)</x:f>
      </x:c>
    </x:row>
    <x:row r="6" ht="36" customHeight="1">
      <x:c r="A6" s="17" t="s">
        <x:v>432</x:v>
      </x:c>
      <x:c r="B6" s="3" t="str">
        <x:f>IF(Master!C192="","",Master!C192)</x:f>
        <x:v>Yes</x:v>
      </x:c>
      <x:c r="C6" s="3" t="str">
        <x:f>IF(Master!D192="","",Master!D192)</x:f>
      </x:c>
      <x:c r="D6" s="3" t="str">
        <x:f>IF(Master!E192="","",Master!E192)</x:f>
      </x:c>
      <x:c r="E6" s="3" t="str">
        <x:f>IF(Master!F192="","",Master!F192)</x:f>
        <x:v>Yes</x:v>
      </x:c>
      <x:c r="F6" s="3" t="str">
        <x:f>IF(Master!G192="","",Master!G192)</x:f>
        <x:v>Yes</x:v>
      </x:c>
      <x:c r="G6" s="3" t="str">
        <x:f>IF(Master!H192="","",Master!H192)</x:f>
        <x:v>Yes</x:v>
      </x:c>
      <x:c r="H6" s="3" t="str">
        <x:f>IF(Master!I192="","",Master!I192)</x:f>
        <x:v>Yes</x:v>
      </x:c>
      <x:c r="I6" s="3" t="str">
        <x:f>IF(Master!J192="","",Master!J192)</x:f>
      </x:c>
      <x:c r="J6" s="3" t="str">
        <x:f>IF(Master!K192="","",Master!K192)</x:f>
      </x:c>
      <x:c r="K6" s="3" t="str">
        <x:f>IF(Master!L192="","",Master!L192)</x:f>
        <x:v>Yes</x:v>
      </x:c>
      <x:c r="L6" s="3" t="str">
        <x:f>IF(Master!M192="","",Master!M192)</x:f>
      </x:c>
      <x:c r="M6" s="3" t="str">
        <x:f>IF(Master!N192="","",Master!N192)</x:f>
      </x:c>
      <x:c r="N6" s="3" t="str">
        <x:f>IF(Master!O192="","",Master!O192)</x:f>
        <x:v>Client-dependent</x:v>
      </x:c>
      <x:c r="O6" s="3" t="str">
        <x:f>IF(Master!P192="","",Master!P192)</x:f>
      </x:c>
      <x:c r="P6" s="3" t="str">
        <x:f>IF(Master!Q192="","",Master!Q192)</x:f>
        <x:v>Yes</x:v>
      </x:c>
      <x:c r="Q6" s="3" t="str">
        <x:f>IF(Master!R192="","",Master!R192)</x:f>
      </x:c>
      <x:c r="R6" s="3" t="str">
        <x:f>IF(Master!S192="","",Master!S192)</x:f>
      </x:c>
      <x:c r="S6" s="3" t="str">
        <x:f>IF(Master!T192="","",Master!T192)</x:f>
      </x:c>
      <x:c r="T6" s="3" t="str">
        <x:f>IF(Master!U192="","",Master!U192)</x:f>
      </x:c>
      <x:c r="U6" s="3" t="str">
        <x:f>IF(Master!V192="","",Master!V192)</x:f>
        <x:v>No</x:v>
      </x:c>
      <x:c r="V6" s="3" t="str">
        <x:f>IF(Master!W192="","",Master!W192)</x:f>
      </x:c>
      <x:c r="W6" s="3" t="str">
        <x:f>IF(Master!X192="","",Master!X192)</x:f>
      </x:c>
      <x:c r="X6" s="3" t="str">
        <x:f>IF(Master!Y192="","",Master!Y192)</x:f>
        <x:v>Yes</x:v>
      </x:c>
      <x:c r="Y6" s="3" t="str">
        <x:f>IF(Master!Z192="","",Master!Z192)</x:f>
      </x:c>
      <x:c r="Z6" s="3" t="str">
        <x:f>IF(Master!AA192="","",Master!AA192)</x:f>
      </x:c>
      <x:c r="AA6" s="6" t="str">
        <x:f>IF(Master!AB192="","",Master!AB192)</x:f>
      </x:c>
      <x:c r="AB6" s="3" t="str">
        <x:f>IF(Master!AC192="","",Master!AC192)</x:f>
      </x:c>
      <x:c r="AC6" s="3" t="str">
        <x:f>IF(Master!AD192="","",Master!AD192)</x:f>
      </x:c>
      <x:c r="AD6" s="3" t="str">
        <x:f>IF(Master!AE192="","",Master!AE192)</x:f>
        <x:v>Yes</x:v>
      </x:c>
      <x:c r="AE6" s="3" t="str">
        <x:f>IF(Master!AF192="","",Master!AF192)</x:f>
      </x:c>
      <x:c r="AF6" s="8" t="str">
        <x:f>IF(Master!AG192="","",Master!AG192)</x:f>
      </x:c>
    </x:row>
    <x:row r="7" ht="36" customHeight="1">
      <x:c r="A7" s="17" t="s">
        <x:v>441</x:v>
      </x:c>
      <x:c r="B7" s="3" t="str">
        <x:f>IF(Master!C193="","",Master!C193)</x:f>
        <x:v>Yes</x:v>
      </x:c>
      <x:c r="C7" s="3" t="str">
        <x:f>IF(Master!D193="","",Master!D193)</x:f>
      </x:c>
      <x:c r="D7" s="3" t="str">
        <x:f>IF(Master!E193="","",Master!E193)</x:f>
        <x:v>No Stage verified</x:v>
      </x:c>
      <x:c r="E7" s="3" t="str">
        <x:f>IF(Master!F193="","",Master!F193)</x:f>
        <x:v>No Stage verified</x:v>
      </x:c>
      <x:c r="F7" s="3" t="str">
        <x:f>IF(Master!G193="","",Master!G193)</x:f>
        <x:v>Nested voice / host-broadcasting planned</x:v>
      </x:c>
      <x:c r="G7" s="3" t="str">
        <x:f>IF(Master!H193="","",Master!H193)</x:f>
      </x:c>
      <x:c r="H7" s="3" t="str">
        <x:f>IF(Master!I193="","",Master!I193)</x:f>
        <x:v>No Discord-style Stage verified</x:v>
      </x:c>
      <x:c r="I7" s="3" t="str">
        <x:f>IF(Master!J193="","",Master!J193)</x:f>
        <x:v>No</x:v>
      </x:c>
      <x:c r="J7" s="3" t="str">
        <x:f>IF(Master!K193="","",Master!K193)</x:f>
        <x:v>No</x:v>
      </x:c>
      <x:c r="K7" s="3" t="str">
        <x:f>IF(Master!L193="","",Master!L193)</x:f>
        <x:v>Yes: developer reports Stage channels</x:v>
      </x:c>
      <x:c r="L7" s="3" t="str">
        <x:f>IF(Master!M193="","",Master!M193)</x:f>
        <x:v>No</x:v>
      </x:c>
      <x:c r="M7" s="3" t="str">
        <x:f>IF(Master!N193="","",Master!N193)</x:f>
      </x:c>
      <x:c r="N7" s="3" t="str">
        <x:f>IF(Master!O193="","",Master!O193)</x:f>
        <x:v>Client-dependent</x:v>
      </x:c>
      <x:c r="O7" s="3" t="str">
        <x:f>IF(Master!P193="","",Master!P193)</x:f>
        <x:v>Raise-hand supported in Calls</x:v>
      </x:c>
      <x:c r="P7" s="3" t="str">
        <x:f>IF(Master!Q193="","",Master!Q193)</x:f>
      </x:c>
      <x:c r="Q7" s="3" t="str">
        <x:f>IF(Master!R193="","",Master!R193)</x:f>
        <x:v>No Discord Stage equivalent</x:v>
      </x:c>
      <x:c r="R7" s="3" t="str">
        <x:f>IF(Master!S193="","",Master!S193)</x:f>
        <x:v>No</x:v>
      </x:c>
      <x:c r="S7" s="3" t="str">
        <x:f>IF(Master!T193="","",Master!T193)</x:f>
        <x:v>No Stage verified</x:v>
      </x:c>
      <x:c r="T7" s="3" t="str">
        <x:f>IF(Master!U193="","",Master!U193)</x:f>
        <x:v>No Stage</x:v>
      </x:c>
      <x:c r="U7" s="3" t="str">
        <x:f>IF(Master!V193="","",Master!V193)</x:f>
        <x:v>No Stage</x:v>
      </x:c>
      <x:c r="V7" s="3" t="str">
        <x:f>IF(Master!W193="","",Master!W193)</x:f>
      </x:c>
      <x:c r="W7" s="3" t="str">
        <x:f>IF(Master!X193="","",Master!X193)</x:f>
        <x:v>N/A</x:v>
      </x:c>
      <x:c r="X7" s="3" t="str">
        <x:f>IF(Master!Y193="","",Master!Y193)</x:f>
        <x:v>No dedicated Stage verified</x:v>
      </x:c>
      <x:c r="Y7" s="3" t="str">
        <x:f>IF(Master!Z193="","",Master!Z193)</x:f>
      </x:c>
      <x:c r="Z7" s="3" t="str">
        <x:f>IF(Master!AA193="","",Master!AA193)</x:f>
        <x:v>No Discord-style Stage verified</x:v>
      </x:c>
      <x:c r="AA7" s="6" t="str">
        <x:f>IF(Master!AB193="","",Master!AB193)</x:f>
        <x:v>No Discord Stage equivalent verified</x:v>
      </x:c>
      <x:c r="AB7" s="3" t="str">
        <x:f>IF(Master!AC193="","",Master!AC193)</x:f>
        <x:v>No Stage verified</x:v>
      </x:c>
      <x:c r="AC7" s="3" t="str">
        <x:f>IF(Master!AD193="","",Master!AD193)</x:f>
        <x:v>No</x:v>
      </x:c>
      <x:c r="AD7" s="3" t="str">
        <x:f>IF(Master!AE193="","",Master!AE193)</x:f>
        <x:v>Stage is a general room stage/media surface, not Discord Stage</x:v>
      </x:c>
      <x:c r="AE7" s="3" t="str">
        <x:f>IF(Master!AF193="","",Master!AF193)</x:f>
        <x:v>No Stage</x:v>
      </x:c>
      <x:c r="AF7" s="8" t="str">
        <x:f>IF(Master!AG193="","",Master!AG193)</x:f>
        <x:v>N/A</x:v>
      </x:c>
    </x:row>
    <x:row r="8" ht="36" customHeight="1">
      <x:c r="A8" s="17" t="s">
        <x:v>442</x:v>
      </x:c>
      <x:c r="B8" s="3" t="str">
        <x:f>IF(Master!C194="","",Master!C194)</x:f>
        <x:v>Yes</x:v>
      </x:c>
      <x:c r="C8" s="3" t="str">
        <x:f>IF(Master!D194="","",Master!D194)</x:f>
      </x:c>
      <x:c r="D8" s="3" t="str">
        <x:f>IF(Master!E194="","",Master!E194)</x:f>
      </x:c>
      <x:c r="E8" s="3" t="str">
        <x:f>IF(Master!F194="","",Master!F194)</x:f>
      </x:c>
      <x:c r="F8" s="3" t="str">
        <x:f>IF(Master!G194="","",Master!G194)</x:f>
      </x:c>
      <x:c r="G8" s="3" t="str">
        <x:f>IF(Master!H194="","",Master!H194)</x:f>
      </x:c>
      <x:c r="H8" s="3" t="str">
        <x:f>IF(Master!I194="","",Master!I194)</x:f>
      </x:c>
      <x:c r="I8" s="3" t="str">
        <x:f>IF(Master!J194="","",Master!J194)</x:f>
      </x:c>
      <x:c r="J8" s="3" t="str">
        <x:f>IF(Master!K194="","",Master!K194)</x:f>
      </x:c>
      <x:c r="K8" s="3" t="str">
        <x:f>IF(Master!L194="","",Master!L194)</x:f>
        <x:v>Stage exists; raise-hand/speaker-request behavior not independently documented</x:v>
      </x:c>
      <x:c r="L8" s="3" t="str">
        <x:f>IF(Master!M194="","",Master!M194)</x:f>
      </x:c>
      <x:c r="M8" s="3" t="str">
        <x:f>IF(Master!N194="","",Master!N194)</x:f>
      </x:c>
      <x:c r="N8" s="3" t="str">
        <x:f>IF(Master!O194="","",Master!O194)</x:f>
        <x:v>Client-dependent</x:v>
      </x:c>
      <x:c r="O8" s="3" t="str">
        <x:f>IF(Master!P194="","",Master!P194)</x:f>
      </x:c>
      <x:c r="P8" s="3" t="str">
        <x:f>IF(Master!Q194="","",Master!Q194)</x:f>
        <x:v>Yes</x:v>
      </x:c>
      <x:c r="Q8" s="3" t="str">
        <x:f>IF(Master!R194="","",Master!R194)</x:f>
      </x:c>
      <x:c r="R8" s="3" t="str">
        <x:f>IF(Master!S194="","",Master!S194)</x:f>
      </x:c>
      <x:c r="S8" s="3" t="str">
        <x:f>IF(Master!T194="","",Master!T194)</x:f>
      </x:c>
      <x:c r="T8" s="3" t="str">
        <x:f>IF(Master!U194="","",Master!U194)</x:f>
      </x:c>
      <x:c r="U8" s="3" t="str">
        <x:f>IF(Master!V194="","",Master!V194)</x:f>
        <x:v>No</x:v>
      </x:c>
      <x:c r="V8" s="3" t="str">
        <x:f>IF(Master!W194="","",Master!W194)</x:f>
      </x:c>
      <x:c r="W8" s="3" t="str">
        <x:f>IF(Master!X194="","",Master!X194)</x:f>
      </x:c>
      <x:c r="X8" s="3" t="str">
        <x:f>IF(Master!Y194="","",Master!Y194)</x:f>
      </x:c>
      <x:c r="Y8" s="3" t="str">
        <x:f>IF(Master!Z194="","",Master!Z194)</x:f>
      </x:c>
      <x:c r="Z8" s="3" t="str">
        <x:f>IF(Master!AA194="","",Master!AA194)</x:f>
      </x:c>
      <x:c r="AA8" s="6" t="str">
        <x:f>IF(Master!AB194="","",Master!AB194)</x:f>
      </x:c>
      <x:c r="AB8" s="3" t="str">
        <x:f>IF(Master!AC194="","",Master!AC194)</x:f>
      </x:c>
      <x:c r="AC8" s="3" t="str">
        <x:f>IF(Master!AD194="","",Master!AD194)</x:f>
      </x:c>
      <x:c r="AD8" s="3" t="str">
        <x:f>IF(Master!AE194="","",Master!AE194)</x:f>
      </x:c>
      <x:c r="AE8" s="3" t="str">
        <x:f>IF(Master!AF194="","",Master!AF194)</x:f>
      </x:c>
      <x:c r="AF8" s="8" t="str">
        <x:f>IF(Master!AG194="","",Master!AG194)</x:f>
      </x:c>
    </x:row>
    <x:row r="9" ht="36" customHeight="1">
      <x:c r="A9" s="17" t="s">
        <x:v>443</x:v>
      </x:c>
      <x:c r="B9" s="3" t="str">
        <x:f>IF(Master!C195="","",Master!C195)</x:f>
        <x:v>Yes</x:v>
      </x:c>
      <x:c r="C9" s="3" t="str">
        <x:f>IF(Master!D195="","",Master!D195)</x:f>
      </x:c>
      <x:c r="D9" s="3" t="str">
        <x:f>IF(Master!E195="","",Master!E195)</x:f>
      </x:c>
      <x:c r="E9" s="3" t="str">
        <x:f>IF(Master!F195="","",Master!F195)</x:f>
      </x:c>
      <x:c r="F9" s="3" t="str">
        <x:f>IF(Master!G195="","",Master!G195)</x:f>
      </x:c>
      <x:c r="G9" s="3" t="str">
        <x:f>IF(Master!H195="","",Master!H195)</x:f>
      </x:c>
      <x:c r="H9" s="3" t="str">
        <x:f>IF(Master!I195="","",Master!I195)</x:f>
      </x:c>
      <x:c r="I9" s="3" t="str">
        <x:f>IF(Master!J195="","",Master!J195)</x:f>
      </x:c>
      <x:c r="J9" s="3" t="str">
        <x:f>IF(Master!K195="","",Master!K195)</x:f>
      </x:c>
      <x:c r="K9" s="3" t="str">
        <x:f>IF(Master!L195="","",Master!L195)</x:f>
        <x:v>Stage exists; raise-hand/speaker-request behavior not independently documented</x:v>
      </x:c>
      <x:c r="L9" s="3" t="str">
        <x:f>IF(Master!M195="","",Master!M195)</x:f>
      </x:c>
      <x:c r="M9" s="3" t="str">
        <x:f>IF(Master!N195="","",Master!N195)</x:f>
      </x:c>
      <x:c r="N9" s="3" t="str">
        <x:f>IF(Master!O195="","",Master!O195)</x:f>
        <x:v>Client-dependent</x:v>
      </x:c>
      <x:c r="O9" s="3" t="str">
        <x:f>IF(Master!P195="","",Master!P195)</x:f>
        <x:v>Yes</x:v>
      </x:c>
      <x:c r="P9" s="3" t="str">
        <x:f>IF(Master!Q195="","",Master!Q195)</x:f>
      </x:c>
      <x:c r="Q9" s="3" t="str">
        <x:f>IF(Master!R195="","",Master!R195)</x:f>
        <x:v>No</x:v>
      </x:c>
      <x:c r="R9" s="3" t="str">
        <x:f>IF(Master!S195="","",Master!S195)</x:f>
      </x:c>
      <x:c r="S9" s="3" t="str">
        <x:f>IF(Master!T195="","",Master!T195)</x:f>
      </x:c>
      <x:c r="T9" s="3" t="str">
        <x:f>IF(Master!U195="","",Master!U195)</x:f>
      </x:c>
      <x:c r="U9" s="3" t="str">
        <x:f>IF(Master!V195="","",Master!V195)</x:f>
        <x:v>No</x:v>
      </x:c>
      <x:c r="V9" s="3" t="str">
        <x:f>IF(Master!W195="","",Master!W195)</x:f>
      </x:c>
      <x:c r="W9" s="3" t="str">
        <x:f>IF(Master!X195="","",Master!X195)</x:f>
        <x:v>N/A</x:v>
      </x:c>
      <x:c r="X9" s="3" t="str">
        <x:f>IF(Master!Y195="","",Master!Y195)</x:f>
      </x:c>
      <x:c r="Y9" s="3" t="str">
        <x:f>IF(Master!Z195="","",Master!Z195)</x:f>
      </x:c>
      <x:c r="Z9" s="3" t="str">
        <x:f>IF(Master!AA195="","",Master!AA195)</x:f>
      </x:c>
      <x:c r="AA9" s="6" t="str">
        <x:f>IF(Master!AB195="","",Master!AB195)</x:f>
      </x:c>
      <x:c r="AB9" s="3" t="str">
        <x:f>IF(Master!AC195="","",Master!AC195)</x:f>
      </x:c>
      <x:c r="AC9" s="3" t="str">
        <x:f>IF(Master!AD195="","",Master!AD195)</x:f>
      </x:c>
      <x:c r="AD9" s="3" t="str">
        <x:f>IF(Master!AE195="","",Master!AE195)</x:f>
      </x:c>
      <x:c r="AE9" s="3" t="str">
        <x:f>IF(Master!AF195="","",Master!AF195)</x:f>
        <x:v>No</x:v>
      </x:c>
      <x:c r="AF9" s="8" t="str">
        <x:f>IF(Master!AG195="","",Master!AG195)</x:f>
        <x:v>N/A</x:v>
      </x:c>
    </x:row>
    <x:row r="10" ht="21.950000762939453" customHeight="1">
      <x:c r="A10" s="18" t="s">
        <x:v>444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422</x:v>
      </x:c>
      <x:c r="B11" s="3" t="str">
        <x:f>IF(Master!C196="","",Master!C196)</x:f>
        <x:v>Opus</x:v>
      </x:c>
      <x:c r="C11" s="3" t="str">
        <x:f>IF(Master!D196="","",Master!D196)</x:f>
      </x:c>
      <x:c r="D11" s="3" t="str">
        <x:f>IF(Master!E196="","",Master!E196)</x:f>
        <x:v>Opus</x:v>
      </x:c>
      <x:c r="E11" s="3" t="str">
        <x:f>IF(Master!F196="","",Master!F196)</x:f>
        <x:v>Opus/WebRTC</x:v>
      </x:c>
      <x:c r="F11" s="3" t="str">
        <x:f>IF(Master!G196="","",Master!G196)</x:f>
        <x:v>WebRTC/LiveKit</x:v>
      </x:c>
      <x:c r="G11" s="3" t="str">
        <x:f>IF(Master!H196="","",Master!H196)</x:f>
        <x:v>WebRTC/LiveKit</x:v>
      </x:c>
      <x:c r="H11" s="3" t="str">
        <x:f>IF(Master!I196="","",Master!I196)</x:f>
      </x:c>
      <x:c r="I11" s="3" t="str">
        <x:f>IF(Master!J196="","",Master!J196)</x:f>
      </x:c>
      <x:c r="J11" s="3" t="str">
        <x:f>IF(Master!K196="","",Master!K196)</x:f>
      </x:c>
      <x:c r="K11" s="3" t="str">
        <x:f>IF(Master!L196="","",Master!L196)</x:f>
        <x:v>Opus</x:v>
      </x:c>
      <x:c r="L11" s="3" t="str">
        <x:f>IF(Master!M196="","",Master!M196)</x:f>
      </x:c>
      <x:c r="M11" s="3" t="str">
        <x:f>IF(Master!N196="","",Master!N196)</x:f>
        <x:v>Opus/WebRTC</x:v>
      </x:c>
      <x:c r="N11" s="3" t="str">
        <x:f>IF(Master!O196="","",Master!O196)</x:f>
        <x:v>Opus commonly via WebRTC; protocol/client-dependent</x:v>
      </x:c>
      <x:c r="O11" s="3" t="str">
        <x:f>IF(Master!P196="","",Master!P196)</x:f>
        <x:v>WebRTC/Opus</x:v>
      </x:c>
      <x:c r="P11" s="3" t="str">
        <x:f>IF(Master!Q196="","",Master!Q196)</x:f>
        <x:v>Yes</x:v>
      </x:c>
      <x:c r="Q11" s="3" t="str">
        <x:f>IF(Master!R196="","",Master!R196)</x:f>
        <x:v>Opus</x:v>
      </x:c>
      <x:c r="R11" s="3" t="str">
        <x:f>IF(Master!S196="","",Master!S196)</x:f>
      </x:c>
      <x:c r="S11" s="3" t="str">
        <x:f>IF(Master!T196="","",Master!T196)</x:f>
      </x:c>
      <x:c r="T11" s="3" t="str">
        <x:f>IF(Master!U196="","",Master!U196)</x:f>
        <x:v>Not publicly claimed</x:v>
      </x:c>
      <x:c r="U11" s="3" t="str">
        <x:f>IF(Master!V196="","",Master!V196)</x:f>
        <x:v>Proprietary</x:v>
      </x:c>
      <x:c r="V11" s="3" t="str">
        <x:f>IF(Master!W196="","",Master!W196)</x:f>
        <x:v>WebRTC/integration-dependent</x:v>
      </x:c>
      <x:c r="W11" s="3" t="str">
        <x:f>IF(Master!X196="","",Master!X196)</x:f>
        <x:v>N/A</x:v>
      </x:c>
      <x:c r="X11" s="3" t="str">
        <x:f>IF(Master!Y196="","",Master!Y196)</x:f>
      </x:c>
      <x:c r="Y11" s="3" t="str">
        <x:f>IF(Master!Z196="","",Master!Z196)</x:f>
        <x:v>WebRTC; implementation-dependent codecs</x:v>
      </x:c>
      <x:c r="Z11" s="3" t="str">
        <x:f>IF(Master!AA196="","",Master!AA196)</x:f>
        <x:v>Opus/WebRTC via LiveKit</x:v>
      </x:c>
      <x:c r="AA11" s="6" t="str">
        <x:f>IF(Master!AB196="","",Master!AB196)</x:f>
        <x:v>Opus / proprietary stack depending generation</x:v>
      </x:c>
      <x:c r="AB11" s="3" t="str">
        <x:f>IF(Master!AC196="","",Master!AC196)</x:f>
        <x:v>Opus/WebRTC</x:v>
      </x:c>
      <x:c r="AC11" s="3" t="str">
        <x:f>IF(Master!AD196="","",Master!AD196)</x:f>
      </x:c>
      <x:c r="AD11" s="3" t="str">
        <x:f>IF(Master!AE196="","",Master!AE196)</x:f>
        <x:v>Opus/WebRTC</x:v>
      </x:c>
      <x:c r="AE11" s="3" t="str">
        <x:f>IF(Master!AF196="","",Master!AF196)</x:f>
      </x:c>
      <x:c r="AF11" s="8" t="str">
        <x:f>IF(Master!AG196="","",Master!AG196)</x:f>
        <x:v>Provider-dependent</x:v>
      </x:c>
    </x:row>
    <x:row r="12" ht="36" customHeight="1">
      <x:c r="A12" s="17" t="s">
        <x:v>445</x:v>
      </x:c>
      <x:c r="B12" s="3" t="str">
        <x:f>IF(Master!C197="","",Master!C197)</x:f>
        <x:v>96</x:v>
      </x:c>
      <x:c r="C12" s="3" t="str">
        <x:f>IF(Master!D197="","",Master!D197)</x:f>
      </x:c>
      <x:c r="D12" s="3" t="str">
        <x:f>IF(Master!E197="","",Master!E197)</x:f>
      </x:c>
      <x:c r="E12" s="3" t="str">
        <x:f>IF(Master!F197="","",Master!F197)</x:f>
      </x:c>
      <x:c r="F12" s="3" t="str">
        <x:f>IF(Master!G197="","",Master!G197)</x:f>
      </x:c>
      <x:c r="G12" s="3" t="str">
        <x:f>IF(Master!H197="","",Master!H197)</x:f>
      </x:c>
      <x:c r="H12" s="3" t="str">
        <x:f>IF(Master!I197="","",Master!I197)</x:f>
        <x:v>64</x:v>
      </x:c>
      <x:c r="I12" s="3" t="str">
        <x:f>IF(Master!J197="","",Master!J197)</x:f>
      </x:c>
      <x:c r="J12" s="3" t="str">
        <x:f>IF(Master!K197="","",Master!K197)</x:f>
      </x:c>
      <x:c r="K12" s="3" t="str">
        <x:f>IF(Master!L197="","",Master!L197)</x:f>
        <x:v>24 / 48 / 96 / 128 kbps selectable Opus ceilings</x:v>
      </x:c>
      <x:c r="L12" s="3" t="str">
        <x:f>IF(Master!M197="","",Master!M197)</x:f>
      </x:c>
      <x:c r="M12" s="3" t="str">
        <x:f>IF(Master!N197="","",Master!N197)</x:f>
      </x:c>
      <x:c r="N12" s="3" t="str">
        <x:f>IF(Master!O197="","",Master!O197)</x:f>
      </x:c>
      <x:c r="O12" s="3" t="str">
        <x:f>IF(Master!P197="","",Master!P197)</x:f>
      </x:c>
      <x:c r="P12" s="3" t="str">
        <x:f>IF(Master!Q197="","",Master!Q197)</x:f>
      </x:c>
      <x:c r="Q12" s="3" t="str">
        <x:f>IF(Master!R197="","",Master!R197)</x:f>
        <x:v>Server-configurable</x:v>
      </x:c>
      <x:c r="R12" s="3" t="str">
        <x:f>IF(Master!S197="","",Master!S197)</x:f>
      </x:c>
      <x:c r="S12" s="3" t="str">
        <x:f>IF(Master!T197="","",Master!T197)</x:f>
      </x:c>
      <x:c r="T12" s="3" t="str">
        <x:f>IF(Master!U197="","",Master!U197)</x:f>
        <x:v>Not publicly claimed</x:v>
      </x:c>
      <x:c r="U12" s="3" t="str">
        <x:f>IF(Master!V197="","",Master!V197)</x:f>
        <x:v>96</x:v>
      </x:c>
      <x:c r="V12" s="3" t="str">
        <x:f>IF(Master!W197="","",Master!W197)</x:f>
      </x:c>
      <x:c r="W12" s="3" t="str">
        <x:f>IF(Master!X197="","",Master!X197)</x:f>
      </x:c>
      <x:c r="X12" s="3" t="str">
        <x:f>IF(Master!Y197="","",Master!Y197)</x:f>
      </x:c>
      <x:c r="Y12" s="3" t="str">
        <x:f>IF(Master!Z197="","",Master!Z197)</x:f>
      </x:c>
      <x:c r="Z12" s="3" t="str">
        <x:f>IF(Master!AA197="","",Master!AA197)</x:f>
      </x:c>
      <x:c r="AA12" s="6" t="str">
        <x:f>IF(Master!AB197="","",Master!AB197)</x:f>
      </x:c>
      <x:c r="AB12" s="3" t="str">
        <x:f>IF(Master!AC197="","",Master!AC197)</x:f>
      </x:c>
      <x:c r="AC12" s="3" t="str">
        <x:f>IF(Master!AD197="","",Master!AD197)</x:f>
      </x:c>
      <x:c r="AD12" s="3" t="str">
        <x:f>IF(Master!AE197="","",Master!AE197)</x:f>
      </x:c>
      <x:c r="AE12" s="3" t="str">
        <x:f>IF(Master!AF197="","",Master!AF197)</x:f>
      </x:c>
      <x:c r="AF12" s="8" t="str">
        <x:f>IF(Master!AG197="","",Master!AG197)</x:f>
      </x:c>
    </x:row>
    <x:row r="13" ht="36" customHeight="1">
      <x:c r="A13" s="17" t="s">
        <x:v>446</x:v>
      </x:c>
      <x:c r="B13" s="3" t="str">
        <x:f>IF(Master!C198="","",Master!C198)</x:f>
        <x:v>384</x:v>
      </x:c>
      <x:c r="C13" s="3" t="str">
        <x:f>IF(Master!D198="","",Master!D198)</x:f>
      </x:c>
      <x:c r="D13" s="3" t="str">
        <x:f>IF(Master!E198="","",Master!E198)</x:f>
      </x:c>
      <x:c r="E13" s="3" t="str">
        <x:f>IF(Master!F198="","",Master!F198)</x:f>
        <x:v>Yes</x:v>
      </x:c>
      <x:c r="F13" s="3" t="str">
        <x:f>IF(Master!G198="","",Master!G198)</x:f>
      </x:c>
      <x:c r="G13" s="3" t="str">
        <x:f>IF(Master!H198="","",Master!H198)</x:f>
      </x:c>
      <x:c r="H13" s="3" t="str">
        <x:f>IF(Master!I198="","",Master!I198)</x:f>
        <x:v>256</x:v>
      </x:c>
      <x:c r="I13" s="3" t="str">
        <x:f>IF(Master!J198="","",Master!J198)</x:f>
      </x:c>
      <x:c r="J13" s="3" t="str">
        <x:f>IF(Master!K198="","",Master!K198)</x:f>
      </x:c>
      <x:c r="K13" s="3" t="str">
        <x:f>IF(Master!L198="","",Master!L198)</x:f>
        <x:v>128</x:v>
      </x:c>
      <x:c r="L13" s="3" t="str">
        <x:f>IF(Master!M198="","",Master!M198)</x:f>
      </x:c>
      <x:c r="M13" s="3" t="str">
        <x:f>IF(Master!N198="","",Master!N198)</x:f>
        <x:v>Yes</x:v>
      </x:c>
      <x:c r="N13" s="3" t="str">
        <x:f>IF(Master!O198="","",Master!O198)</x:f>
        <x:v>Varies by client/media stack</x:v>
      </x:c>
      <x:c r="O13" s="3" t="str">
        <x:f>IF(Master!P198="","",Master!P198)</x:f>
      </x:c>
      <x:c r="P13" s="3" t="str">
        <x:f>IF(Master!Q198="","",Master!Q198)</x:f>
        <x:v>Yes</x:v>
      </x:c>
      <x:c r="Q13" s="3" t="str">
        <x:f>IF(Master!R198="","",Master!R198)</x:f>
      </x:c>
      <x:c r="R13" s="3" t="str">
        <x:f>IF(Master!S198="","",Master!S198)</x:f>
      </x:c>
      <x:c r="S13" s="3" t="str">
        <x:f>IF(Master!T198="","",Master!T198)</x:f>
      </x:c>
      <x:c r="T13" s="3" t="str">
        <x:f>IF(Master!U198="","",Master!U198)</x:f>
        <x:v>No paid tier; exact bitrate not publicly claimed</x:v>
      </x:c>
      <x:c r="U13" s="3" t="str">
        <x:f>IF(Master!V198="","",Master!V198)</x:f>
        <x:v>192</x:v>
      </x:c>
      <x:c r="V13" s="3" t="str">
        <x:f>IF(Master!W198="","",Master!W198)</x:f>
      </x:c>
      <x:c r="W13" s="3" t="str">
        <x:f>IF(Master!X198="","",Master!X198)</x:f>
      </x:c>
      <x:c r="X13" s="3" t="str">
        <x:f>IF(Master!Y198="","",Master!Y198)</x:f>
      </x:c>
      <x:c r="Y13" s="3" t="str">
        <x:f>IF(Master!Z198="","",Master!Z198)</x:f>
      </x:c>
      <x:c r="Z13" s="3" t="str">
        <x:f>IF(Master!AA198="","",Master!AA198)</x:f>
      </x:c>
      <x:c r="AA13" s="6" t="str">
        <x:f>IF(Master!AB198="","",Master!AB198)</x:f>
      </x:c>
      <x:c r="AB13" s="3" t="str">
        <x:f>IF(Master!AC198="","",Master!AC198)</x:f>
      </x:c>
      <x:c r="AC13" s="3" t="str">
        <x:f>IF(Master!AD198="","",Master!AD198)</x:f>
      </x:c>
      <x:c r="AD13" s="3" t="str">
        <x:f>IF(Master!AE198="","",Master!AE198)</x:f>
        <x:v>Yes</x:v>
      </x:c>
      <x:c r="AE13" s="3" t="str">
        <x:f>IF(Master!AF198="","",Master!AF198)</x:f>
      </x:c>
      <x:c r="AF13" s="8" t="str">
        <x:f>IF(Master!AG198="","",Master!AG198)</x:f>
        <x:v>N/A</x:v>
      </x:c>
    </x:row>
    <x:row r="14" ht="36" customHeight="1">
      <x:c r="A14" s="17" t="s">
        <x:v>447</x:v>
      </x:c>
      <x:c r="B14" s="3" t="str">
        <x:f>IF(Master!C199="","",Master!C199)</x:f>
        <x:v>Yes / server-configurable</x:v>
      </x:c>
      <x:c r="C14" s="3" t="str">
        <x:f>IF(Master!D199="","",Master!D199)</x:f>
      </x:c>
      <x:c r="D14" s="3" t="str">
        <x:f>IF(Master!E199="","",Master!E199)</x:f>
      </x:c>
      <x:c r="E14" s="3" t="str">
        <x:f>IF(Master!F199="","",Master!F199)</x:f>
      </x:c>
      <x:c r="F14" s="3" t="str">
        <x:f>IF(Master!G199="","",Master!G199)</x:f>
      </x:c>
      <x:c r="G14" s="3" t="str">
        <x:f>IF(Master!H199="","",Master!H199)</x:f>
      </x:c>
      <x:c r="H14" s="3" t="str">
        <x:f>IF(Master!I199="","",Master!I199)</x:f>
        <x:v>Yes / server-configurable</x:v>
      </x:c>
      <x:c r="I14" s="3" t="str">
        <x:f>IF(Master!J199="","",Master!J199)</x:f>
      </x:c>
      <x:c r="J14" s="3" t="str">
        <x:f>IF(Master!K199="","",Master!K199)</x:f>
      </x:c>
      <x:c r="K14" s="3" t="str">
        <x:f>IF(Master!L199="","",Master!L199)</x:f>
        <x:v>Yes: audio-quality preset is user-selectable</x:v>
      </x:c>
      <x:c r="L14" s="3" t="str">
        <x:f>IF(Master!M199="","",Master!M199)</x:f>
      </x:c>
      <x:c r="M14" s="3" t="str">
        <x:f>IF(Master!N199="","",Master!N199)</x:f>
      </x:c>
      <x:c r="N14" s="3" t="str">
        <x:f>IF(Master!O199="","",Master!O199)</x:f>
      </x:c>
      <x:c r="O14" s="3" t="str">
        <x:f>IF(Master!P199="","",Master!P199)</x:f>
      </x:c>
      <x:c r="P14" s="3" t="str">
        <x:f>IF(Master!Q199="","",Master!Q199)</x:f>
      </x:c>
      <x:c r="Q14" s="3" t="str">
        <x:f>IF(Master!R199="","",Master!R199)</x:f>
        <x:v>Yes / server-configurable</x:v>
      </x:c>
      <x:c r="R14" s="3" t="str">
        <x:f>IF(Master!S199="","",Master!S199)</x:f>
      </x:c>
      <x:c r="S14" s="3" t="str">
        <x:f>IF(Master!T199="","",Master!T199)</x:f>
      </x:c>
      <x:c r="T14" s="3" t="str">
        <x:f>IF(Master!U199="","",Master!U199)</x:f>
      </x:c>
      <x:c r="U14" s="3" t="str">
        <x:f>IF(Master!V199="","",Master!V199)</x:f>
        <x:v>Yes / server-configurable</x:v>
      </x:c>
      <x:c r="V14" s="3" t="str">
        <x:f>IF(Master!W199="","",Master!W199)</x:f>
      </x:c>
      <x:c r="W14" s="3" t="str">
        <x:f>IF(Master!X199="","",Master!X199)</x:f>
      </x:c>
      <x:c r="X14" s="3" t="str">
        <x:f>IF(Master!Y199="","",Master!Y199)</x:f>
      </x:c>
      <x:c r="Y14" s="3" t="str">
        <x:f>IF(Master!Z199="","",Master!Z199)</x:f>
      </x:c>
      <x:c r="Z14" s="3" t="str">
        <x:f>IF(Master!AA199="","",Master!AA199)</x:f>
      </x:c>
      <x:c r="AA14" s="6" t="str">
        <x:f>IF(Master!AB199="","",Master!AB199)</x:f>
      </x:c>
      <x:c r="AB14" s="3" t="str">
        <x:f>IF(Master!AC199="","",Master!AC199)</x:f>
      </x:c>
      <x:c r="AC14" s="3" t="str">
        <x:f>IF(Master!AD199="","",Master!AD199)</x:f>
      </x:c>
      <x:c r="AD14" s="3" t="str">
        <x:f>IF(Master!AE199="","",Master!AE199)</x:f>
      </x:c>
      <x:c r="AE14" s="3" t="str">
        <x:f>IF(Master!AF199="","",Master!AF199)</x:f>
      </x:c>
      <x:c r="AF14" s="8" t="str">
        <x:f>IF(Master!AG199="","",Master!AG199)</x:f>
      </x:c>
    </x:row>
    <x:row r="15" ht="21.950000762939453" customHeight="1">
      <x:c r="A15" s="18" t="s">
        <x:v>448</x:v>
      </x:c>
      <x:c r="B15" s="18" t="str">
        <x:f t="shared" ref="B15:AF15" si="1">IF(""="","","")</x:f>
      </x:c>
      <x:c r="C15" s="18" t="str">
        <x:f t="shared" si="1"/>
      </x:c>
      <x:c r="D15" s="18" t="str">
        <x:f t="shared" si="1"/>
      </x:c>
      <x:c r="E15" s="18" t="str">
        <x:f t="shared" si="1"/>
      </x:c>
      <x:c r="F15" s="18" t="str">
        <x:f t="shared" si="1"/>
      </x:c>
      <x:c r="G15" s="18" t="str">
        <x:f t="shared" si="1"/>
      </x:c>
      <x:c r="H15" s="18" t="str">
        <x:f t="shared" si="1"/>
      </x:c>
      <x:c r="I15" s="18" t="str">
        <x:f t="shared" si="1"/>
      </x:c>
      <x:c r="J15" s="18" t="str">
        <x:f t="shared" si="1"/>
      </x:c>
      <x:c r="K15" s="18" t="str">
        <x:f t="shared" si="1"/>
      </x:c>
      <x:c r="L15" s="18" t="str">
        <x:f t="shared" si="1"/>
      </x:c>
      <x:c r="M15" s="18" t="str">
        <x:f t="shared" si="1"/>
      </x:c>
      <x:c r="N15" s="18" t="str">
        <x:f t="shared" si="1"/>
      </x:c>
      <x:c r="O15" s="18" t="str">
        <x:f t="shared" si="1"/>
      </x:c>
      <x:c r="P15" s="18" t="str">
        <x:f t="shared" si="1"/>
      </x:c>
      <x:c r="Q15" s="18" t="str">
        <x:f t="shared" si="1"/>
      </x:c>
      <x:c r="R15" s="18" t="str">
        <x:f t="shared" si="1"/>
      </x:c>
      <x:c r="S15" s="18" t="str">
        <x:f t="shared" si="1"/>
      </x:c>
      <x:c r="T15" s="18" t="str">
        <x:f t="shared" si="1"/>
      </x:c>
      <x:c r="U15" s="18" t="str">
        <x:f t="shared" si="1"/>
      </x:c>
      <x:c r="V15" s="18" t="str">
        <x:f t="shared" si="1"/>
      </x:c>
      <x:c r="W15" s="18" t="str">
        <x:f t="shared" si="1"/>
      </x:c>
      <x:c r="X15" s="18" t="str">
        <x:f t="shared" si="1"/>
      </x:c>
      <x:c r="Y15" s="18" t="str">
        <x:f t="shared" si="1"/>
      </x:c>
      <x:c r="Z15" s="18" t="str">
        <x:f t="shared" si="1"/>
      </x:c>
      <x:c r="AA15" s="18" t="str">
        <x:f t="shared" si="1"/>
      </x:c>
      <x:c r="AB15" s="18" t="str">
        <x:f t="shared" si="1"/>
      </x:c>
      <x:c r="AC15" s="18" t="str">
        <x:f t="shared" si="1"/>
      </x:c>
      <x:c r="AD15" s="18" t="str">
        <x:f t="shared" si="1"/>
      </x:c>
      <x:c r="AE15" s="18" t="str">
        <x:f t="shared" si="1"/>
      </x:c>
      <x:c r="AF15" s="19" t="str">
        <x:f t="shared" si="1"/>
      </x:c>
    </x:row>
    <x:row r="16" ht="36" customHeight="1">
      <x:c r="A16" s="17" t="s">
        <x:v>449</x:v>
      </x:c>
      <x:c r="B16" s="3" t="str">
        <x:f>IF(Master!C200="","",Master!C200)</x:f>
        <x:v>Yes</x:v>
      </x:c>
      <x:c r="C16" s="3" t="str">
        <x:f>IF(Master!D200="","",Master!D200)</x:f>
      </x:c>
      <x:c r="D16" s="3" t="str">
        <x:f>IF(Master!E200="","",Master!E200)</x:f>
        <x:v>Opus</x:v>
      </x:c>
      <x:c r="E16" s="3" t="str">
        <x:f>IF(Master!F200="","",Master!F200)</x:f>
      </x:c>
      <x:c r="F16" s="3" t="str">
        <x:f>IF(Master!G200="","",Master!G200)</x:f>
        <x:v>Yes</x:v>
      </x:c>
      <x:c r="G16" s="3" t="str">
        <x:f>IF(Master!H200="","",Master!H200)</x:f>
        <x:v>Yes</x:v>
      </x:c>
      <x:c r="H16" s="3" t="str">
        <x:f>IF(Master!I200="","",Master!I200)</x:f>
        <x:v>Yes</x:v>
      </x:c>
      <x:c r="I16" s="3" t="str">
        <x:f>IF(Master!J200="","",Master!J200)</x:f>
      </x:c>
      <x:c r="J16" s="3" t="str">
        <x:f>IF(Master!K200="","",Master!K200)</x:f>
      </x:c>
      <x:c r="K16" s="3" t="str">
        <x:f>IF(Master!L200="","",Master!L200)</x:f>
        <x:v>Yes</x:v>
      </x:c>
      <x:c r="L16" s="3" t="str">
        <x:f>IF(Master!M200="","",Master!M200)</x:f>
      </x:c>
      <x:c r="M16" s="3" t="str">
        <x:f>IF(Master!N200="","",Master!N200)</x:f>
      </x:c>
      <x:c r="N16" s="3" t="str">
        <x:f>IF(Master!O200="","",Master!O200)</x:f>
        <x:v>Varies by client</x:v>
      </x:c>
      <x:c r="O16" s="3" t="str">
        <x:f>IF(Master!P200="","",Master!P200)</x:f>
      </x:c>
      <x:c r="P16" s="3" t="str">
        <x:f>IF(Master!Q200="","",Master!Q200)</x:f>
      </x:c>
      <x:c r="Q16" s="3" t="str">
        <x:f>IF(Master!R200="","",Master!R200)</x:f>
        <x:v>Yes</x:v>
      </x:c>
      <x:c r="R16" s="3" t="str">
        <x:f>IF(Master!S200="","",Master!S200)</x:f>
      </x:c>
      <x:c r="S16" s="3" t="str">
        <x:f>IF(Master!T200="","",Master!T200)</x:f>
      </x:c>
      <x:c r="T16" s="3" t="str">
        <x:f>IF(Master!U200="","",Master!U200)</x:f>
      </x:c>
      <x:c r="U16" s="3" t="str">
        <x:f>IF(Master!V200="","",Master!V200)</x:f>
        <x:v>Yes</x:v>
      </x:c>
      <x:c r="V16" s="3" t="str">
        <x:f>IF(Master!W200="","",Master!W200)</x:f>
      </x:c>
      <x:c r="W16" s="3" t="str">
        <x:f>IF(Master!X200="","",Master!X200)</x:f>
        <x:v>N/A</x:v>
      </x:c>
      <x:c r="X16" s="3" t="str">
        <x:f>IF(Master!Y200="","",Master!Y200)</x:f>
        <x:v>Yes</x:v>
      </x:c>
      <x:c r="Y16" s="3" t="str">
        <x:f>IF(Master!Z200="","",Master!Z200)</x:f>
        <x:v>Client-dependent</x:v>
      </x:c>
      <x:c r="Z16" s="3" t="str">
        <x:f>IF(Master!AA200="","",Master!AA200)</x:f>
        <x:v>Yes</x:v>
      </x:c>
      <x:c r="AA16" s="6" t="str">
        <x:f>IF(Master!AB200="","",Master!AB200)</x:f>
        <x:v>Yes</x:v>
      </x:c>
      <x:c r="AB16" s="3" t="str">
        <x:f>IF(Master!AC200="","",Master!AC200)</x:f>
      </x:c>
      <x:c r="AC16" s="3" t="str">
        <x:f>IF(Master!AD200="","",Master!AD200)</x:f>
      </x:c>
      <x:c r="AD16" s="3" t="str">
        <x:f>IF(Master!AE200="","",Master!AE200)</x:f>
      </x:c>
      <x:c r="AE16" s="3" t="str">
        <x:f>IF(Master!AF200="","",Master!AF200)</x:f>
      </x:c>
      <x:c r="AF16" s="8" t="str">
        <x:f>IF(Master!AG200="","",Master!AG200)</x:f>
        <x:v>N/A</x:v>
      </x:c>
    </x:row>
    <x:row r="17" ht="36" customHeight="1">
      <x:c r="A17" s="17" t="s">
        <x:v>433</x:v>
      </x:c>
      <x:c r="B17" s="3" t="str">
        <x:f>IF(Master!C201="","",Master!C201)</x:f>
        <x:v>Yes</x:v>
      </x:c>
      <x:c r="C17" s="3" t="str">
        <x:f>IF(Master!D201="","",Master!D201)</x:f>
      </x:c>
      <x:c r="D17" s="3" t="str">
        <x:f>IF(Master!E201="","",Master!E201)</x:f>
      </x:c>
      <x:c r="E17" s="3" t="str">
        <x:f>IF(Master!F201="","",Master!F201)</x:f>
      </x:c>
      <x:c r="F17" s="3" t="str">
        <x:f>IF(Master!G201="","",Master!G201)</x:f>
      </x:c>
      <x:c r="G17" s="3" t="str">
        <x:f>IF(Master!H201="","",Master!H201)</x:f>
      </x:c>
      <x:c r="H17" s="3" t="str">
        <x:f>IF(Master!I201="","",Master!I201)</x:f>
        <x:v>Yes</x:v>
      </x:c>
      <x:c r="I17" s="3" t="str">
        <x:f>IF(Master!J201="","",Master!J201)</x:f>
      </x:c>
      <x:c r="J17" s="3" t="str">
        <x:f>IF(Master!K201="","",Master!K201)</x:f>
      </x:c>
      <x:c r="K17" s="3" t="str">
        <x:f>IF(Master!L201="","",Master!L201)</x:f>
        <x:v>Yes</x:v>
      </x:c>
      <x:c r="L17" s="3" t="str">
        <x:f>IF(Master!M201="","",Master!M201)</x:f>
      </x:c>
      <x:c r="M17" s="3" t="str">
        <x:f>IF(Master!N201="","",Master!N201)</x:f>
      </x:c>
      <x:c r="N17" s="3" t="str">
        <x:f>IF(Master!O201="","",Master!O201)</x:f>
      </x:c>
      <x:c r="O17" s="3" t="str">
        <x:f>IF(Master!P201="","",Master!P201)</x:f>
      </x:c>
      <x:c r="P17" s="3" t="str">
        <x:f>IF(Master!Q201="","",Master!Q201)</x:f>
      </x:c>
      <x:c r="Q17" s="3" t="str">
        <x:f>IF(Master!R201="","",Master!R201)</x:f>
        <x:v>Yes</x:v>
      </x:c>
      <x:c r="R17" s="3" t="str">
        <x:f>IF(Master!S201="","",Master!S201)</x:f>
      </x:c>
      <x:c r="S17" s="3" t="str">
        <x:f>IF(Master!T201="","",Master!T201)</x:f>
      </x:c>
      <x:c r="T17" s="3" t="str">
        <x:f>IF(Master!U201="","",Master!U201)</x:f>
      </x:c>
      <x:c r="U17" s="3" t="str">
        <x:f>IF(Master!V201="","",Master!V201)</x:f>
        <x:v>Yes</x:v>
      </x:c>
      <x:c r="V17" s="3" t="str">
        <x:f>IF(Master!W201="","",Master!W201)</x:f>
      </x:c>
      <x:c r="W17" s="3" t="str">
        <x:f>IF(Master!X201="","",Master!X201)</x:f>
      </x:c>
      <x:c r="X17" s="3" t="str">
        <x:f>IF(Master!Y201="","",Master!Y201)</x:f>
      </x:c>
      <x:c r="Y17" s="3" t="str">
        <x:f>IF(Master!Z201="","",Master!Z201)</x:f>
      </x:c>
      <x:c r="Z17" s="3" t="str">
        <x:f>IF(Master!AA201="","",Master!AA201)</x:f>
      </x:c>
      <x:c r="AA17" s="6" t="str">
        <x:f>IF(Master!AB201="","",Master!AB201)</x:f>
        <x:v>Yes</x:v>
      </x:c>
      <x:c r="AB17" s="3" t="str">
        <x:f>IF(Master!AC201="","",Master!AC201)</x:f>
      </x:c>
      <x:c r="AC17" s="3" t="str">
        <x:f>IF(Master!AD201="","",Master!AD201)</x:f>
      </x:c>
      <x:c r="AD17" s="3" t="str">
        <x:f>IF(Master!AE201="","",Master!AE201)</x:f>
        <x:v>Yes</x:v>
      </x:c>
      <x:c r="AE17" s="3" t="str">
        <x:f>IF(Master!AF201="","",Master!AF201)</x:f>
      </x:c>
      <x:c r="AF17" s="8" t="str">
        <x:f>IF(Master!AG201="","",Master!AG201)</x:f>
      </x:c>
    </x:row>
    <x:row r="18" ht="36" customHeight="1">
      <x:c r="A18" s="17" t="s">
        <x:v>450</x:v>
      </x:c>
      <x:c r="B18" s="3" t="str">
        <x:f>IF(Master!C202="","",Master!C202)</x:f>
        <x:v>Yes</x:v>
      </x:c>
      <x:c r="C18" s="3" t="str">
        <x:f>IF(Master!D202="","",Master!D202)</x:f>
      </x:c>
      <x:c r="D18" s="3" t="str">
        <x:f>IF(Master!E202="","",Master!E202)</x:f>
      </x:c>
      <x:c r="E18" s="3" t="str">
        <x:f>IF(Master!F202="","",Master!F202)</x:f>
        <x:v>Yes</x:v>
      </x:c>
      <x:c r="F18" s="3" t="str">
        <x:f>IF(Master!G202="","",Master!G202)</x:f>
        <x:v>Yes</x:v>
      </x:c>
      <x:c r="G18" s="3" t="str">
        <x:f>IF(Master!H202="","",Master!H202)</x:f>
        <x:v>Yes</x:v>
      </x:c>
      <x:c r="H18" s="3" t="str">
        <x:f>IF(Master!I202="","",Master!I202)</x:f>
        <x:v>Yes</x:v>
      </x:c>
      <x:c r="I18" s="3" t="str">
        <x:f>IF(Master!J202="","",Master!J202)</x:f>
      </x:c>
      <x:c r="J18" s="3" t="str">
        <x:f>IF(Master!K202="","",Master!K202)</x:f>
      </x:c>
      <x:c r="K18" s="3" t="str">
        <x:f>IF(Master!L202="","",Master!L202)</x:f>
        <x:v>Yes: developer-reported/LiveKit client controls</x:v>
      </x:c>
      <x:c r="L18" s="3" t="str">
        <x:f>IF(Master!M202="","",Master!M202)</x:f>
      </x:c>
      <x:c r="M18" s="3" t="str">
        <x:f>IF(Master!N202="","",Master!N202)</x:f>
        <x:v>Yes</x:v>
      </x:c>
      <x:c r="N18" s="3" t="str">
        <x:f>IF(Master!O202="","",Master!O202)</x:f>
        <x:v>Varies by client</x:v>
      </x:c>
      <x:c r="O18" s="3" t="str">
        <x:f>IF(Master!P202="","",Master!P202)</x:f>
        <x:v>Yes</x:v>
      </x:c>
      <x:c r="P18" s="3" t="str">
        <x:f>IF(Master!Q202="","",Master!Q202)</x:f>
      </x:c>
      <x:c r="Q18" s="3" t="str">
        <x:f>IF(Master!R202="","",Master!R202)</x:f>
        <x:v>Yes</x:v>
      </x:c>
      <x:c r="R18" s="3" t="str">
        <x:f>IF(Master!S202="","",Master!S202)</x:f>
      </x:c>
      <x:c r="S18" s="3" t="str">
        <x:f>IF(Master!T202="","",Master!T202)</x:f>
      </x:c>
      <x:c r="T18" s="3" t="str">
        <x:f>IF(Master!U202="","",Master!U202)</x:f>
        <x:v>Yes</x:v>
      </x:c>
      <x:c r="U18" s="3" t="str">
        <x:f>IF(Master!V202="","",Master!V202)</x:f>
        <x:v>Yes</x:v>
      </x:c>
      <x:c r="V18" s="3" t="str">
        <x:f>IF(Master!W202="","",Master!W202)</x:f>
      </x:c>
      <x:c r="W18" s="3" t="str">
        <x:f>IF(Master!X202="","",Master!X202)</x:f>
        <x:v>N/A</x:v>
      </x:c>
      <x:c r="X18" s="3" t="str">
        <x:f>IF(Master!Y202="","",Master!Y202)</x:f>
        <x:v>Yes</x:v>
      </x:c>
      <x:c r="Y18" s="3" t="str">
        <x:f>IF(Master!Z202="","",Master!Z202)</x:f>
        <x:v>Client-dependent</x:v>
      </x:c>
      <x:c r="Z18" s="3" t="str">
        <x:f>IF(Master!AA202="","",Master!AA202)</x:f>
        <x:v>Yes</x:v>
      </x:c>
      <x:c r="AA18" s="6" t="str">
        <x:f>IF(Master!AB202="","",Master!AB202)</x:f>
        <x:v>Yes</x:v>
      </x:c>
      <x:c r="AB18" s="3" t="str">
        <x:f>IF(Master!AC202="","",Master!AC202)</x:f>
      </x:c>
      <x:c r="AC18" s="3" t="str">
        <x:f>IF(Master!AD202="","",Master!AD202)</x:f>
      </x:c>
      <x:c r="AD18" s="3" t="str">
        <x:f>IF(Master!AE202="","",Master!AE202)</x:f>
        <x:v>Yes</x:v>
      </x:c>
      <x:c r="AE18" s="3" t="str">
        <x:f>IF(Master!AF202="","",Master!AF202)</x:f>
      </x:c>
      <x:c r="AF18" s="8" t="str">
        <x:f>IF(Master!AG202="","",Master!AG202)</x:f>
        <x:v>N/A</x:v>
      </x:c>
    </x:row>
    <x:row r="19" ht="23.100000381469727" customHeight="1">
      <x:c r="A19" s="17" t="s">
        <x:v>451</x:v>
      </x:c>
      <x:c r="B19" s="4" t="str">
        <x:f>IF(Master!C203="","",Master!C203)</x:f>
      </x:c>
      <x:c r="C19" s="4" t="str">
        <x:f>IF(Master!D203="","",Master!D203)</x:f>
      </x:c>
      <x:c r="D19" s="4" t="str">
        <x:f>IF(Master!E203="","",Master!E203)</x:f>
      </x:c>
      <x:c r="E19" s="4" t="str">
        <x:f>IF(Master!F203="","",Master!F203)</x:f>
      </x:c>
      <x:c r="F19" s="4" t="str">
        <x:f>IF(Master!G203="","",Master!G203)</x:f>
      </x:c>
      <x:c r="G19" s="4" t="str">
        <x:f>IF(Master!H203="","",Master!H203)</x:f>
      </x:c>
      <x:c r="H19" s="4" t="str">
        <x:f>IF(Master!I203="","",Master!I203)</x:f>
      </x:c>
      <x:c r="I19" s="4" t="str">
        <x:f>IF(Master!J203="","",Master!J203)</x:f>
      </x:c>
      <x:c r="J19" s="4" t="str">
        <x:f>IF(Master!K203="","",Master!K203)</x:f>
      </x:c>
      <x:c r="K19" s="4" t="str">
        <x:f>IF(Master!L203="","",Master!L203)</x:f>
        <x:v>Not independently documented</x:v>
      </x:c>
      <x:c r="L19" s="4" t="str">
        <x:f>IF(Master!M203="","",Master!M203)</x:f>
      </x:c>
      <x:c r="M19" s="4" t="str">
        <x:f>IF(Master!N203="","",Master!N203)</x:f>
      </x:c>
      <x:c r="N19" s="4" t="str">
        <x:f>IF(Master!O203="","",Master!O203)</x:f>
      </x:c>
      <x:c r="O19" s="4" t="str">
        <x:f>IF(Master!P203="","",Master!P203)</x:f>
      </x:c>
      <x:c r="P19" s="4" t="str">
        <x:f>IF(Master!Q203="","",Master!Q203)</x:f>
      </x:c>
      <x:c r="Q19" s="4" t="str">
        <x:f>IF(Master!R203="","",Master!R203)</x:f>
      </x:c>
      <x:c r="R19" s="4" t="str">
        <x:f>IF(Master!S203="","",Master!S203)</x:f>
      </x:c>
      <x:c r="S19" s="4" t="str">
        <x:f>IF(Master!T203="","",Master!T203)</x:f>
      </x:c>
      <x:c r="T19" s="4" t="str">
        <x:f>IF(Master!U203="","",Master!U203)</x:f>
      </x:c>
      <x:c r="U19" s="4" t="str">
        <x:f>IF(Master!V203="","",Master!V203)</x:f>
        <x:v>Yes</x:v>
      </x:c>
      <x:c r="V19" s="4" t="str">
        <x:f>IF(Master!W203="","",Master!W203)</x:f>
      </x:c>
      <x:c r="W19" s="4" t="str">
        <x:f>IF(Master!X203="","",Master!X203)</x:f>
      </x:c>
      <x:c r="X19" s="4" t="str">
        <x:f>IF(Master!Y203="","",Master!Y203)</x:f>
      </x:c>
      <x:c r="Y19" s="4" t="str">
        <x:f>IF(Master!Z203="","",Master!Z203)</x:f>
      </x:c>
      <x:c r="Z19" s="4" t="str">
        <x:f>IF(Master!AA203="","",Master!AA203)</x:f>
      </x:c>
      <x:c r="AA19" s="5" t="str">
        <x:f>IF(Master!AB203="","",Master!AB203)</x:f>
      </x:c>
      <x:c r="AB19" s="4" t="str">
        <x:f>IF(Master!AC203="","",Master!AC203)</x:f>
      </x:c>
      <x:c r="AC19" s="4" t="str">
        <x:f>IF(Master!AD203="","",Master!AD203)</x:f>
      </x:c>
      <x:c r="AD19" s="4" t="str">
        <x:f>IF(Master!AE203="","",Master!AE203)</x:f>
      </x:c>
      <x:c r="AE19" s="4" t="str">
        <x:f>IF(Master!AF203="","",Master!AF203)</x:f>
      </x:c>
      <x:c r="AF19" s="8" t="str">
        <x:f>IF(Master!AG203="","",Master!AG203)</x:f>
      </x:c>
    </x:row>
    <x:row r="20" ht="21.950000762939453" customHeight="1">
      <x:c r="A20" s="18" t="s">
        <x:v>452</x:v>
      </x:c>
      <x:c r="B20" s="18" t="str">
        <x:f t="shared" ref="B20:AF20" si="2">IF(""="","","")</x:f>
      </x:c>
      <x:c r="C20" s="18" t="str">
        <x:f t="shared" si="2"/>
      </x:c>
      <x:c r="D20" s="18" t="str">
        <x:f t="shared" si="2"/>
      </x:c>
      <x:c r="E20" s="18" t="str">
        <x:f t="shared" si="2"/>
      </x:c>
      <x:c r="F20" s="18" t="str">
        <x:f t="shared" si="2"/>
      </x:c>
      <x:c r="G20" s="18" t="str">
        <x:f t="shared" si="2"/>
      </x:c>
      <x:c r="H20" s="18" t="str">
        <x:f t="shared" si="2"/>
      </x:c>
      <x:c r="I20" s="18" t="str">
        <x:f t="shared" si="2"/>
      </x:c>
      <x:c r="J20" s="18" t="str">
        <x:f t="shared" si="2"/>
      </x:c>
      <x:c r="K20" s="18" t="str">
        <x:f t="shared" si="2"/>
      </x:c>
      <x:c r="L20" s="18" t="str">
        <x:f t="shared" si="2"/>
      </x:c>
      <x:c r="M20" s="18" t="str">
        <x:f t="shared" si="2"/>
      </x:c>
      <x:c r="N20" s="18" t="str">
        <x:f t="shared" si="2"/>
      </x:c>
      <x:c r="O20" s="18" t="str">
        <x:f t="shared" si="2"/>
      </x:c>
      <x:c r="P20" s="18" t="str">
        <x:f t="shared" si="2"/>
      </x:c>
      <x:c r="Q20" s="18" t="str">
        <x:f t="shared" si="2"/>
      </x:c>
      <x:c r="R20" s="18" t="str">
        <x:f t="shared" si="2"/>
      </x:c>
      <x:c r="S20" s="18" t="str">
        <x:f t="shared" si="2"/>
      </x:c>
      <x:c r="T20" s="18" t="str">
        <x:f t="shared" si="2"/>
      </x:c>
      <x:c r="U20" s="18" t="str">
        <x:f t="shared" si="2"/>
      </x:c>
      <x:c r="V20" s="18" t="str">
        <x:f t="shared" si="2"/>
      </x:c>
      <x:c r="W20" s="18" t="str">
        <x:f t="shared" si="2"/>
      </x:c>
      <x:c r="X20" s="18" t="str">
        <x:f t="shared" si="2"/>
      </x:c>
      <x:c r="Y20" s="18" t="str">
        <x:f t="shared" si="2"/>
      </x:c>
      <x:c r="Z20" s="18" t="str">
        <x:f t="shared" si="2"/>
      </x:c>
      <x:c r="AA20" s="18" t="str">
        <x:f t="shared" si="2"/>
      </x:c>
      <x:c r="AB20" s="18" t="str">
        <x:f t="shared" si="2"/>
      </x:c>
      <x:c r="AC20" s="18" t="str">
        <x:f t="shared" si="2"/>
      </x:c>
      <x:c r="AD20" s="18" t="str">
        <x:f t="shared" si="2"/>
      </x:c>
      <x:c r="AE20" s="18" t="str">
        <x:f t="shared" si="2"/>
      </x:c>
      <x:c r="AF20" s="19" t="str">
        <x:f t="shared" si="2"/>
      </x:c>
    </x:row>
    <x:row r="21" ht="36" customHeight="1">
      <x:c r="A21" s="17" t="s">
        <x:v>453</x:v>
      </x:c>
      <x:c r="B21" s="3" t="str">
        <x:f>IF(Master!C204="","",Master!C204)</x:f>
        <x:v>Yes</x:v>
      </x:c>
      <x:c r="C21" s="3" t="str">
        <x:f>IF(Master!D204="","",Master!D204)</x:f>
      </x:c>
      <x:c r="D21" s="3" t="str">
        <x:f>IF(Master!E204="","",Master!E204)</x:f>
        <x:v>Yes</x:v>
      </x:c>
      <x:c r="E21" s="3" t="str">
        <x:f>IF(Master!F204="","",Master!F204)</x:f>
        <x:v>Yes</x:v>
      </x:c>
      <x:c r="F21" s="3" t="str">
        <x:f>IF(Master!G204="","",Master!G204)</x:f>
        <x:v>Yes</x:v>
      </x:c>
      <x:c r="G21" s="3" t="str">
        <x:f>IF(Master!H204="","",Master!H204)</x:f>
        <x:v>Yes</x:v>
      </x:c>
      <x:c r="H21" s="3" t="str">
        <x:f>IF(Master!I204="","",Master!I204)</x:f>
        <x:v>Yes</x:v>
      </x:c>
      <x:c r="I21" s="3" t="str">
        <x:f>IF(Master!J204="","",Master!J204)</x:f>
        <x:v>Yes</x:v>
      </x:c>
      <x:c r="J21" s="3" t="str">
        <x:f>IF(Master!K204="","",Master!K204)</x:f>
        <x:v>Yes</x:v>
      </x:c>
      <x:c r="K21" s="3" t="str">
        <x:f>IF(Master!L204="","",Master!L204)</x:f>
        <x:v>Desktop/mobile local suppression; no web suppression per developer report</x:v>
      </x:c>
      <x:c r="L21" s="3" t="str">
        <x:f>IF(Master!M204="","",Master!M204)</x:f>
      </x:c>
      <x:c r="M21" s="3" t="str">
        <x:f>IF(Master!N204="","",Master!N204)</x:f>
        <x:v>Yes</x:v>
      </x:c>
      <x:c r="N21" s="3" t="str">
        <x:f>IF(Master!O204="","",Master!O204)</x:f>
        <x:v>Yes</x:v>
      </x:c>
      <x:c r="O21" s="3" t="str">
        <x:f>IF(Master!P204="","",Master!P204)</x:f>
      </x:c>
      <x:c r="P21" s="3" t="str">
        <x:f>IF(Master!Q204="","",Master!Q204)</x:f>
        <x:v>Yes</x:v>
      </x:c>
      <x:c r="Q21" s="3" t="str">
        <x:f>IF(Master!R204="","",Master!R204)</x:f>
        <x:v>Yes</x:v>
      </x:c>
      <x:c r="R21" s="3" t="str">
        <x:f>IF(Master!S204="","",Master!S204)</x:f>
      </x:c>
      <x:c r="S21" s="3" t="str">
        <x:f>IF(Master!T204="","",Master!T204)</x:f>
        <x:v>Yes</x:v>
      </x:c>
      <x:c r="T21" s="3" t="str">
        <x:f>IF(Master!U204="","",Master!U204)</x:f>
        <x:v>No branded/public engine claim</x:v>
      </x:c>
      <x:c r="U21" s="3" t="str">
        <x:f>IF(Master!V204="","",Master!V204)</x:f>
        <x:v>Yes</x:v>
      </x:c>
      <x:c r="V21" s="3" t="str">
        <x:f>IF(Master!W204="","",Master!W204)</x:f>
        <x:v>Yes</x:v>
      </x:c>
      <x:c r="W21" s="3" t="str">
        <x:f>IF(Master!X204="","",Master!X204)</x:f>
        <x:v>No</x:v>
      </x:c>
      <x:c r="X21" s="3" t="str">
        <x:f>IF(Master!Y204="","",Master!Y204)</x:f>
      </x:c>
      <x:c r="Y21" s="3" t="str">
        <x:f>IF(Master!Z204="","",Master!Z204)</x:f>
      </x:c>
      <x:c r="Z21" s="3" t="str">
        <x:f>IF(Master!AA204="","",Master!AA204)</x:f>
        <x:v>Yes</x:v>
      </x:c>
      <x:c r="AA21" s="6" t="str">
        <x:f>IF(Master!AB204="","",Master!AB204)</x:f>
      </x:c>
      <x:c r="AB21" s="3" t="str">
        <x:f>IF(Master!AC204="","",Master!AC204)</x:f>
        <x:v>Yes</x:v>
      </x:c>
      <x:c r="AC21" s="3" t="str">
        <x:f>IF(Master!AD204="","",Master!AD204)</x:f>
      </x:c>
      <x:c r="AD21" s="3" t="str">
        <x:f>IF(Master!AE204="","",Master!AE204)</x:f>
        <x:v>Yes</x:v>
      </x:c>
      <x:c r="AE21" s="3" t="str">
        <x:f>IF(Master!AF204="","",Master!AF204)</x:f>
        <x:v>Yes</x:v>
      </x:c>
      <x:c r="AF21" s="8" t="str">
        <x:f>IF(Master!AG204="","",Master!AG204)</x:f>
        <x:v>No</x:v>
      </x:c>
    </x:row>
    <x:row r="22" ht="36" customHeight="1">
      <x:c r="A22" s="17" t="s">
        <x:v>454</x:v>
      </x:c>
      <x:c r="B22" s="3" t="str">
        <x:f>IF(Master!C205="","",Master!C205)</x:f>
        <x:v>Krisp</x:v>
      </x:c>
      <x:c r="C22" s="3" t="str">
        <x:f>IF(Master!D205="","",Master!D205)</x:f>
      </x:c>
      <x:c r="D22" s="3" t="str">
        <x:f>IF(Master!E205="","",Master!E205)</x:f>
        <x:v>LiveKit/WebRTC</x:v>
      </x:c>
      <x:c r="E22" s="3" t="str">
        <x:f>IF(Master!F205="","",Master!F205)</x:f>
        <x:v>LiveKit</x:v>
      </x:c>
      <x:c r="F22" s="3" t="str">
        <x:f>IF(Master!G205="","",Master!G205)</x:f>
        <x:v>DeepFilterNet3 local noise suppression planned/used</x:v>
      </x:c>
      <x:c r="G22" s="3" t="str">
        <x:f>IF(Master!H205="","",Master!H205)</x:f>
        <x:v>DeepFilterNet3 + media processing controls</x:v>
      </x:c>
      <x:c r="H22" s="3" t="str">
        <x:f>IF(Master!I205="","",Master!I205)</x:f>
        <x:v>Built-in noise/echo processing</x:v>
      </x:c>
      <x:c r="I22" s="3" t="str">
        <x:f>IF(Master!J205="","",Master!J205)</x:f>
        <x:v>WebRTC</x:v>
      </x:c>
      <x:c r="J22" s="3" t="str">
        <x:f>IF(Master!K205="","",Master!K205)</x:f>
        <x:v>P2P WebRTC with STUN/TURN fallback</x:v>
      </x:c>
      <x:c r="K22" s="3" t="str">
        <x:f>IF(Master!L205="","",Master!L205)</x:f>
        <x:v>Desktop/mobile local suppression; no web suppression per developer report</x:v>
      </x:c>
      <x:c r="L22" s="3" t="str">
        <x:f>IF(Master!M205="","",Master!M205)</x:f>
      </x:c>
      <x:c r="M22" s="3" t="str">
        <x:f>IF(Master!N205="","",Master!N205)</x:f>
        <x:v>LiveKit/WebRTC</x:v>
      </x:c>
      <x:c r="N22" s="3" t="str">
        <x:f>IF(Master!O205="","",Master!O205)</x:f>
        <x:v>Varies by client</x:v>
      </x:c>
      <x:c r="O22" s="3" t="str">
        <x:f>IF(Master!P205="","",Master!P205)</x:f>
      </x:c>
      <x:c r="P22" s="3" t="str">
        <x:f>IF(Master!Q205="","",Master!Q205)</x:f>
        <x:v>Custom WebRTC SFU</x:v>
      </x:c>
      <x:c r="Q22" s="3" t="str">
        <x:f>IF(Master!R205="","",Master!R205)</x:f>
        <x:v>Built-in client processing; exact engine varies</x:v>
      </x:c>
      <x:c r="R22" s="3" t="str">
        <x:f>IF(Master!S205="","",Master!S205)</x:f>
      </x:c>
      <x:c r="S22" s="3" t="str">
        <x:f>IF(Master!T205="","",Master!T205)</x:f>
        <x:v>Custom voice infrastructure</x:v>
      </x:c>
      <x:c r="T22" s="3" t="str">
        <x:f>IF(Master!U205="","",Master!U205)</x:f>
        <x:v>Not publicly claimed</x:v>
      </x:c>
      <x:c r="U22" s="3" t="str">
        <x:f>IF(Master!V205="","",Master!V205)</x:f>
        <x:v>Yes</x:v>
      </x:c>
      <x:c r="V22" s="3" t="str">
        <x:f>IF(Master!W205="","",Master!W205)</x:f>
        <x:v>Provider-dependent</x:v>
      </x:c>
      <x:c r="W22" s="3" t="str">
        <x:f>IF(Master!X205="","",Master!X205)</x:f>
        <x:v>N/A</x:v>
      </x:c>
      <x:c r="X22" s="3" t="str">
        <x:f>IF(Master!Y205="","",Master!Y205)</x:f>
      </x:c>
      <x:c r="Y22" s="3" t="str">
        <x:f>IF(Master!Z205="","",Master!Z205)</x:f>
      </x:c>
      <x:c r="Z22" s="3" t="str">
        <x:f>IF(Master!AA205="","",Master!AA205)</x:f>
        <x:v>RNNoise</x:v>
      </x:c>
      <x:c r="AA22" s="6" t="str">
        <x:f>IF(Master!AB205="","",Master!AB205)</x:f>
      </x:c>
      <x:c r="AB22" s="3" t="str">
        <x:f>IF(Master!AC205="","",Master!AC205)</x:f>
        <x:v>LiveKit</x:v>
      </x:c>
      <x:c r="AC22" s="3" t="str">
        <x:f>IF(Master!AD205="","",Master!AD205)</x:f>
      </x:c>
      <x:c r="AD22" s="3" t="str">
        <x:f>IF(Master!AE205="","",Master!AE205)</x:f>
        <x:v>LiveKit</x:v>
      </x:c>
      <x:c r="AE22" s="3" t="str">
        <x:f>IF(Master!AF205="","",Master!AF205)</x:f>
        <x:v>Self-host media server</x:v>
      </x:c>
      <x:c r="AF22" s="8" t="str">
        <x:f>IF(Master!AG205="","",Master!AG205)</x:f>
        <x:v>N/A</x:v>
      </x:c>
    </x:row>
    <x:row r="23" ht="36" customHeight="1">
      <x:c r="A23" s="17" t="s">
        <x:v>434</x:v>
      </x:c>
      <x:c r="B23" s="3" t="str">
        <x:f>IF(Master!C206="","",Master!C206)</x:f>
        <x:v>Yes</x:v>
      </x:c>
      <x:c r="C23" s="3" t="str">
        <x:f>IF(Master!D206="","",Master!D206)</x:f>
      </x:c>
      <x:c r="D23" s="3" t="str">
        <x:f>IF(Master!E206="","",Master!E206)</x:f>
      </x:c>
      <x:c r="E23" s="3" t="str">
        <x:f>IF(Master!F206="","",Master!F206)</x:f>
        <x:v>Yes</x:v>
      </x:c>
      <x:c r="F23" s="3" t="str">
        <x:f>IF(Master!G206="","",Master!G206)</x:f>
        <x:v>Yes</x:v>
      </x:c>
      <x:c r="G23" s="3" t="str">
        <x:f>IF(Master!H206="","",Master!H206)</x:f>
        <x:v>Yes</x:v>
      </x:c>
      <x:c r="H23" s="3" t="str">
        <x:f>IF(Master!I206="","",Master!I206)</x:f>
        <x:v>Yes</x:v>
      </x:c>
      <x:c r="I23" s="3" t="str">
        <x:f>IF(Master!J206="","",Master!J206)</x:f>
      </x:c>
      <x:c r="J23" s="3" t="str">
        <x:f>IF(Master!K206="","",Master!K206)</x:f>
      </x:c>
      <x:c r="K23" s="3" t="str">
        <x:f>IF(Master!L206="","",Master!L206)</x:f>
        <x:v>Yes: desktop native graph; mobile uses native audio processing</x:v>
      </x:c>
      <x:c r="L23" s="3" t="str">
        <x:f>IF(Master!M206="","",Master!M206)</x:f>
      </x:c>
      <x:c r="M23" s="3" t="str">
        <x:f>IF(Master!N206="","",Master!N206)</x:f>
      </x:c>
      <x:c r="N23" s="3" t="str">
        <x:f>IF(Master!O206="","",Master!O206)</x:f>
      </x:c>
      <x:c r="O23" s="3" t="str">
        <x:f>IF(Master!P206="","",Master!P206)</x:f>
      </x:c>
      <x:c r="P23" s="3" t="str">
        <x:f>IF(Master!Q206="","",Master!Q206)</x:f>
        <x:v>Yes</x:v>
      </x:c>
      <x:c r="Q23" s="3" t="str">
        <x:f>IF(Master!R206="","",Master!R206)</x:f>
      </x:c>
      <x:c r="R23" s="3" t="str">
        <x:f>IF(Master!S206="","",Master!S206)</x:f>
      </x:c>
      <x:c r="S23" s="3" t="str">
        <x:f>IF(Master!T206="","",Master!T206)</x:f>
      </x:c>
      <x:c r="T23" s="3" t="str">
        <x:f>IF(Master!U206="","",Master!U206)</x:f>
      </x:c>
      <x:c r="U23" s="3" t="str">
        <x:f>IF(Master!V206="","",Master!V206)</x:f>
        <x:v>Yes</x:v>
      </x:c>
      <x:c r="V23" s="3" t="str">
        <x:f>IF(Master!W206="","",Master!W206)</x:f>
      </x:c>
      <x:c r="W23" s="3" t="str">
        <x:f>IF(Master!X206="","",Master!X206)</x:f>
      </x:c>
      <x:c r="X23" s="3" t="str">
        <x:f>IF(Master!Y206="","",Master!Y206)</x:f>
      </x:c>
      <x:c r="Y23" s="3" t="str">
        <x:f>IF(Master!Z206="","",Master!Z206)</x:f>
      </x:c>
      <x:c r="Z23" s="3" t="str">
        <x:f>IF(Master!AA206="","",Master!AA206)</x:f>
      </x:c>
      <x:c r="AA23" s="6" t="str">
        <x:f>IF(Master!AB206="","",Master!AB206)</x:f>
      </x:c>
      <x:c r="AB23" s="3" t="str">
        <x:f>IF(Master!AC206="","",Master!AC206)</x:f>
      </x:c>
      <x:c r="AC23" s="3" t="str">
        <x:f>IF(Master!AD206="","",Master!AD206)</x:f>
      </x:c>
      <x:c r="AD23" s="3" t="str">
        <x:f>IF(Master!AE206="","",Master!AE206)</x:f>
        <x:v>Yes</x:v>
      </x:c>
      <x:c r="AE23" s="3" t="str">
        <x:f>IF(Master!AF206="","",Master!AF206)</x:f>
      </x:c>
      <x:c r="AF23" s="8" t="str">
        <x:f>IF(Master!AG206="","",Master!AG206)</x:f>
      </x:c>
    </x:row>
    <x:row r="24" ht="36" customHeight="1">
      <x:c r="A24" s="17" t="s">
        <x:v>435</x:v>
      </x:c>
      <x:c r="B24" s="3" t="str">
        <x:f>IF(Master!C207="","",Master!C207)</x:f>
      </x:c>
      <x:c r="C24" s="3" t="str">
        <x:f>IF(Master!D207="","",Master!D207)</x:f>
      </x:c>
      <x:c r="D24" s="3" t="str">
        <x:f>IF(Master!E207="","",Master!E207)</x:f>
      </x:c>
      <x:c r="E24" s="3" t="str">
        <x:f>IF(Master!F207="","",Master!F207)</x:f>
        <x:v>Yes</x:v>
      </x:c>
      <x:c r="F24" s="3" t="str">
        <x:f>IF(Master!G207="","",Master!G207)</x:f>
      </x:c>
      <x:c r="G24" s="3" t="str">
        <x:f>IF(Master!H207="","",Master!H207)</x:f>
      </x:c>
      <x:c r="H24" s="3" t="str">
        <x:f>IF(Master!I207="","",Master!I207)</x:f>
        <x:v>Yes</x:v>
      </x:c>
      <x:c r="I24" s="3" t="str">
        <x:f>IF(Master!J207="","",Master!J207)</x:f>
      </x:c>
      <x:c r="J24" s="3" t="str">
        <x:f>IF(Master!K207="","",Master!K207)</x:f>
      </x:c>
      <x:c r="K24" s="3" t="str">
        <x:f>IF(Master!L207="","",Master!L207)</x:f>
        <x:v>Not independently documented</x:v>
      </x:c>
      <x:c r="L24" s="3" t="str">
        <x:f>IF(Master!M207="","",Master!M207)</x:f>
      </x:c>
      <x:c r="M24" s="3" t="str">
        <x:f>IF(Master!N207="","",Master!N207)</x:f>
      </x:c>
      <x:c r="N24" s="3" t="str">
        <x:f>IF(Master!O207="","",Master!O207)</x:f>
      </x:c>
      <x:c r="O24" s="3" t="str">
        <x:f>IF(Master!P207="","",Master!P207)</x:f>
      </x:c>
      <x:c r="P24" s="3" t="str">
        <x:f>IF(Master!Q207="","",Master!Q207)</x:f>
      </x:c>
      <x:c r="Q24" s="3" t="str">
        <x:f>IF(Master!R207="","",Master!R207)</x:f>
      </x:c>
      <x:c r="R24" s="3" t="str">
        <x:f>IF(Master!S207="","",Master!S207)</x:f>
      </x:c>
      <x:c r="S24" s="3" t="str">
        <x:f>IF(Master!T207="","",Master!T207)</x:f>
      </x:c>
      <x:c r="T24" s="3" t="str">
        <x:f>IF(Master!U207="","",Master!U207)</x:f>
      </x:c>
      <x:c r="U24" s="3" t="str">
        <x:f>IF(Master!V207="","",Master!V207)</x:f>
        <x:v>Yes</x:v>
      </x:c>
      <x:c r="V24" s="3" t="str">
        <x:f>IF(Master!W207="","",Master!W207)</x:f>
      </x:c>
      <x:c r="W24" s="3" t="str">
        <x:f>IF(Master!X207="","",Master!X207)</x:f>
      </x:c>
      <x:c r="X24" s="3" t="str">
        <x:f>IF(Master!Y207="","",Master!Y207)</x:f>
      </x:c>
      <x:c r="Y24" s="3" t="str">
        <x:f>IF(Master!Z207="","",Master!Z207)</x:f>
      </x:c>
      <x:c r="Z24" s="3" t="str">
        <x:f>IF(Master!AA207="","",Master!AA207)</x:f>
      </x:c>
      <x:c r="AA24" s="6" t="str">
        <x:f>IF(Master!AB207="","",Master!AB207)</x:f>
      </x:c>
      <x:c r="AB24" s="3" t="str">
        <x:f>IF(Master!AC207="","",Master!AC207)</x:f>
      </x:c>
      <x:c r="AC24" s="3" t="str">
        <x:f>IF(Master!AD207="","",Master!AD207)</x:f>
      </x:c>
      <x:c r="AD24" s="3" t="str">
        <x:f>IF(Master!AE207="","",Master!AE207)</x:f>
      </x:c>
      <x:c r="AE24" s="3" t="str">
        <x:f>IF(Master!AF207="","",Master!AF207)</x:f>
      </x:c>
      <x:c r="AF24" s="8" t="str">
        <x:f>IF(Master!AG207="","",Master!AG207)</x:f>
      </x:c>
    </x:row>
    <x:row r="25" ht="21.950000762939453" customHeight="1">
      <x:c r="A25" s="18" t="s">
        <x:v>455</x:v>
      </x:c>
      <x:c r="B25" s="18" t="str">
        <x:f t="shared" ref="B25:AF25" si="3">IF(""="","","")</x:f>
      </x:c>
      <x:c r="C25" s="18" t="str">
        <x:f t="shared" si="3"/>
      </x:c>
      <x:c r="D25" s="18" t="str">
        <x:f t="shared" si="3"/>
      </x:c>
      <x:c r="E25" s="18" t="str">
        <x:f t="shared" si="3"/>
      </x:c>
      <x:c r="F25" s="18" t="str">
        <x:f t="shared" si="3"/>
      </x:c>
      <x:c r="G25" s="18" t="str">
        <x:f t="shared" si="3"/>
      </x:c>
      <x:c r="H25" s="18" t="str">
        <x:f t="shared" si="3"/>
      </x:c>
      <x:c r="I25" s="18" t="str">
        <x:f t="shared" si="3"/>
      </x:c>
      <x:c r="J25" s="18" t="str">
        <x:f t="shared" si="3"/>
      </x:c>
      <x:c r="K25" s="18" t="str">
        <x:f t="shared" si="3"/>
      </x:c>
      <x:c r="L25" s="18" t="str">
        <x:f t="shared" si="3"/>
      </x:c>
      <x:c r="M25" s="18" t="str">
        <x:f t="shared" si="3"/>
      </x:c>
      <x:c r="N25" s="18" t="str">
        <x:f t="shared" si="3"/>
      </x:c>
      <x:c r="O25" s="18" t="str">
        <x:f t="shared" si="3"/>
      </x:c>
      <x:c r="P25" s="18" t="str">
        <x:f t="shared" si="3"/>
      </x:c>
      <x:c r="Q25" s="18" t="str">
        <x:f t="shared" si="3"/>
      </x:c>
      <x:c r="R25" s="18" t="str">
        <x:f t="shared" si="3"/>
      </x:c>
      <x:c r="S25" s="18" t="str">
        <x:f t="shared" si="3"/>
      </x:c>
      <x:c r="T25" s="18" t="str">
        <x:f t="shared" si="3"/>
      </x:c>
      <x:c r="U25" s="18" t="str">
        <x:f t="shared" si="3"/>
      </x:c>
      <x:c r="V25" s="18" t="str">
        <x:f t="shared" si="3"/>
      </x:c>
      <x:c r="W25" s="18" t="str">
        <x:f t="shared" si="3"/>
      </x:c>
      <x:c r="X25" s="18" t="str">
        <x:f t="shared" si="3"/>
      </x:c>
      <x:c r="Y25" s="18" t="str">
        <x:f t="shared" si="3"/>
      </x:c>
      <x:c r="Z25" s="18" t="str">
        <x:f t="shared" si="3"/>
      </x:c>
      <x:c r="AA25" s="18" t="str">
        <x:f t="shared" si="3"/>
      </x:c>
      <x:c r="AB25" s="18" t="str">
        <x:f t="shared" si="3"/>
      </x:c>
      <x:c r="AC25" s="18" t="str">
        <x:f t="shared" si="3"/>
      </x:c>
      <x:c r="AD25" s="18" t="str">
        <x:f t="shared" si="3"/>
      </x:c>
      <x:c r="AE25" s="18" t="str">
        <x:f t="shared" si="3"/>
      </x:c>
      <x:c r="AF25" s="19" t="str">
        <x:f t="shared" si="3"/>
      </x:c>
    </x:row>
    <x:row r="26" ht="36" customHeight="1">
      <x:c r="A26" s="17" t="s">
        <x:v>456</x:v>
      </x:c>
      <x:c r="B26" s="3" t="str">
        <x:f>IF(Master!C208="","",Master!C208)</x:f>
        <x:v>No native client proximity/spatial audio; possible in third-party game integrations</x:v>
      </x:c>
      <x:c r="C26" s="3" t="str">
        <x:f>IF(Master!D208="","",Master!D208)</x:f>
        <x:v>No</x:v>
      </x:c>
      <x:c r="D26" s="3" t="str">
        <x:f>IF(Master!E208="","",Master!E208)</x:f>
        <x:v>No</x:v>
      </x:c>
      <x:c r="E26" s="3" t="str">
        <x:f>IF(Master!F208="","",Master!F208)</x:f>
        <x:v>No</x:v>
      </x:c>
      <x:c r="F26" s="3" t="str">
        <x:f>IF(Master!G208="","",Master!G208)</x:f>
      </x:c>
      <x:c r="G26" s="3" t="str">
        <x:f>IF(Master!H208="","",Master!H208)</x:f>
        <x:v>No native proximity audio</x:v>
      </x:c>
      <x:c r="H26" s="3" t="str">
        <x:f>IF(Master!I208="","",Master!I208)</x:f>
        <x:v>GameLink spatial audio</x:v>
      </x:c>
      <x:c r="I26" s="3" t="str">
        <x:f>IF(Master!J208="","",Master!J208)</x:f>
        <x:v>No</x:v>
      </x:c>
      <x:c r="J26" s="3" t="str">
        <x:f>IF(Master!K208="","",Master!K208)</x:f>
        <x:v>No</x:v>
      </x:c>
      <x:c r="K26" s="3" t="str">
        <x:f>IF(Master!L208="","",Master!L208)</x:f>
      </x:c>
      <x:c r="L26" s="3" t="str">
        <x:f>IF(Master!M208="","",Master!M208)</x:f>
        <x:v>No</x:v>
      </x:c>
      <x:c r="M26" s="3" t="str">
        <x:f>IF(Master!N208="","",Master!N208)</x:f>
        <x:v>No</x:v>
      </x:c>
      <x:c r="N26" s="3" t="str">
        <x:f>IF(Master!O208="","",Master!O208)</x:f>
        <x:v>Possible via specialized clients; not a core default</x:v>
      </x:c>
      <x:c r="O26" s="3" t="str">
        <x:f>IF(Master!P208="","",Master!P208)</x:f>
        <x:v>No</x:v>
      </x:c>
      <x:c r="P26" s="3" t="str">
        <x:f>IF(Master!Q208="","",Master!Q208)</x:f>
        <x:v>No</x:v>
      </x:c>
      <x:c r="Q26" s="3" t="str">
        <x:f>IF(Master!R208="","",Master!R208)</x:f>
        <x:v>Yes: positional audio supported with games/plugins</x:v>
      </x:c>
      <x:c r="R26" s="3" t="str">
        <x:f>IF(Master!S208="","",Master!S208)</x:f>
        <x:v>No</x:v>
      </x:c>
      <x:c r="S26" s="3" t="str">
        <x:f>IF(Master!T208="","",Master!T208)</x:f>
        <x:v>No</x:v>
      </x:c>
      <x:c r="T26" s="3" t="str">
        <x:f>IF(Master!U208="","",Master!U208)</x:f>
        <x:v>No</x:v>
      </x:c>
      <x:c r="U26" s="3" t="str">
        <x:f>IF(Master!V208="","",Master!V208)</x:f>
        <x:v>No</x:v>
      </x:c>
      <x:c r="V26" s="3" t="str">
        <x:f>IF(Master!W208="","",Master!W208)</x:f>
        <x:v>No</x:v>
      </x:c>
      <x:c r="W26" s="3" t="str">
        <x:f>IF(Master!X208="","",Master!X208)</x:f>
        <x:v>N/A</x:v>
      </x:c>
      <x:c r="X26" s="3" t="str">
        <x:f>IF(Master!Y208="","",Master!Y208)</x:f>
        <x:v>No native proximity audio</x:v>
      </x:c>
      <x:c r="Y26" s="3" t="str">
        <x:f>IF(Master!Z208="","",Master!Z208)</x:f>
        <x:v>No native proximity</x:v>
      </x:c>
      <x:c r="Z26" s="3" t="str">
        <x:f>IF(Master!AA208="","",Master!AA208)</x:f>
        <x:v>No native proximity audio</x:v>
      </x:c>
      <x:c r="AA26" s="6" t="str">
        <x:f>IF(Master!AB208="","",Master!AB208)</x:f>
      </x:c>
      <x:c r="AB26" s="3" t="str">
        <x:f>IF(Master!AC208="","",Master!AC208)</x:f>
        <x:v>No</x:v>
      </x:c>
      <x:c r="AC26" s="3" t="str">
        <x:f>IF(Master!AD208="","",Master!AD208)</x:f>
        <x:v>No</x:v>
      </x:c>
      <x:c r="AD26" s="3" t="str">
        <x:f>IF(Master!AE208="","",Master!AE208)</x:f>
        <x:v>No</x:v>
      </x:c>
      <x:c r="AE26" s="3" t="str">
        <x:f>IF(Master!AF208="","",Master!AF208)</x:f>
        <x:v>Yes: spatial/proximity</x:v>
      </x:c>
      <x:c r="AF26" s="8" t="str">
        <x:f>IF(Master!AG208="","",Master!AG208)</x:f>
        <x:v>N/A</x:v>
      </x:c>
    </x:row>
    <x:row r="27" ht="36" customHeight="1">
      <x:c r="A27" s="17" t="s">
        <x:v>457</x:v>
      </x:c>
      <x:c r="B27" s="3" t="str">
        <x:f>IF(Master!C209="","",Master!C209)</x:f>
        <x:v>No</x:v>
      </x:c>
      <x:c r="C27" s="3" t="str">
        <x:f>IF(Master!D209="","",Master!D209)</x:f>
      </x:c>
      <x:c r="D27" s="3" t="str">
        <x:f>IF(Master!E209="","",Master!E209)</x:f>
      </x:c>
      <x:c r="E27" s="3" t="str">
        <x:f>IF(Master!F209="","",Master!F209)</x:f>
      </x:c>
      <x:c r="F27" s="3" t="str">
        <x:f>IF(Master!G209="","",Master!G209)</x:f>
      </x:c>
      <x:c r="G27" s="3" t="str">
        <x:f>IF(Master!H209="","",Master!H209)</x:f>
        <x:v>No</x:v>
      </x:c>
      <x:c r="H27" s="3" t="str">
        <x:f>IF(Master!I209="","",Master!I209)</x:f>
        <x:v>Yes</x:v>
      </x:c>
      <x:c r="I27" s="3" t="str">
        <x:f>IF(Master!J209="","",Master!J209)</x:f>
      </x:c>
      <x:c r="J27" s="3" t="str">
        <x:f>IF(Master!K209="","",Master!K209)</x:f>
      </x:c>
      <x:c r="K27" s="3" t="str">
        <x:f>IF(Master!L209="","",Master!L209)</x:f>
      </x:c>
      <x:c r="L27" s="3" t="str">
        <x:f>IF(Master!M209="","",Master!M209)</x:f>
      </x:c>
      <x:c r="M27" s="3" t="str">
        <x:f>IF(Master!N209="","",Master!N209)</x:f>
      </x:c>
      <x:c r="N27" s="3" t="str">
        <x:f>IF(Master!O209="","",Master!O209)</x:f>
      </x:c>
      <x:c r="O27" s="3" t="str">
        <x:f>IF(Master!P209="","",Master!P209)</x:f>
      </x:c>
      <x:c r="P27" s="3" t="str">
        <x:f>IF(Master!Q209="","",Master!Q209)</x:f>
      </x:c>
      <x:c r="Q27" s="3" t="str">
        <x:f>IF(Master!R209="","",Master!R209)</x:f>
        <x:v>Yes</x:v>
      </x:c>
      <x:c r="R27" s="3" t="str">
        <x:f>IF(Master!S209="","",Master!S209)</x:f>
      </x:c>
      <x:c r="S27" s="3" t="str">
        <x:f>IF(Master!T209="","",Master!T209)</x:f>
      </x:c>
      <x:c r="T27" s="3" t="str">
        <x:f>IF(Master!U209="","",Master!U209)</x:f>
      </x:c>
      <x:c r="U27" s="3" t="str">
        <x:f>IF(Master!V209="","",Master!V209)</x:f>
        <x:v>No</x:v>
      </x:c>
      <x:c r="V27" s="3" t="str">
        <x:f>IF(Master!W209="","",Master!W209)</x:f>
      </x:c>
      <x:c r="W27" s="3" t="str">
        <x:f>IF(Master!X209="","",Master!X209)</x:f>
      </x:c>
      <x:c r="X27" s="3" t="str">
        <x:f>IF(Master!Y209="","",Master!Y209)</x:f>
        <x:v>No</x:v>
      </x:c>
      <x:c r="Y27" s="3" t="str">
        <x:f>IF(Master!Z209="","",Master!Z209)</x:f>
      </x:c>
      <x:c r="Z27" s="3" t="str">
        <x:f>IF(Master!AA209="","",Master!AA209)</x:f>
      </x:c>
      <x:c r="AA27" s="6" t="str">
        <x:f>IF(Master!AB209="","",Master!AB209)</x:f>
      </x:c>
      <x:c r="AB27" s="3" t="str">
        <x:f>IF(Master!AC209="","",Master!AC209)</x:f>
      </x:c>
      <x:c r="AC27" s="3" t="str">
        <x:f>IF(Master!AD209="","",Master!AD209)</x:f>
      </x:c>
      <x:c r="AD27" s="3" t="str">
        <x:f>IF(Master!AE209="","",Master!AE209)</x:f>
      </x:c>
      <x:c r="AE27" s="3" t="str">
        <x:f>IF(Master!AF209="","",Master!AF209)</x:f>
        <x:v>Yes</x:v>
      </x:c>
      <x:c r="AF27" s="8" t="str">
        <x:f>IF(Master!AG209="","",Master!AG209)</x:f>
      </x:c>
    </x:row>
    <x:row r="28" ht="23.100000381469727" customHeight="1">
      <x:c r="A28" s="17" t="s">
        <x:v>436</x:v>
      </x:c>
      <x:c r="B28" s="4" t="str">
        <x:f>IF(Master!C210="","",Master!C210)</x:f>
      </x:c>
      <x:c r="C28" s="4" t="str">
        <x:f>IF(Master!D210="","",Master!D210)</x:f>
      </x:c>
      <x:c r="D28" s="4" t="str">
        <x:f>IF(Master!E210="","",Master!E210)</x:f>
      </x:c>
      <x:c r="E28" s="4" t="str">
        <x:f>IF(Master!F210="","",Master!F210)</x:f>
      </x:c>
      <x:c r="F28" s="4" t="str">
        <x:f>IF(Master!G210="","",Master!G210)</x:f>
      </x:c>
      <x:c r="G28" s="4" t="str">
        <x:f>IF(Master!H210="","",Master!H210)</x:f>
      </x:c>
      <x:c r="H28" s="4" t="str">
        <x:f>IF(Master!I210="","",Master!I210)</x:f>
      </x:c>
      <x:c r="I28" s="4" t="str">
        <x:f>IF(Master!J210="","",Master!J210)</x:f>
      </x:c>
      <x:c r="J28" s="4" t="str">
        <x:f>IF(Master!K210="","",Master!K210)</x:f>
      </x:c>
      <x:c r="K28" s="4" t="str">
        <x:f>IF(Master!L210="","",Master!L210)</x:f>
        <x:v>No native recording</x:v>
      </x:c>
      <x:c r="L28" s="4" t="str">
        <x:f>IF(Master!M210="","",Master!M210)</x:f>
      </x:c>
      <x:c r="M28" s="4" t="str">
        <x:f>IF(Master!N210="","",Master!N210)</x:f>
      </x:c>
      <x:c r="N28" s="4" t="str">
        <x:f>IF(Master!O210="","",Master!O210)</x:f>
      </x:c>
      <x:c r="O28" s="4" t="str">
        <x:f>IF(Master!P210="","",Master!P210)</x:f>
      </x:c>
      <x:c r="P28" s="4" t="str">
        <x:f>IF(Master!Q210="","",Master!Q210)</x:f>
      </x:c>
      <x:c r="Q28" s="4" t="str">
        <x:f>IF(Master!R210="","",Master!R210)</x:f>
      </x:c>
      <x:c r="R28" s="4" t="str">
        <x:f>IF(Master!S210="","",Master!S210)</x:f>
      </x:c>
      <x:c r="S28" s="4" t="str">
        <x:f>IF(Master!T210="","",Master!T210)</x:f>
      </x:c>
      <x:c r="T28" s="4" t="str">
        <x:f>IF(Master!U210="","",Master!U210)</x:f>
      </x:c>
      <x:c r="U28" s="4" t="str">
        <x:f>IF(Master!V210="","",Master!V210)</x:f>
      </x:c>
      <x:c r="V28" s="4" t="str">
        <x:f>IF(Master!W210="","",Master!W210)</x:f>
      </x:c>
      <x:c r="W28" s="4" t="str">
        <x:f>IF(Master!X210="","",Master!X210)</x:f>
      </x:c>
      <x:c r="X28" s="4" t="str">
        <x:f>IF(Master!Y210="","",Master!Y210)</x:f>
      </x:c>
      <x:c r="Y28" s="4" t="str">
        <x:f>IF(Master!Z210="","",Master!Z210)</x:f>
      </x:c>
      <x:c r="Z28" s="4" t="str">
        <x:f>IF(Master!AA210="","",Master!AA210)</x:f>
      </x:c>
      <x:c r="AA28" s="5" t="str">
        <x:f>IF(Master!AB210="","",Master!AB210)</x:f>
      </x:c>
      <x:c r="AB28" s="4" t="str">
        <x:f>IF(Master!AC210="","",Master!AC210)</x:f>
      </x:c>
      <x:c r="AC28" s="4" t="str">
        <x:f>IF(Master!AD210="","",Master!AD210)</x:f>
      </x:c>
      <x:c r="AD28" s="4" t="str">
        <x:f>IF(Master!AE210="","",Master!AE210)</x:f>
      </x:c>
      <x:c r="AE28" s="4" t="str">
        <x:f>IF(Master!AF210="","",Master!AF210)</x:f>
      </x:c>
      <x:c r="AF28" s="8" t="str">
        <x:f>IF(Master!AG210="","",Master!AG210)</x:f>
      </x:c>
    </x:row>
    <x:row r="29" ht="36" customHeight="1">
      <x:c r="A29" s="17" t="s">
        <x:v>437</x:v>
      </x:c>
      <x:c r="B29" s="3" t="str">
        <x:f>IF(Master!C211="","",Master!C211)</x:f>
      </x:c>
      <x:c r="C29" s="3" t="str">
        <x:f>IF(Master!D211="","",Master!D211)</x:f>
      </x:c>
      <x:c r="D29" s="3" t="str">
        <x:f>IF(Master!E211="","",Master!E211)</x:f>
      </x:c>
      <x:c r="E29" s="3" t="str">
        <x:f>IF(Master!F211="","",Master!F211)</x:f>
      </x:c>
      <x:c r="F29" s="3" t="str">
        <x:f>IF(Master!G211="","",Master!G211)</x:f>
      </x:c>
      <x:c r="G29" s="3" t="str">
        <x:f>IF(Master!H211="","",Master!H211)</x:f>
      </x:c>
      <x:c r="H29" s="3" t="str">
        <x:f>IF(Master!I211="","",Master!I211)</x:f>
      </x:c>
      <x:c r="I29" s="3" t="str">
        <x:f>IF(Master!J211="","",Master!J211)</x:f>
      </x:c>
      <x:c r="J29" s="3" t="str">
        <x:f>IF(Master!K211="","",Master!K211)</x:f>
      </x:c>
      <x:c r="K29" s="3" t="str">
        <x:f>IF(Master!L211="","",Master!L211)</x:f>
        <x:v>No native transcription</x:v>
      </x:c>
      <x:c r="L29" s="3" t="str">
        <x:f>IF(Master!M211="","",Master!M211)</x:f>
      </x:c>
      <x:c r="M29" s="3" t="str">
        <x:f>IF(Master!N211="","",Master!N211)</x:f>
      </x:c>
      <x:c r="N29" s="3" t="str">
        <x:f>IF(Master!O211="","",Master!O211)</x:f>
      </x:c>
      <x:c r="O29" s="3" t="str">
        <x:f>IF(Master!P211="","",Master!P211)</x:f>
        <x:v>Yes</x:v>
      </x:c>
      <x:c r="P29" s="3" t="str">
        <x:f>IF(Master!Q211="","",Master!Q211)</x:f>
        <x:v>Yes</x:v>
      </x:c>
      <x:c r="Q29" s="3" t="str">
        <x:f>IF(Master!R211="","",Master!R211)</x:f>
      </x:c>
      <x:c r="R29" s="3" t="str">
        <x:f>IF(Master!S211="","",Master!S211)</x:f>
      </x:c>
      <x:c r="S29" s="3" t="str">
        <x:f>IF(Master!T211="","",Master!T211)</x:f>
      </x:c>
      <x:c r="T29" s="3" t="str">
        <x:f>IF(Master!U211="","",Master!U211)</x:f>
      </x:c>
      <x:c r="U29" s="3" t="str">
        <x:f>IF(Master!V211="","",Master!V211)</x:f>
        <x:v>No</x:v>
      </x:c>
      <x:c r="V29" s="3" t="str">
        <x:f>IF(Master!W211="","",Master!W211)</x:f>
      </x:c>
      <x:c r="W29" s="3" t="str">
        <x:f>IF(Master!X211="","",Master!X211)</x:f>
      </x:c>
      <x:c r="X29" s="3" t="str">
        <x:f>IF(Master!Y211="","",Master!Y211)</x:f>
      </x:c>
      <x:c r="Y29" s="3" t="str">
        <x:f>IF(Master!Z211="","",Master!Z211)</x:f>
      </x:c>
      <x:c r="Z29" s="3" t="str">
        <x:f>IF(Master!AA211="","",Master!AA211)</x:f>
      </x:c>
      <x:c r="AA29" s="6" t="str">
        <x:f>IF(Master!AB211="","",Master!AB211)</x:f>
      </x:c>
      <x:c r="AB29" s="3" t="str">
        <x:f>IF(Master!AC211="","",Master!AC211)</x:f>
      </x:c>
      <x:c r="AC29" s="3" t="str">
        <x:f>IF(Master!AD211="","",Master!AD211)</x:f>
      </x:c>
      <x:c r="AD29" s="3" t="str">
        <x:f>IF(Master!AE211="","",Master!AE211)</x:f>
      </x:c>
      <x:c r="AE29" s="3" t="str">
        <x:f>IF(Master!AF211="","",Master!AF211)</x:f>
      </x:c>
      <x:c r="AF29" s="8" t="str">
        <x:f>IF(Master!AG211="","",Master!AG211)</x:f>
      </x:c>
    </x:row>
    <x:row r="30" ht="21.950000762939453" customHeight="1">
      <x:c r="A30" s="18" t="s">
        <x:v>413</x:v>
      </x:c>
      <x:c r="B30" s="18" t="str">
        <x:f t="shared" ref="B30:AF30" si="4">IF(""="","","")</x:f>
      </x:c>
      <x:c r="C30" s="18" t="str">
        <x:f t="shared" si="4"/>
      </x:c>
      <x:c r="D30" s="18" t="str">
        <x:f t="shared" si="4"/>
      </x:c>
      <x:c r="E30" s="18" t="str">
        <x:f t="shared" si="4"/>
      </x:c>
      <x:c r="F30" s="18" t="str">
        <x:f t="shared" si="4"/>
      </x:c>
      <x:c r="G30" s="18" t="str">
        <x:f t="shared" si="4"/>
      </x:c>
      <x:c r="H30" s="18" t="str">
        <x:f t="shared" si="4"/>
      </x:c>
      <x:c r="I30" s="18" t="str">
        <x:f t="shared" si="4"/>
      </x:c>
      <x:c r="J30" s="18" t="str">
        <x:f t="shared" si="4"/>
      </x:c>
      <x:c r="K30" s="18" t="str">
        <x:f t="shared" si="4"/>
      </x:c>
      <x:c r="L30" s="18" t="str">
        <x:f t="shared" si="4"/>
      </x:c>
      <x:c r="M30" s="18" t="str">
        <x:f t="shared" si="4"/>
      </x:c>
      <x:c r="N30" s="18" t="str">
        <x:f t="shared" si="4"/>
      </x:c>
      <x:c r="O30" s="18" t="str">
        <x:f t="shared" si="4"/>
      </x:c>
      <x:c r="P30" s="18" t="str">
        <x:f t="shared" si="4"/>
      </x:c>
      <x:c r="Q30" s="18" t="str">
        <x:f t="shared" si="4"/>
      </x:c>
      <x:c r="R30" s="18" t="str">
        <x:f t="shared" si="4"/>
      </x:c>
      <x:c r="S30" s="18" t="str">
        <x:f t="shared" si="4"/>
      </x:c>
      <x:c r="T30" s="18" t="str">
        <x:f t="shared" si="4"/>
      </x:c>
      <x:c r="U30" s="18" t="str">
        <x:f t="shared" si="4"/>
      </x:c>
      <x:c r="V30" s="18" t="str">
        <x:f t="shared" si="4"/>
      </x:c>
      <x:c r="W30" s="18" t="str">
        <x:f t="shared" si="4"/>
      </x:c>
      <x:c r="X30" s="18" t="str">
        <x:f t="shared" si="4"/>
      </x:c>
      <x:c r="Y30" s="18" t="str">
        <x:f t="shared" si="4"/>
      </x:c>
      <x:c r="Z30" s="18" t="str">
        <x:f t="shared" si="4"/>
      </x:c>
      <x:c r="AA30" s="18" t="str">
        <x:f t="shared" si="4"/>
      </x:c>
      <x:c r="AB30" s="18" t="str">
        <x:f t="shared" si="4"/>
      </x:c>
      <x:c r="AC30" s="18" t="str">
        <x:f t="shared" si="4"/>
      </x:c>
      <x:c r="AD30" s="18" t="str">
        <x:f t="shared" si="4"/>
      </x:c>
      <x:c r="AE30" s="18" t="str">
        <x:f t="shared" si="4"/>
      </x:c>
      <x:c r="AF30" s="19" t="str">
        <x:f t="shared" si="4"/>
      </x:c>
    </x:row>
    <x:row r="31" ht="36" customHeight="1">
      <x:c r="A31" s="17" t="s">
        <x:v>458</x:v>
      </x:c>
      <x:c r="B31" s="3" t="str">
        <x:f>IF(Master!C212="","",Master!C212)</x:f>
        <x:v>https://support.discord.com/</x:v>
      </x:c>
      <x:c r="C31" s="3" t="str">
        <x:f>IF(Master!D212="","",Master!D212)</x:f>
        <x:v>See Research Sources</x:v>
      </x:c>
      <x:c r="D31" s="3" t="str">
        <x:f>IF(Master!E212="","",Master!E212)</x:f>
        <x:v>See Research Sources</x:v>
      </x:c>
      <x:c r="E31" s="3" t="str">
        <x:f>IF(Master!F212="","",Master!F212)</x:f>
        <x:v>See Research Sources</x:v>
      </x:c>
      <x:c r="F31" s="3" t="str">
        <x:f>IF(Master!G212="","",Master!G212)</x:f>
        <x:v>See Research Sources</x:v>
      </x:c>
      <x:c r="G31" s="3" t="str">
        <x:f>IF(Master!H212="","",Master!H212)</x:f>
        <x:v>See Research Sources</x:v>
      </x:c>
      <x:c r="H31" s="3" t="str">
        <x:f>IF(Master!I212="","",Master!I212)</x:f>
        <x:v>https://gamevox.com/</x:v>
      </x:c>
      <x:c r="I31" s="3" t="str">
        <x:f>IF(Master!J212="","",Master!J212)</x:f>
        <x:v>See Research Sources</x:v>
      </x:c>
      <x:c r="J31" s="3" t="str">
        <x:f>IF(Master!K212="","",Master!K212)</x:f>
        <x:v>See Research Sources</x:v>
      </x:c>
      <x:c r="K31" s="3" t="str">
        <x:f>IF(Master!L212="","",Master!L212)</x:f>
      </x:c>
      <x:c r="L31" s="3" t="str">
        <x:f>IF(Master!M212="","",Master!M212)</x:f>
        <x:v>See Research Sources</x:v>
      </x:c>
      <x:c r="M31" s="3" t="str">
        <x:f>IF(Master!N212="","",Master!N212)</x:f>
        <x:v>See Research Sources</x:v>
      </x:c>
      <x:c r="N31" s="3" t="str">
        <x:f>IF(Master!O212="","",Master!O212)</x:f>
        <x:v>See Research Sources</x:v>
      </x:c>
      <x:c r="O31" s="3" t="str">
        <x:f>IF(Master!P212="","",Master!P212)</x:f>
        <x:v>See Research Sources</x:v>
      </x:c>
      <x:c r="P31" s="3" t="str">
        <x:f>IF(Master!Q212="","",Master!Q212)</x:f>
        <x:v>See Research Sources</x:v>
      </x:c>
      <x:c r="Q31" s="3" t="str">
        <x:f>IF(Master!R212="","",Master!R212)</x:f>
        <x:v>See Research Sources</x:v>
      </x:c>
      <x:c r="R31" s="3" t="str">
        <x:f>IF(Master!S212="","",Master!S212)</x:f>
        <x:v>See Research Sources</x:v>
      </x:c>
      <x:c r="S31" s="3" t="str">
        <x:f>IF(Master!T212="","",Master!T212)</x:f>
        <x:v>See Research Sources</x:v>
      </x:c>
      <x:c r="T31" s="3" t="str">
        <x:f>IF(Master!U212="","",Master!U212)</x:f>
        <x:v>See Research Sources</x:v>
      </x:c>
      <x:c r="U31" s="3" t="str">
        <x:f>IF(Master!V212="","",Master!V212)</x:f>
        <x:v>https://therift.chat/plans/</x:v>
      </x:c>
      <x:c r="V31" s="3" t="str">
        <x:f>IF(Master!W212="","",Master!W212)</x:f>
        <x:v>See Research Sources</x:v>
      </x:c>
      <x:c r="W31" s="3" t="str">
        <x:f>IF(Master!X212="","",Master!X212)</x:f>
        <x:v>See Research Sources</x:v>
      </x:c>
      <x:c r="X31" s="3" t="str">
        <x:f>IF(Master!Y212="","",Master!Y212)</x:f>
        <x:v>See Research Sources</x:v>
      </x:c>
      <x:c r="Y31" s="3" t="str">
        <x:f>IF(Master!Z212="","",Master!Z212)</x:f>
        <x:v>See Research Sources</x:v>
      </x:c>
      <x:c r="Z31" s="3" t="str">
        <x:f>IF(Master!AA212="","",Master!AA212)</x:f>
        <x:v>See Research Sources</x:v>
      </x:c>
      <x:c r="AA31" s="6" t="str">
        <x:f>IF(Master!AB212="","",Master!AB212)</x:f>
        <x:v>See Research Sources</x:v>
      </x:c>
      <x:c r="AB31" s="3" t="str">
        <x:f>IF(Master!AC212="","",Master!AC212)</x:f>
        <x:v>See Research Sources</x:v>
      </x:c>
      <x:c r="AC31" s="3" t="str">
        <x:f>IF(Master!AD212="","",Master!AD212)</x:f>
        <x:v>See Research Sources</x:v>
      </x:c>
      <x:c r="AD31" s="3" t="str">
        <x:f>IF(Master!AE212="","",Master!AE212)</x:f>
        <x:v>See Research Sources</x:v>
      </x:c>
      <x:c r="AE31" s="3" t="str">
        <x:f>IF(Master!AF212="","",Master!AF212)</x:f>
        <x:v>See Research Sources</x:v>
      </x:c>
      <x:c r="AF31" s="8" t="str">
        <x:f>IF(Master!AG212="","",Master!AG212)</x:f>
        <x:v>See Research Sources</x:v>
      </x:c>
    </x:row>
    <x:row r="32" ht="36" customHeight="1">
      <x:c r="A32" s="17" t="s">
        <x:v>459</x:v>
      </x:c>
      <x:c r="B32" s="3" t="str">
        <x:f>IF(Master!C213="","",Master!C213)</x:f>
        <x:v>Voice/video/Go Live E2EE by default except Stage.</x:v>
      </x:c>
      <x:c r="C32" s="3" t="str">
        <x:f>IF(Master!D213="","",Master!D213)</x:f>
        <x:v>Voice exists; detailed limits are not publicly documented.</x:v>
      </x:c>
      <x:c r="D32" s="3" t="str">
        <x:f>IF(Master!E213="","",Master!E213)</x:f>
        <x:v>Media limits are software/operator-configurable rather than a paid tier.</x:v>
      </x:c>
      <x:c r="E32" s="3" t="str">
        <x:f>IF(Master!F213="","",Master!F213)</x:f>
        <x:v>LiveKit-based voice/video/screen sharing.</x:v>
      </x:c>
      <x:c r="F32" s="3" t="str">
        <x:f>IF(Master!G213="","",Master!G213)</x:f>
        <x:v>Alpha behavior/limits can change.</x:v>
      </x:c>
      <x:c r="G32" s="3" t="str">
        <x:f>IF(Master!H213="","",Master!H213)</x:f>
        <x:v>Nothing is E2EE yet per Sep 13 privacy policy.</x:v>
      </x:c>
      <x:c r="H32" s="3" t="str">
        <x:f>IF(Master!I213="","",Master!I213)</x:f>
        <x:v>Voice-first gaming platform.</x:v>
      </x:c>
      <x:c r="I32" s="3" t="str">
        <x:f>IF(Master!J213="","",Master!J213)</x:f>
        <x:v>Media is early/incomplete.</x:v>
      </x:c>
      <x:c r="J32" s="3" t="str">
        <x:f>IF(Master!K213="","",Master!K213)</x:f>
        <x:v>Media is peer-to-peer rather than server-room focused.</x:v>
      </x:c>
      <x:c r="K32" s="3" t="str">
        <x:f>IF(Master!L213="","",Master!L213)</x:f>
        <x:v>LiveKit. Guild voice uses guild authority; DM calls use conversation/caller authority. Existing calls may continue during a federation outage, but new joins require the authority.</x:v>
      </x:c>
      <x:c r="L32" s="3" t="str">
        <x:f>IF(Master!M213="","",Master!M213)</x:f>
        <x:v>Media limits not well documented.</x:v>
      </x:c>
      <x:c r="M32" s="3" t="str">
        <x:f>IF(Master!N213="","",Master!N213)</x:f>
        <x:v>Voice/video/screen share are live in open beta.</x:v>
      </x:c>
      <x:c r="N32" s="3" t="str">
        <x:f>IF(Master!O213="","",Master!O213)</x:f>
        <x:v>Media limits depend on the client, homeserver, and SFU deployment; Matrix has no universal platform limit.</x:v>
      </x:c>
      <x:c r="O32" s="3" t="str">
        <x:f>IF(Master!P213="","",Master!P213)</x:f>
        <x:v>Native Calls supports screen share and meeting-style controls.</x:v>
      </x:c>
      <x:c r="P32" s="3" t="str">
        <x:f>IF(Master!Q213="","",Master!Q213)</x:f>
        <x:v>No paywall on voice/video quality claimed.</x:v>
      </x:c>
      <x:c r="Q32" s="3" t="str">
        <x:f>IF(Master!R213="","",Master!R213)</x:f>
        <x:v>Purpose-built voice; no webcam/screen-sharing core.</x:v>
      </x:c>
      <x:c r="R32" s="3" t="str">
        <x:f>IF(Master!S213="","",Master!S213)</x:f>
        <x:v>public documentation emphasize chat more than media limits.</x:v>
      </x:c>
      <x:c r="S32" s="3" t="str">
        <x:f>IF(Master!T213="","",Master!T213)</x:f>
        <x:v>Custom voice infrastructure is a headline feature.</x:v>
      </x:c>
      <x:c r="T32" s="3" t="str">
        <x:f>IF(Master!U213="","",Master!U213)</x:f>
        <x:v>Persistent voice; P2P for small/DM calls; LiveKit for listed/larger hosted rooms. Hosted watch party has exceeded 100 participants.</x:v>
      </x:c>
      <x:c r="U32" s="3" t="str">
        <x:f>IF(Master!V213="","",Master!V213)</x:f>
        <x:v>Yes</x:v>
      </x:c>
      <x:c r="V32" s="3" t="str">
        <x:f>IF(Master!W213="","",Master!W213)</x:f>
        <x:v>Media calling varies by Rocket.Chat deployment; there is no single fixed platform profile.</x:v>
      </x:c>
      <x:c r="W32" s="3" t="str">
        <x:f>IF(Master!X213="","",Master!X213)</x:f>
        <x:v>Text/community-gardening focus.</x:v>
      </x:c>
      <x:c r="X32" s="3" t="str">
        <x:f>IF(Master!Y213="","",Master!Y213)</x:f>
        <x:v>Mobile can view shared screens.</x:v>
      </x:c>
      <x:c r="Y32" s="3" t="str">
        <x:f>IF(Master!Z213="","",Master!Z213)</x:f>
        <x:v>Voice is optional and disabled unless operator installs a compatible media implementation.</x:v>
      </x:c>
      <x:c r="Z32" s="3" t="str">
        <x:f>IF(Master!AA213="","",Master!AA213)</x:f>
        <x:v>Screen sharing/video rolled out in 2026; exact plan limits are not comprehensively documented.</x:v>
      </x:c>
      <x:c r="AA32" s="6" t="str">
        <x:f>IF(Master!AB213="","",Master!AB213)</x:f>
        <x:v>TS6 is beta, so limits/features are changing.</x:v>
      </x:c>
      <x:c r="AB32" s="3" t="str">
        <x:f>IF(Master!AC213="","",Master!AC213)</x:f>
      </x:c>
      <x:c r="AC32" s="3" t="str">
        <x:f>IF(Master!AD213="","",Master!AD213)</x:f>
        <x:v>Media details sparse.</x:v>
      </x:c>
      <x:c r="AD32" s="3" t="str">
        <x:f>IF(Master!AE213="","",Master!AE213)</x:f>
        <x:v>Designed around always-present game-room media.</x:v>
      </x:c>
      <x:c r="AE32" s="3" t="str">
        <x:f>IF(Master!AF213="","",Master!AF213)</x:f>
        <x:v>Self-host resource capacity determines practical limits.</x:v>
      </x:c>
      <x:c r="AF32" s="8" t="str">
        <x:f>IF(Master!AG213="","",Master!AG213)</x:f>
        <x:v>Voice/video are intentionally delegated to services such as Jitsi/Zoom/BigBlueButton.</x:v>
      </x:c>
    </x:row>
    <x:row r="33" ht="21.950000762939453" customHeight="1">
      <x:c r="A33" s="18" t="s">
        <x:v>460</x:v>
      </x:c>
      <x:c r="B33" s="18" t="str">
        <x:f t="shared" ref="B33:AF33" si="5">IF(""="","","")</x:f>
      </x:c>
      <x:c r="C33" s="18" t="str">
        <x:f t="shared" si="5"/>
      </x:c>
      <x:c r="D33" s="18" t="str">
        <x:f t="shared" si="5"/>
      </x:c>
      <x:c r="E33" s="18" t="str">
        <x:f t="shared" si="5"/>
      </x:c>
      <x:c r="F33" s="18" t="str">
        <x:f t="shared" si="5"/>
      </x:c>
      <x:c r="G33" s="18" t="str">
        <x:f t="shared" si="5"/>
      </x:c>
      <x:c r="H33" s="18" t="str">
        <x:f t="shared" si="5"/>
      </x:c>
      <x:c r="I33" s="18" t="str">
        <x:f t="shared" si="5"/>
      </x:c>
      <x:c r="J33" s="18" t="str">
        <x:f t="shared" si="5"/>
      </x:c>
      <x:c r="K33" s="18" t="str">
        <x:f t="shared" si="5"/>
      </x:c>
      <x:c r="L33" s="18" t="str">
        <x:f t="shared" si="5"/>
      </x:c>
      <x:c r="M33" s="18" t="str">
        <x:f t="shared" si="5"/>
      </x:c>
      <x:c r="N33" s="18" t="str">
        <x:f t="shared" si="5"/>
      </x:c>
      <x:c r="O33" s="18" t="str">
        <x:f t="shared" si="5"/>
      </x:c>
      <x:c r="P33" s="18" t="str">
        <x:f t="shared" si="5"/>
      </x:c>
      <x:c r="Q33" s="18" t="str">
        <x:f t="shared" si="5"/>
      </x:c>
      <x:c r="R33" s="18" t="str">
        <x:f t="shared" si="5"/>
      </x:c>
      <x:c r="S33" s="18" t="str">
        <x:f t="shared" si="5"/>
      </x:c>
      <x:c r="T33" s="18" t="str">
        <x:f t="shared" si="5"/>
      </x:c>
      <x:c r="U33" s="18" t="str">
        <x:f t="shared" si="5"/>
      </x:c>
      <x:c r="V33" s="18" t="str">
        <x:f t="shared" si="5"/>
      </x:c>
      <x:c r="W33" s="18" t="str">
        <x:f t="shared" si="5"/>
      </x:c>
      <x:c r="X33" s="18" t="str">
        <x:f t="shared" si="5"/>
      </x:c>
      <x:c r="Y33" s="18" t="str">
        <x:f t="shared" si="5"/>
      </x:c>
      <x:c r="Z33" s="18" t="str">
        <x:f t="shared" si="5"/>
      </x:c>
      <x:c r="AA33" s="18" t="str">
        <x:f t="shared" si="5"/>
      </x:c>
      <x:c r="AB33" s="18" t="str">
        <x:f t="shared" si="5"/>
      </x:c>
      <x:c r="AC33" s="18" t="str">
        <x:f t="shared" si="5"/>
      </x:c>
      <x:c r="AD33" s="18" t="str">
        <x:f t="shared" si="5"/>
      </x:c>
      <x:c r="AE33" s="18" t="str">
        <x:f t="shared" si="5"/>
      </x:c>
      <x:c r="AF33" s="19" t="str">
        <x:f t="shared" si="5"/>
      </x:c>
    </x:row>
    <x:row r="34" ht="36" customHeight="1">
      <x:c r="A34" s="17" t="s">
        <x:v>461</x:v>
      </x:c>
      <x:c r="B34" s="3" t="str">
        <x:f>IF(Master!C214="","",Master!C214)</x:f>
        <x:v>Yes</x:v>
      </x:c>
      <x:c r="C34" s="3" t="str">
        <x:f>IF(Master!D214="","",Master!D214)</x:f>
      </x:c>
      <x:c r="D34" s="3" t="str">
        <x:f>IF(Master!E214="","",Master!E214)</x:f>
      </x:c>
      <x:c r="E34" s="3" t="str">
        <x:f>IF(Master!F214="","",Master!F214)</x:f>
      </x:c>
      <x:c r="F34" s="3" t="str">
        <x:f>IF(Master!G214="","",Master!G214)</x:f>
      </x:c>
      <x:c r="G34" s="3" t="str">
        <x:f>IF(Master!H214="","",Master!H214)</x:f>
      </x:c>
      <x:c r="H34" s="3" t="str">
        <x:f>IF(Master!I214="","",Master!I214)</x:f>
      </x:c>
      <x:c r="I34" s="3" t="str">
        <x:f>IF(Master!J214="","",Master!J214)</x:f>
      </x:c>
      <x:c r="J34" s="3" t="str">
        <x:f>IF(Master!K214="","",Master!K214)</x:f>
      </x:c>
      <x:c r="K34" s="3" t="str">
        <x:f>IF(Master!L214="","",Master!L214)</x:f>
      </x:c>
      <x:c r="L34" s="3" t="str">
        <x:f>IF(Master!M214="","",Master!M214)</x:f>
      </x:c>
      <x:c r="M34" s="3" t="str">
        <x:f>IF(Master!N214="","",Master!N214)</x:f>
      </x:c>
      <x:c r="N34" s="3" t="str">
        <x:f>IF(Master!O214="","",Master!O214)</x:f>
      </x:c>
      <x:c r="O34" s="3" t="str">
        <x:f>IF(Master!P214="","",Master!P214)</x:f>
      </x:c>
      <x:c r="P34" s="3" t="str">
        <x:f>IF(Master!Q214="","",Master!Q214)</x:f>
      </x:c>
      <x:c r="Q34" s="3" t="str">
        <x:f>IF(Master!R214="","",Master!R214)</x:f>
      </x:c>
      <x:c r="R34" s="3" t="str">
        <x:f>IF(Master!S214="","",Master!S214)</x:f>
      </x:c>
      <x:c r="S34" s="3" t="str">
        <x:f>IF(Master!T214="","",Master!T214)</x:f>
      </x:c>
      <x:c r="T34" s="3" t="str">
        <x:f>IF(Master!U214="","",Master!U214)</x:f>
      </x:c>
      <x:c r="U34" s="3" t="str">
        <x:f>IF(Master!V214="","",Master!V214)</x:f>
        <x:v>Yes</x:v>
      </x:c>
      <x:c r="V34" s="3" t="str">
        <x:f>IF(Master!W214="","",Master!W214)</x:f>
      </x:c>
      <x:c r="W34" s="3" t="str">
        <x:f>IF(Master!X214="","",Master!X214)</x:f>
      </x:c>
      <x:c r="X34" s="3" t="str">
        <x:f>IF(Master!Y214="","",Master!Y214)</x:f>
      </x:c>
      <x:c r="Y34" s="3" t="str">
        <x:f>IF(Master!Z214="","",Master!Z214)</x:f>
      </x:c>
      <x:c r="Z34" s="3" t="str">
        <x:f>IF(Master!AA214="","",Master!AA214)</x:f>
      </x:c>
      <x:c r="AA34" s="6" t="str">
        <x:f>IF(Master!AB214="","",Master!AB214)</x:f>
      </x:c>
      <x:c r="AB34" s="3" t="str">
        <x:f>IF(Master!AC214="","",Master!AC214)</x:f>
      </x:c>
      <x:c r="AC34" s="3" t="str">
        <x:f>IF(Master!AD214="","",Master!AD214)</x:f>
      </x:c>
      <x:c r="AD34" s="3" t="str">
        <x:f>IF(Master!AE214="","",Master!AE214)</x:f>
      </x:c>
      <x:c r="AE34" s="3" t="str">
        <x:f>IF(Master!AF214="","",Master!AF214)</x:f>
      </x:c>
      <x:c r="AF34" s="8" t="str">
        <x:f>IF(Master!AG214="","",Master!AG214)</x:f>
      </x:c>
    </x:row>
    <x:row r="35" ht="36" customHeight="1">
      <x:c r="A35" s="17" t="s">
        <x:v>462</x:v>
      </x:c>
      <x:c r="B35" s="3" t="str">
        <x:f>IF(Master!C215="","",Master!C215)</x:f>
        <x:v>No native</x:v>
      </x:c>
      <x:c r="C35" s="3" t="str">
        <x:f>IF(Master!D215="","",Master!D215)</x:f>
      </x:c>
      <x:c r="D35" s="3" t="str">
        <x:f>IF(Master!E215="","",Master!E215)</x:f>
      </x:c>
      <x:c r="E35" s="3" t="str">
        <x:f>IF(Master!F215="","",Master!F215)</x:f>
      </x:c>
      <x:c r="F35" s="3" t="str">
        <x:f>IF(Master!G215="","",Master!G215)</x:f>
      </x:c>
      <x:c r="G35" s="3" t="str">
        <x:f>IF(Master!H215="","",Master!H215)</x:f>
      </x:c>
      <x:c r="H35" s="3" t="str">
        <x:f>IF(Master!I215="","",Master!I215)</x:f>
      </x:c>
      <x:c r="I35" s="3" t="str">
        <x:f>IF(Master!J215="","",Master!J215)</x:f>
      </x:c>
      <x:c r="J35" s="3" t="str">
        <x:f>IF(Master!K215="","",Master!K215)</x:f>
      </x:c>
      <x:c r="K35" s="3" t="str">
        <x:f>IF(Master!L215="","",Master!L215)</x:f>
        <x:v>No temporary/launcher voice-room workflow documented</x:v>
      </x:c>
      <x:c r="L35" s="3" t="str">
        <x:f>IF(Master!M215="","",Master!M215)</x:f>
      </x:c>
      <x:c r="M35" s="3" t="str">
        <x:f>IF(Master!N215="","",Master!N215)</x:f>
      </x:c>
      <x:c r="N35" s="3" t="str">
        <x:f>IF(Master!O215="","",Master!O215)</x:f>
      </x:c>
      <x:c r="O35" s="3" t="str">
        <x:f>IF(Master!P215="","",Master!P215)</x:f>
      </x:c>
      <x:c r="P35" s="3" t="str">
        <x:f>IF(Master!Q215="","",Master!Q215)</x:f>
      </x:c>
      <x:c r="Q35" s="3" t="str">
        <x:f>IF(Master!R215="","",Master!R215)</x:f>
      </x:c>
      <x:c r="R35" s="3" t="str">
        <x:f>IF(Master!S215="","",Master!S215)</x:f>
      </x:c>
      <x:c r="S35" s="3" t="str">
        <x:f>IF(Master!T215="","",Master!T215)</x:f>
      </x:c>
      <x:c r="T35" s="3" t="str">
        <x:f>IF(Master!U215="","",Master!U215)</x:f>
      </x:c>
      <x:c r="U35" s="3" t="str">
        <x:f>IF(Master!V215="","",Master!V215)</x:f>
        <x:v>Yes</x:v>
      </x:c>
      <x:c r="V35" s="3" t="str">
        <x:f>IF(Master!W215="","",Master!W215)</x:f>
      </x:c>
      <x:c r="W35" s="3" t="str">
        <x:f>IF(Master!X215="","",Master!X215)</x:f>
      </x:c>
      <x:c r="X35" s="3" t="str">
        <x:f>IF(Master!Y215="","",Master!Y215)</x:f>
      </x:c>
      <x:c r="Y35" s="3" t="str">
        <x:f>IF(Master!Z215="","",Master!Z215)</x:f>
      </x:c>
      <x:c r="Z35" s="3" t="str">
        <x:f>IF(Master!AA215="","",Master!AA215)</x:f>
      </x:c>
      <x:c r="AA35" s="6" t="str">
        <x:f>IF(Master!AB215="","",Master!AB215)</x:f>
      </x:c>
      <x:c r="AB35" s="3" t="str">
        <x:f>IF(Master!AC215="","",Master!AC215)</x:f>
      </x:c>
      <x:c r="AC35" s="3" t="str">
        <x:f>IF(Master!AD215="","",Master!AD215)</x:f>
      </x:c>
      <x:c r="AD35" s="3" t="str">
        <x:f>IF(Master!AE215="","",Master!AE215)</x:f>
      </x:c>
      <x:c r="AE35" s="3" t="str">
        <x:f>IF(Master!AF215="","",Master!AF215)</x:f>
      </x:c>
      <x:c r="AF35" s="8" t="str">
        <x:f>IF(Master!AG215="","",Master!AG215)</x:f>
      </x:c>
    </x:row>
    <x:row r="36" ht="36" customHeight="1">
      <x:c r="A36" s="17" t="s">
        <x:v>463</x:v>
      </x:c>
      <x:c r="B36" s="3" t="str">
        <x:f>IF(Master!C216="","",Master!C216)</x:f>
      </x:c>
      <x:c r="C36" s="3" t="str">
        <x:f>IF(Master!D216="","",Master!D216)</x:f>
      </x:c>
      <x:c r="D36" s="3" t="str">
        <x:f>IF(Master!E216="","",Master!E216)</x:f>
      </x:c>
      <x:c r="E36" s="3" t="str">
        <x:f>IF(Master!F216="","",Master!F216)</x:f>
      </x:c>
      <x:c r="F36" s="3" t="str">
        <x:f>IF(Master!G216="","",Master!G216)</x:f>
      </x:c>
      <x:c r="G36" s="3" t="str">
        <x:f>IF(Master!H216="","",Master!H216)</x:f>
      </x:c>
      <x:c r="H36" s="3" t="str">
        <x:f>IF(Master!I216="","",Master!I216)</x:f>
      </x:c>
      <x:c r="I36" s="3" t="str">
        <x:f>IF(Master!J216="","",Master!J216)</x:f>
      </x:c>
      <x:c r="J36" s="3" t="str">
        <x:f>IF(Master!K216="","",Master!K216)</x:f>
      </x:c>
      <x:c r="K36" s="3" t="str">
        <x:f>IF(Master!L216="","",Master!L216)</x:f>
        <x:v>Partial: browser 128 kbps Studio requests stereo/DTX-off; desktop remains processed mono</x:v>
      </x:c>
      <x:c r="L36" s="3" t="str">
        <x:f>IF(Master!M216="","",Master!M216)</x:f>
      </x:c>
      <x:c r="M36" s="3" t="str">
        <x:f>IF(Master!N216="","",Master!N216)</x:f>
      </x:c>
      <x:c r="N36" s="3" t="str">
        <x:f>IF(Master!O216="","",Master!O216)</x:f>
      </x:c>
      <x:c r="O36" s="3" t="str">
        <x:f>IF(Master!P216="","",Master!P216)</x:f>
      </x:c>
      <x:c r="P36" s="3" t="str">
        <x:f>IF(Master!Q216="","",Master!Q216)</x:f>
      </x:c>
      <x:c r="Q36" s="3" t="str">
        <x:f>IF(Master!R216="","",Master!R216)</x:f>
      </x:c>
      <x:c r="R36" s="3" t="str">
        <x:f>IF(Master!S216="","",Master!S216)</x:f>
      </x:c>
      <x:c r="S36" s="3" t="str">
        <x:f>IF(Master!T216="","",Master!T216)</x:f>
      </x:c>
      <x:c r="T36" s="3" t="str">
        <x:f>IF(Master!U216="","",Master!U216)</x:f>
      </x:c>
      <x:c r="U36" s="3" t="str">
        <x:f>IF(Master!V216="","",Master!V216)</x:f>
        <x:v>Yes: Rift+ high-fidelity mode at 128 kbps</x:v>
      </x:c>
      <x:c r="V36" s="3" t="str">
        <x:f>IF(Master!W216="","",Master!W216)</x:f>
      </x:c>
      <x:c r="W36" s="3" t="str">
        <x:f>IF(Master!X216="","",Master!X216)</x:f>
      </x:c>
      <x:c r="X36" s="3" t="str">
        <x:f>IF(Master!Y216="","",Master!Y216)</x:f>
      </x:c>
      <x:c r="Y36" s="3" t="str">
        <x:f>IF(Master!Z216="","",Master!Z216)</x:f>
      </x:c>
      <x:c r="Z36" s="3" t="str">
        <x:f>IF(Master!AA216="","",Master!AA216)</x:f>
      </x:c>
      <x:c r="AA36" s="6" t="str">
        <x:f>IF(Master!AB216="","",Master!AB216)</x:f>
        <x:v>Configurable/codecs</x:v>
      </x:c>
      <x:c r="AB36" s="3" t="str">
        <x:f>IF(Master!AC216="","",Master!AC216)</x:f>
      </x:c>
      <x:c r="AC36" s="3" t="str">
        <x:f>IF(Master!AD216="","",Master!AD216)</x:f>
      </x:c>
      <x:c r="AD36" s="3" t="str">
        <x:f>IF(Master!AE216="","",Master!AE216)</x:f>
      </x:c>
      <x:c r="AE36" s="3" t="str">
        <x:f>IF(Master!AF216="","",Master!AF216)</x:f>
      </x:c>
      <x:c r="AF36" s="8" t="str">
        <x:f>IF(Master!AG216="","",Master!AG216)</x:f>
      </x:c>
    </x:row>
    <x:row r="37" ht="36" customHeight="1">
      <x:c r="A37" s="17" t="s">
        <x:v>464</x:v>
      </x:c>
      <x:c r="B37" s="3" t="str">
        <x:f>IF(Master!C217="","",Master!C217)</x:f>
        <x:v>No</x:v>
      </x:c>
      <x:c r="C37" s="3" t="str">
        <x:f>IF(Master!D217="","",Master!D217)</x:f>
      </x:c>
      <x:c r="D37" s="3" t="str">
        <x:f>IF(Master!E217="","",Master!E217)</x:f>
      </x:c>
      <x:c r="E37" s="3" t="str">
        <x:f>IF(Master!F217="","",Master!F217)</x:f>
      </x:c>
      <x:c r="F37" s="3" t="str">
        <x:f>IF(Master!G217="","",Master!G217)</x:f>
      </x:c>
      <x:c r="G37" s="3" t="str">
        <x:f>IF(Master!H217="","",Master!H217)</x:f>
      </x:c>
      <x:c r="H37" s="3" t="str">
        <x:f>IF(Master!I217="","",Master!I217)</x:f>
      </x:c>
      <x:c r="I37" s="3" t="str">
        <x:f>IF(Master!J217="","",Master!J217)</x:f>
      </x:c>
      <x:c r="J37" s="3" t="str">
        <x:f>IF(Master!K217="","",Master!K217)</x:f>
      </x:c>
      <x:c r="K37" s="3" t="str">
        <x:f>IF(Master!L217="","",Master!L217)</x:f>
        <x:v>No native voice changer documented</x:v>
      </x:c>
      <x:c r="L37" s="3" t="str">
        <x:f>IF(Master!M217="","",Master!M217)</x:f>
      </x:c>
      <x:c r="M37" s="3" t="str">
        <x:f>IF(Master!N217="","",Master!N217)</x:f>
      </x:c>
      <x:c r="N37" s="3" t="str">
        <x:f>IF(Master!O217="","",Master!O217)</x:f>
      </x:c>
      <x:c r="O37" s="3" t="str">
        <x:f>IF(Master!P217="","",Master!P217)</x:f>
      </x:c>
      <x:c r="P37" s="3" t="str">
        <x:f>IF(Master!Q217="","",Master!Q217)</x:f>
      </x:c>
      <x:c r="Q37" s="3" t="str">
        <x:f>IF(Master!R217="","",Master!R217)</x:f>
      </x:c>
      <x:c r="R37" s="3" t="str">
        <x:f>IF(Master!S217="","",Master!S217)</x:f>
      </x:c>
      <x:c r="S37" s="3" t="str">
        <x:f>IF(Master!T217="","",Master!T217)</x:f>
      </x:c>
      <x:c r="T37" s="3" t="str">
        <x:f>IF(Master!U217="","",Master!U217)</x:f>
      </x:c>
      <x:c r="U37" s="3" t="str">
        <x:f>IF(Master!V217="","",Master!V217)</x:f>
        <x:v>Yes</x:v>
      </x:c>
      <x:c r="V37" s="3" t="str">
        <x:f>IF(Master!W217="","",Master!W217)</x:f>
      </x:c>
      <x:c r="W37" s="3" t="str">
        <x:f>IF(Master!X217="","",Master!X217)</x:f>
      </x:c>
      <x:c r="X37" s="3" t="str">
        <x:f>IF(Master!Y217="","",Master!Y217)</x:f>
      </x:c>
      <x:c r="Y37" s="3" t="str">
        <x:f>IF(Master!Z217="","",Master!Z217)</x:f>
      </x:c>
      <x:c r="Z37" s="3" t="str">
        <x:f>IF(Master!AA217="","",Master!AA217)</x:f>
      </x:c>
      <x:c r="AA37" s="6" t="str">
        <x:f>IF(Master!AB217="","",Master!AB217)</x:f>
      </x:c>
      <x:c r="AB37" s="3" t="str">
        <x:f>IF(Master!AC217="","",Master!AC217)</x:f>
      </x:c>
      <x:c r="AC37" s="3" t="str">
        <x:f>IF(Master!AD217="","",Master!AD217)</x:f>
      </x:c>
      <x:c r="AD37" s="3" t="str">
        <x:f>IF(Master!AE217="","",Master!AE217)</x:f>
      </x:c>
      <x:c r="AE37" s="3" t="str">
        <x:f>IF(Master!AF217="","",Master!AF217)</x:f>
      </x:c>
      <x:c r="AF37" s="8" t="str">
        <x:f>IF(Master!AG217="","",Master!AG217)</x:f>
      </x:c>
    </x:row>
  </x:sheetData>
  <x:mergeCells>
    <x:mergeCell ref="A1:A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Directory'!A1","Video &amp; Screen Sharing"),"Video &amp; Screen Sharing")</x:f>
        <x:v>Video &amp; Screen Sharing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465</x:v>
      </x:c>
      <x:c r="B3" s="3" t="str">
        <x:f>IF(Master!C218="","",Master!C218)</x:f>
        <x:v>720p</x:v>
      </x:c>
      <x:c r="C3" s="3" t="str">
        <x:f>IF(Master!D218="","",Master!D218)</x:f>
      </x:c>
      <x:c r="D3" s="3" t="str">
        <x:f>IF(Master!E218="","",Master!E218)</x:f>
        <x:v>Up to 4K theoretical/configurable</x:v>
      </x:c>
      <x:c r="E3" s="3" t="str">
        <x:f>IF(Master!F218="","",Master!F218)</x:f>
      </x:c>
      <x:c r="F3" s="3" t="str">
        <x:f>IF(Master!G218="","",Master!G218)</x:f>
      </x:c>
      <x:c r="G3" s="3" t="str">
        <x:f>IF(Master!H218="","",Master!H218)</x:f>
        <x:v>720p</x:v>
      </x:c>
      <x:c r="H3" s="3" t="str">
        <x:f>IF(Master!I218="","",Master!I218)</x:f>
        <x:v>1080p</x:v>
      </x:c>
      <x:c r="I3" s="3" t="str">
        <x:f>IF(Master!J218="","",Master!J218)</x:f>
        <x:v>In development</x:v>
      </x:c>
      <x:c r="J3" s="3" t="str">
        <x:f>IF(Master!K218="","",Master!K218)</x:f>
        <x:v>P2P/client dependent</x:v>
      </x:c>
      <x:c r="K3" s="3" t="str">
        <x:f>IF(Master!L218="","",Master!L218)</x:f>
      </x:c>
      <x:c r="L3" s="3" t="str">
        <x:f>IF(Master!M218="","",Master!M218)</x:f>
      </x:c>
      <x:c r="M3" s="3" t="str">
        <x:f>IF(Master!N218="","",Master!N218)</x:f>
      </x:c>
      <x:c r="N3" s="3" t="str">
        <x:f>IF(Master!O218="","",Master!O218)</x:f>
        <x:v>Varies by client</x:v>
      </x:c>
      <x:c r="O3" s="3" t="str">
        <x:f>IF(Master!P218="","",Master!P218)</x:f>
        <x:v>Provider/deployment dependent; native Calls screen share</x:v>
      </x:c>
      <x:c r="P3" s="3" t="str">
        <x:f>IF(Master!Q218="","",Master!Q218)</x:f>
        <x:v>Unlimited resolution claim</x:v>
      </x:c>
      <x:c r="Q3" s="3" t="str">
        <x:f>IF(Master!R218="","",Master!R218)</x:f>
        <x:v>N/A</x:v>
      </x:c>
      <x:c r="R3" s="3" t="str">
        <x:f>IF(Master!S218="","",Master!S218)</x:f>
      </x:c>
      <x:c r="S3" s="3" t="str">
        <x:f>IF(Master!T218="","",Master!T218)</x:f>
      </x:c>
      <x:c r="T3" s="3" t="str">
        <x:f>IF(Master!U218="","",Master!U218)</x:f>
        <x:v>1080p</x:v>
      </x:c>
      <x:c r="U3" s="3" t="str">
        <x:f>IF(Master!V218="","",Master!V218)</x:f>
        <x:v>1080p free</x:v>
      </x:c>
      <x:c r="V3" s="3" t="str">
        <x:f>IF(Master!W218="","",Master!W218)</x:f>
        <x:v>Provider/deployment-dependent</x:v>
      </x:c>
      <x:c r="W3" s="3" t="str">
        <x:f>IF(Master!X218="","",Master!X218)</x:f>
      </x:c>
      <x:c r="X3" s="3" t="str">
        <x:f>IF(Master!Y218="","",Master!Y218)</x:f>
        <x:v>720p Game Mode / Source mode</x:v>
      </x:c>
      <x:c r="Y3" s="3" t="str">
        <x:f>IF(Master!Z218="","",Master!Z218)</x:f>
        <x:v>Supported by recommended Pion voice implementation</x:v>
      </x:c>
      <x:c r="Z3" s="3" t="str">
        <x:f>IF(Master!AA218="","",Master!AA218)</x:f>
        <x:v>720p</x:v>
      </x:c>
      <x:c r="AA3" s="6" t="str">
        <x:f>IF(Master!AB218="","",Master!AB218)</x:f>
      </x:c>
      <x:c r="AB3" s="3" t="str">
        <x:f>IF(Master!AC218="","",Master!AC218)</x:f>
      </x:c>
      <x:c r="AC3" s="3" t="str">
        <x:f>IF(Master!AD218="","",Master!AD218)</x:f>
      </x:c>
      <x:c r="AD3" s="3" t="str">
        <x:f>IF(Master!AE218="","",Master!AE218)</x:f>
      </x:c>
      <x:c r="AE3" s="3" t="str">
        <x:f>IF(Master!AF218="","",Master!AF218)</x:f>
        <x:v>Up to 1440p included</x:v>
      </x:c>
      <x:c r="AF3" s="8" t="str">
        <x:f>IF(Master!AG218="","",Master!AG218)</x:f>
        <x:v>External call provider-dependent</x:v>
      </x:c>
    </x:row>
    <x:row r="4" ht="36" customHeight="1">
      <x:c r="A4" s="17" t="s">
        <x:v>466</x:v>
      </x:c>
      <x:c r="B4" s="3" t="str">
        <x:f>IF(Master!C219="","",Master!C219)</x:f>
        <x:v>30 fps</x:v>
      </x:c>
      <x:c r="C4" s="3" t="str">
        <x:f>IF(Master!D219="","",Master!D219)</x:f>
      </x:c>
      <x:c r="D4" s="3" t="str">
        <x:f>IF(Master!E219="","",Master!E219)</x:f>
        <x:v>Up to 60/120 depending documentation/version</x:v>
      </x:c>
      <x:c r="E4" s="3" t="str">
        <x:f>IF(Master!F219="","",Master!F219)</x:f>
      </x:c>
      <x:c r="F4" s="3" t="str">
        <x:f>IF(Master!G219="","",Master!G219)</x:f>
      </x:c>
      <x:c r="G4" s="3" t="str">
        <x:f>IF(Master!H219="","",Master!H219)</x:f>
        <x:v>30 fps</x:v>
      </x:c>
      <x:c r="H4" s="3" t="str">
        <x:f>IF(Master!I219="","",Master!I219)</x:f>
        <x:v>30 fps</x:v>
      </x:c>
      <x:c r="I4" s="3" t="str">
        <x:f>IF(Master!J219="","",Master!J219)</x:f>
        <x:v>In development</x:v>
      </x:c>
      <x:c r="J4" s="3" t="str">
        <x:f>IF(Master!K219="","",Master!K219)</x:f>
      </x:c>
      <x:c r="K4" s="3" t="str">
        <x:f>IF(Master!L219="","",Master!L219)</x:f>
        <x:v>30 FPS in current documented presets; developer questionnaire reported 60 FPS</x:v>
      </x:c>
      <x:c r="L4" s="3" t="str">
        <x:f>IF(Master!M219="","",Master!M219)</x:f>
      </x:c>
      <x:c r="M4" s="3" t="str">
        <x:f>IF(Master!N219="","",Master!N219)</x:f>
      </x:c>
      <x:c r="N4" s="3" t="str">
        <x:f>IF(Master!O219="","",Master!O219)</x:f>
        <x:v>Varies by client</x:v>
      </x:c>
      <x:c r="O4" s="3" t="str">
        <x:f>IF(Master!P219="","",Master!P219)</x:f>
      </x:c>
      <x:c r="P4" s="3" t="str">
        <x:f>IF(Master!Q219="","",Master!Q219)</x:f>
      </x:c>
      <x:c r="Q4" s="3" t="str">
        <x:f>IF(Master!R219="","",Master!R219)</x:f>
        <x:v>N/A</x:v>
      </x:c>
      <x:c r="R4" s="3" t="str">
        <x:f>IF(Master!S219="","",Master!S219)</x:f>
      </x:c>
      <x:c r="S4" s="3" t="str">
        <x:f>IF(Master!T219="","",Master!T219)</x:f>
      </x:c>
      <x:c r="T4" s="3" t="str">
        <x:f>IF(Master!U219="","",Master!U219)</x:f>
        <x:v>Not publicly claimed</x:v>
      </x:c>
      <x:c r="U4" s="3" t="str">
        <x:f>IF(Master!V219="","",Master!V219)</x:f>
        <x:v>60 FPS free</x:v>
      </x:c>
      <x:c r="V4" s="3" t="str">
        <x:f>IF(Master!W219="","",Master!W219)</x:f>
      </x:c>
      <x:c r="W4" s="3" t="str">
        <x:f>IF(Master!X219="","",Master!X219)</x:f>
      </x:c>
      <x:c r="X4" s="3" t="str">
        <x:f>IF(Master!Y219="","",Master!Y219)</x:f>
        <x:v>30 fps Game Mode / 5 fps Source mode</x:v>
      </x:c>
      <x:c r="Y4" s="3" t="str">
        <x:f>IF(Master!Z219="","",Master!Z219)</x:f>
      </x:c>
      <x:c r="Z4" s="3" t="str">
        <x:f>IF(Master!AA219="","",Master!AA219)</x:f>
        <x:v>30 fps</x:v>
      </x:c>
      <x:c r="AA4" s="6" t="str">
        <x:f>IF(Master!AB219="","",Master!AB219)</x:f>
      </x:c>
      <x:c r="AB4" s="3" t="str">
        <x:f>IF(Master!AC219="","",Master!AC219)</x:f>
      </x:c>
      <x:c r="AC4" s="3" t="str">
        <x:f>IF(Master!AD219="","",Master!AD219)</x:f>
      </x:c>
      <x:c r="AD4" s="3" t="str">
        <x:f>IF(Master!AE219="","",Master!AE219)</x:f>
      </x:c>
      <x:c r="AE4" s="3" t="str">
        <x:f>IF(Master!AF219="","",Master!AF219)</x:f>
      </x:c>
      <x:c r="AF4" s="8" t="str">
        <x:f>IF(Master!AG219="","",Master!AG219)</x:f>
        <x:v>Provider-dependent</x:v>
      </x:c>
    </x:row>
    <x:row r="5" ht="36" customHeight="1">
      <x:c r="A5" s="17" t="s">
        <x:v>467</x:v>
      </x:c>
      <x:c r="B5" s="3" t="str">
        <x:f>IF(Master!C220="","",Master!C220)</x:f>
        <x:v>Up to 4K/60 fps with Nitro/Nitro Classic</x:v>
      </x:c>
      <x:c r="C5" s="3" t="str">
        <x:f>IF(Master!D220="","",Master!D220)</x:f>
      </x:c>
      <x:c r="D5" s="3" t="str">
        <x:f>IF(Master!E220="","",Master!E220)</x:f>
        <x:v>Operator-configurable</x:v>
      </x:c>
      <x:c r="E5" s="3" t="str">
        <x:f>IF(Master!F220="","",Master!F220)</x:f>
      </x:c>
      <x:c r="F5" s="3" t="str">
        <x:f>IF(Master!G220="","",Master!G220)</x:f>
      </x:c>
      <x:c r="G5" s="3" t="str">
        <x:f>IF(Master!H220="","",Master!H220)</x:f>
        <x:v>Up to 4K/60 with Plutonium</x:v>
      </x:c>
      <x:c r="H5" s="3" t="str">
        <x:f>IF(Master!I220="","",Master!I220)</x:f>
        <x:v>Up to 4K/60 Diamond</x:v>
      </x:c>
      <x:c r="I5" s="3" t="str">
        <x:f>IF(Master!J220="","",Master!J220)</x:f>
        <x:v>N/A</x:v>
      </x:c>
      <x:c r="J5" s="3" t="str">
        <x:f>IF(Master!K220="","",Master!K220)</x:f>
        <x:v>N/A</x:v>
      </x:c>
      <x:c r="K5" s="3" t="str">
        <x:f>IF(Master!L220="","",Master!L220)</x:f>
        <x:v>No paid quality tier; documented presets are current/free</x:v>
      </x:c>
      <x:c r="L5" s="3" t="str">
        <x:f>IF(Master!M220="","",Master!M220)</x:f>
      </x:c>
      <x:c r="M5" s="3" t="str">
        <x:f>IF(Master!N220="","",Master!N220)</x:f>
      </x:c>
      <x:c r="N5" s="3" t="str">
        <x:f>IF(Master!O220="","",Master!O220)</x:f>
        <x:v>Client/provider-dependent</x:v>
      </x:c>
      <x:c r="O5" s="3" t="str">
        <x:f>IF(Master!P220="","",Master!P220)</x:f>
        <x:v>Plan/deployment-dependent</x:v>
      </x:c>
      <x:c r="P5" s="3" t="str">
        <x:f>IF(Master!Q220="","",Master!Q220)</x:f>
        <x:v>No paid cap claimed</x:v>
      </x:c>
      <x:c r="Q5" s="3" t="str">
        <x:f>IF(Master!R220="","",Master!R220)</x:f>
        <x:v>N/A</x:v>
      </x:c>
      <x:c r="R5" s="3" t="str">
        <x:f>IF(Master!S220="","",Master!S220)</x:f>
      </x:c>
      <x:c r="S5" s="3" t="str">
        <x:f>IF(Master!T220="","",Master!T220)</x:f>
      </x:c>
      <x:c r="T5" s="3" t="str">
        <x:f>IF(Master!U220="","",Master!U220)</x:f>
        <x:v>No paid tier: 1080p free</x:v>
      </x:c>
      <x:c r="U5" s="3" t="str">
        <x:f>IF(Master!V220="","",Master!V220)</x:f>
        <x:v>1440p60 with Rift+</x:v>
      </x:c>
      <x:c r="V5" s="3" t="str">
        <x:f>IF(Master!W220="","",Master!W220)</x:f>
        <x:v>Provider-dependent</x:v>
      </x:c>
      <x:c r="W5" s="3" t="str">
        <x:f>IF(Master!X220="","",Master!X220)</x:f>
        <x:v>N/A</x:v>
      </x:c>
      <x:c r="X5" s="3" t="str">
        <x:f>IF(Master!Y220="","",Master!Y220)</x:f>
        <x:v>Up to 1440p/60 with Sudo</x:v>
      </x:c>
      <x:c r="Y5" s="3" t="str">
        <x:f>IF(Master!Z220="","",Master!Z220)</x:f>
        <x:v>Operator/config dependent</x:v>
      </x:c>
      <x:c r="Z5" s="3" t="str">
        <x:f>IF(Master!AA220="","",Master!AA220)</x:f>
        <x:v>No separate paid screen-share entitlement publicly stated</x:v>
      </x:c>
      <x:c r="AA5" s="6" t="str">
        <x:f>IF(Master!AB220="","",Master!AB220)</x:f>
      </x:c>
      <x:c r="AB5" s="3" t="str">
        <x:f>IF(Master!AC220="","",Master!AC220)</x:f>
      </x:c>
      <x:c r="AC5" s="3" t="str">
        <x:f>IF(Master!AD220="","",Master!AD220)</x:f>
      </x:c>
      <x:c r="AD5" s="3" t="str">
        <x:f>IF(Master!AE220="","",Master!AE220)</x:f>
        <x:v>Free/unmetered claim</x:v>
      </x:c>
      <x:c r="AE5" s="3" t="str">
        <x:f>IF(Master!AF220="","",Master!AF220)</x:f>
        <x:v>Up to 1440p included</x:v>
      </x:c>
      <x:c r="AF5" s="8" t="str">
        <x:f>IF(Master!AG220="","",Master!AG220)</x:f>
        <x:v>Provider-dependent</x:v>
      </x:c>
    </x:row>
    <x:row r="6" ht="36" customHeight="1">
      <x:c r="A6" s="17" t="s">
        <x:v>468</x:v>
      </x:c>
      <x:c r="B6" s="3" t="str">
        <x:f>IF(Master!C251="","",Master!C251)</x:f>
        <x:v>Yes: Windows, macOS, Chrome, mobile; Linux audio sharing unavailable</x:v>
      </x:c>
      <x:c r="C6" s="3" t="str">
        <x:f>IF(Master!D251="","",Master!D251)</x:f>
      </x:c>
      <x:c r="D6" s="3" t="str">
        <x:f>IF(Master!E251="","",Master!E251)</x:f>
        <x:v>Yes</x:v>
      </x:c>
      <x:c r="E6" s="3" t="str">
        <x:f>IF(Master!F251="","",Master!F251)</x:f>
        <x:v>Yes</x:v>
      </x:c>
      <x:c r="F6" s="3" t="str">
        <x:f>IF(Master!G251="","",Master!G251)</x:f>
        <x:v>Yes: screen sharing exists in alpha</x:v>
      </x:c>
      <x:c r="G6" s="3" t="str">
        <x:f>IF(Master!H251="","",Master!H251)</x:f>
        <x:v>Yes</x:v>
      </x:c>
      <x:c r="H6" s="3" t="str">
        <x:f>IF(Master!I251="","",Master!I251)</x:f>
        <x:v>Yes</x:v>
      </x:c>
      <x:c r="I6" s="3" t="str">
        <x:f>IF(Master!J251="","",Master!J251)</x:f>
      </x:c>
      <x:c r="J6" s="3" t="str">
        <x:f>IF(Master!K251="","",Master!K251)</x:f>
        <x:v>Yes on supported desktop platforms; per-app capture documented for Windows/Linux</x:v>
      </x:c>
      <x:c r="K6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6" s="3" t="str">
        <x:f>IF(Master!M251="","",Master!M251)</x:f>
      </x:c>
      <x:c r="M6" s="3" t="str">
        <x:f>IF(Master!N251="","",Master!N251)</x:f>
        <x:v>Yes</x:v>
      </x:c>
      <x:c r="N6" s="3" t="str">
        <x:f>IF(Master!O251="","",Master!O251)</x:f>
        <x:v>Varies by client</x:v>
      </x:c>
      <x:c r="O6" s="3" t="str">
        <x:f>IF(Master!P251="","",Master!P251)</x:f>
        <x:v>Yes</x:v>
      </x:c>
      <x:c r="P6" s="3" t="str">
        <x:f>IF(Master!Q251="","",Master!Q251)</x:f>
        <x:v>Yes</x:v>
      </x:c>
      <x:c r="Q6" s="3" t="str">
        <x:f>IF(Master!R251="","",Master!R251)</x:f>
        <x:v>N/A</x:v>
      </x:c>
      <x:c r="R6" s="3" t="str">
        <x:f>IF(Master!S251="","",Master!S251)</x:f>
      </x:c>
      <x:c r="S6" s="3" t="str">
        <x:f>IF(Master!T251="","",Master!T251)</x:f>
        <x:v>Yes</x:v>
      </x:c>
      <x:c r="T6" s="3" t="str">
        <x:f>IF(Master!U251="","",Master!U251)</x:f>
        <x:v>Yes: browser tab audio</x:v>
      </x:c>
      <x:c r="U6" s="3" t="str">
        <x:f>IF(Master!V251="","",Master!V251)</x:f>
        <x:v>Yes</x:v>
      </x:c>
      <x:c r="V6" s="3" t="str">
        <x:f>IF(Master!W251="","",Master!W251)</x:f>
        <x:v>Provider-dependent</x:v>
      </x:c>
      <x:c r="W6" s="3" t="str">
        <x:f>IF(Master!X251="","",Master!X251)</x:f>
        <x:v>N/A</x:v>
      </x:c>
      <x:c r="X6" s="3" t="str">
        <x:f>IF(Master!Y251="","",Master!Y251)</x:f>
        <x:v>Yes: share stream audio</x:v>
      </x:c>
      <x:c r="Y6" s="3" t="str">
        <x:f>IF(Master!Z251="","",Master!Z251)</x:f>
        <x:v>Go Live supported by recommended Pion implementation</x:v>
      </x:c>
      <x:c r="Z6" s="3" t="str">
        <x:f>IF(Master!AA251="","",Master!AA251)</x:f>
        <x:v>Yes: whole-screen and window audio</x:v>
      </x:c>
      <x:c r="AA6" s="6" t="str">
        <x:f>IF(Master!AB251="","",Master!AB251)</x:f>
        <x:v>Yes</x:v>
      </x:c>
      <x:c r="AB6" s="3" t="str">
        <x:f>IF(Master!AC251="","",Master!AC251)</x:f>
      </x:c>
      <x:c r="AC6" s="3" t="str">
        <x:f>IF(Master!AD251="","",Master!AD251)</x:f>
      </x:c>
      <x:c r="AD6" s="3" t="str">
        <x:f>IF(Master!AE251="","",Master!AE251)</x:f>
        <x:v>Yes</x:v>
      </x:c>
      <x:c r="AE6" s="3" t="str">
        <x:f>IF(Master!AF251="","",Master!AF251)</x:f>
        <x:v>Yes: screen share with audio</x:v>
      </x:c>
      <x:c r="AF6" s="8" t="str">
        <x:f>IF(Master!AG251="","",Master!AG251)</x:f>
        <x:v>Provider-dependent</x:v>
      </x:c>
    </x:row>
    <x:row r="7" ht="36" customHeight="1">
      <x:c r="A7" s="17" t="s">
        <x:v>469</x:v>
      </x:c>
      <x:c r="B7" s="3" t="str">
        <x:f>IF(Master!C252="","",Master!C252)</x:f>
        <x:v>Yes on supported platforms</x:v>
      </x:c>
      <x:c r="C7" s="3" t="str">
        <x:f>IF(Master!D252="","",Master!D252)</x:f>
      </x:c>
      <x:c r="D7" s="3" t="str">
        <x:f>IF(Master!E252="","",Master!E252)</x:f>
      </x:c>
      <x:c r="E7" s="3" t="str">
        <x:f>IF(Master!F252="","",Master!F252)</x:f>
      </x:c>
      <x:c r="F7" s="3" t="str">
        <x:f>IF(Master!G252="","",Master!G252)</x:f>
      </x:c>
      <x:c r="G7" s="3" t="str">
        <x:f>IF(Master!H252="","",Master!H252)</x:f>
        <x:v>Yes on supported desktop paths</x:v>
      </x:c>
      <x:c r="H7" s="3" t="str">
        <x:f>IF(Master!I252="","",Master!I252)</x:f>
      </x:c>
      <x:c r="I7" s="3" t="str">
        <x:f>IF(Master!J252="","",Master!J252)</x:f>
      </x:c>
      <x:c r="J7" s="3" t="str">
        <x:f>IF(Master!K252="","",Master!K252)</x:f>
      </x:c>
      <x:c r="K7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7" s="3" t="str">
        <x:f>IF(Master!M252="","",Master!M252)</x:f>
      </x:c>
      <x:c r="M7" s="3" t="str">
        <x:f>IF(Master!N252="","",Master!N252)</x:f>
      </x:c>
      <x:c r="N7" s="3" t="str">
        <x:f>IF(Master!O252="","",Master!O252)</x:f>
        <x:v>Varies by client</x:v>
      </x:c>
      <x:c r="O7" s="3" t="str">
        <x:f>IF(Master!P252="","",Master!P252)</x:f>
        <x:v>Yes</x:v>
      </x:c>
      <x:c r="P7" s="3" t="str">
        <x:f>IF(Master!Q252="","",Master!Q252)</x:f>
      </x:c>
      <x:c r="Q7" s="3" t="str">
        <x:f>IF(Master!R252="","",Master!R252)</x:f>
        <x:v>N/A</x:v>
      </x:c>
      <x:c r="R7" s="3" t="str">
        <x:f>IF(Master!S252="","",Master!S252)</x:f>
      </x:c>
      <x:c r="S7" s="3" t="str">
        <x:f>IF(Master!T252="","",Master!T252)</x:f>
      </x:c>
      <x:c r="T7" s="3" t="str">
        <x:f>IF(Master!U252="","",Master!U252)</x:f>
        <x:v>Browser tab audio supported; full system-audio capture not publicly claimed</x:v>
      </x:c>
      <x:c r="U7" s="3" t="str">
        <x:f>IF(Master!V252="","",Master!V252)</x:f>
        <x:v>Yes</x:v>
      </x:c>
      <x:c r="V7" s="3" t="str">
        <x:f>IF(Master!W252="","",Master!W252)</x:f>
        <x:v>Provider-dependent</x:v>
      </x:c>
      <x:c r="W7" s="3" t="str">
        <x:f>IF(Master!X252="","",Master!X252)</x:f>
        <x:v>N/A</x:v>
      </x:c>
      <x:c r="X7" s="3" t="str">
        <x:f>IF(Master!Y252="","",Master!Y252)</x:f>
        <x:v>Yes on supported desktop</x:v>
      </x:c>
      <x:c r="Y7" s="3" t="str">
        <x:f>IF(Master!Z252="","",Master!Z252)</x:f>
      </x:c>
      <x:c r="Z7" s="3" t="str">
        <x:f>IF(Master!AA252="","",Master!AA252)</x:f>
        <x:v>Yes: whole-screen/window audio; Wayland audio can be unreliable</x:v>
      </x:c>
      <x:c r="AA7" s="6" t="str">
        <x:f>IF(Master!AB252="","",Master!AB252)</x:f>
      </x:c>
      <x:c r="AB7" s="3" t="str">
        <x:f>IF(Master!AC252="","",Master!AC252)</x:f>
      </x:c>
      <x:c r="AC7" s="3" t="str">
        <x:f>IF(Master!AD252="","",Master!AD252)</x:f>
      </x:c>
      <x:c r="AD7" s="3" t="str">
        <x:f>IF(Master!AE252="","",Master!AE252)</x:f>
      </x:c>
      <x:c r="AE7" s="3" t="str">
        <x:f>IF(Master!AF252="","",Master!AF252)</x:f>
      </x:c>
      <x:c r="AF7" s="8" t="str">
        <x:f>IF(Master!AG252="","",Master!AG252)</x:f>
        <x:v>Provider-dependent</x:v>
      </x:c>
    </x:row>
    <x:row r="8" ht="36" customHeight="1">
      <x:c r="A8" s="17" t="s">
        <x:v>470</x:v>
      </x:c>
      <x:c r="B8" s="3" t="str">
        <x:f>IF(Master!C257="","",Master!C257)</x:f>
        <x:v>Yes</x:v>
      </x:c>
      <x:c r="C8" s="3" t="str">
        <x:f>IF(Master!D257="","",Master!D257)</x:f>
      </x:c>
      <x:c r="D8" s="3" t="str">
        <x:f>IF(Master!E257="","",Master!E257)</x:f>
      </x:c>
      <x:c r="E8" s="3" t="str">
        <x:f>IF(Master!F257="","",Master!F257)</x:f>
        <x:v>Yes</x:v>
      </x:c>
      <x:c r="F8" s="3" t="str">
        <x:f>IF(Master!G257="","",Master!G257)</x:f>
        <x:v>Yes</x:v>
      </x:c>
      <x:c r="G8" s="3" t="str">
        <x:f>IF(Master!H257="","",Master!H257)</x:f>
        <x:v>Yes</x:v>
      </x:c>
      <x:c r="H8" s="3" t="str">
        <x:f>IF(Master!I257="","",Master!I257)</x:f>
        <x:v>Yes</x:v>
      </x:c>
      <x:c r="I8" s="3" t="str">
        <x:f>IF(Master!J257="","",Master!J257)</x:f>
      </x:c>
      <x:c r="J8" s="3" t="str">
        <x:f>IF(Master!K257="","",Master!K257)</x:f>
      </x:c>
      <x:c r="K8" s="3" t="str">
        <x:f>IF(Master!L257="","",Master!L257)</x:f>
        <x:v>Not documented</x:v>
      </x:c>
      <x:c r="L8" s="3" t="str">
        <x:f>IF(Master!M257="","",Master!M257)</x:f>
      </x:c>
      <x:c r="M8" s="3" t="str">
        <x:f>IF(Master!N257="","",Master!N257)</x:f>
        <x:v>Yes</x:v>
      </x:c>
      <x:c r="N8" s="3" t="str">
        <x:f>IF(Master!O257="","",Master!O257)</x:f>
        <x:v>Varies by client</x:v>
      </x:c>
      <x:c r="O8" s="3" t="str">
        <x:f>IF(Master!P257="","",Master!P257)</x:f>
        <x:v>Yes</x:v>
      </x:c>
      <x:c r="P8" s="3" t="str">
        <x:f>IF(Master!Q257="","",Master!Q257)</x:f>
        <x:v>Yes</x:v>
      </x:c>
      <x:c r="Q8" s="3" t="str">
        <x:f>IF(Master!R257="","",Master!R257)</x:f>
        <x:v>N/A</x:v>
      </x:c>
      <x:c r="R8" s="3" t="str">
        <x:f>IF(Master!S257="","",Master!S257)</x:f>
      </x:c>
      <x:c r="S8" s="3" t="str">
        <x:f>IF(Master!T257="","",Master!T257)</x:f>
        <x:v>Yes</x:v>
      </x:c>
      <x:c r="T8" s="3" t="str">
        <x:f>IF(Master!U257="","",Master!U257)</x:f>
        <x:v>Yes: 2 presenters in smaller rooms, 4 in big rooms</x:v>
      </x:c>
      <x:c r="U8" s="3" t="str">
        <x:f>IF(Master!V257="","",Master!V257)</x:f>
        <x:v>Yes</x:v>
      </x:c>
      <x:c r="V8" s="3" t="str">
        <x:f>IF(Master!W257="","",Master!W257)</x:f>
        <x:v>Provider-dependent</x:v>
      </x:c>
      <x:c r="W8" s="3" t="str">
        <x:f>IF(Master!X257="","",Master!X257)</x:f>
        <x:v>N/A</x:v>
      </x:c>
      <x:c r="X8" s="3" t="str">
        <x:f>IF(Master!Y257="","",Master!Y257)</x:f>
        <x:v>Yes</x:v>
      </x:c>
      <x:c r="Y8" s="3" t="str">
        <x:f>IF(Master!Z257="","",Master!Z257)</x:f>
      </x:c>
      <x:c r="Z8" s="3" t="str">
        <x:f>IF(Master!AA257="","",Master!AA257)</x:f>
        <x:v>Yes: no stated limit on simultaneous shared screens</x:v>
      </x:c>
      <x:c r="AA8" s="6" t="str">
        <x:f>IF(Master!AB257="","",Master!AB257)</x:f>
        <x:v>Yes</x:v>
      </x:c>
      <x:c r="AB8" s="3" t="str">
        <x:f>IF(Master!AC257="","",Master!AC257)</x:f>
      </x:c>
      <x:c r="AC8" s="3" t="str">
        <x:f>IF(Master!AD257="","",Master!AD257)</x:f>
      </x:c>
      <x:c r="AD8" s="3" t="str">
        <x:f>IF(Master!AE257="","",Master!AE257)</x:f>
        <x:v>Yes</x:v>
      </x:c>
      <x:c r="AE8" s="3" t="str">
        <x:f>IF(Master!AF257="","",Master!AF257)</x:f>
      </x:c>
      <x:c r="AF8" s="8" t="str">
        <x:f>IF(Master!AG257="","",Master!AG257)</x:f>
        <x:v>Provider-dependent</x:v>
      </x:c>
    </x:row>
    <x:row r="9" ht="36" customHeight="1">
      <x:c r="A9" s="17" t="s">
        <x:v>471</x:v>
      </x:c>
      <x:c r="B9" s="3" t="str">
        <x:f>IF(Master!C221="","",Master!C221)</x:f>
        <x:v>25 participants in a server voice channel when video is active</x:v>
      </x:c>
      <x:c r="C9" s="3" t="str">
        <x:f>IF(Master!D221="","",Master!D221)</x:f>
      </x:c>
      <x:c r="D9" s="3" t="str">
        <x:f>IF(Master!E221="","",Master!E221)</x:f>
      </x:c>
      <x:c r="E9" s="3" t="str">
        <x:f>IF(Master!F221="","",Master!F221)</x:f>
      </x:c>
      <x:c r="F9" s="3" t="str">
        <x:f>IF(Master!G221="","",Master!G221)</x:f>
      </x:c>
      <x:c r="G9" s="3" t="str">
        <x:f>IF(Master!H221="","",Master!H221)</x:f>
      </x:c>
      <x:c r="H9" s="3" t="str">
        <x:f>IF(Master!I221="","",Master!I221)</x:f>
      </x:c>
      <x:c r="I9" s="3" t="str">
        <x:f>IF(Master!J221="","",Master!J221)</x:f>
      </x:c>
      <x:c r="J9" s="3" t="str">
        <x:f>IF(Master!K221="","",Master!K221)</x:f>
      </x:c>
      <x:c r="K9" s="3" t="str">
        <x:f>IF(Master!L221="","",Master!L221)</x:f>
        <x:v>Not documented</x:v>
      </x:c>
      <x:c r="L9" s="3" t="str">
        <x:f>IF(Master!M221="","",Master!M221)</x:f>
      </x:c>
      <x:c r="M9" s="3" t="str">
        <x:f>IF(Master!N221="","",Master!N221)</x:f>
        <x:v>25+ grid claimed</x:v>
      </x:c>
      <x:c r="N9" s="3" t="str">
        <x:f>IF(Master!O221="","",Master!O221)</x:f>
        <x:v>Varies by client</x:v>
      </x:c>
      <x:c r="O9" s="3" t="str">
        <x:f>IF(Master!P221="","",Master!P221)</x:f>
        <x:v>Up to plan/deployment limit</x:v>
      </x:c>
      <x:c r="P9" s="3" t="str">
        <x:f>IF(Master!Q221="","",Master!Q221)</x:f>
      </x:c>
      <x:c r="Q9" s="3" t="str">
        <x:f>IF(Master!R221="","",Master!R221)</x:f>
        <x:v>N/A</x:v>
      </x:c>
      <x:c r="R9" s="3" t="str">
        <x:f>IF(Master!S221="","",Master!S221)</x:f>
      </x:c>
      <x:c r="S9" s="3" t="str">
        <x:f>IF(Master!T221="","",Master!T221)</x:f>
      </x:c>
      <x:c r="T9" s="3" t="str">
        <x:f>IF(Master!U221="","",Master!U221)</x:f>
        <x:v>Not publicly claimed; camera is available in DM calls</x:v>
      </x:c>
      <x:c r="U9" s="3" t="str">
        <x:f>IF(Master!V221="","",Master!V221)</x:f>
        <x:v>U/K</x:v>
      </x:c>
      <x:c r="V9" s="3" t="str">
        <x:f>IF(Master!W221="","",Master!W221)</x:f>
        <x:v>Provider-dependent</x:v>
      </x:c>
      <x:c r="W9" s="3" t="str">
        <x:f>IF(Master!X221="","",Master!X221)</x:f>
        <x:v>N/A</x:v>
      </x:c>
      <x:c r="X9" s="3" t="str">
        <x:f>IF(Master!Y221="","",Master!Y221)</x:f>
      </x:c>
      <x:c r="Y9" s="3" t="str">
        <x:f>IF(Master!Z221="","",Master!Z221)</x:f>
      </x:c>
      <x:c r="Z9" s="3" t="str">
        <x:f>IF(Master!AA221="","",Master!AA221)</x:f>
        <x:v>No stated camera-per-call limit</x:v>
      </x:c>
      <x:c r="AA9" s="6" t="str">
        <x:f>IF(Master!AB221="","",Master!AB221)</x:f>
      </x:c>
      <x:c r="AB9" s="3" t="str">
        <x:f>IF(Master!AC221="","",Master!AC221)</x:f>
      </x:c>
      <x:c r="AC9" s="3" t="str">
        <x:f>IF(Master!AD221="","",Master!AD221)</x:f>
      </x:c>
      <x:c r="AD9" s="3" t="str">
        <x:f>IF(Master!AE221="","",Master!AE221)</x:f>
      </x:c>
      <x:c r="AE9" s="3" t="str">
        <x:f>IF(Master!AF221="","",Master!AF221)</x:f>
      </x:c>
      <x:c r="AF9" s="8" t="str">
        <x:f>IF(Master!AG221="","",Master!AG221)</x:f>
        <x:v>Provider-dependent</x:v>
      </x:c>
    </x:row>
    <x:row r="10" ht="36" customHeight="1">
      <x:c r="A10" s="17" t="s">
        <x:v>472</x:v>
      </x:c>
      <x:c r="B10" s="3" t="str">
        <x:f>IF(Master!C222="","",Master!C222)</x:f>
        <x:v>Yes: Stage supports video/screen share; 1 shared screen at a time</x:v>
      </x:c>
      <x:c r="C10" s="3" t="str">
        <x:f>IF(Master!D222="","",Master!D222)</x:f>
      </x:c>
      <x:c r="D10" s="3" t="str">
        <x:f>IF(Master!E222="","",Master!E222)</x:f>
      </x:c>
      <x:c r="E10" s="3" t="str">
        <x:f>IF(Master!F222="","",Master!F222)</x:f>
      </x:c>
      <x:c r="F10" s="3" t="str">
        <x:f>IF(Master!G222="","",Master!G222)</x:f>
      </x:c>
      <x:c r="G10" s="3" t="str">
        <x:f>IF(Master!H222="","",Master!H222)</x:f>
      </x:c>
      <x:c r="H10" s="3" t="str">
        <x:f>IF(Master!I222="","",Master!I222)</x:f>
      </x:c>
      <x:c r="I10" s="3" t="str">
        <x:f>IF(Master!J222="","",Master!J222)</x:f>
      </x:c>
      <x:c r="J10" s="3" t="str">
        <x:f>IF(Master!K222="","",Master!K222)</x:f>
      </x:c>
      <x:c r="K10" s="3" t="str">
        <x:f>IF(Master!L222="","",Master!L222)</x:f>
        <x:v>Yes: developer reports Stage channels; screen-share publication is separately permissioned</x:v>
      </x:c>
      <x:c r="L10" s="3" t="str">
        <x:f>IF(Master!M222="","",Master!M222)</x:f>
      </x:c>
      <x:c r="M10" s="3" t="str">
        <x:f>IF(Master!N222="","",Master!N222)</x:f>
      </x:c>
      <x:c r="N10" s="3" t="str">
        <x:f>IF(Master!O222="","",Master!O222)</x:f>
        <x:v>Varies by client</x:v>
      </x:c>
      <x:c r="O10" s="3" t="str">
        <x:f>IF(Master!P222="","",Master!P222)</x:f>
        <x:v>Presentation via Calls</x:v>
      </x:c>
      <x:c r="P10" s="3" t="str">
        <x:f>IF(Master!Q222="","",Master!Q222)</x:f>
      </x:c>
      <x:c r="Q10" s="3" t="str">
        <x:f>IF(Master!R222="","",Master!R222)</x:f>
        <x:v>N/A</x:v>
      </x:c>
      <x:c r="R10" s="3" t="str">
        <x:f>IF(Master!S222="","",Master!S222)</x:f>
      </x:c>
      <x:c r="S10" s="3" t="str">
        <x:f>IF(Master!T222="","",Master!T222)</x:f>
      </x:c>
      <x:c r="T10" s="3" t="str">
        <x:f>IF(Master!U222="","",Master!U222)</x:f>
        <x:v>No Stage</x:v>
      </x:c>
      <x:c r="U10" s="3" t="str">
        <x:f>IF(Master!V222="","",Master!V222)</x:f>
        <x:v>No Stage</x:v>
      </x:c>
      <x:c r="V10" s="3" t="str">
        <x:f>IF(Master!W222="","",Master!W222)</x:f>
        <x:v>Provider-dependent</x:v>
      </x:c>
      <x:c r="W10" s="3" t="str">
        <x:f>IF(Master!X222="","",Master!X222)</x:f>
        <x:v>N/A</x:v>
      </x:c>
      <x:c r="X10" s="3" t="str">
        <x:f>IF(Master!Y222="","",Master!Y222)</x:f>
        <x:v>No dedicated Stage mode verified</x:v>
      </x:c>
      <x:c r="Y10" s="3" t="str">
        <x:f>IF(Master!Z222="","",Master!Z222)</x:f>
      </x:c>
      <x:c r="Z10" s="3" t="str">
        <x:f>IF(Master!AA222="","",Master!AA222)</x:f>
      </x:c>
      <x:c r="AA10" s="6" t="str">
        <x:f>IF(Master!AB222="","",Master!AB222)</x:f>
      </x:c>
      <x:c r="AB10" s="3" t="str">
        <x:f>IF(Master!AC222="","",Master!AC222)</x:f>
      </x:c>
      <x:c r="AC10" s="3" t="str">
        <x:f>IF(Master!AD222="","",Master!AD222)</x:f>
      </x:c>
      <x:c r="AD10" s="3" t="str">
        <x:f>IF(Master!AE222="","",Master!AE222)</x:f>
        <x:v>Room stage supports media</x:v>
      </x:c>
      <x:c r="AE10" s="3" t="str">
        <x:f>IF(Master!AF222="","",Master!AF222)</x:f>
      </x:c>
      <x:c r="AF10" s="8" t="str">
        <x:f>IF(Master!AG222="","",Master!AG222)</x:f>
        <x:v>Provider-dependent</x:v>
      </x:c>
    </x:row>
    <x:row r="11" ht="21.950000762939453" customHeight="1">
      <x:c r="A11" s="18" t="s">
        <x:v>473</x:v>
      </x:c>
      <x:c r="B11" s="18" t="str">
        <x:f t="shared" ref="B11:AF11" si="0">IF(""="","","")</x:f>
      </x:c>
      <x:c r="C11" s="18" t="str">
        <x:f t="shared" si="0"/>
      </x:c>
      <x:c r="D11" s="18" t="str">
        <x:f t="shared" si="0"/>
      </x:c>
      <x:c r="E11" s="18" t="str">
        <x:f t="shared" si="0"/>
      </x:c>
      <x:c r="F11" s="18" t="str">
        <x:f t="shared" si="0"/>
      </x:c>
      <x:c r="G11" s="18" t="str">
        <x:f t="shared" si="0"/>
      </x:c>
      <x:c r="H11" s="18" t="str">
        <x:f t="shared" si="0"/>
      </x:c>
      <x:c r="I11" s="18" t="str">
        <x:f t="shared" si="0"/>
      </x:c>
      <x:c r="J11" s="18" t="str">
        <x:f t="shared" si="0"/>
      </x:c>
      <x:c r="K11" s="18" t="str">
        <x:f t="shared" si="0"/>
      </x:c>
      <x:c r="L11" s="18" t="str">
        <x:f t="shared" si="0"/>
      </x:c>
      <x:c r="M11" s="18" t="str">
        <x:f t="shared" si="0"/>
      </x:c>
      <x:c r="N11" s="18" t="str">
        <x:f t="shared" si="0"/>
      </x:c>
      <x:c r="O11" s="18" t="str">
        <x:f t="shared" si="0"/>
      </x:c>
      <x:c r="P11" s="18" t="str">
        <x:f t="shared" si="0"/>
      </x:c>
      <x:c r="Q11" s="18" t="str">
        <x:f t="shared" si="0"/>
      </x:c>
      <x:c r="R11" s="18" t="str">
        <x:f t="shared" si="0"/>
      </x:c>
      <x:c r="S11" s="18" t="str">
        <x:f t="shared" si="0"/>
      </x:c>
      <x:c r="T11" s="18" t="str">
        <x:f t="shared" si="0"/>
      </x:c>
      <x:c r="U11" s="18" t="str">
        <x:f t="shared" si="0"/>
      </x:c>
      <x:c r="V11" s="18" t="str">
        <x:f t="shared" si="0"/>
      </x:c>
      <x:c r="W11" s="18" t="str">
        <x:f t="shared" si="0"/>
      </x:c>
      <x:c r="X11" s="18" t="str">
        <x:f t="shared" si="0"/>
      </x:c>
      <x:c r="Y11" s="18" t="str">
        <x:f t="shared" si="0"/>
      </x:c>
      <x:c r="Z11" s="18" t="str">
        <x:f t="shared" si="0"/>
      </x:c>
      <x:c r="AA11" s="18" t="str">
        <x:f t="shared" si="0"/>
      </x:c>
      <x:c r="AB11" s="18" t="str">
        <x:f t="shared" si="0"/>
      </x:c>
      <x:c r="AC11" s="18" t="str">
        <x:f t="shared" si="0"/>
      </x:c>
      <x:c r="AD11" s="18" t="str">
        <x:f t="shared" si="0"/>
      </x:c>
      <x:c r="AE11" s="18" t="str">
        <x:f t="shared" si="0"/>
      </x:c>
      <x:c r="AF11" s="19" t="str">
        <x:f t="shared" si="0"/>
      </x:c>
    </x:row>
    <x:row r="12" ht="36" customHeight="1">
      <x:c r="A12" s="17" t="s">
        <x:v>474</x:v>
      </x:c>
      <x:c r="B12" s="3" t="str">
        <x:f>IF(Master!C251="","",Master!C251)</x:f>
        <x:v>Yes: Windows, macOS, Chrome, mobile; Linux audio sharing unavailable</x:v>
      </x:c>
      <x:c r="C12" s="3" t="str">
        <x:f>IF(Master!D251="","",Master!D251)</x:f>
      </x:c>
      <x:c r="D12" s="3" t="str">
        <x:f>IF(Master!E251="","",Master!E251)</x:f>
        <x:v>Yes</x:v>
      </x:c>
      <x:c r="E12" s="3" t="str">
        <x:f>IF(Master!F251="","",Master!F251)</x:f>
        <x:v>Yes</x:v>
      </x:c>
      <x:c r="F12" s="3" t="str">
        <x:f>IF(Master!G251="","",Master!G251)</x:f>
        <x:v>Yes: screen sharing exists in alpha</x:v>
      </x:c>
      <x:c r="G12" s="3" t="str">
        <x:f>IF(Master!H251="","",Master!H251)</x:f>
        <x:v>Yes</x:v>
      </x:c>
      <x:c r="H12" s="3" t="str">
        <x:f>IF(Master!I251="","",Master!I251)</x:f>
        <x:v>Yes</x:v>
      </x:c>
      <x:c r="I12" s="3" t="str">
        <x:f>IF(Master!J251="","",Master!J251)</x:f>
      </x:c>
      <x:c r="J12" s="3" t="str">
        <x:f>IF(Master!K251="","",Master!K251)</x:f>
        <x:v>Yes on supported desktop platforms; per-app capture documented for Windows/Linux</x:v>
      </x:c>
      <x:c r="K12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12" s="3" t="str">
        <x:f>IF(Master!M251="","",Master!M251)</x:f>
      </x:c>
      <x:c r="M12" s="3" t="str">
        <x:f>IF(Master!N251="","",Master!N251)</x:f>
        <x:v>Yes</x:v>
      </x:c>
      <x:c r="N12" s="3" t="str">
        <x:f>IF(Master!O251="","",Master!O251)</x:f>
        <x:v>Varies by client</x:v>
      </x:c>
      <x:c r="O12" s="3" t="str">
        <x:f>IF(Master!P251="","",Master!P251)</x:f>
        <x:v>Yes</x:v>
      </x:c>
      <x:c r="P12" s="3" t="str">
        <x:f>IF(Master!Q251="","",Master!Q251)</x:f>
        <x:v>Yes</x:v>
      </x:c>
      <x:c r="Q12" s="3" t="str">
        <x:f>IF(Master!R251="","",Master!R251)</x:f>
        <x:v>N/A</x:v>
      </x:c>
      <x:c r="R12" s="3" t="str">
        <x:f>IF(Master!S251="","",Master!S251)</x:f>
      </x:c>
      <x:c r="S12" s="3" t="str">
        <x:f>IF(Master!T251="","",Master!T251)</x:f>
        <x:v>Yes</x:v>
      </x:c>
      <x:c r="T12" s="3" t="str">
        <x:f>IF(Master!U251="","",Master!U251)</x:f>
        <x:v>Yes: browser tab audio</x:v>
      </x:c>
      <x:c r="U12" s="3" t="str">
        <x:f>IF(Master!V251="","",Master!V251)</x:f>
        <x:v>Yes</x:v>
      </x:c>
      <x:c r="V12" s="3" t="str">
        <x:f>IF(Master!W251="","",Master!W251)</x:f>
        <x:v>Provider-dependent</x:v>
      </x:c>
      <x:c r="W12" s="3" t="str">
        <x:f>IF(Master!X251="","",Master!X251)</x:f>
        <x:v>N/A</x:v>
      </x:c>
      <x:c r="X12" s="3" t="str">
        <x:f>IF(Master!Y251="","",Master!Y251)</x:f>
        <x:v>Yes: share stream audio</x:v>
      </x:c>
      <x:c r="Y12" s="3" t="str">
        <x:f>IF(Master!Z251="","",Master!Z251)</x:f>
        <x:v>Go Live supported by recommended Pion implementation</x:v>
      </x:c>
      <x:c r="Z12" s="3" t="str">
        <x:f>IF(Master!AA251="","",Master!AA251)</x:f>
        <x:v>Yes: whole-screen and window audio</x:v>
      </x:c>
      <x:c r="AA12" s="6" t="str">
        <x:f>IF(Master!AB251="","",Master!AB251)</x:f>
        <x:v>Yes</x:v>
      </x:c>
      <x:c r="AB12" s="3" t="str">
        <x:f>IF(Master!AC251="","",Master!AC251)</x:f>
      </x:c>
      <x:c r="AC12" s="3" t="str">
        <x:f>IF(Master!AD251="","",Master!AD251)</x:f>
      </x:c>
      <x:c r="AD12" s="3" t="str">
        <x:f>IF(Master!AE251="","",Master!AE251)</x:f>
        <x:v>Yes</x:v>
      </x:c>
      <x:c r="AE12" s="3" t="str">
        <x:f>IF(Master!AF251="","",Master!AF251)</x:f>
        <x:v>Yes: screen share with audio</x:v>
      </x:c>
      <x:c r="AF12" s="8" t="str">
        <x:f>IF(Master!AG251="","",Master!AG251)</x:f>
        <x:v>Provider-dependent</x:v>
      </x:c>
    </x:row>
    <x:row r="13" ht="36" customHeight="1">
      <x:c r="A13" s="17" t="s">
        <x:v>475</x:v>
      </x:c>
      <x:c r="B13" s="3" t="str">
        <x:f>IF(Master!C252="","",Master!C252)</x:f>
        <x:v>Yes on supported platforms</x:v>
      </x:c>
      <x:c r="C13" s="3" t="str">
        <x:f>IF(Master!D252="","",Master!D252)</x:f>
      </x:c>
      <x:c r="D13" s="3" t="str">
        <x:f>IF(Master!E252="","",Master!E252)</x:f>
      </x:c>
      <x:c r="E13" s="3" t="str">
        <x:f>IF(Master!F252="","",Master!F252)</x:f>
      </x:c>
      <x:c r="F13" s="3" t="str">
        <x:f>IF(Master!G252="","",Master!G252)</x:f>
      </x:c>
      <x:c r="G13" s="3" t="str">
        <x:f>IF(Master!H252="","",Master!H252)</x:f>
        <x:v>Yes on supported desktop paths</x:v>
      </x:c>
      <x:c r="H13" s="3" t="str">
        <x:f>IF(Master!I252="","",Master!I252)</x:f>
      </x:c>
      <x:c r="I13" s="3" t="str">
        <x:f>IF(Master!J252="","",Master!J252)</x:f>
      </x:c>
      <x:c r="J13" s="3" t="str">
        <x:f>IF(Master!K252="","",Master!K252)</x:f>
      </x:c>
      <x:c r="K13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13" s="3" t="str">
        <x:f>IF(Master!M252="","",Master!M252)</x:f>
      </x:c>
      <x:c r="M13" s="3" t="str">
        <x:f>IF(Master!N252="","",Master!N252)</x:f>
      </x:c>
      <x:c r="N13" s="3" t="str">
        <x:f>IF(Master!O252="","",Master!O252)</x:f>
        <x:v>Varies by client</x:v>
      </x:c>
      <x:c r="O13" s="3" t="str">
        <x:f>IF(Master!P252="","",Master!P252)</x:f>
        <x:v>Yes</x:v>
      </x:c>
      <x:c r="P13" s="3" t="str">
        <x:f>IF(Master!Q252="","",Master!Q252)</x:f>
      </x:c>
      <x:c r="Q13" s="3" t="str">
        <x:f>IF(Master!R252="","",Master!R252)</x:f>
        <x:v>N/A</x:v>
      </x:c>
      <x:c r="R13" s="3" t="str">
        <x:f>IF(Master!S252="","",Master!S252)</x:f>
      </x:c>
      <x:c r="S13" s="3" t="str">
        <x:f>IF(Master!T252="","",Master!T252)</x:f>
      </x:c>
      <x:c r="T13" s="3" t="str">
        <x:f>IF(Master!U252="","",Master!U252)</x:f>
        <x:v>Browser tab audio supported; full system-audio capture not publicly claimed</x:v>
      </x:c>
      <x:c r="U13" s="3" t="str">
        <x:f>IF(Master!V252="","",Master!V252)</x:f>
        <x:v>Yes</x:v>
      </x:c>
      <x:c r="V13" s="3" t="str">
        <x:f>IF(Master!W252="","",Master!W252)</x:f>
        <x:v>Provider-dependent</x:v>
      </x:c>
      <x:c r="W13" s="3" t="str">
        <x:f>IF(Master!X252="","",Master!X252)</x:f>
        <x:v>N/A</x:v>
      </x:c>
      <x:c r="X13" s="3" t="str">
        <x:f>IF(Master!Y252="","",Master!Y252)</x:f>
        <x:v>Yes on supported desktop</x:v>
      </x:c>
      <x:c r="Y13" s="3" t="str">
        <x:f>IF(Master!Z252="","",Master!Z252)</x:f>
      </x:c>
      <x:c r="Z13" s="3" t="str">
        <x:f>IF(Master!AA252="","",Master!AA252)</x:f>
        <x:v>Yes: whole-screen/window audio; Wayland audio can be unreliable</x:v>
      </x:c>
      <x:c r="AA13" s="6" t="str">
        <x:f>IF(Master!AB252="","",Master!AB252)</x:f>
      </x:c>
      <x:c r="AB13" s="3" t="str">
        <x:f>IF(Master!AC252="","",Master!AC252)</x:f>
      </x:c>
      <x:c r="AC13" s="3" t="str">
        <x:f>IF(Master!AD252="","",Master!AD252)</x:f>
      </x:c>
      <x:c r="AD13" s="3" t="str">
        <x:f>IF(Master!AE252="","",Master!AE252)</x:f>
      </x:c>
      <x:c r="AE13" s="3" t="str">
        <x:f>IF(Master!AF252="","",Master!AF252)</x:f>
      </x:c>
      <x:c r="AF13" s="8" t="str">
        <x:f>IF(Master!AG252="","",Master!AG252)</x:f>
        <x:v>Provider-dependent</x:v>
      </x:c>
    </x:row>
    <x:row r="14" ht="36" customHeight="1">
      <x:c r="A14" s="17" t="s">
        <x:v>476</x:v>
      </x:c>
      <x:c r="B14" s="3" t="str">
        <x:f>IF(Master!C253="","",Master!C253)</x:f>
        <x:v>Linux audio-share limitations</x:v>
      </x:c>
      <x:c r="C14" s="3" t="str">
        <x:f>IF(Master!D253="","",Master!D253)</x:f>
      </x:c>
      <x:c r="D14" s="3" t="str">
        <x:f>IF(Master!E253="","",Master!E253)</x:f>
      </x:c>
      <x:c r="E14" s="3" t="str">
        <x:f>IF(Master!F253="","",Master!F253)</x:f>
      </x:c>
      <x:c r="F14" s="3" t="str">
        <x:f>IF(Master!G253="","",Master!G253)</x:f>
      </x:c>
      <x:c r="G14" s="3" t="str">
        <x:f>IF(Master!H253="","",Master!H253)</x:f>
      </x:c>
      <x:c r="H14" s="3" t="str">
        <x:f>IF(Master!I253="","",Master!I253)</x:f>
      </x:c>
      <x:c r="I14" s="3" t="str">
        <x:f>IF(Master!J253="","",Master!J253)</x:f>
      </x:c>
      <x:c r="J14" s="3" t="str">
        <x:f>IF(Master!K253="","",Master!K253)</x:f>
      </x:c>
      <x:c r="K14" s="3" t="str">
        <x:f>IF(Master!L253="","",Master!L253)</x:f>
        <x:v>No: current native desktop common mixer contract is not enabled; browser may provide surface audio</x:v>
      </x:c>
      <x:c r="L14" s="3" t="str">
        <x:f>IF(Master!M253="","",Master!M253)</x:f>
      </x:c>
      <x:c r="M14" s="3" t="str">
        <x:f>IF(Master!N253="","",Master!N253)</x:f>
      </x:c>
      <x:c r="N14" s="3" t="str">
        <x:f>IF(Master!O253="","",Master!O253)</x:f>
        <x:v>Client-dependent</x:v>
      </x:c>
      <x:c r="O14" s="3" t="str">
        <x:f>IF(Master!P253="","",Master!P253)</x:f>
        <x:v>Depends desktop/Linux support</x:v>
      </x:c>
      <x:c r="P14" s="3" t="str">
        <x:f>IF(Master!Q253="","",Master!Q253)</x:f>
      </x:c>
      <x:c r="Q14" s="3" t="str">
        <x:f>IF(Master!R253="","",Master!R253)</x:f>
        <x:v>N/A</x:v>
      </x:c>
      <x:c r="R14" s="3" t="str">
        <x:f>IF(Master!S253="","",Master!S253)</x:f>
      </x:c>
      <x:c r="S14" s="3" t="str">
        <x:f>IF(Master!T253="","",Master!T253)</x:f>
      </x:c>
      <x:c r="T14" s="3" t="str">
        <x:f>IF(Master!U253="","",Master!U253)</x:f>
        <x:v>Not publicly claimed separately</x:v>
      </x:c>
      <x:c r="U14" s="3" t="str">
        <x:f>IF(Master!V253="","",Master!V253)</x:f>
        <x:v>Yes</x:v>
      </x:c>
      <x:c r="V14" s="3" t="str">
        <x:f>IF(Master!W253="","",Master!W253)</x:f>
        <x:v>Provider-dependent</x:v>
      </x:c>
      <x:c r="W14" s="3" t="str">
        <x:f>IF(Master!X253="","",Master!X253)</x:f>
        <x:v>N/A</x:v>
      </x:c>
      <x:c r="X14" s="3" t="str">
        <x:f>IF(Master!Y253="","",Master!Y253)</x:f>
      </x:c>
      <x:c r="Y14" s="3" t="str">
        <x:f>IF(Master!Z253="","",Master!Z253)</x:f>
      </x:c>
      <x:c r="Z14" s="3" t="str">
        <x:f>IF(Master!AA253="","",Master!AA253)</x:f>
        <x:v>Yes: Wayland sound broadcasting may be unreliable</x:v>
      </x:c>
      <x:c r="AA14" s="6" t="str">
        <x:f>IF(Master!AB253="","",Master!AB253)</x:f>
      </x:c>
      <x:c r="AB14" s="3" t="str">
        <x:f>IF(Master!AC253="","",Master!AC253)</x:f>
      </x:c>
      <x:c r="AC14" s="3" t="str">
        <x:f>IF(Master!AD253="","",Master!AD253)</x:f>
        <x:v>Linux mic I/O known rough edge</x:v>
      </x:c>
      <x:c r="AD14" s="3" t="str">
        <x:f>IF(Master!AE253="","",Master!AE253)</x:f>
      </x:c>
      <x:c r="AE14" s="3" t="str">
        <x:f>IF(Master!AF253="","",Master!AF253)</x:f>
      </x:c>
      <x:c r="AF14" s="8" t="str">
        <x:f>IF(Master!AG253="","",Master!AG253)</x:f>
        <x:v>Provider-dependent</x:v>
      </x:c>
    </x:row>
    <x:row r="15" ht="36" customHeight="1">
      <x:c r="A15" s="17" t="s">
        <x:v>477</x:v>
      </x:c>
      <x:c r="B15" s="3" t="str">
        <x:f>IF(Master!C254="","",Master!C254)</x:f>
        <x:v>Mobile screen share supported</x:v>
      </x:c>
      <x:c r="C15" s="3" t="str">
        <x:f>IF(Master!D254="","",Master!D254)</x:f>
      </x:c>
      <x:c r="D15" s="3" t="str">
        <x:f>IF(Master!E254="","",Master!E254)</x:f>
      </x:c>
      <x:c r="E15" s="3" t="str">
        <x:f>IF(Master!F254="","",Master!F254)</x:f>
      </x:c>
      <x:c r="F15" s="3" t="str">
        <x:f>IF(Master!G254="","",Master!G254)</x:f>
      </x:c>
      <x:c r="G15" s="3" t="str">
        <x:f>IF(Master!H254="","",Master!H254)</x:f>
      </x:c>
      <x:c r="H15" s="3" t="str">
        <x:f>IF(Master!I254="","",Master!I254)</x:f>
      </x:c>
      <x:c r="I15" s="3" t="str">
        <x:f>IF(Master!J254="","",Master!J254)</x:f>
      </x:c>
      <x:c r="J15" s="3" t="str">
        <x:f>IF(Master!K254="","",Master!K254)</x:f>
      </x:c>
      <x:c r="K15" s="3" t="str">
        <x:f>IF(Master!L254="","",Master!L254)</x:f>
        <x:v>Yes: Android MediaProjection and iOS ReplayKit paths documented</x:v>
      </x:c>
      <x:c r="L15" s="3" t="str">
        <x:f>IF(Master!M254="","",Master!M254)</x:f>
      </x:c>
      <x:c r="M15" s="3" t="str">
        <x:f>IF(Master!N254="","",Master!N254)</x:f>
      </x:c>
      <x:c r="N15" s="3" t="str">
        <x:f>IF(Master!O254="","",Master!O254)</x:f>
        <x:v>Client-dependent</x:v>
      </x:c>
      <x:c r="O15" s="3" t="str">
        <x:f>IF(Master!P254="","",Master!P254)</x:f>
        <x:v>Mobile behavior varies</x:v>
      </x:c>
      <x:c r="P15" s="3" t="str">
        <x:f>IF(Master!Q254="","",Master!Q254)</x:f>
      </x:c>
      <x:c r="Q15" s="3" t="str">
        <x:f>IF(Master!R254="","",Master!R254)</x:f>
        <x:v>N/A</x:v>
      </x:c>
      <x:c r="R15" s="3" t="str">
        <x:f>IF(Master!S254="","",Master!S254)</x:f>
      </x:c>
      <x:c r="S15" s="3" t="str">
        <x:f>IF(Master!T254="","",Master!T254)</x:f>
      </x:c>
      <x:c r="T15" s="3" t="str">
        <x:f>IF(Master!U254="","",Master!U254)</x:f>
      </x:c>
      <x:c r="U15" s="3" t="str">
        <x:f>IF(Master!V254="","",Master!V254)</x:f>
        <x:v>Yes - App or Screen</x:v>
      </x:c>
      <x:c r="V15" s="3" t="str">
        <x:f>IF(Master!W254="","",Master!W254)</x:f>
        <x:v>Provider-dependent</x:v>
      </x:c>
      <x:c r="W15" s="3" t="str">
        <x:f>IF(Master!X254="","",Master!X254)</x:f>
        <x:v>N/A</x:v>
      </x:c>
      <x:c r="X15" s="3" t="str">
        <x:f>IF(Master!Y254="","",Master!Y254)</x:f>
        <x:v>No sharing from mobile</x:v>
      </x:c>
      <x:c r="Y15" s="3" t="str">
        <x:f>IF(Master!Z254="","",Master!Z254)</x:f>
      </x:c>
      <x:c r="Z15" s="3" t="str">
        <x:f>IF(Master!AA254="","",Master!AA254)</x:f>
        <x:v>Yes: mobile web, iOS TestFlight and Android</x:v>
      </x:c>
      <x:c r="AA15" s="6" t="str">
        <x:f>IF(Master!AB254="","",Master!AB254)</x:f>
      </x:c>
      <x:c r="AB15" s="3" t="str">
        <x:f>IF(Master!AC254="","",Master!AC254)</x:f>
      </x:c>
      <x:c r="AC15" s="3" t="str">
        <x:f>IF(Master!AD254="","",Master!AD254)</x:f>
      </x:c>
      <x:c r="AD15" s="3" t="str">
        <x:f>IF(Master!AE254="","",Master!AE254)</x:f>
      </x:c>
      <x:c r="AE15" s="3" t="str">
        <x:f>IF(Master!AF254="","",Master!AF254)</x:f>
      </x:c>
      <x:c r="AF15" s="8" t="str">
        <x:f>IF(Master!AG254="","",Master!AG254)</x:f>
        <x:v>Provider-dependent</x:v>
      </x:c>
    </x:row>
    <x:row r="16" ht="36" customHeight="1">
      <x:c r="A16" s="17" t="s">
        <x:v>478</x:v>
      </x:c>
      <x:c r="B16" s="3" t="str">
        <x:f>IF(Master!C255="","",Master!C255)</x:f>
      </x:c>
      <x:c r="C16" s="3" t="str">
        <x:f>IF(Master!D255="","",Master!D255)</x:f>
      </x:c>
      <x:c r="D16" s="3" t="str">
        <x:f>IF(Master!E255="","",Master!E255)</x:f>
      </x:c>
      <x:c r="E16" s="3" t="str">
        <x:f>IF(Master!F255="","",Master!F255)</x:f>
      </x:c>
      <x:c r="F16" s="3" t="str">
        <x:f>IF(Master!G255="","",Master!G255)</x:f>
      </x:c>
      <x:c r="G16" s="3" t="str">
        <x:f>IF(Master!H255="","",Master!H255)</x:f>
      </x:c>
      <x:c r="H16" s="3" t="str">
        <x:f>IF(Master!I255="","",Master!I255)</x:f>
      </x:c>
      <x:c r="I16" s="3" t="str">
        <x:f>IF(Master!J255="","",Master!J255)</x:f>
      </x:c>
      <x:c r="J16" s="3" t="str">
        <x:f>IF(Master!K255="","",Master!K255)</x:f>
        <x:v>P2P</x:v>
      </x:c>
      <x:c r="K16" s="3" t="str">
        <x:f>IF(Master!L255="","",Master!L255)</x:f>
        <x:v>Not documented</x:v>
      </x:c>
      <x:c r="L16" s="3" t="str">
        <x:f>IF(Master!M255="","",Master!M255)</x:f>
      </x:c>
      <x:c r="M16" s="3" t="str">
        <x:f>IF(Master!N255="","",Master!N255)</x:f>
      </x:c>
      <x:c r="N16" s="3" t="str">
        <x:f>IF(Master!O255="","",Master!O255)</x:f>
        <x:v>Client/provider-dependent</x:v>
      </x:c>
      <x:c r="O16" s="3" t="str">
        <x:f>IF(Master!P255="","",Master!P255)</x:f>
        <x:v>Plan-dependent</x:v>
      </x:c>
      <x:c r="P16" s="3" t="str">
        <x:f>IF(Master!Q255="","",Master!Q255)</x:f>
      </x:c>
      <x:c r="Q16" s="3" t="str">
        <x:f>IF(Master!R255="","",Master!R255)</x:f>
        <x:v>N/A</x:v>
      </x:c>
      <x:c r="R16" s="3" t="str">
        <x:f>IF(Master!S255="","",Master!S255)</x:f>
      </x:c>
      <x:c r="S16" s="3" t="str">
        <x:f>IF(Master!T255="","",Master!T255)</x:f>
      </x:c>
      <x:c r="T16" s="3" t="str">
        <x:f>IF(Master!U255="","",Master!U255)</x:f>
        <x:v>Yes: 2 in smaller rooms, 4 in big rooms</x:v>
      </x:c>
      <x:c r="U16" s="3" t="str">
        <x:f>IF(Master!V255="","",Master!V255)</x:f>
        <x:v>Yes</x:v>
      </x:c>
      <x:c r="V16" s="3" t="str">
        <x:f>IF(Master!W255="","",Master!W255)</x:f>
        <x:v>Provider-dependent</x:v>
      </x:c>
      <x:c r="W16" s="3" t="str">
        <x:f>IF(Master!X255="","",Master!X255)</x:f>
        <x:v>N/A</x:v>
      </x:c>
      <x:c r="X16" s="3" t="str">
        <x:f>IF(Master!Y255="","",Master!Y255)</x:f>
      </x:c>
      <x:c r="Y16" s="3" t="str">
        <x:f>IF(Master!Z255="","",Master!Z255)</x:f>
        <x:v>Implementation-dependent</x:v>
      </x:c>
      <x:c r="Z16" s="3" t="str">
        <x:f>IF(Master!AA255="","",Master!AA255)</x:f>
        <x:v>Yes: no stated limit</x:v>
      </x:c>
      <x:c r="AA16" s="6" t="str">
        <x:f>IF(Master!AB255="","",Master!AB255)</x:f>
      </x:c>
      <x:c r="AB16" s="3" t="str">
        <x:f>IF(Master!AC255="","",Master!AC255)</x:f>
      </x:c>
      <x:c r="AC16" s="3" t="str">
        <x:f>IF(Master!AD255="","",Master!AD255)</x:f>
      </x:c>
      <x:c r="AD16" s="3" t="str">
        <x:f>IF(Master!AE255="","",Master!AE255)</x:f>
      </x:c>
      <x:c r="AE16" s="3" t="str">
        <x:f>IF(Master!AF255="","",Master!AF255)</x:f>
      </x:c>
      <x:c r="AF16" s="8" t="str">
        <x:f>IF(Master!AG255="","",Master!AG255)</x:f>
        <x:v>Provider-dependent</x:v>
      </x:c>
    </x:row>
    <x:row r="17" ht="36" customHeight="1">
      <x:c r="A17" s="17" t="s">
        <x:v>479</x:v>
      </x:c>
      <x:c r="B17" s="3" t="str">
        <x:f>IF(Master!C257="","",Master!C257)</x:f>
        <x:v>Yes</x:v>
      </x:c>
      <x:c r="C17" s="3" t="str">
        <x:f>IF(Master!D257="","",Master!D257)</x:f>
      </x:c>
      <x:c r="D17" s="3" t="str">
        <x:f>IF(Master!E257="","",Master!E257)</x:f>
      </x:c>
      <x:c r="E17" s="3" t="str">
        <x:f>IF(Master!F257="","",Master!F257)</x:f>
        <x:v>Yes</x:v>
      </x:c>
      <x:c r="F17" s="3" t="str">
        <x:f>IF(Master!G257="","",Master!G257)</x:f>
        <x:v>Yes</x:v>
      </x:c>
      <x:c r="G17" s="3" t="str">
        <x:f>IF(Master!H257="","",Master!H257)</x:f>
        <x:v>Yes</x:v>
      </x:c>
      <x:c r="H17" s="3" t="str">
        <x:f>IF(Master!I257="","",Master!I257)</x:f>
        <x:v>Yes</x:v>
      </x:c>
      <x:c r="I17" s="3" t="str">
        <x:f>IF(Master!J257="","",Master!J257)</x:f>
      </x:c>
      <x:c r="J17" s="3" t="str">
        <x:f>IF(Master!K257="","",Master!K257)</x:f>
      </x:c>
      <x:c r="K17" s="3" t="str">
        <x:f>IF(Master!L257="","",Master!L257)</x:f>
        <x:v>Not documented</x:v>
      </x:c>
      <x:c r="L17" s="3" t="str">
        <x:f>IF(Master!M257="","",Master!M257)</x:f>
      </x:c>
      <x:c r="M17" s="3" t="str">
        <x:f>IF(Master!N257="","",Master!N257)</x:f>
        <x:v>Yes</x:v>
      </x:c>
      <x:c r="N17" s="3" t="str">
        <x:f>IF(Master!O257="","",Master!O257)</x:f>
        <x:v>Varies by client</x:v>
      </x:c>
      <x:c r="O17" s="3" t="str">
        <x:f>IF(Master!P257="","",Master!P257)</x:f>
        <x:v>Yes</x:v>
      </x:c>
      <x:c r="P17" s="3" t="str">
        <x:f>IF(Master!Q257="","",Master!Q257)</x:f>
        <x:v>Yes</x:v>
      </x:c>
      <x:c r="Q17" s="3" t="str">
        <x:f>IF(Master!R257="","",Master!R257)</x:f>
        <x:v>N/A</x:v>
      </x:c>
      <x:c r="R17" s="3" t="str">
        <x:f>IF(Master!S257="","",Master!S257)</x:f>
      </x:c>
      <x:c r="S17" s="3" t="str">
        <x:f>IF(Master!T257="","",Master!T257)</x:f>
        <x:v>Yes</x:v>
      </x:c>
      <x:c r="T17" s="3" t="str">
        <x:f>IF(Master!U257="","",Master!U257)</x:f>
        <x:v>Yes: 2 presenters in smaller rooms, 4 in big rooms</x:v>
      </x:c>
      <x:c r="U17" s="3" t="str">
        <x:f>IF(Master!V257="","",Master!V257)</x:f>
        <x:v>Yes</x:v>
      </x:c>
      <x:c r="V17" s="3" t="str">
        <x:f>IF(Master!W257="","",Master!W257)</x:f>
        <x:v>Provider-dependent</x:v>
      </x:c>
      <x:c r="W17" s="3" t="str">
        <x:f>IF(Master!X257="","",Master!X257)</x:f>
        <x:v>N/A</x:v>
      </x:c>
      <x:c r="X17" s="3" t="str">
        <x:f>IF(Master!Y257="","",Master!Y257)</x:f>
        <x:v>Yes</x:v>
      </x:c>
      <x:c r="Y17" s="3" t="str">
        <x:f>IF(Master!Z257="","",Master!Z257)</x:f>
      </x:c>
      <x:c r="Z17" s="3" t="str">
        <x:f>IF(Master!AA257="","",Master!AA257)</x:f>
        <x:v>Yes: no stated limit on simultaneous shared screens</x:v>
      </x:c>
      <x:c r="AA17" s="6" t="str">
        <x:f>IF(Master!AB257="","",Master!AB257)</x:f>
        <x:v>Yes</x:v>
      </x:c>
      <x:c r="AB17" s="3" t="str">
        <x:f>IF(Master!AC257="","",Master!AC257)</x:f>
      </x:c>
      <x:c r="AC17" s="3" t="str">
        <x:f>IF(Master!AD257="","",Master!AD257)</x:f>
      </x:c>
      <x:c r="AD17" s="3" t="str">
        <x:f>IF(Master!AE257="","",Master!AE257)</x:f>
        <x:v>Yes</x:v>
      </x:c>
      <x:c r="AE17" s="3" t="str">
        <x:f>IF(Master!AF257="","",Master!AF257)</x:f>
      </x:c>
      <x:c r="AF17" s="8" t="str">
        <x:f>IF(Master!AG257="","",Master!AG257)</x:f>
        <x:v>Provider-dependent</x:v>
      </x:c>
    </x:row>
    <x:row r="18" ht="23.100000381469727" customHeight="1">
      <x:c r="A18" s="17" t="s">
        <x:v>480</x:v>
      </x:c>
      <x:c r="B18" s="4" t="str">
        <x:f>IF(Master!C259="","",Master!C259)</x:f>
      </x:c>
      <x:c r="C18" s="4" t="str">
        <x:f>IF(Master!D259="","",Master!D259)</x:f>
      </x:c>
      <x:c r="D18" s="4" t="str">
        <x:f>IF(Master!E259="","",Master!E259)</x:f>
      </x:c>
      <x:c r="E18" s="4" t="str">
        <x:f>IF(Master!F259="","",Master!F259)</x:f>
      </x:c>
      <x:c r="F18" s="4" t="str">
        <x:f>IF(Master!G259="","",Master!G259)</x:f>
      </x:c>
      <x:c r="G18" s="4" t="str">
        <x:f>IF(Master!H259="","",Master!H259)</x:f>
      </x:c>
      <x:c r="H18" s="4" t="str">
        <x:f>IF(Master!I259="","",Master!I259)</x:f>
      </x:c>
      <x:c r="I18" s="4" t="str">
        <x:f>IF(Master!J259="","",Master!J259)</x:f>
      </x:c>
      <x:c r="J18" s="4" t="str">
        <x:f>IF(Master!K259="","",Master!K259)</x:f>
      </x:c>
      <x:c r="K18" s="4" t="str">
        <x:f>IF(Master!L259="","",Master!L259)</x:f>
        <x:v>Yes: developer reports Stage channels; screen-share publication is separately permissioned</x:v>
      </x:c>
      <x:c r="L18" s="4" t="str">
        <x:f>IF(Master!M259="","",Master!M259)</x:f>
      </x:c>
      <x:c r="M18" s="4" t="str">
        <x:f>IF(Master!N259="","",Master!N259)</x:f>
      </x:c>
      <x:c r="N18" s="4" t="str">
        <x:f>IF(Master!O259="","",Master!O259)</x:f>
      </x:c>
      <x:c r="O18" s="4" t="str">
        <x:f>IF(Master!P259="","",Master!P259)</x:f>
      </x:c>
      <x:c r="P18" s="4" t="str">
        <x:f>IF(Master!Q259="","",Master!Q259)</x:f>
      </x:c>
      <x:c r="Q18" s="4" t="str">
        <x:f>IF(Master!R259="","",Master!R259)</x:f>
      </x:c>
      <x:c r="R18" s="4" t="str">
        <x:f>IF(Master!S259="","",Master!S259)</x:f>
      </x:c>
      <x:c r="S18" s="4" t="str">
        <x:f>IF(Master!T259="","",Master!T259)</x:f>
      </x:c>
      <x:c r="T18" s="4" t="str">
        <x:f>IF(Master!U259="","",Master!U259)</x:f>
      </x:c>
      <x:c r="U18" s="4" t="str">
        <x:f>IF(Master!V259="","",Master!V259)</x:f>
      </x:c>
      <x:c r="V18" s="4" t="str">
        <x:f>IF(Master!W259="","",Master!W259)</x:f>
      </x:c>
      <x:c r="W18" s="4" t="str">
        <x:f>IF(Master!X259="","",Master!X259)</x:f>
      </x:c>
      <x:c r="X18" s="4" t="str">
        <x:f>IF(Master!Y259="","",Master!Y259)</x:f>
      </x:c>
      <x:c r="Y18" s="4" t="str">
        <x:f>IF(Master!Z259="","",Master!Z259)</x:f>
      </x:c>
      <x:c r="Z18" s="4" t="str">
        <x:f>IF(Master!AA259="","",Master!AA259)</x:f>
      </x:c>
      <x:c r="AA18" s="5" t="str">
        <x:f>IF(Master!AB259="","",Master!AB259)</x:f>
      </x:c>
      <x:c r="AB18" s="4" t="str">
        <x:f>IF(Master!AC259="","",Master!AC259)</x:f>
      </x:c>
      <x:c r="AC18" s="4" t="str">
        <x:f>IF(Master!AD259="","",Master!AD259)</x:f>
      </x:c>
      <x:c r="AD18" s="4" t="str">
        <x:f>IF(Master!AE259="","",Master!AE259)</x:f>
      </x:c>
      <x:c r="AE18" s="4" t="str">
        <x:f>IF(Master!AF259="","",Master!AF259)</x:f>
      </x:c>
      <x:c r="AF18" s="8" t="str">
        <x:f>IF(Master!AG259="","",Master!AG259)</x:f>
      </x:c>
    </x:row>
  </x:sheetData>
  <x:mergeCells>
    <x:mergeCell ref="A1:A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Directory'!A1","Screen Share / Video Quality: Free vs Paid"),"Screen Share / Video Quality: Free vs Paid")</x:f>
        <x:v>Screen Share / Video Quality: Free vs Paid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481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482</x:v>
      </x:c>
      <x:c r="B4" s="3" t="str">
        <x:f>IF(Master!C223="","",Master!C223)</x:f>
        <x:v>Yes</x:v>
      </x:c>
      <x:c r="C4" s="3" t="str">
        <x:f>IF(Master!D223="","",Master!D223)</x:f>
        <x:v>Yes</x:v>
      </x:c>
      <x:c r="D4" s="3" t="str">
        <x:f>IF(Master!E223="","",Master!E223)</x:f>
      </x:c>
      <x:c r="E4" s="3" t="str">
        <x:f>IF(Master!F223="","",Master!F223)</x:f>
        <x:v>Yes</x:v>
      </x:c>
      <x:c r="F4" s="3" t="str">
        <x:f>IF(Master!G223="","",Master!G223)</x:f>
        <x:v>Yes</x:v>
      </x:c>
      <x:c r="G4" s="3" t="str">
        <x:f>IF(Master!H223="","",Master!H223)</x:f>
      </x:c>
      <x:c r="H4" s="3" t="str">
        <x:f>IF(Master!I223="","",Master!I223)</x:f>
        <x:v>Yes</x:v>
      </x:c>
      <x:c r="I4" s="3" t="str">
        <x:f>IF(Master!J223="","",Master!J223)</x:f>
      </x:c>
      <x:c r="J4" s="3" t="str">
        <x:f>IF(Master!K223="","",Master!K223)</x:f>
        <x:v>No</x:v>
      </x:c>
      <x:c r="K4" s="3" t="str">
        <x:f>IF(Master!L223="","",Master!L223)</x:f>
      </x:c>
      <x:c r="L4" s="3" t="str">
        <x:f>IF(Master!M223="","",Master!M223)</x:f>
      </x:c>
      <x:c r="M4" s="3" t="str">
        <x:f>IF(Master!N223="","",Master!N223)</x:f>
        <x:v>Yes</x:v>
      </x:c>
      <x:c r="N4" s="3" t="str">
        <x:f>IF(Master!O223="","",Master!O223)</x:f>
        <x:v>Client-dependent</x:v>
      </x:c>
      <x:c r="O4" s="3" t="str">
        <x:f>IF(Master!P223="","",Master!P223)</x:f>
        <x:v>Yes</x:v>
      </x:c>
      <x:c r="P4" s="3" t="str">
        <x:f>IF(Master!Q223="","",Master!Q223)</x:f>
        <x:v>Yes</x:v>
      </x:c>
      <x:c r="Q4" s="3" t="str">
        <x:f>IF(Master!R223="","",Master!R223)</x:f>
        <x:v>No</x:v>
      </x:c>
      <x:c r="R4" s="3" t="str">
        <x:f>IF(Master!S223="","",Master!S223)</x:f>
      </x:c>
      <x:c r="S4" s="3" t="str">
        <x:f>IF(Master!T223="","",Master!T223)</x:f>
        <x:v>Yes</x:v>
      </x:c>
      <x:c r="T4" s="3" t="str">
        <x:f>IF(Master!U223="","",Master!U223)</x:f>
        <x:v>Yes: camera in DM calls</x:v>
      </x:c>
      <x:c r="U4" s="3" t="str">
        <x:f>IF(Master!V223="","",Master!V223)</x:f>
        <x:v>Yes</x:v>
      </x:c>
      <x:c r="V4" s="3" t="str">
        <x:f>IF(Master!W223="","",Master!W223)</x:f>
        <x:v>Provider-dependent</x:v>
      </x:c>
      <x:c r="W4" s="3" t="str">
        <x:f>IF(Master!X223="","",Master!X223)</x:f>
        <x:v>N/A</x:v>
      </x:c>
      <x:c r="X4" s="3" t="str">
        <x:f>IF(Master!Y223="","",Master!Y223)</x:f>
        <x:v>Yes</x:v>
      </x:c>
      <x:c r="Y4" s="3" t="str">
        <x:f>IF(Master!Z223="","",Master!Z223)</x:f>
      </x:c>
      <x:c r="Z4" s="3" t="str">
        <x:f>IF(Master!AA223="","",Master!AA223)</x:f>
        <x:v>Yes: voice channels, DMs and group DMs</x:v>
      </x:c>
      <x:c r="AA4" s="6" t="str">
        <x:f>IF(Master!AB223="","",Master!AB223)</x:f>
      </x:c>
      <x:c r="AB4" s="3" t="str">
        <x:f>IF(Master!AC223="","",Master!AC223)</x:f>
      </x:c>
      <x:c r="AC4" s="3" t="str">
        <x:f>IF(Master!AD223="","",Master!AD223)</x:f>
      </x:c>
      <x:c r="AD4" s="3" t="str">
        <x:f>IF(Master!AE223="","",Master!AE223)</x:f>
        <x:v>Yes</x:v>
      </x:c>
      <x:c r="AE4" s="3" t="str">
        <x:f>IF(Master!AF223="","",Master!AF223)</x:f>
        <x:v>No</x:v>
      </x:c>
      <x:c r="AF4" s="8" t="str">
        <x:f>IF(Master!AG223="","",Master!AG223)</x:f>
        <x:v>Provider-dependent</x:v>
      </x:c>
    </x:row>
    <x:row r="5" ht="36" customHeight="1">
      <x:c r="A5" s="17" t="s">
        <x:v>483</x:v>
      </x:c>
      <x:c r="B5" s="3" t="str">
        <x:f>IF(Master!C224="","",Master!C224)</x:f>
        <x:v>Yes</x:v>
      </x:c>
      <x:c r="C5" s="3" t="str">
        <x:f>IF(Master!D224="","",Master!D224)</x:f>
        <x:v>Yes</x:v>
      </x:c>
      <x:c r="D5" s="3" t="str">
        <x:f>IF(Master!E224="","",Master!E224)</x:f>
        <x:v>Yes</x:v>
      </x:c>
      <x:c r="E5" s="3" t="str">
        <x:f>IF(Master!F224="","",Master!F224)</x:f>
        <x:v>Yes</x:v>
      </x:c>
      <x:c r="F5" s="3" t="str">
        <x:f>IF(Master!G224="","",Master!G224)</x:f>
        <x:v>Yes</x:v>
      </x:c>
      <x:c r="G5" s="3" t="str">
        <x:f>IF(Master!H224="","",Master!H224)</x:f>
        <x:v>Yes</x:v>
      </x:c>
      <x:c r="H5" s="3" t="str">
        <x:f>IF(Master!I224="","",Master!I224)</x:f>
        <x:v>Yes</x:v>
      </x:c>
      <x:c r="I5" s="3" t="str">
        <x:f>IF(Master!J224="","",Master!J224)</x:f>
        <x:v>In development</x:v>
      </x:c>
      <x:c r="J5" s="3" t="str">
        <x:f>IF(Master!K224="","",Master!K224)</x:f>
        <x:v>Yes</x:v>
      </x:c>
      <x:c r="K5" s="3" t="str">
        <x:f>IF(Master!L224="","",Master!L224)</x:f>
        <x:v>Yes</x:v>
      </x:c>
      <x:c r="L5" s="3" t="str">
        <x:f>IF(Master!M224="","",Master!M224)</x:f>
        <x:v>Yes</x:v>
      </x:c>
      <x:c r="M5" s="3" t="str">
        <x:f>IF(Master!N224="","",Master!N224)</x:f>
        <x:v>Yes</x:v>
      </x:c>
      <x:c r="N5" s="3" t="str">
        <x:f>IF(Master!O224="","",Master!O224)</x:f>
        <x:v>Client-dependent</x:v>
      </x:c>
      <x:c r="O5" s="3" t="str">
        <x:f>IF(Master!P224="","",Master!P224)</x:f>
        <x:v>Yes</x:v>
      </x:c>
      <x:c r="P5" s="3" t="str">
        <x:f>IF(Master!Q224="","",Master!Q224)</x:f>
        <x:v>Yes</x:v>
      </x:c>
      <x:c r="Q5" s="3" t="str">
        <x:f>IF(Master!R224="","",Master!R224)</x:f>
        <x:v>No</x:v>
      </x:c>
      <x:c r="R5" s="3" t="str">
        <x:f>IF(Master!S224="","",Master!S224)</x:f>
      </x:c>
      <x:c r="S5" s="3" t="str">
        <x:f>IF(Master!T224="","",Master!T224)</x:f>
        <x:v>Yes</x:v>
      </x:c>
      <x:c r="T5" s="3" t="str">
        <x:f>IF(Master!U224="","",Master!U224)</x:f>
        <x:v>Yes: browser screen share</x:v>
      </x:c>
      <x:c r="U5" s="3" t="str">
        <x:f>IF(Master!V224="","",Master!V224)</x:f>
        <x:v>Yes</x:v>
      </x:c>
      <x:c r="V5" s="3" t="str">
        <x:f>IF(Master!W224="","",Master!W224)</x:f>
        <x:v>Provider-dependent</x:v>
      </x:c>
      <x:c r="W5" s="3" t="str">
        <x:f>IF(Master!X224="","",Master!X224)</x:f>
        <x:v>N/A</x:v>
      </x:c>
      <x:c r="X5" s="3" t="str">
        <x:f>IF(Master!Y224="","",Master!Y224)</x:f>
        <x:v>Yes</x:v>
      </x:c>
      <x:c r="Y5" s="3" t="str">
        <x:f>IF(Master!Z224="","",Master!Z224)</x:f>
        <x:v>Yes with Pion implementation</x:v>
      </x:c>
      <x:c r="Z5" s="3" t="str">
        <x:f>IF(Master!AA224="","",Master!AA224)</x:f>
        <x:v>Yes</x:v>
      </x:c>
      <x:c r="AA5" s="6" t="str">
        <x:f>IF(Master!AB224="","",Master!AB224)</x:f>
        <x:v>Yes: TS6 beta / P2P</x:v>
      </x:c>
      <x:c r="AB5" s="3" t="str">
        <x:f>IF(Master!AC224="","",Master!AC224)</x:f>
      </x:c>
      <x:c r="AC5" s="3" t="str">
        <x:f>IF(Master!AD224="","",Master!AD224)</x:f>
      </x:c>
      <x:c r="AD5" s="3" t="str">
        <x:f>IF(Master!AE224="","",Master!AE224)</x:f>
        <x:v>Yes</x:v>
      </x:c>
      <x:c r="AE5" s="3" t="str">
        <x:f>IF(Master!AF224="","",Master!AF224)</x:f>
        <x:v>Yes</x:v>
      </x:c>
      <x:c r="AF5" s="8" t="str">
        <x:f>IF(Master!AG224="","",Master!AG224)</x:f>
        <x:v>External provider</x:v>
      </x:c>
    </x:row>
    <x:row r="6" ht="36" customHeight="1">
      <x:c r="A6" s="17" t="s">
        <x:v>484</x:v>
      </x:c>
      <x:c r="B6" s="3" t="str">
        <x:f>IF(Master!C225="","",Master!C225)</x:f>
        <x:v>Yes</x:v>
      </x:c>
      <x:c r="C6" s="3" t="str">
        <x:f>IF(Master!D225="","",Master!D225)</x:f>
        <x:v>Yes</x:v>
      </x:c>
      <x:c r="D6" s="3" t="str">
        <x:f>IF(Master!E225="","",Master!E225)</x:f>
        <x:v>Yes</x:v>
      </x:c>
      <x:c r="E6" s="3" t="str">
        <x:f>IF(Master!F225="","",Master!F225)</x:f>
        <x:v>Yes</x:v>
      </x:c>
      <x:c r="F6" s="3" t="str">
        <x:f>IF(Master!G225="","",Master!G225)</x:f>
        <x:v>Yes</x:v>
      </x:c>
      <x:c r="G6" s="3" t="str">
        <x:f>IF(Master!H225="","",Master!H225)</x:f>
        <x:v>Yes</x:v>
      </x:c>
      <x:c r="H6" s="3" t="str">
        <x:f>IF(Master!I225="","",Master!I225)</x:f>
        <x:v>Yes</x:v>
      </x:c>
      <x:c r="I6" s="3" t="str">
        <x:f>IF(Master!J225="","",Master!J225)</x:f>
        <x:v>No</x:v>
      </x:c>
      <x:c r="J6" s="3" t="str">
        <x:f>IF(Master!K225="","",Master!K225)</x:f>
        <x:v>Yes</x:v>
      </x:c>
      <x:c r="K6" s="3" t="str">
        <x:f>IF(Master!L225="","",Master!L225)</x:f>
        <x:v>Yes</x:v>
      </x:c>
      <x:c r="L6" s="3" t="str">
        <x:f>IF(Master!M225="","",Master!M225)</x:f>
        <x:v>Yes</x:v>
      </x:c>
      <x:c r="M6" s="3" t="str">
        <x:f>IF(Master!N225="","",Master!N225)</x:f>
        <x:v>Yes</x:v>
      </x:c>
      <x:c r="N6" s="3" t="str">
        <x:f>IF(Master!O225="","",Master!O225)</x:f>
        <x:v>Yes</x:v>
      </x:c>
      <x:c r="O6" s="3" t="str">
        <x:f>IF(Master!P225="","",Master!P225)</x:f>
        <x:v>Yes</x:v>
      </x:c>
      <x:c r="P6" s="3" t="str">
        <x:f>IF(Master!Q225="","",Master!Q225)</x:f>
        <x:v>Yes</x:v>
      </x:c>
      <x:c r="Q6" s="3" t="str">
        <x:f>IF(Master!R225="","",Master!R225)</x:f>
        <x:v>No</x:v>
      </x:c>
      <x:c r="R6" s="3" t="str">
        <x:f>IF(Master!S225="","",Master!S225)</x:f>
      </x:c>
      <x:c r="S6" s="3" t="str">
        <x:f>IF(Master!T225="","",Master!T225)</x:f>
      </x:c>
      <x:c r="T6" s="3" t="str">
        <x:f>IF(Master!U225="","",Master!U225)</x:f>
        <x:v>Yes</x:v>
      </x:c>
      <x:c r="U6" s="3" t="str">
        <x:f>IF(Master!V225="","",Master!V225)</x:f>
        <x:v>Yes</x:v>
      </x:c>
      <x:c r="V6" s="3" t="str">
        <x:f>IF(Master!W225="","",Master!W225)</x:f>
        <x:v>Yes</x:v>
      </x:c>
      <x:c r="W6" s="3" t="str">
        <x:f>IF(Master!X225="","",Master!X225)</x:f>
        <x:v>No</x:v>
      </x:c>
      <x:c r="X6" s="3" t="str">
        <x:f>IF(Master!Y225="","",Master!Y225)</x:f>
        <x:v>Yes</x:v>
      </x:c>
      <x:c r="Y6" s="3" t="str">
        <x:f>IF(Master!Z225="","",Master!Z225)</x:f>
        <x:v>Yes</x:v>
      </x:c>
      <x:c r="Z6" s="3" t="str">
        <x:f>IF(Master!AA225="","",Master!AA225)</x:f>
        <x:v>Yes</x:v>
      </x:c>
      <x:c r="AA6" s="6" t="str">
        <x:f>IF(Master!AB225="","",Master!AB225)</x:f>
        <x:v>Yes with TS6 client/self-host context; exact hosting limits vary</x:v>
      </x:c>
      <x:c r="AB6" s="3" t="str">
        <x:f>IF(Master!AC225="","",Master!AC225)</x:f>
      </x:c>
      <x:c r="AC6" s="3" t="str">
        <x:f>IF(Master!AD225="","",Master!AD225)</x:f>
      </x:c>
      <x:c r="AD6" s="3" t="str">
        <x:f>IF(Master!AE225="","",Master!AE225)</x:f>
        <x:v>Yes</x:v>
      </x:c>
      <x:c r="AE6" s="3" t="str">
        <x:f>IF(Master!AF225="","",Master!AF225)</x:f>
        <x:v>Yes</x:v>
      </x:c>
      <x:c r="AF6" s="8" t="str">
        <x:f>IF(Master!AG225="","",Master!AG225)</x:f>
        <x:v>Yes</x:v>
      </x:c>
    </x:row>
    <x:row r="7" ht="21.950000762939453" customHeight="1">
      <x:c r="A7" s="18" t="s">
        <x:v>485</x:v>
      </x:c>
      <x:c r="B7" s="18" t="str">
        <x:f t="shared" ref="B7:AF7" si="1">IF(""="","","")</x:f>
      </x:c>
      <x:c r="C7" s="18" t="str">
        <x:f t="shared" si="1"/>
      </x:c>
      <x:c r="D7" s="18" t="str">
        <x:f t="shared" si="1"/>
      </x:c>
      <x:c r="E7" s="18" t="str">
        <x:f t="shared" si="1"/>
      </x:c>
      <x:c r="F7" s="18" t="str">
        <x:f t="shared" si="1"/>
      </x:c>
      <x:c r="G7" s="18" t="str">
        <x:f t="shared" si="1"/>
      </x:c>
      <x:c r="H7" s="18" t="str">
        <x:f t="shared" si="1"/>
      </x:c>
      <x:c r="I7" s="18" t="str">
        <x:f t="shared" si="1"/>
      </x:c>
      <x:c r="J7" s="18" t="str">
        <x:f t="shared" si="1"/>
      </x:c>
      <x:c r="K7" s="18" t="str">
        <x:f t="shared" si="1"/>
      </x:c>
      <x:c r="L7" s="18" t="str">
        <x:f t="shared" si="1"/>
      </x:c>
      <x:c r="M7" s="18" t="str">
        <x:f t="shared" si="1"/>
      </x:c>
      <x:c r="N7" s="18" t="str">
        <x:f t="shared" si="1"/>
      </x:c>
      <x:c r="O7" s="18" t="str">
        <x:f t="shared" si="1"/>
      </x:c>
      <x:c r="P7" s="18" t="str">
        <x:f t="shared" si="1"/>
      </x:c>
      <x:c r="Q7" s="18" t="str">
        <x:f t="shared" si="1"/>
      </x:c>
      <x:c r="R7" s="18" t="str">
        <x:f t="shared" si="1"/>
      </x:c>
      <x:c r="S7" s="18" t="str">
        <x:f t="shared" si="1"/>
      </x:c>
      <x:c r="T7" s="18" t="str">
        <x:f t="shared" si="1"/>
      </x:c>
      <x:c r="U7" s="18" t="str">
        <x:f t="shared" si="1"/>
      </x:c>
      <x:c r="V7" s="18" t="str">
        <x:f t="shared" si="1"/>
      </x:c>
      <x:c r="W7" s="18" t="str">
        <x:f t="shared" si="1"/>
      </x:c>
      <x:c r="X7" s="18" t="str">
        <x:f t="shared" si="1"/>
      </x:c>
      <x:c r="Y7" s="18" t="str">
        <x:f t="shared" si="1"/>
      </x:c>
      <x:c r="Z7" s="18" t="str">
        <x:f t="shared" si="1"/>
      </x:c>
      <x:c r="AA7" s="18" t="str">
        <x:f t="shared" si="1"/>
      </x:c>
      <x:c r="AB7" s="18" t="str">
        <x:f t="shared" si="1"/>
      </x:c>
      <x:c r="AC7" s="18" t="str">
        <x:f t="shared" si="1"/>
      </x:c>
      <x:c r="AD7" s="18" t="str">
        <x:f t="shared" si="1"/>
      </x:c>
      <x:c r="AE7" s="18" t="str">
        <x:f t="shared" si="1"/>
      </x:c>
      <x:c r="AF7" s="19" t="str">
        <x:f t="shared" si="1"/>
      </x:c>
    </x:row>
    <x:row r="8" ht="36" customHeight="1">
      <x:c r="A8" s="17" t="s">
        <x:v>486</x:v>
      </x:c>
      <x:c r="B8" s="3" t="str">
        <x:f>IF(Master!C226="","",Master!C226)</x:f>
        <x:v>Yes</x:v>
      </x:c>
      <x:c r="C8" s="3" t="str">
        <x:f>IF(Master!D226="","",Master!D226)</x:f>
      </x:c>
      <x:c r="D8" s="3" t="str">
        <x:f>IF(Master!E226="","",Master!E226)</x:f>
      </x:c>
      <x:c r="E8" s="3" t="str">
        <x:f>IF(Master!F226="","",Master!F226)</x:f>
      </x:c>
      <x:c r="F8" s="3" t="str">
        <x:f>IF(Master!G226="","",Master!G226)</x:f>
      </x:c>
      <x:c r="G8" s="3" t="str">
        <x:f>IF(Master!H226="","",Master!H226)</x:f>
        <x:v>Yes</x:v>
      </x:c>
      <x:c r="H8" s="3" t="str">
        <x:f>IF(Master!I226="","",Master!I226)</x:f>
        <x:v>Yes</x:v>
      </x:c>
      <x:c r="I8" s="3" t="str">
        <x:f>IF(Master!J226="","",Master!J226)</x:f>
      </x:c>
      <x:c r="J8" s="3" t="str">
        <x:f>IF(Master!K226="","",Master!K226)</x:f>
      </x:c>
      <x:c r="K8" s="3" t="str">
        <x:f>IF(Master!L226="","",Master!L226)</x:f>
        <x:v>Yes</x:v>
      </x:c>
      <x:c r="L8" s="3" t="str">
        <x:f>IF(Master!M226="","",Master!M226)</x:f>
      </x:c>
      <x:c r="M8" s="3" t="str">
        <x:f>IF(Master!N226="","",Master!N226)</x:f>
      </x:c>
      <x:c r="N8" s="3" t="str">
        <x:f>IF(Master!O226="","",Master!O226)</x:f>
      </x:c>
      <x:c r="O8" s="3" t="str">
        <x:f>IF(Master!P226="","",Master!P226)</x:f>
      </x:c>
      <x:c r="P8" s="3" t="str">
        <x:f>IF(Master!Q226="","",Master!Q226)</x:f>
      </x:c>
      <x:c r="Q8" s="3" t="str">
        <x:f>IF(Master!R226="","",Master!R226)</x:f>
      </x:c>
      <x:c r="R8" s="3" t="str">
        <x:f>IF(Master!S226="","",Master!S226)</x:f>
      </x:c>
      <x:c r="S8" s="3" t="str">
        <x:f>IF(Master!T226="","",Master!T226)</x:f>
      </x:c>
      <x:c r="T8" s="3" t="str">
        <x:f>IF(Master!U226="","",Master!U226)</x:f>
      </x:c>
      <x:c r="U8" s="3" t="str">
        <x:f>IF(Master!V226="","",Master!V226)</x:f>
        <x:v>Yes</x:v>
      </x:c>
      <x:c r="V8" s="3" t="str">
        <x:f>IF(Master!W226="","",Master!W226)</x:f>
      </x:c>
      <x:c r="W8" s="3" t="str">
        <x:f>IF(Master!X226="","",Master!X226)</x:f>
      </x:c>
      <x:c r="X8" s="3" t="str">
        <x:f>IF(Master!Y226="","",Master!Y226)</x:f>
      </x:c>
      <x:c r="Y8" s="3" t="str">
        <x:f>IF(Master!Z226="","",Master!Z226)</x:f>
      </x:c>
      <x:c r="Z8" s="3" t="str">
        <x:f>IF(Master!AA226="","",Master!AA226)</x:f>
      </x:c>
      <x:c r="AA8" s="6" t="str">
        <x:f>IF(Master!AB226="","",Master!AB226)</x:f>
      </x:c>
      <x:c r="AB8" s="3" t="str">
        <x:f>IF(Master!AC226="","",Master!AC226)</x:f>
      </x:c>
      <x:c r="AC8" s="3" t="str">
        <x:f>IF(Master!AD226="","",Master!AD226)</x:f>
      </x:c>
      <x:c r="AD8" s="3" t="str">
        <x:f>IF(Master!AE226="","",Master!AE226)</x:f>
      </x:c>
      <x:c r="AE8" s="3" t="str">
        <x:f>IF(Master!AF226="","",Master!AF226)</x:f>
      </x:c>
      <x:c r="AF8" s="8" t="str">
        <x:f>IF(Master!AG226="","",Master!AG226)</x:f>
      </x:c>
    </x:row>
    <x:row r="9" ht="36" customHeight="1">
      <x:c r="A9" s="17" t="s">
        <x:v>487</x:v>
      </x:c>
      <x:c r="B9" s="3" t="str">
        <x:f>IF(Master!C227="","",Master!C227)</x:f>
        <x:v>Free</x:v>
      </x:c>
      <x:c r="C9" s="3" t="str">
        <x:f>IF(Master!D227="","",Master!D227)</x:f>
      </x:c>
      <x:c r="D9" s="3" t="str">
        <x:f>IF(Master!E227="","",Master!E227)</x:f>
      </x:c>
      <x:c r="E9" s="3" t="str">
        <x:f>IF(Master!F227="","",Master!F227)</x:f>
      </x:c>
      <x:c r="F9" s="3" t="str">
        <x:f>IF(Master!G227="","",Master!G227)</x:f>
      </x:c>
      <x:c r="G9" s="3" t="str">
        <x:f>IF(Master!H227="","",Master!H227)</x:f>
        <x:v>Free/configurable</x:v>
      </x:c>
      <x:c r="H9" s="3" t="str">
        <x:f>IF(Master!I227="","",Master!I227)</x:f>
        <x:v>Free/configurable</x:v>
      </x:c>
      <x:c r="I9" s="3" t="str">
        <x:f>IF(Master!J227="","",Master!J227)</x:f>
      </x:c>
      <x:c r="J9" s="3" t="str">
        <x:f>IF(Master!K227="","",Master!K227)</x:f>
      </x:c>
      <x:c r="K9" s="3" t="str">
        <x:f>IF(Master!L227="","",Master!L227)</x:f>
        <x:v>Free/current</x:v>
      </x:c>
      <x:c r="L9" s="3" t="str">
        <x:f>IF(Master!M227="","",Master!M227)</x:f>
      </x:c>
      <x:c r="M9" s="3" t="str">
        <x:f>IF(Master!N227="","",Master!N227)</x:f>
      </x:c>
      <x:c r="N9" s="3" t="str">
        <x:f>IF(Master!O227="","",Master!O227)</x:f>
      </x:c>
      <x:c r="O9" s="3" t="str">
        <x:f>IF(Master!P227="","",Master!P227)</x:f>
      </x:c>
      <x:c r="P9" s="3" t="str">
        <x:f>IF(Master!Q227="","",Master!Q227)</x:f>
        <x:v>Free</x:v>
      </x:c>
      <x:c r="Q9" s="3" t="str">
        <x:f>IF(Master!R227="","",Master!R227)</x:f>
      </x:c>
      <x:c r="R9" s="3" t="str">
        <x:f>IF(Master!S227="","",Master!S227)</x:f>
      </x:c>
      <x:c r="S9" s="3" t="str">
        <x:f>IF(Master!T227="","",Master!T227)</x:f>
      </x:c>
      <x:c r="T9" s="3" t="str">
        <x:f>IF(Master!U227="","",Master!U227)</x:f>
      </x:c>
      <x:c r="U9" s="3" t="str">
        <x:f>IF(Master!V227="","",Master!V227)</x:f>
        <x:v>Free/configurable</x:v>
      </x:c>
      <x:c r="V9" s="3" t="str">
        <x:f>IF(Master!W227="","",Master!W227)</x:f>
      </x:c>
      <x:c r="W9" s="3" t="str">
        <x:f>IF(Master!X227="","",Master!X227)</x:f>
      </x:c>
      <x:c r="X9" s="3" t="str">
        <x:f>IF(Master!Y227="","",Master!Y227)</x:f>
      </x:c>
      <x:c r="Y9" s="3" t="str">
        <x:f>IF(Master!Z227="","",Master!Z227)</x:f>
      </x:c>
      <x:c r="Z9" s="3" t="str">
        <x:f>IF(Master!AA227="","",Master!AA227)</x:f>
      </x:c>
      <x:c r="AA9" s="6" t="str">
        <x:f>IF(Master!AB227="","",Master!AB227)</x:f>
      </x:c>
      <x:c r="AB9" s="3" t="str">
        <x:f>IF(Master!AC227="","",Master!AC227)</x:f>
      </x:c>
      <x:c r="AC9" s="3" t="str">
        <x:f>IF(Master!AD227="","",Master!AD227)</x:f>
      </x:c>
      <x:c r="AD9" s="3" t="str">
        <x:f>IF(Master!AE227="","",Master!AE227)</x:f>
      </x:c>
      <x:c r="AE9" s="3" t="str">
        <x:f>IF(Master!AF227="","",Master!AF227)</x:f>
      </x:c>
      <x:c r="AF9" s="8" t="str">
        <x:f>IF(Master!AG227="","",Master!AG227)</x:f>
      </x:c>
    </x:row>
    <x:row r="10" ht="36" customHeight="1">
      <x:c r="A10" s="17" t="s">
        <x:v>488</x:v>
      </x:c>
      <x:c r="B10" s="3" t="str">
        <x:f>IF(Master!C228="","",Master!C228)</x:f>
        <x:v>Yes</x:v>
      </x:c>
      <x:c r="C10" s="3" t="str">
        <x:f>IF(Master!D228="","",Master!D228)</x:f>
      </x:c>
      <x:c r="D10" s="3" t="str">
        <x:f>IF(Master!E228="","",Master!E228)</x:f>
      </x:c>
      <x:c r="E10" s="3" t="str">
        <x:f>IF(Master!F228="","",Master!F228)</x:f>
      </x:c>
      <x:c r="F10" s="3" t="str">
        <x:f>IF(Master!G228="","",Master!G228)</x:f>
      </x:c>
      <x:c r="G10" s="3" t="str">
        <x:f>IF(Master!H228="","",Master!H228)</x:f>
        <x:v>Yes</x:v>
      </x:c>
      <x:c r="H10" s="3" t="str">
        <x:f>IF(Master!I228="","",Master!I228)</x:f>
        <x:v>Yes</x:v>
      </x:c>
      <x:c r="I10" s="3" t="str">
        <x:f>IF(Master!J228="","",Master!J228)</x:f>
      </x:c>
      <x:c r="J10" s="3" t="str">
        <x:f>IF(Master!K228="","",Master!K228)</x:f>
      </x:c>
      <x:c r="K10" s="3" t="str">
        <x:f>IF(Master!L228="","",Master!L228)</x:f>
        <x:v>Yes</x:v>
      </x:c>
      <x:c r="L10" s="3" t="str">
        <x:f>IF(Master!M228="","",Master!M228)</x:f>
      </x:c>
      <x:c r="M10" s="3" t="str">
        <x:f>IF(Master!N228="","",Master!N228)</x:f>
      </x:c>
      <x:c r="N10" s="3" t="str">
        <x:f>IF(Master!O228="","",Master!O228)</x:f>
      </x:c>
      <x:c r="O10" s="3" t="str">
        <x:f>IF(Master!P228="","",Master!P228)</x:f>
      </x:c>
      <x:c r="P10" s="3" t="str">
        <x:f>IF(Master!Q228="","",Master!Q228)</x:f>
      </x:c>
      <x:c r="Q10" s="3" t="str">
        <x:f>IF(Master!R228="","",Master!R228)</x:f>
      </x:c>
      <x:c r="R10" s="3" t="str">
        <x:f>IF(Master!S228="","",Master!S228)</x:f>
      </x:c>
      <x:c r="S10" s="3" t="str">
        <x:f>IF(Master!T228="","",Master!T228)</x:f>
      </x:c>
      <x:c r="T10" s="3" t="str">
        <x:f>IF(Master!U228="","",Master!U228)</x:f>
        <x:v>Yes</x:v>
      </x:c>
      <x:c r="U10" s="3" t="str">
        <x:f>IF(Master!V228="","",Master!V228)</x:f>
        <x:v>Yes</x:v>
      </x:c>
      <x:c r="V10" s="3" t="str">
        <x:f>IF(Master!W228="","",Master!W228)</x:f>
      </x:c>
      <x:c r="W10" s="3" t="str">
        <x:f>IF(Master!X228="","",Master!X228)</x:f>
      </x:c>
      <x:c r="X10" s="3" t="str">
        <x:f>IF(Master!Y228="","",Master!Y228)</x:f>
        <x:v>Yes</x:v>
      </x:c>
      <x:c r="Y10" s="3" t="str">
        <x:f>IF(Master!Z228="","",Master!Z228)</x:f>
      </x:c>
      <x:c r="Z10" s="3" t="str">
        <x:f>IF(Master!AA228="","",Master!AA228)</x:f>
        <x:v>Yes</x:v>
      </x:c>
      <x:c r="AA10" s="6" t="str">
        <x:f>IF(Master!AB228="","",Master!AB228)</x:f>
        <x:v>Yes</x:v>
      </x:c>
      <x:c r="AB10" s="3" t="str">
        <x:f>IF(Master!AC228="","",Master!AC228)</x:f>
      </x:c>
      <x:c r="AC10" s="3" t="str">
        <x:f>IF(Master!AD228="","",Master!AD228)</x:f>
      </x:c>
      <x:c r="AD10" s="3" t="str">
        <x:f>IF(Master!AE228="","",Master!AE228)</x:f>
      </x:c>
      <x:c r="AE10" s="3" t="str">
        <x:f>IF(Master!AF228="","",Master!AF228)</x:f>
      </x:c>
      <x:c r="AF10" s="8" t="str">
        <x:f>IF(Master!AG228="","",Master!AG228)</x:f>
      </x:c>
    </x:row>
    <x:row r="11" ht="36" customHeight="1">
      <x:c r="A11" s="17" t="s">
        <x:v>489</x:v>
      </x:c>
      <x:c r="B11" s="3" t="str">
        <x:f>IF(Master!C229="","",Master!C229)</x:f>
        <x:v>Free</x:v>
      </x:c>
      <x:c r="C11" s="3" t="str">
        <x:f>IF(Master!D229="","",Master!D229)</x:f>
      </x:c>
      <x:c r="D11" s="3" t="str">
        <x:f>IF(Master!E229="","",Master!E229)</x:f>
      </x:c>
      <x:c r="E11" s="3" t="str">
        <x:f>IF(Master!F229="","",Master!F229)</x:f>
      </x:c>
      <x:c r="F11" s="3" t="str">
        <x:f>IF(Master!G229="","",Master!G229)</x:f>
      </x:c>
      <x:c r="G11" s="3" t="str">
        <x:f>IF(Master!H229="","",Master!H229)</x:f>
        <x:v>Free</x:v>
      </x:c>
      <x:c r="H11" s="3" t="str">
        <x:f>IF(Master!I229="","",Master!I229)</x:f>
        <x:v>Free</x:v>
      </x:c>
      <x:c r="I11" s="3" t="str">
        <x:f>IF(Master!J229="","",Master!J229)</x:f>
      </x:c>
      <x:c r="J11" s="3" t="str">
        <x:f>IF(Master!K229="","",Master!K229)</x:f>
      </x:c>
      <x:c r="K11" s="3" t="str">
        <x:f>IF(Master!L229="","",Master!L229)</x:f>
        <x:v>Free/current</x:v>
      </x:c>
      <x:c r="L11" s="3" t="str">
        <x:f>IF(Master!M229="","",Master!M229)</x:f>
      </x:c>
      <x:c r="M11" s="3" t="str">
        <x:f>IF(Master!N229="","",Master!N229)</x:f>
      </x:c>
      <x:c r="N11" s="3" t="str">
        <x:f>IF(Master!O229="","",Master!O229)</x:f>
      </x:c>
      <x:c r="O11" s="3" t="str">
        <x:f>IF(Master!P229="","",Master!P229)</x:f>
      </x:c>
      <x:c r="P11" s="3" t="str">
        <x:f>IF(Master!Q229="","",Master!Q229)</x:f>
        <x:v>Free</x:v>
      </x:c>
      <x:c r="Q11" s="3" t="str">
        <x:f>IF(Master!R229="","",Master!R229)</x:f>
      </x:c>
      <x:c r="R11" s="3" t="str">
        <x:f>IF(Master!S229="","",Master!S229)</x:f>
      </x:c>
      <x:c r="S11" s="3" t="str">
        <x:f>IF(Master!T229="","",Master!T229)</x:f>
      </x:c>
      <x:c r="T11" s="3" t="str">
        <x:f>IF(Master!U229="","",Master!U229)</x:f>
        <x:v>Free</x:v>
      </x:c>
      <x:c r="U11" s="3" t="str">
        <x:f>IF(Master!V229="","",Master!V229)</x:f>
        <x:v>Free</x:v>
      </x:c>
      <x:c r="V11" s="3" t="str">
        <x:f>IF(Master!W229="","",Master!W229)</x:f>
      </x:c>
      <x:c r="W11" s="3" t="str">
        <x:f>IF(Master!X229="","",Master!X229)</x:f>
      </x:c>
      <x:c r="X11" s="3" t="str">
        <x:f>IF(Master!Y229="","",Master!Y229)</x:f>
        <x:v>Free + Sudo selectable</x:v>
      </x:c>
      <x:c r="Y11" s="3" t="str">
        <x:f>IF(Master!Z229="","",Master!Z229)</x:f>
      </x:c>
      <x:c r="Z11" s="3" t="str">
        <x:f>IF(Master!AA229="","",Master!AA229)</x:f>
        <x:v>Free / current default</x:v>
      </x:c>
      <x:c r="AA11" s="6" t="str">
        <x:f>IF(Master!AB229="","",Master!AB229)</x:f>
        <x:v>Configurable/P2P</x:v>
      </x:c>
      <x:c r="AB11" s="3" t="str">
        <x:f>IF(Master!AC229="","",Master!AC229)</x:f>
      </x:c>
      <x:c r="AC11" s="3" t="str">
        <x:f>IF(Master!AD229="","",Master!AD229)</x:f>
      </x:c>
      <x:c r="AD11" s="3" t="str">
        <x:f>IF(Master!AE229="","",Master!AE229)</x:f>
        <x:v>Free</x:v>
      </x:c>
      <x:c r="AE11" s="3" t="str">
        <x:f>IF(Master!AF229="","",Master!AF229)</x:f>
      </x:c>
      <x:c r="AF11" s="8" t="str">
        <x:f>IF(Master!AG229="","",Master!AG229)</x:f>
      </x:c>
    </x:row>
    <x:row r="12" ht="36" customHeight="1">
      <x:c r="A12" s="17" t="s">
        <x:v>490</x:v>
      </x:c>
      <x:c r="B12" s="3" t="str">
        <x:f>IF(Master!C230="","",Master!C230)</x:f>
        <x:v>30</x:v>
      </x:c>
      <x:c r="C12" s="3" t="str">
        <x:f>IF(Master!D230="","",Master!D230)</x:f>
      </x:c>
      <x:c r="D12" s="3" t="str">
        <x:f>IF(Master!E230="","",Master!E230)</x:f>
      </x:c>
      <x:c r="E12" s="3" t="str">
        <x:f>IF(Master!F230="","",Master!F230)</x:f>
      </x:c>
      <x:c r="F12" s="3" t="str">
        <x:f>IF(Master!G230="","",Master!G230)</x:f>
      </x:c>
      <x:c r="G12" s="3" t="str">
        <x:f>IF(Master!H230="","",Master!H230)</x:f>
        <x:v>30</x:v>
      </x:c>
      <x:c r="H12" s="3" t="str">
        <x:f>IF(Master!I230="","",Master!I230)</x:f>
        <x:v>30</x:v>
      </x:c>
      <x:c r="I12" s="3" t="str">
        <x:f>IF(Master!J230="","",Master!J230)</x:f>
      </x:c>
      <x:c r="J12" s="3" t="str">
        <x:f>IF(Master!K230="","",Master!K230)</x:f>
      </x:c>
      <x:c r="K12" s="3" t="str">
        <x:f>IF(Master!L230="","",Master!L230)</x:f>
        <x:v>30</x:v>
      </x:c>
      <x:c r="L12" s="3" t="str">
        <x:f>IF(Master!M230="","",Master!M230)</x:f>
      </x:c>
      <x:c r="M12" s="3" t="str">
        <x:f>IF(Master!N230="","",Master!N230)</x:f>
      </x:c>
      <x:c r="N12" s="3" t="str">
        <x:f>IF(Master!O230="","",Master!O230)</x:f>
      </x:c>
      <x:c r="O12" s="3" t="str">
        <x:f>IF(Master!P230="","",Master!P230)</x:f>
      </x:c>
      <x:c r="P12" s="3" t="str">
        <x:f>IF(Master!Q230="","",Master!Q230)</x:f>
      </x:c>
      <x:c r="Q12" s="3" t="str">
        <x:f>IF(Master!R230="","",Master!R230)</x:f>
      </x:c>
      <x:c r="R12" s="3" t="str">
        <x:f>IF(Master!S230="","",Master!S230)</x:f>
      </x:c>
      <x:c r="S12" s="3" t="str">
        <x:f>IF(Master!T230="","",Master!T230)</x:f>
      </x:c>
      <x:c r="T12" s="3" t="str">
        <x:f>IF(Master!U230="","",Master!U230)</x:f>
      </x:c>
      <x:c r="U12" s="3" t="str">
        <x:f>IF(Master!V230="","",Master!V230)</x:f>
        <x:v>60</x:v>
      </x:c>
      <x:c r="V12" s="3" t="str">
        <x:f>IF(Master!W230="","",Master!W230)</x:f>
      </x:c>
      <x:c r="W12" s="3" t="str">
        <x:f>IF(Master!X230="","",Master!X230)</x:f>
      </x:c>
      <x:c r="X12" s="3" t="str">
        <x:f>IF(Master!Y230="","",Master!Y230)</x:f>
      </x:c>
      <x:c r="Y12" s="3" t="str">
        <x:f>IF(Master!Z230="","",Master!Z230)</x:f>
      </x:c>
      <x:c r="Z12" s="3" t="n">
        <x:f>IF(Master!AA230="","",Master!AA230)</x:f>
        <x:v>30</x:v>
      </x:c>
      <x:c r="AA12" s="6" t="str">
        <x:f>IF(Master!AB230="","",Master!AB230)</x:f>
      </x:c>
      <x:c r="AB12" s="3" t="str">
        <x:f>IF(Master!AC230="","",Master!AC230)</x:f>
      </x:c>
      <x:c r="AC12" s="3" t="str">
        <x:f>IF(Master!AD230="","",Master!AD230)</x:f>
      </x:c>
      <x:c r="AD12" s="3" t="str">
        <x:f>IF(Master!AE230="","",Master!AE230)</x:f>
      </x:c>
      <x:c r="AE12" s="3" t="str">
        <x:f>IF(Master!AF230="","",Master!AF230)</x:f>
      </x:c>
      <x:c r="AF12" s="8" t="str">
        <x:f>IF(Master!AG230="","",Master!AG230)</x:f>
      </x:c>
    </x:row>
    <x:row r="13" ht="36" customHeight="1">
      <x:c r="A13" s="17" t="s">
        <x:v>491</x:v>
      </x:c>
      <x:c r="B13" s="3" t="str">
        <x:f>IF(Master!C231="","",Master!C231)</x:f>
        <x:v>Yes</x:v>
      </x:c>
      <x:c r="C13" s="3" t="str">
        <x:f>IF(Master!D231="","",Master!D231)</x:f>
      </x:c>
      <x:c r="D13" s="3" t="str">
        <x:f>IF(Master!E231="","",Master!E231)</x:f>
      </x:c>
      <x:c r="E13" s="3" t="str">
        <x:f>IF(Master!F231="","",Master!F231)</x:f>
      </x:c>
      <x:c r="F13" s="3" t="str">
        <x:f>IF(Master!G231="","",Master!G231)</x:f>
      </x:c>
      <x:c r="G13" s="3" t="str">
        <x:f>IF(Master!H231="","",Master!H231)</x:f>
        <x:v>Yes</x:v>
      </x:c>
      <x:c r="H13" s="3" t="str">
        <x:f>IF(Master!I231="","",Master!I231)</x:f>
        <x:v>Yes</x:v>
      </x:c>
      <x:c r="I13" s="3" t="str">
        <x:f>IF(Master!J231="","",Master!J231)</x:f>
      </x:c>
      <x:c r="J13" s="3" t="str">
        <x:f>IF(Master!K231="","",Master!K231)</x:f>
      </x:c>
      <x:c r="K13" s="3" t="str">
        <x:f>IF(Master!L231="","",Master!L231)</x:f>
        <x:v>Yes</x:v>
      </x:c>
      <x:c r="L13" s="3" t="str">
        <x:f>IF(Master!M231="","",Master!M231)</x:f>
      </x:c>
      <x:c r="M13" s="3" t="str">
        <x:f>IF(Master!N231="","",Master!N231)</x:f>
      </x:c>
      <x:c r="N13" s="3" t="str">
        <x:f>IF(Master!O231="","",Master!O231)</x:f>
      </x:c>
      <x:c r="O13" s="3" t="str">
        <x:f>IF(Master!P231="","",Master!P231)</x:f>
      </x:c>
      <x:c r="P13" s="3" t="str">
        <x:f>IF(Master!Q231="","",Master!Q231)</x:f>
      </x:c>
      <x:c r="Q13" s="3" t="str">
        <x:f>IF(Master!R231="","",Master!R231)</x:f>
      </x:c>
      <x:c r="R13" s="3" t="str">
        <x:f>IF(Master!S231="","",Master!S231)</x:f>
      </x:c>
      <x:c r="S13" s="3" t="str">
        <x:f>IF(Master!T231="","",Master!T231)</x:f>
      </x:c>
      <x:c r="T13" s="3" t="str">
        <x:f>IF(Master!U231="","",Master!U231)</x:f>
        <x:v>Yes</x:v>
      </x:c>
      <x:c r="U13" s="3" t="str">
        <x:f>IF(Master!V231="","",Master!V231)</x:f>
        <x:v>Yes</x:v>
      </x:c>
      <x:c r="V13" s="3" t="str">
        <x:f>IF(Master!W231="","",Master!W231)</x:f>
      </x:c>
      <x:c r="W13" s="3" t="str">
        <x:f>IF(Master!X231="","",Master!X231)</x:f>
      </x:c>
      <x:c r="X13" s="3" t="str">
        <x:f>IF(Master!Y231="","",Master!Y231)</x:f>
        <x:v>Yes</x:v>
      </x:c>
      <x:c r="Y13" s="3" t="str">
        <x:f>IF(Master!Z231="","",Master!Z231)</x:f>
      </x:c>
      <x:c r="Z13" s="3" t="str">
        <x:f>IF(Master!AA231="","",Master!AA231)</x:f>
      </x:c>
      <x:c r="AA13" s="6" t="str">
        <x:f>IF(Master!AB231="","",Master!AB231)</x:f>
        <x:v>Yes</x:v>
      </x:c>
      <x:c r="AB13" s="3" t="str">
        <x:f>IF(Master!AC231="","",Master!AC231)</x:f>
      </x:c>
      <x:c r="AC13" s="3" t="str">
        <x:f>IF(Master!AD231="","",Master!AD231)</x:f>
      </x:c>
      <x:c r="AD13" s="3" t="str">
        <x:f>IF(Master!AE231="","",Master!AE231)</x:f>
      </x:c>
      <x:c r="AE13" s="3" t="str">
        <x:f>IF(Master!AF231="","",Master!AF231)</x:f>
      </x:c>
      <x:c r="AF13" s="8" t="str">
        <x:f>IF(Master!AG231="","",Master!AG231)</x:f>
      </x:c>
    </x:row>
    <x:row r="14" ht="36" customHeight="1">
      <x:c r="A14" s="17" t="s">
        <x:v>492</x:v>
      </x:c>
      <x:c r="B14" s="3" t="str">
        <x:f>IF(Master!C232="","",Master!C232)</x:f>
        <x:v>Paid: Nitro</x:v>
      </x:c>
      <x:c r="C14" s="3" t="str">
        <x:f>IF(Master!D232="","",Master!D232)</x:f>
      </x:c>
      <x:c r="D14" s="3" t="str">
        <x:f>IF(Master!E232="","",Master!E232)</x:f>
      </x:c>
      <x:c r="E14" s="3" t="str">
        <x:f>IF(Master!F232="","",Master!F232)</x:f>
      </x:c>
      <x:c r="F14" s="3" t="str">
        <x:f>IF(Master!G232="","",Master!G232)</x:f>
      </x:c>
      <x:c r="G14" s="3" t="str">
        <x:f>IF(Master!H232="","",Master!H232)</x:f>
        <x:v>Paid: Plutonium</x:v>
      </x:c>
      <x:c r="H14" s="3" t="str">
        <x:f>IF(Master!I232="","",Master!I232)</x:f>
        <x:v>Free 30 FPS; Gold+ 60 FPS</x:v>
      </x:c>
      <x:c r="I14" s="3" t="str">
        <x:f>IF(Master!J232="","",Master!J232)</x:f>
      </x:c>
      <x:c r="J14" s="3" t="str">
        <x:f>IF(Master!K232="","",Master!K232)</x:f>
      </x:c>
      <x:c r="K14" s="3" t="str">
        <x:f>IF(Master!L232="","",Master!L232)</x:f>
        <x:v>Free/current</x:v>
      </x:c>
      <x:c r="L14" s="3" t="str">
        <x:f>IF(Master!M232="","",Master!M232)</x:f>
      </x:c>
      <x:c r="M14" s="3" t="str">
        <x:f>IF(Master!N232="","",Master!N232)</x:f>
      </x:c>
      <x:c r="N14" s="3" t="str">
        <x:f>IF(Master!O232="","",Master!O232)</x:f>
      </x:c>
      <x:c r="O14" s="3" t="str">
        <x:f>IF(Master!P232="","",Master!P232)</x:f>
      </x:c>
      <x:c r="P14" s="3" t="str">
        <x:f>IF(Master!Q232="","",Master!Q232)</x:f>
        <x:v>Free</x:v>
      </x:c>
      <x:c r="Q14" s="3" t="str">
        <x:f>IF(Master!R232="","",Master!R232)</x:f>
      </x:c>
      <x:c r="R14" s="3" t="str">
        <x:f>IF(Master!S232="","",Master!S232)</x:f>
      </x:c>
      <x:c r="S14" s="3" t="str">
        <x:f>IF(Master!T232="","",Master!T232)</x:f>
      </x:c>
      <x:c r="T14" s="3" t="str">
        <x:f>IF(Master!U232="","",Master!U232)</x:f>
        <x:v>Free</x:v>
      </x:c>
      <x:c r="U14" s="3" t="str">
        <x:f>IF(Master!V232="","",Master!V232)</x:f>
        <x:v>Free</x:v>
      </x:c>
      <x:c r="V14" s="3" t="str">
        <x:f>IF(Master!W232="","",Master!W232)</x:f>
      </x:c>
      <x:c r="W14" s="3" t="str">
        <x:f>IF(Master!X232="","",Master!X232)</x:f>
      </x:c>
      <x:c r="X14" s="3" t="str">
        <x:f>IF(Master!Y232="","",Master!Y232)</x:f>
        <x:v>Paid: Sudo</x:v>
      </x:c>
      <x:c r="Y14" s="3" t="str">
        <x:f>IF(Master!Z232="","",Master!Z232)</x:f>
      </x:c>
      <x:c r="Z14" s="3" t="str">
        <x:f>IF(Master!AA232="","",Master!AA232)</x:f>
      </x:c>
      <x:c r="AA14" s="6" t="str">
        <x:f>IF(Master!AB232="","",Master!AB232)</x:f>
        <x:v>Configurable/P2P</x:v>
      </x:c>
      <x:c r="AB14" s="3" t="str">
        <x:f>IF(Master!AC232="","",Master!AC232)</x:f>
      </x:c>
      <x:c r="AC14" s="3" t="str">
        <x:f>IF(Master!AD232="","",Master!AD232)</x:f>
      </x:c>
      <x:c r="AD14" s="3" t="str">
        <x:f>IF(Master!AE232="","",Master!AE232)</x:f>
        <x:v>Free if supported</x:v>
      </x:c>
      <x:c r="AE14" s="3" t="str">
        <x:f>IF(Master!AF232="","",Master!AF232)</x:f>
      </x:c>
      <x:c r="AF14" s="8" t="str">
        <x:f>IF(Master!AG232="","",Master!AG232)</x:f>
      </x:c>
    </x:row>
    <x:row r="15" ht="36" customHeight="1">
      <x:c r="A15" s="17" t="s">
        <x:v>493</x:v>
      </x:c>
      <x:c r="B15" s="3" t="str">
        <x:f>IF(Master!C233="","",Master!C233)</x:f>
        <x:v>60</x:v>
      </x:c>
      <x:c r="C15" s="3" t="str">
        <x:f>IF(Master!D233="","",Master!D233)</x:f>
      </x:c>
      <x:c r="D15" s="3" t="str">
        <x:f>IF(Master!E233="","",Master!E233)</x:f>
      </x:c>
      <x:c r="E15" s="3" t="str">
        <x:f>IF(Master!F233="","",Master!F233)</x:f>
      </x:c>
      <x:c r="F15" s="3" t="str">
        <x:f>IF(Master!G233="","",Master!G233)</x:f>
      </x:c>
      <x:c r="G15" s="3" t="str">
        <x:f>IF(Master!H233="","",Master!H233)</x:f>
        <x:v>60</x:v>
      </x:c>
      <x:c r="H15" s="3" t="str">
        <x:f>IF(Master!I233="","",Master!I233)</x:f>
        <x:v>60</x:v>
      </x:c>
      <x:c r="I15" s="3" t="str">
        <x:f>IF(Master!J233="","",Master!J233)</x:f>
      </x:c>
      <x:c r="J15" s="3" t="str">
        <x:f>IF(Master!K233="","",Master!K233)</x:f>
      </x:c>
      <x:c r="K15" s="3" t="str">
        <x:f>IF(Master!L233="","",Master!L233)</x:f>
        <x:v>30</x:v>
      </x:c>
      <x:c r="L15" s="3" t="str">
        <x:f>IF(Master!M233="","",Master!M233)</x:f>
      </x:c>
      <x:c r="M15" s="3" t="str">
        <x:f>IF(Master!N233="","",Master!N233)</x:f>
      </x:c>
      <x:c r="N15" s="3" t="str">
        <x:f>IF(Master!O233="","",Master!O233)</x:f>
      </x:c>
      <x:c r="O15" s="3" t="str">
        <x:f>IF(Master!P233="","",Master!P233)</x:f>
      </x:c>
      <x:c r="P15" s="3" t="str">
        <x:f>IF(Master!Q233="","",Master!Q233)</x:f>
      </x:c>
      <x:c r="Q15" s="3" t="str">
        <x:f>IF(Master!R233="","",Master!R233)</x:f>
      </x:c>
      <x:c r="R15" s="3" t="str">
        <x:f>IF(Master!S233="","",Master!S233)</x:f>
      </x:c>
      <x:c r="S15" s="3" t="str">
        <x:f>IF(Master!T233="","",Master!T233)</x:f>
      </x:c>
      <x:c r="T15" s="3" t="str">
        <x:f>IF(Master!U233="","",Master!U233)</x:f>
        <x:v>Not publicly claimed</x:v>
      </x:c>
      <x:c r="U15" s="3" t="str">
        <x:f>IF(Master!V233="","",Master!V233)</x:f>
        <x:v>60</x:v>
      </x:c>
      <x:c r="V15" s="3" t="str">
        <x:f>IF(Master!W233="","",Master!W233)</x:f>
      </x:c>
      <x:c r="W15" s="3" t="str">
        <x:f>IF(Master!X233="","",Master!X233)</x:f>
      </x:c>
      <x:c r="X15" s="3" t="str">
        <x:f>IF(Master!Y233="","",Master!Y233)</x:f>
        <x:v>60</x:v>
      </x:c>
      <x:c r="Y15" s="3" t="str">
        <x:f>IF(Master!Z233="","",Master!Z233)</x:f>
      </x:c>
      <x:c r="Z15" s="3" t="str">
        <x:f>IF(Master!AA233="","",Master!AA233)</x:f>
      </x:c>
      <x:c r="AA15" s="6" t="str">
        <x:f>IF(Master!AB233="","",Master!AB233)</x:f>
        <x:v>60 observed/configurable</x:v>
      </x:c>
      <x:c r="AB15" s="3" t="str">
        <x:f>IF(Master!AC233="","",Master!AC233)</x:f>
      </x:c>
      <x:c r="AC15" s="3" t="str">
        <x:f>IF(Master!AD233="","",Master!AD233)</x:f>
      </x:c>
      <x:c r="AD15" s="3" t="str">
        <x:f>IF(Master!AE233="","",Master!AE233)</x:f>
      </x:c>
      <x:c r="AE15" s="3" t="str">
        <x:f>IF(Master!AF233="","",Master!AF233)</x:f>
      </x:c>
      <x:c r="AF15" s="8" t="str">
        <x:f>IF(Master!AG233="","",Master!AG233)</x:f>
      </x:c>
    </x:row>
    <x:row r="16" ht="36" customHeight="1">
      <x:c r="A16" s="17" t="s">
        <x:v>494</x:v>
      </x:c>
      <x:c r="B16" s="3" t="str">
        <x:f>IF(Master!C234="","",Master!C234)</x:f>
      </x:c>
      <x:c r="C16" s="3" t="str">
        <x:f>IF(Master!D234="","",Master!D234)</x:f>
      </x:c>
      <x:c r="D16" s="3" t="str">
        <x:f>IF(Master!E234="","",Master!E234)</x:f>
      </x:c>
      <x:c r="E16" s="3" t="str">
        <x:f>IF(Master!F234="","",Master!F234)</x:f>
      </x:c>
      <x:c r="F16" s="3" t="str">
        <x:f>IF(Master!G234="","",Master!G234)</x:f>
      </x:c>
      <x:c r="G16" s="3" t="str">
        <x:f>IF(Master!H234="","",Master!H234)</x:f>
        <x:v>Yes (within paid max)</x:v>
      </x:c>
      <x:c r="H16" s="3" t="str">
        <x:f>IF(Master!I234="","",Master!I234)</x:f>
        <x:v>Yes</x:v>
      </x:c>
      <x:c r="I16" s="3" t="str">
        <x:f>IF(Master!J234="","",Master!J234)</x:f>
      </x:c>
      <x:c r="J16" s="3" t="str">
        <x:f>IF(Master!K234="","",Master!K234)</x:f>
      </x:c>
      <x:c r="K16" s="3" t="str">
        <x:f>IF(Master!L234="","",Master!L234)</x:f>
        <x:v>Yes</x:v>
      </x:c>
      <x:c r="L16" s="3" t="str">
        <x:f>IF(Master!M234="","",Master!M234)</x:f>
      </x:c>
      <x:c r="M16" s="3" t="str">
        <x:f>IF(Master!N234="","",Master!N234)</x:f>
      </x:c>
      <x:c r="N16" s="3" t="str">
        <x:f>IF(Master!O234="","",Master!O234)</x:f>
      </x:c>
      <x:c r="O16" s="3" t="str">
        <x:f>IF(Master!P234="","",Master!P234)</x:f>
      </x:c>
      <x:c r="P16" s="3" t="str">
        <x:f>IF(Master!Q234="","",Master!Q234)</x:f>
      </x:c>
      <x:c r="Q16" s="3" t="str">
        <x:f>IF(Master!R234="","",Master!R234)</x:f>
      </x:c>
      <x:c r="R16" s="3" t="str">
        <x:f>IF(Master!S234="","",Master!S234)</x:f>
      </x:c>
      <x:c r="S16" s="3" t="str">
        <x:f>IF(Master!T234="","",Master!T234)</x:f>
      </x:c>
      <x:c r="T16" s="3" t="str">
        <x:f>IF(Master!U234="","",Master!U234)</x:f>
        <x:v>No: current published hosted range tops out at 1080p</x:v>
      </x:c>
      <x:c r="U16" s="3" t="str">
        <x:f>IF(Master!V234="","",Master!V234)</x:f>
        <x:v>Yes</x:v>
      </x:c>
      <x:c r="V16" s="3" t="str">
        <x:f>IF(Master!W234="","",Master!W234)</x:f>
      </x:c>
      <x:c r="W16" s="3" t="str">
        <x:f>IF(Master!X234="","",Master!X234)</x:f>
      </x:c>
      <x:c r="X16" s="3" t="str">
        <x:f>IF(Master!Y234="","",Master!Y234)</x:f>
        <x:v>Yes</x:v>
      </x:c>
      <x:c r="Y16" s="3" t="str">
        <x:f>IF(Master!Z234="","",Master!Z234)</x:f>
      </x:c>
      <x:c r="Z16" s="3" t="str">
        <x:f>IF(Master!AA234="","",Master!AA234)</x:f>
      </x:c>
      <x:c r="AA16" s="6" t="str">
        <x:f>IF(Master!AB234="","",Master!AB234)</x:f>
      </x:c>
      <x:c r="AB16" s="3" t="str">
        <x:f>IF(Master!AC234="","",Master!AC234)</x:f>
      </x:c>
      <x:c r="AC16" s="3" t="str">
        <x:f>IF(Master!AD234="","",Master!AD234)</x:f>
      </x:c>
      <x:c r="AD16" s="3" t="str">
        <x:f>IF(Master!AE234="","",Master!AE234)</x:f>
      </x:c>
      <x:c r="AE16" s="3" t="str">
        <x:f>IF(Master!AF234="","",Master!AF234)</x:f>
      </x:c>
      <x:c r="AF16" s="8" t="str">
        <x:f>IF(Master!AG234="","",Master!AG234)</x:f>
      </x:c>
    </x:row>
    <x:row r="17" ht="36" customHeight="1">
      <x:c r="A17" s="17" t="s">
        <x:v>495</x:v>
      </x:c>
      <x:c r="B17" s="3" t="str">
        <x:f>IF(Master!C235="","",Master!C235)</x:f>
      </x:c>
      <x:c r="C17" s="3" t="str">
        <x:f>IF(Master!D235="","",Master!D235)</x:f>
      </x:c>
      <x:c r="D17" s="3" t="str">
        <x:f>IF(Master!E235="","",Master!E235)</x:f>
      </x:c>
      <x:c r="E17" s="3" t="str">
        <x:f>IF(Master!F235="","",Master!F235)</x:f>
      </x:c>
      <x:c r="F17" s="3" t="str">
        <x:f>IF(Master!G235="","",Master!G235)</x:f>
      </x:c>
      <x:c r="G17" s="3" t="str">
        <x:f>IF(Master!H235="","",Master!H235)</x:f>
        <x:v>Paid: Plutonium</x:v>
      </x:c>
      <x:c r="H17" s="3" t="str">
        <x:f>IF(Master!I235="","",Master!I235)</x:f>
        <x:v>Paid: Diamond</x:v>
      </x:c>
      <x:c r="I17" s="3" t="str">
        <x:f>IF(Master!J235="","",Master!J235)</x:f>
      </x:c>
      <x:c r="J17" s="3" t="str">
        <x:f>IF(Master!K235="","",Master!K235)</x:f>
      </x:c>
      <x:c r="K17" s="3" t="str">
        <x:f>IF(Master!L235="","",Master!L235)</x:f>
        <x:v>Free/current</x:v>
      </x:c>
      <x:c r="L17" s="3" t="str">
        <x:f>IF(Master!M235="","",Master!M235)</x:f>
      </x:c>
      <x:c r="M17" s="3" t="str">
        <x:f>IF(Master!N235="","",Master!N235)</x:f>
      </x:c>
      <x:c r="N17" s="3" t="str">
        <x:f>IF(Master!O235="","",Master!O235)</x:f>
      </x:c>
      <x:c r="O17" s="3" t="str">
        <x:f>IF(Master!P235="","",Master!P235)</x:f>
      </x:c>
      <x:c r="P17" s="3" t="str">
        <x:f>IF(Master!Q235="","",Master!Q235)</x:f>
        <x:v>Free if supported; no paywall</x:v>
      </x:c>
      <x:c r="Q17" s="3" t="str">
        <x:f>IF(Master!R235="","",Master!R235)</x:f>
      </x:c>
      <x:c r="R17" s="3" t="str">
        <x:f>IF(Master!S235="","",Master!S235)</x:f>
      </x:c>
      <x:c r="S17" s="3" t="str">
        <x:f>IF(Master!T235="","",Master!T235)</x:f>
      </x:c>
      <x:c r="T17" s="3" t="str">
        <x:f>IF(Master!U235="","",Master!U235)</x:f>
        <x:v>No</x:v>
      </x:c>
      <x:c r="U17" s="3" t="str">
        <x:f>IF(Master!V235="","",Master!V235)</x:f>
        <x:v>Paid: Rift+</x:v>
      </x:c>
      <x:c r="V17" s="3" t="str">
        <x:f>IF(Master!W235="","",Master!W235)</x:f>
      </x:c>
      <x:c r="W17" s="3" t="str">
        <x:f>IF(Master!X235="","",Master!X235)</x:f>
      </x:c>
      <x:c r="X17" s="3" t="str">
        <x:f>IF(Master!Y235="","",Master!Y235)</x:f>
        <x:v>Paid: Sudo</x:v>
      </x:c>
      <x:c r="Y17" s="3" t="str">
        <x:f>IF(Master!Z235="","",Master!Z235)</x:f>
      </x:c>
      <x:c r="Z17" s="3" t="str">
        <x:f>IF(Master!AA235="","",Master!AA235)</x:f>
      </x:c>
      <x:c r="AA17" s="6" t="str">
        <x:f>IF(Master!AB235="","",Master!AB235)</x:f>
      </x:c>
      <x:c r="AB17" s="3" t="str">
        <x:f>IF(Master!AC235="","",Master!AC235)</x:f>
      </x:c>
      <x:c r="AC17" s="3" t="str">
        <x:f>IF(Master!AD235="","",Master!AD235)</x:f>
      </x:c>
      <x:c r="AD17" s="3" t="str">
        <x:f>IF(Master!AE235="","",Master!AE235)</x:f>
        <x:v>Free if supported</x:v>
      </x:c>
      <x:c r="AE17" s="3" t="str">
        <x:f>IF(Master!AF235="","",Master!AF235)</x:f>
      </x:c>
      <x:c r="AF17" s="8" t="str">
        <x:f>IF(Master!AG235="","",Master!AG235)</x:f>
      </x:c>
    </x:row>
    <x:row r="18" ht="36" customHeight="1">
      <x:c r="A18" s="17" t="s">
        <x:v>496</x:v>
      </x:c>
      <x:c r="B18" s="3" t="str">
        <x:f>IF(Master!C236="","",Master!C236)</x:f>
      </x:c>
      <x:c r="C18" s="3" t="str">
        <x:f>IF(Master!D236="","",Master!D236)</x:f>
      </x:c>
      <x:c r="D18" s="3" t="str">
        <x:f>IF(Master!E236="","",Master!E236)</x:f>
      </x:c>
      <x:c r="E18" s="3" t="str">
        <x:f>IF(Master!F236="","",Master!F236)</x:f>
      </x:c>
      <x:c r="F18" s="3" t="str">
        <x:f>IF(Master!G236="","",Master!G236)</x:f>
      </x:c>
      <x:c r="G18" s="3" t="str">
        <x:f>IF(Master!H236="","",Master!H236)</x:f>
        <x:v>60</x:v>
      </x:c>
      <x:c r="H18" s="3" t="str">
        <x:f>IF(Master!I236="","",Master!I236)</x:f>
        <x:v>60</x:v>
      </x:c>
      <x:c r="I18" s="3" t="str">
        <x:f>IF(Master!J236="","",Master!J236)</x:f>
      </x:c>
      <x:c r="J18" s="3" t="str">
        <x:f>IF(Master!K236="","",Master!K236)</x:f>
      </x:c>
      <x:c r="K18" s="3" t="str">
        <x:f>IF(Master!L236="","",Master!L236)</x:f>
        <x:v>30</x:v>
      </x:c>
      <x:c r="L18" s="3" t="str">
        <x:f>IF(Master!M236="","",Master!M236)</x:f>
      </x:c>
      <x:c r="M18" s="3" t="str">
        <x:f>IF(Master!N236="","",Master!N236)</x:f>
      </x:c>
      <x:c r="N18" s="3" t="str">
        <x:f>IF(Master!O236="","",Master!O236)</x:f>
      </x:c>
      <x:c r="O18" s="3" t="str">
        <x:f>IF(Master!P236="","",Master!P236)</x:f>
      </x:c>
      <x:c r="P18" s="3" t="str">
        <x:f>IF(Master!Q236="","",Master!Q236)</x:f>
      </x:c>
      <x:c r="Q18" s="3" t="str">
        <x:f>IF(Master!R236="","",Master!R236)</x:f>
      </x:c>
      <x:c r="R18" s="3" t="str">
        <x:f>IF(Master!S236="","",Master!S236)</x:f>
      </x:c>
      <x:c r="S18" s="3" t="str">
        <x:f>IF(Master!T236="","",Master!T236)</x:f>
      </x:c>
      <x:c r="T18" s="3" t="str">
        <x:f>IF(Master!U236="","",Master!U236)</x:f>
        <x:v>N/A</x:v>
      </x:c>
      <x:c r="U18" s="3" t="str">
        <x:f>IF(Master!V236="","",Master!V236)</x:f>
        <x:v>60</x:v>
      </x:c>
      <x:c r="V18" s="3" t="str">
        <x:f>IF(Master!W236="","",Master!W236)</x:f>
      </x:c>
      <x:c r="W18" s="3" t="str">
        <x:f>IF(Master!X236="","",Master!X236)</x:f>
      </x:c>
      <x:c r="X18" s="3" t="str">
        <x:f>IF(Master!Y236="","",Master!Y236)</x:f>
        <x:v>60</x:v>
      </x:c>
      <x:c r="Y18" s="3" t="str">
        <x:f>IF(Master!Z236="","",Master!Z236)</x:f>
      </x:c>
      <x:c r="Z18" s="3" t="str">
        <x:f>IF(Master!AA236="","",Master!AA236)</x:f>
      </x:c>
      <x:c r="AA18" s="6" t="str">
        <x:f>IF(Master!AB236="","",Master!AB236)</x:f>
      </x:c>
      <x:c r="AB18" s="3" t="str">
        <x:f>IF(Master!AC236="","",Master!AC236)</x:f>
      </x:c>
      <x:c r="AC18" s="3" t="str">
        <x:f>IF(Master!AD236="","",Master!AD236)</x:f>
      </x:c>
      <x:c r="AD18" s="3" t="str">
        <x:f>IF(Master!AE236="","",Master!AE236)</x:f>
      </x:c>
      <x:c r="AE18" s="3" t="str">
        <x:f>IF(Master!AF236="","",Master!AF236)</x:f>
      </x:c>
      <x:c r="AF18" s="8" t="str">
        <x:f>IF(Master!AG236="","",Master!AG236)</x:f>
      </x:c>
    </x:row>
    <x:row r="19" ht="36" customHeight="1">
      <x:c r="A19" s="17" t="s">
        <x:v>497</x:v>
      </x:c>
      <x:c r="B19" s="3" t="str">
        <x:f>IF(Master!C237="","",Master!C237)</x:f>
        <x:v>Yes</x:v>
      </x:c>
      <x:c r="C19" s="3" t="str">
        <x:f>IF(Master!D237="","",Master!D237)</x:f>
      </x:c>
      <x:c r="D19" s="3" t="str">
        <x:f>IF(Master!E237="","",Master!E237)</x:f>
      </x:c>
      <x:c r="E19" s="3" t="str">
        <x:f>IF(Master!F237="","",Master!F237)</x:f>
      </x:c>
      <x:c r="F19" s="3" t="str">
        <x:f>IF(Master!G237="","",Master!G237)</x:f>
      </x:c>
      <x:c r="G19" s="3" t="str">
        <x:f>IF(Master!H237="","",Master!H237)</x:f>
        <x:v>Yes</x:v>
      </x:c>
      <x:c r="H19" s="3" t="str">
        <x:f>IF(Master!I237="","",Master!I237)</x:f>
        <x:v>Yes</x:v>
      </x:c>
      <x:c r="I19" s="3" t="str">
        <x:f>IF(Master!J237="","",Master!J237)</x:f>
      </x:c>
      <x:c r="J19" s="3" t="str">
        <x:f>IF(Master!K237="","",Master!K237)</x:f>
      </x:c>
      <x:c r="K19" s="3" t="str">
        <x:f>IF(Master!L237="","",Master!L237)</x:f>
        <x:v>Yes</x:v>
      </x:c>
      <x:c r="L19" s="3" t="str">
        <x:f>IF(Master!M237="","",Master!M237)</x:f>
      </x:c>
      <x:c r="M19" s="3" t="str">
        <x:f>IF(Master!N237="","",Master!N237)</x:f>
      </x:c>
      <x:c r="N19" s="3" t="str">
        <x:f>IF(Master!O237="","",Master!O237)</x:f>
      </x:c>
      <x:c r="O19" s="3" t="str">
        <x:f>IF(Master!P237="","",Master!P237)</x:f>
      </x:c>
      <x:c r="P19" s="3" t="str">
        <x:f>IF(Master!Q237="","",Master!Q237)</x:f>
      </x:c>
      <x:c r="Q19" s="3" t="str">
        <x:f>IF(Master!R237="","",Master!R237)</x:f>
      </x:c>
      <x:c r="R19" s="3" t="str">
        <x:f>IF(Master!S237="","",Master!S237)</x:f>
      </x:c>
      <x:c r="S19" s="3" t="str">
        <x:f>IF(Master!T237="","",Master!T237)</x:f>
      </x:c>
      <x:c r="T19" s="3" t="str">
        <x:f>IF(Master!U237="","",Master!U237)</x:f>
        <x:v>No: current published hosted range tops out at 1080p</x:v>
      </x:c>
      <x:c r="U19" s="3" t="str">
        <x:f>IF(Master!V237="","",Master!V237)</x:f>
        <x:v>Unavailable</x:v>
      </x:c>
      <x:c r="V19" s="3" t="str">
        <x:f>IF(Master!W237="","",Master!W237)</x:f>
      </x:c>
      <x:c r="W19" s="3" t="str">
        <x:f>IF(Master!X237="","",Master!X237)</x:f>
      </x:c>
      <x:c r="X19" s="3" t="str">
        <x:f>IF(Master!Y237="","",Master!Y237)</x:f>
        <x:v>No documented</x:v>
      </x:c>
      <x:c r="Y19" s="3" t="str">
        <x:f>IF(Master!Z237="","",Master!Z237)</x:f>
      </x:c>
      <x:c r="Z19" s="3" t="str">
        <x:f>IF(Master!AA237="","",Master!AA237)</x:f>
      </x:c>
      <x:c r="AA19" s="6" t="str">
        <x:f>IF(Master!AB237="","",Master!AB237)</x:f>
      </x:c>
      <x:c r="AB19" s="3" t="str">
        <x:f>IF(Master!AC237="","",Master!AC237)</x:f>
      </x:c>
      <x:c r="AC19" s="3" t="str">
        <x:f>IF(Master!AD237="","",Master!AD237)</x:f>
      </x:c>
      <x:c r="AD19" s="3" t="str">
        <x:f>IF(Master!AE237="","",Master!AE237)</x:f>
      </x:c>
      <x:c r="AE19" s="3" t="str">
        <x:f>IF(Master!AF237="","",Master!AF237)</x:f>
      </x:c>
      <x:c r="AF19" s="8" t="str">
        <x:f>IF(Master!AG237="","",Master!AG237)</x:f>
      </x:c>
    </x:row>
    <x:row r="20" ht="36" customHeight="1">
      <x:c r="A20" s="17" t="s">
        <x:v>498</x:v>
      </x:c>
      <x:c r="B20" s="3" t="str">
        <x:f>IF(Master!C238="","",Master!C238)</x:f>
        <x:v>Paid: Nitro</x:v>
      </x:c>
      <x:c r="C20" s="3" t="str">
        <x:f>IF(Master!D238="","",Master!D238)</x:f>
      </x:c>
      <x:c r="D20" s="3" t="str">
        <x:f>IF(Master!E238="","",Master!E238)</x:f>
      </x:c>
      <x:c r="E20" s="3" t="str">
        <x:f>IF(Master!F238="","",Master!F238)</x:f>
      </x:c>
      <x:c r="F20" s="3" t="str">
        <x:f>IF(Master!G238="","",Master!G238)</x:f>
      </x:c>
      <x:c r="G20" s="3" t="str">
        <x:f>IF(Master!H238="","",Master!H238)</x:f>
        <x:v>Paid: Plutonium</x:v>
      </x:c>
      <x:c r="H20" s="3" t="str">
        <x:f>IF(Master!I238="","",Master!I238)</x:f>
        <x:v>Paid: Diamond</x:v>
      </x:c>
      <x:c r="I20" s="3" t="str">
        <x:f>IF(Master!J238="","",Master!J238)</x:f>
      </x:c>
      <x:c r="J20" s="3" t="str">
        <x:f>IF(Master!K238="","",Master!K238)</x:f>
      </x:c>
      <x:c r="K20" s="3" t="str">
        <x:f>IF(Master!L238="","",Master!L238)</x:f>
        <x:v>Free/current</x:v>
      </x:c>
      <x:c r="L20" s="3" t="str">
        <x:f>IF(Master!M238="","",Master!M238)</x:f>
      </x:c>
      <x:c r="M20" s="3" t="str">
        <x:f>IF(Master!N238="","",Master!N238)</x:f>
      </x:c>
      <x:c r="N20" s="3" t="str">
        <x:f>IF(Master!O238="","",Master!O238)</x:f>
      </x:c>
      <x:c r="O20" s="3" t="str">
        <x:f>IF(Master!P238="","",Master!P238)</x:f>
      </x:c>
      <x:c r="P20" s="3" t="str">
        <x:f>IF(Master!Q238="","",Master!Q238)</x:f>
        <x:v>Free if supported; no paywall</x:v>
      </x:c>
      <x:c r="Q20" s="3" t="str">
        <x:f>IF(Master!R238="","",Master!R238)</x:f>
      </x:c>
      <x:c r="R20" s="3" t="str">
        <x:f>IF(Master!S238="","",Master!S238)</x:f>
      </x:c>
      <x:c r="S20" s="3" t="str">
        <x:f>IF(Master!T238="","",Master!T238)</x:f>
      </x:c>
      <x:c r="T20" s="3" t="str">
        <x:f>IF(Master!U238="","",Master!U238)</x:f>
        <x:v>No</x:v>
      </x:c>
      <x:c r="U20" s="3" t="str">
        <x:f>IF(Master!V238="","",Master!V238)</x:f>
        <x:v>N/A</x:v>
      </x:c>
      <x:c r="V20" s="3" t="str">
        <x:f>IF(Master!W238="","",Master!W238)</x:f>
      </x:c>
      <x:c r="W20" s="3" t="str">
        <x:f>IF(Master!X238="","",Master!X238)</x:f>
      </x:c>
      <x:c r="X20" s="3" t="str">
        <x:f>IF(Master!Y238="","",Master!Y238)</x:f>
        <x:v>N/A</x:v>
      </x:c>
      <x:c r="Y20" s="3" t="str">
        <x:f>IF(Master!Z238="","",Master!Z238)</x:f>
      </x:c>
      <x:c r="Z20" s="3" t="str">
        <x:f>IF(Master!AA238="","",Master!AA238)</x:f>
      </x:c>
      <x:c r="AA20" s="6" t="str">
        <x:f>IF(Master!AB238="","",Master!AB238)</x:f>
      </x:c>
      <x:c r="AB20" s="3" t="str">
        <x:f>IF(Master!AC238="","",Master!AC238)</x:f>
      </x:c>
      <x:c r="AC20" s="3" t="str">
        <x:f>IF(Master!AD238="","",Master!AD238)</x:f>
      </x:c>
      <x:c r="AD20" s="3" t="str">
        <x:f>IF(Master!AE238="","",Master!AE238)</x:f>
        <x:v>Free if supported</x:v>
      </x:c>
      <x:c r="AE20" s="3" t="str">
        <x:f>IF(Master!AF238="","",Master!AF238)</x:f>
      </x:c>
      <x:c r="AF20" s="8" t="str">
        <x:f>IF(Master!AG238="","",Master!AG238)</x:f>
      </x:c>
    </x:row>
    <x:row r="21" ht="36" customHeight="1">
      <x:c r="A21" s="17" t="s">
        <x:v>499</x:v>
      </x:c>
      <x:c r="B21" s="3" t="str">
        <x:f>IF(Master!C239="","",Master!C239)</x:f>
        <x:v>60</x:v>
      </x:c>
      <x:c r="C21" s="3" t="str">
        <x:f>IF(Master!D239="","",Master!D239)</x:f>
      </x:c>
      <x:c r="D21" s="3" t="str">
        <x:f>IF(Master!E239="","",Master!E239)</x:f>
      </x:c>
      <x:c r="E21" s="3" t="str">
        <x:f>IF(Master!F239="","",Master!F239)</x:f>
      </x:c>
      <x:c r="F21" s="3" t="str">
        <x:f>IF(Master!G239="","",Master!G239)</x:f>
      </x:c>
      <x:c r="G21" s="3" t="str">
        <x:f>IF(Master!H239="","",Master!H239)</x:f>
        <x:v>60</x:v>
      </x:c>
      <x:c r="H21" s="3" t="str">
        <x:f>IF(Master!I239="","",Master!I239)</x:f>
        <x:v>60</x:v>
      </x:c>
      <x:c r="I21" s="3" t="str">
        <x:f>IF(Master!J239="","",Master!J239)</x:f>
      </x:c>
      <x:c r="J21" s="3" t="str">
        <x:f>IF(Master!K239="","",Master!K239)</x:f>
      </x:c>
      <x:c r="K21" s="3" t="str">
        <x:f>IF(Master!L239="","",Master!L239)</x:f>
        <x:v>30</x:v>
      </x:c>
      <x:c r="L21" s="3" t="str">
        <x:f>IF(Master!M239="","",Master!M239)</x:f>
      </x:c>
      <x:c r="M21" s="3" t="str">
        <x:f>IF(Master!N239="","",Master!N239)</x:f>
      </x:c>
      <x:c r="N21" s="3" t="str">
        <x:f>IF(Master!O239="","",Master!O239)</x:f>
      </x:c>
      <x:c r="O21" s="3" t="str">
        <x:f>IF(Master!P239="","",Master!P239)</x:f>
      </x:c>
      <x:c r="P21" s="3" t="str">
        <x:f>IF(Master!Q239="","",Master!Q239)</x:f>
      </x:c>
      <x:c r="Q21" s="3" t="str">
        <x:f>IF(Master!R239="","",Master!R239)</x:f>
      </x:c>
      <x:c r="R21" s="3" t="str">
        <x:f>IF(Master!S239="","",Master!S239)</x:f>
      </x:c>
      <x:c r="S21" s="3" t="str">
        <x:f>IF(Master!T239="","",Master!T239)</x:f>
      </x:c>
      <x:c r="T21" s="3" t="str">
        <x:f>IF(Master!U239="","",Master!U239)</x:f>
        <x:v>N/A</x:v>
      </x:c>
      <x:c r="U21" s="3" t="str">
        <x:f>IF(Master!V239="","",Master!V239)</x:f>
        <x:v>N/A</x:v>
      </x:c>
      <x:c r="V21" s="3" t="str">
        <x:f>IF(Master!W239="","",Master!W239)</x:f>
      </x:c>
      <x:c r="W21" s="3" t="str">
        <x:f>IF(Master!X239="","",Master!X239)</x:f>
      </x:c>
      <x:c r="X21" s="3" t="str">
        <x:f>IF(Master!Y239="","",Master!Y239)</x:f>
        <x:v>N/A</x:v>
      </x:c>
      <x:c r="Y21" s="3" t="str">
        <x:f>IF(Master!Z239="","",Master!Z239)</x:f>
      </x:c>
      <x:c r="Z21" s="3" t="str">
        <x:f>IF(Master!AA239="","",Master!AA239)</x:f>
      </x:c>
      <x:c r="AA21" s="6" t="str">
        <x:f>IF(Master!AB239="","",Master!AB239)</x:f>
      </x:c>
      <x:c r="AB21" s="3" t="str">
        <x:f>IF(Master!AC239="","",Master!AC239)</x:f>
      </x:c>
      <x:c r="AC21" s="3" t="str">
        <x:f>IF(Master!AD239="","",Master!AD239)</x:f>
      </x:c>
      <x:c r="AD21" s="3" t="str">
        <x:f>IF(Master!AE239="","",Master!AE239)</x:f>
      </x:c>
      <x:c r="AE21" s="3" t="str">
        <x:f>IF(Master!AF239="","",Master!AF239)</x:f>
      </x:c>
      <x:c r="AF21" s="8" t="str">
        <x:f>IF(Master!AG239="","",Master!AG239)</x:f>
      </x:c>
    </x:row>
    <x:row r="22" ht="21.950000762939453" customHeight="1">
      <x:c r="A22" s="18" t="s">
        <x:v>500</x:v>
      </x:c>
      <x:c r="B22" s="18" t="str">
        <x:f t="shared" ref="B22:AF22" si="2">IF(""="","","")</x:f>
      </x:c>
      <x:c r="C22" s="18" t="str">
        <x:f t="shared" si="2"/>
      </x:c>
      <x:c r="D22" s="18" t="str">
        <x:f t="shared" si="2"/>
      </x:c>
      <x:c r="E22" s="18" t="str">
        <x:f t="shared" si="2"/>
      </x:c>
      <x:c r="F22" s="18" t="str">
        <x:f t="shared" si="2"/>
      </x:c>
      <x:c r="G22" s="18" t="str">
        <x:f t="shared" si="2"/>
      </x:c>
      <x:c r="H22" s="18" t="str">
        <x:f t="shared" si="2"/>
      </x:c>
      <x:c r="I22" s="18" t="str">
        <x:f t="shared" si="2"/>
      </x:c>
      <x:c r="J22" s="18" t="str">
        <x:f t="shared" si="2"/>
      </x:c>
      <x:c r="K22" s="18" t="str">
        <x:f t="shared" si="2"/>
      </x:c>
      <x:c r="L22" s="18" t="str">
        <x:f t="shared" si="2"/>
      </x:c>
      <x:c r="M22" s="18" t="str">
        <x:f t="shared" si="2"/>
      </x:c>
      <x:c r="N22" s="18" t="str">
        <x:f t="shared" si="2"/>
      </x:c>
      <x:c r="O22" s="18" t="str">
        <x:f t="shared" si="2"/>
      </x:c>
      <x:c r="P22" s="18" t="str">
        <x:f t="shared" si="2"/>
      </x:c>
      <x:c r="Q22" s="18" t="str">
        <x:f t="shared" si="2"/>
      </x:c>
      <x:c r="R22" s="18" t="str">
        <x:f t="shared" si="2"/>
      </x:c>
      <x:c r="S22" s="18" t="str">
        <x:f t="shared" si="2"/>
      </x:c>
      <x:c r="T22" s="18" t="str">
        <x:f t="shared" si="2"/>
      </x:c>
      <x:c r="U22" s="18" t="str">
        <x:f t="shared" si="2"/>
      </x:c>
      <x:c r="V22" s="18" t="str">
        <x:f t="shared" si="2"/>
      </x:c>
      <x:c r="W22" s="18" t="str">
        <x:f t="shared" si="2"/>
      </x:c>
      <x:c r="X22" s="18" t="str">
        <x:f t="shared" si="2"/>
      </x:c>
      <x:c r="Y22" s="18" t="str">
        <x:f t="shared" si="2"/>
      </x:c>
      <x:c r="Z22" s="18" t="str">
        <x:f t="shared" si="2"/>
      </x:c>
      <x:c r="AA22" s="18" t="str">
        <x:f t="shared" si="2"/>
      </x:c>
      <x:c r="AB22" s="18" t="str">
        <x:f t="shared" si="2"/>
      </x:c>
      <x:c r="AC22" s="18" t="str">
        <x:f t="shared" si="2"/>
      </x:c>
      <x:c r="AD22" s="18" t="str">
        <x:f t="shared" si="2"/>
      </x:c>
      <x:c r="AE22" s="18" t="str">
        <x:f t="shared" si="2"/>
      </x:c>
      <x:c r="AF22" s="19" t="str">
        <x:f t="shared" si="2"/>
      </x:c>
    </x:row>
    <x:row r="23" ht="36" customHeight="1">
      <x:c r="A23" s="17" t="s">
        <x:v>501</x:v>
      </x:c>
      <x:c r="B23" s="3" t="str">
        <x:f>IF(Master!C240="","",Master!C240)</x:f>
        <x:v>Yes</x:v>
      </x:c>
      <x:c r="C23" s="3" t="str">
        <x:f>IF(Master!D240="","",Master!D240)</x:f>
      </x:c>
      <x:c r="D23" s="3" t="str">
        <x:f>IF(Master!E240="","",Master!E240)</x:f>
      </x:c>
      <x:c r="E23" s="3" t="str">
        <x:f>IF(Master!F240="","",Master!F240)</x:f>
      </x:c>
      <x:c r="F23" s="3" t="str">
        <x:f>IF(Master!G240="","",Master!G240)</x:f>
      </x:c>
      <x:c r="G23" s="3" t="str">
        <x:f>IF(Master!H240="","",Master!H240)</x:f>
        <x:v>Yes</x:v>
      </x:c>
      <x:c r="H23" s="3" t="str">
        <x:f>IF(Master!I240="","",Master!I240)</x:f>
        <x:v>Yes</x:v>
      </x:c>
      <x:c r="I23" s="3" t="str">
        <x:f>IF(Master!J240="","",Master!J240)</x:f>
      </x:c>
      <x:c r="J23" s="3" t="str">
        <x:f>IF(Master!K240="","",Master!K240)</x:f>
      </x:c>
      <x:c r="K23" s="3" t="str">
        <x:f>IF(Master!L240="","",Master!L240)</x:f>
        <x:v>Yes</x:v>
      </x:c>
      <x:c r="L23" s="3" t="str">
        <x:f>IF(Master!M240="","",Master!M240)</x:f>
      </x:c>
      <x:c r="M23" s="3" t="str">
        <x:f>IF(Master!N240="","",Master!N240)</x:f>
      </x:c>
      <x:c r="N23" s="3" t="str">
        <x:f>IF(Master!O240="","",Master!O240)</x:f>
      </x:c>
      <x:c r="O23" s="3" t="str">
        <x:f>IF(Master!P240="","",Master!P240)</x:f>
      </x:c>
      <x:c r="P23" s="3" t="str">
        <x:f>IF(Master!Q240="","",Master!Q240)</x:f>
      </x:c>
      <x:c r="Q23" s="3" t="str">
        <x:f>IF(Master!R240="","",Master!R240)</x:f>
      </x:c>
      <x:c r="R23" s="3" t="str">
        <x:f>IF(Master!S240="","",Master!S240)</x:f>
      </x:c>
      <x:c r="S23" s="3" t="str">
        <x:f>IF(Master!T240="","",Master!T240)</x:f>
      </x:c>
      <x:c r="T23" s="3" t="str">
        <x:f>IF(Master!U240="","",Master!U240)</x:f>
        <x:v>Not publicly claimed</x:v>
      </x:c>
      <x:c r="U23" s="3" t="str">
        <x:f>IF(Master!V240="","",Master!V240)</x:f>
        <x:v>Yes</x:v>
      </x:c>
      <x:c r="V23" s="3" t="str">
        <x:f>IF(Master!W240="","",Master!W240)</x:f>
      </x:c>
      <x:c r="W23" s="3" t="str">
        <x:f>IF(Master!X240="","",Master!X240)</x:f>
      </x:c>
      <x:c r="X23" s="3" t="str">
        <x:f>IF(Master!Y240="","",Master!Y240)</x:f>
        <x:v>Yes</x:v>
      </x:c>
      <x:c r="Y23" s="3" t="str">
        <x:f>IF(Master!Z240="","",Master!Z240)</x:f>
      </x:c>
      <x:c r="Z23" s="3" t="str">
        <x:f>IF(Master!AA240="","",Master!AA240)</x:f>
        <x:v>Yes</x:v>
      </x:c>
      <x:c r="AA23" s="6" t="str">
        <x:f>IF(Master!AB240="","",Master!AB240)</x:f>
      </x:c>
      <x:c r="AB23" s="3" t="str">
        <x:f>IF(Master!AC240="","",Master!AC240)</x:f>
      </x:c>
      <x:c r="AC23" s="3" t="str">
        <x:f>IF(Master!AD240="","",Master!AD240)</x:f>
      </x:c>
      <x:c r="AD23" s="3" t="str">
        <x:f>IF(Master!AE240="","",Master!AE240)</x:f>
      </x:c>
      <x:c r="AE23" s="3" t="str">
        <x:f>IF(Master!AF240="","",Master!AF240)</x:f>
      </x:c>
      <x:c r="AF23" s="8" t="str">
        <x:f>IF(Master!AG240="","",Master!AG240)</x:f>
      </x:c>
    </x:row>
    <x:row r="24" ht="36" customHeight="1">
      <x:c r="A24" s="17" t="s">
        <x:v>502</x:v>
      </x:c>
      <x:c r="B24" s="3" t="str">
        <x:f>IF(Master!C241="","",Master!C241)</x:f>
        <x:v>Free</x:v>
      </x:c>
      <x:c r="C24" s="3" t="str">
        <x:f>IF(Master!D241="","",Master!D241)</x:f>
      </x:c>
      <x:c r="D24" s="3" t="str">
        <x:f>IF(Master!E241="","",Master!E241)</x:f>
      </x:c>
      <x:c r="E24" s="3" t="str">
        <x:f>IF(Master!F241="","",Master!F241)</x:f>
      </x:c>
      <x:c r="F24" s="3" t="str">
        <x:f>IF(Master!G241="","",Master!G241)</x:f>
      </x:c>
      <x:c r="G24" s="3" t="str">
        <x:f>IF(Master!H241="","",Master!H241)</x:f>
        <x:v>Free</x:v>
      </x:c>
      <x:c r="H24" s="3" t="str">
        <x:f>IF(Master!I241="","",Master!I241)</x:f>
        <x:v>Free</x:v>
      </x:c>
      <x:c r="I24" s="3" t="str">
        <x:f>IF(Master!J241="","",Master!J241)</x:f>
      </x:c>
      <x:c r="J24" s="3" t="str">
        <x:f>IF(Master!K241="","",Master!K241)</x:f>
      </x:c>
      <x:c r="K24" s="3" t="str">
        <x:f>IF(Master!L241="","",Master!L241)</x:f>
        <x:v>Free/current</x:v>
      </x:c>
      <x:c r="L24" s="3" t="str">
        <x:f>IF(Master!M241="","",Master!M241)</x:f>
      </x:c>
      <x:c r="M24" s="3" t="str">
        <x:f>IF(Master!N241="","",Master!N241)</x:f>
      </x:c>
      <x:c r="N24" s="3" t="str">
        <x:f>IF(Master!O241="","",Master!O241)</x:f>
      </x:c>
      <x:c r="O24" s="3" t="str">
        <x:f>IF(Master!P241="","",Master!P241)</x:f>
      </x:c>
      <x:c r="P24" s="3" t="str">
        <x:f>IF(Master!Q241="","",Master!Q241)</x:f>
        <x:v>Free if supported</x:v>
      </x:c>
      <x:c r="Q24" s="3" t="str">
        <x:f>IF(Master!R241="","",Master!R241)</x:f>
      </x:c>
      <x:c r="R24" s="3" t="str">
        <x:f>IF(Master!S241="","",Master!S241)</x:f>
      </x:c>
      <x:c r="S24" s="3" t="str">
        <x:f>IF(Master!T241="","",Master!T241)</x:f>
      </x:c>
      <x:c r="T24" s="3" t="str">
        <x:f>IF(Master!U241="","",Master!U241)</x:f>
      </x:c>
      <x:c r="U24" s="3" t="str">
        <x:f>IF(Master!V241="","",Master!V241)</x:f>
        <x:v>Free</x:v>
      </x:c>
      <x:c r="V24" s="3" t="str">
        <x:f>IF(Master!W241="","",Master!W241)</x:f>
      </x:c>
      <x:c r="W24" s="3" t="str">
        <x:f>IF(Master!X241="","",Master!X241)</x:f>
      </x:c>
      <x:c r="X24" s="3" t="str">
        <x:f>IF(Master!Y241="","",Master!Y241)</x:f>
        <x:v>Free / paid selectable</x:v>
      </x:c>
      <x:c r="Y24" s="3" t="str">
        <x:f>IF(Master!Z241="","",Master!Z241)</x:f>
      </x:c>
      <x:c r="Z24" s="3" t="str">
        <x:f>IF(Master!AA241="","",Master!AA241)</x:f>
        <x:v>Free / current default</x:v>
      </x:c>
      <x:c r="AA24" s="6" t="str">
        <x:f>IF(Master!AB241="","",Master!AB241)</x:f>
        <x:v>Configurable</x:v>
      </x:c>
      <x:c r="AB24" s="3" t="str">
        <x:f>IF(Master!AC241="","",Master!AC241)</x:f>
      </x:c>
      <x:c r="AC24" s="3" t="str">
        <x:f>IF(Master!AD241="","",Master!AD241)</x:f>
      </x:c>
      <x:c r="AD24" s="3" t="str">
        <x:f>IF(Master!AE241="","",Master!AE241)</x:f>
        <x:v>Free if supported</x:v>
      </x:c>
      <x:c r="AE24" s="3" t="str">
        <x:f>IF(Master!AF241="","",Master!AF241)</x:f>
      </x:c>
      <x:c r="AF24" s="8" t="str">
        <x:f>IF(Master!AG241="","",Master!AG241)</x:f>
      </x:c>
    </x:row>
    <x:row r="25" ht="36" customHeight="1">
      <x:c r="A25" s="17" t="s">
        <x:v>503</x:v>
      </x:c>
      <x:c r="B25" s="3" t="str">
        <x:f>IF(Master!C242="","",Master!C242)</x:f>
        <x:v>Yes</x:v>
      </x:c>
      <x:c r="C25" s="3" t="str">
        <x:f>IF(Master!D242="","",Master!D242)</x:f>
      </x:c>
      <x:c r="D25" s="3" t="str">
        <x:f>IF(Master!E242="","",Master!E242)</x:f>
        <x:v>Yes</x:v>
      </x:c>
      <x:c r="E25" s="3" t="str">
        <x:f>IF(Master!F242="","",Master!F242)</x:f>
      </x:c>
      <x:c r="F25" s="3" t="str">
        <x:f>IF(Master!G242="","",Master!G242)</x:f>
      </x:c>
      <x:c r="G25" s="3" t="str">
        <x:f>IF(Master!H242="","",Master!H242)</x:f>
        <x:v>Yes</x:v>
      </x:c>
      <x:c r="H25" s="3" t="str">
        <x:f>IF(Master!I242="","",Master!I242)</x:f>
        <x:v>Yes</x:v>
      </x:c>
      <x:c r="I25" s="3" t="str">
        <x:f>IF(Master!J242="","",Master!J242)</x:f>
      </x:c>
      <x:c r="J25" s="3" t="str">
        <x:f>IF(Master!K242="","",Master!K242)</x:f>
      </x:c>
      <x:c r="K25" s="3" t="str">
        <x:f>IF(Master!L242="","",Master!L242)</x:f>
        <x:v>No in the current documented quality presets; developer questionnaire reported 4K60</x:v>
      </x:c>
      <x:c r="L25" s="3" t="str">
        <x:f>IF(Master!M242="","",Master!M242)</x:f>
      </x:c>
      <x:c r="M25" s="3" t="str">
        <x:f>IF(Master!N242="","",Master!N242)</x:f>
      </x:c>
      <x:c r="N25" s="3" t="str">
        <x:f>IF(Master!O242="","",Master!O242)</x:f>
      </x:c>
      <x:c r="O25" s="3" t="str">
        <x:f>IF(Master!P242="","",Master!P242)</x:f>
      </x:c>
      <x:c r="P25" s="3" t="str">
        <x:f>IF(Master!Q242="","",Master!Q242)</x:f>
      </x:c>
      <x:c r="Q25" s="3" t="str">
        <x:f>IF(Master!R242="","",Master!R242)</x:f>
      </x:c>
      <x:c r="R25" s="3" t="str">
        <x:f>IF(Master!S242="","",Master!S242)</x:f>
      </x:c>
      <x:c r="S25" s="3" t="str">
        <x:f>IF(Master!T242="","",Master!T242)</x:f>
      </x:c>
      <x:c r="T25" s="3" t="str">
        <x:f>IF(Master!U242="","",Master!U242)</x:f>
        <x:v>Not publicly claimed</x:v>
      </x:c>
      <x:c r="U25" s="3" t="str">
        <x:f>IF(Master!V242="","",Master!V242)</x:f>
        <x:v>Yes</x:v>
      </x:c>
      <x:c r="V25" s="3" t="str">
        <x:f>IF(Master!W242="","",Master!W242)</x:f>
      </x:c>
      <x:c r="W25" s="3" t="str">
        <x:f>IF(Master!X242="","",Master!X242)</x:f>
      </x:c>
      <x:c r="X25" s="3" t="str">
        <x:f>IF(Master!Y242="","",Master!Y242)</x:f>
        <x:v>Yes</x:v>
      </x:c>
      <x:c r="Y25" s="3" t="str">
        <x:f>IF(Master!Z242="","",Master!Z242)</x:f>
      </x:c>
      <x:c r="Z25" s="3" t="str">
        <x:f>IF(Master!AA242="","",Master!AA242)</x:f>
      </x:c>
      <x:c r="AA25" s="6" t="str">
        <x:f>IF(Master!AB242="","",Master!AB242)</x:f>
      </x:c>
      <x:c r="AB25" s="3" t="str">
        <x:f>IF(Master!AC242="","",Master!AC242)</x:f>
      </x:c>
      <x:c r="AC25" s="3" t="str">
        <x:f>IF(Master!AD242="","",Master!AD242)</x:f>
      </x:c>
      <x:c r="AD25" s="3" t="str">
        <x:f>IF(Master!AE242="","",Master!AE242)</x:f>
      </x:c>
      <x:c r="AE25" s="3" t="str">
        <x:f>IF(Master!AF242="","",Master!AF242)</x:f>
      </x:c>
      <x:c r="AF25" s="8" t="str">
        <x:f>IF(Master!AG242="","",Master!AG242)</x:f>
      </x:c>
    </x:row>
    <x:row r="26" ht="36" customHeight="1">
      <x:c r="A26" s="17" t="s">
        <x:v>504</x:v>
      </x:c>
      <x:c r="B26" s="3" t="str">
        <x:f>IF(Master!C243="","",Master!C243)</x:f>
        <x:v>Paid: Nitro</x:v>
      </x:c>
      <x:c r="C26" s="3" t="str">
        <x:f>IF(Master!D243="","",Master!D243)</x:f>
      </x:c>
      <x:c r="D26" s="3" t="str">
        <x:f>IF(Master!E243="","",Master!E243)</x:f>
      </x:c>
      <x:c r="E26" s="3" t="str">
        <x:f>IF(Master!F243="","",Master!F243)</x:f>
      </x:c>
      <x:c r="F26" s="3" t="str">
        <x:f>IF(Master!G243="","",Master!G243)</x:f>
      </x:c>
      <x:c r="G26" s="3" t="str">
        <x:f>IF(Master!H243="","",Master!H243)</x:f>
        <x:v>Paid: Plutonium</x:v>
      </x:c>
      <x:c r="H26" s="3" t="str">
        <x:f>IF(Master!I243="","",Master!I243)</x:f>
        <x:v>Gold+ / Diamond</x:v>
      </x:c>
      <x:c r="I26" s="3" t="str">
        <x:f>IF(Master!J243="","",Master!J243)</x:f>
      </x:c>
      <x:c r="J26" s="3" t="str">
        <x:f>IF(Master!K243="","",Master!K243)</x:f>
      </x:c>
      <x:c r="K26" s="3" t="str">
        <x:f>IF(Master!L243="","",Master!L243)</x:f>
        <x:v>Developer-reported 4K60 claim; public documentation currently document 30 FPS presets</x:v>
      </x:c>
      <x:c r="L26" s="3" t="str">
        <x:f>IF(Master!M243="","",Master!M243)</x:f>
      </x:c>
      <x:c r="M26" s="3" t="str">
        <x:f>IF(Master!N243="","",Master!N243)</x:f>
      </x:c>
      <x:c r="N26" s="3" t="str">
        <x:f>IF(Master!O243="","",Master!O243)</x:f>
      </x:c>
      <x:c r="O26" s="3" t="str">
        <x:f>IF(Master!P243="","",Master!P243)</x:f>
      </x:c>
      <x:c r="P26" s="3" t="str">
        <x:f>IF(Master!Q243="","",Master!Q243)</x:f>
        <x:v>Free if supported</x:v>
      </x:c>
      <x:c r="Q26" s="3" t="str">
        <x:f>IF(Master!R243="","",Master!R243)</x:f>
      </x:c>
      <x:c r="R26" s="3" t="str">
        <x:f>IF(Master!S243="","",Master!S243)</x:f>
      </x:c>
      <x:c r="S26" s="3" t="str">
        <x:f>IF(Master!T243="","",Master!T243)</x:f>
      </x:c>
      <x:c r="T26" s="3" t="str">
        <x:f>IF(Master!U243="","",Master!U243)</x:f>
      </x:c>
      <x:c r="U26" s="3" t="str">
        <x:f>IF(Master!V243="","",Master!V243)</x:f>
        <x:v>Free through 1080p; 1440p60 with Rift+</x:v>
      </x:c>
      <x:c r="V26" s="3" t="str">
        <x:f>IF(Master!W243="","",Master!W243)</x:f>
      </x:c>
      <x:c r="W26" s="3" t="str">
        <x:f>IF(Master!X243="","",Master!X243)</x:f>
      </x:c>
      <x:c r="X26" s="3" t="str">
        <x:f>IF(Master!Y243="","",Master!Y243)</x:f>
        <x:v>Paid: Sudo</x:v>
      </x:c>
      <x:c r="Y26" s="3" t="str">
        <x:f>IF(Master!Z243="","",Master!Z243)</x:f>
      </x:c>
      <x:c r="Z26" s="3" t="str">
        <x:f>IF(Master!AA243="","",Master!AA243)</x:f>
      </x:c>
      <x:c r="AA26" s="6" t="str">
        <x:f>IF(Master!AB243="","",Master!AB243)</x:f>
        <x:v>Configurable</x:v>
      </x:c>
      <x:c r="AB26" s="3" t="str">
        <x:f>IF(Master!AC243="","",Master!AC243)</x:f>
      </x:c>
      <x:c r="AC26" s="3" t="str">
        <x:f>IF(Master!AD243="","",Master!AD243)</x:f>
      </x:c>
      <x:c r="AD26" s="3" t="str">
        <x:f>IF(Master!AE243="","",Master!AE243)</x:f>
        <x:v>Free if supported</x:v>
      </x:c>
      <x:c r="AE26" s="3" t="str">
        <x:f>IF(Master!AF243="","",Master!AF243)</x:f>
      </x:c>
      <x:c r="AF26" s="8" t="str">
        <x:f>IF(Master!AG243="","",Master!AG243)</x:f>
      </x:c>
    </x:row>
    <x:row r="27" ht="36" customHeight="1">
      <x:c r="A27" s="17" t="s">
        <x:v>505</x:v>
      </x:c>
      <x:c r="B27" s="3" t="str">
        <x:f>IF(Master!C244="","",Master!C244)</x:f>
        <x:v>No</x:v>
      </x:c>
      <x:c r="C27" s="3" t="str">
        <x:f>IF(Master!D244="","",Master!D244)</x:f>
      </x:c>
      <x:c r="D27" s="3" t="str">
        <x:f>IF(Master!E244="","",Master!E244)</x:f>
        <x:v>Yes</x:v>
      </x:c>
      <x:c r="E27" s="3" t="str">
        <x:f>IF(Master!F244="","",Master!F244)</x:f>
      </x:c>
      <x:c r="F27" s="3" t="str">
        <x:f>IF(Master!G244="","",Master!G244)</x:f>
      </x:c>
      <x:c r="G27" s="3" t="str">
        <x:f>IF(Master!H244="","",Master!H244)</x:f>
        <x:v>No</x:v>
      </x:c>
      <x:c r="H27" s="3" t="str">
        <x:f>IF(Master!I244="","",Master!I244)</x:f>
        <x:v>No</x:v>
      </x:c>
      <x:c r="I27" s="3" t="str">
        <x:f>IF(Master!J244="","",Master!J244)</x:f>
      </x:c>
      <x:c r="J27" s="3" t="str">
        <x:f>IF(Master!K244="","",Master!K244)</x:f>
      </x:c>
      <x:c r="K27" s="3" t="str">
        <x:f>IF(Master!L244="","",Master!L244)</x:f>
        <x:v>No documented 120 FPS mode</x:v>
      </x:c>
      <x:c r="L27" s="3" t="str">
        <x:f>IF(Master!M244="","",Master!M244)</x:f>
      </x:c>
      <x:c r="M27" s="3" t="str">
        <x:f>IF(Master!N244="","",Master!N244)</x:f>
      </x:c>
      <x:c r="N27" s="3" t="str">
        <x:f>IF(Master!O244="","",Master!O244)</x:f>
      </x:c>
      <x:c r="O27" s="3" t="str">
        <x:f>IF(Master!P244="","",Master!P244)</x:f>
      </x:c>
      <x:c r="P27" s="3" t="str">
        <x:f>IF(Master!Q244="","",Master!Q244)</x:f>
      </x:c>
      <x:c r="Q27" s="3" t="str">
        <x:f>IF(Master!R244="","",Master!R244)</x:f>
      </x:c>
      <x:c r="R27" s="3" t="str">
        <x:f>IF(Master!S244="","",Master!S244)</x:f>
      </x:c>
      <x:c r="S27" s="3" t="str">
        <x:f>IF(Master!T244="","",Master!T244)</x:f>
      </x:c>
      <x:c r="T27" s="3" t="str">
        <x:f>IF(Master!U244="","",Master!U244)</x:f>
      </x:c>
      <x:c r="U27" s="3" t="str">
        <x:f>IF(Master!V244="","",Master!V244)</x:f>
        <x:v>N/A</x:v>
      </x:c>
      <x:c r="V27" s="3" t="str">
        <x:f>IF(Master!W244="","",Master!W244)</x:f>
      </x:c>
      <x:c r="W27" s="3" t="str">
        <x:f>IF(Master!X244="","",Master!X244)</x:f>
      </x:c>
      <x:c r="X27" s="3" t="str">
        <x:f>IF(Master!Y244="","",Master!Y244)</x:f>
        <x:v>No</x:v>
      </x:c>
      <x:c r="Y27" s="3" t="str">
        <x:f>IF(Master!Z244="","",Master!Z244)</x:f>
      </x:c>
      <x:c r="Z27" s="3" t="str">
        <x:f>IF(Master!AA244="","",Master!AA244)</x:f>
      </x:c>
      <x:c r="AA27" s="6" t="str">
        <x:f>IF(Master!AB244="","",Master!AB244)</x:f>
      </x:c>
      <x:c r="AB27" s="3" t="str">
        <x:f>IF(Master!AC244="","",Master!AC244)</x:f>
      </x:c>
      <x:c r="AC27" s="3" t="str">
        <x:f>IF(Master!AD244="","",Master!AD244)</x:f>
      </x:c>
      <x:c r="AD27" s="3" t="str">
        <x:f>IF(Master!AE244="","",Master!AE244)</x:f>
      </x:c>
      <x:c r="AE27" s="3" t="str">
        <x:f>IF(Master!AF244="","",Master!AF244)</x:f>
      </x:c>
      <x:c r="AF27" s="8" t="str">
        <x:f>IF(Master!AG244="","",Master!AG244)</x:f>
      </x:c>
    </x:row>
    <x:row r="28" ht="36" customHeight="1">
      <x:c r="A28" s="17" t="s">
        <x:v>506</x:v>
      </x:c>
      <x:c r="B28" s="3" t="str">
        <x:f>IF(Master!C245="","",Master!C245)</x:f>
        <x:v>No documented</x:v>
      </x:c>
      <x:c r="C28" s="3" t="str">
        <x:f>IF(Master!D245="","",Master!D245)</x:f>
      </x:c>
      <x:c r="D28" s="3" t="str">
        <x:f>IF(Master!E245="","",Master!E245)</x:f>
      </x:c>
      <x:c r="E28" s="3" t="str">
        <x:f>IF(Master!F245="","",Master!F245)</x:f>
      </x:c>
      <x:c r="F28" s="3" t="str">
        <x:f>IF(Master!G245="","",Master!G245)</x:f>
      </x:c>
      <x:c r="G28" s="3" t="str">
        <x:f>IF(Master!H245="","",Master!H245)</x:f>
        <x:v>No documented</x:v>
      </x:c>
      <x:c r="H28" s="3" t="str">
        <x:f>IF(Master!I245="","",Master!I245)</x:f>
        <x:v>No documented</x:v>
      </x:c>
      <x:c r="I28" s="3" t="str">
        <x:f>IF(Master!J245="","",Master!J245)</x:f>
      </x:c>
      <x:c r="J28" s="3" t="str">
        <x:f>IF(Master!K245="","",Master!K245)</x:f>
      </x:c>
      <x:c r="K28" s="3" t="str">
        <x:f>IF(Master!L245="","",Master!L245)</x:f>
        <x:v>No documented 120 FPS mode</x:v>
      </x:c>
      <x:c r="L28" s="3" t="str">
        <x:f>IF(Master!M245="","",Master!M245)</x:f>
      </x:c>
      <x:c r="M28" s="3" t="str">
        <x:f>IF(Master!N245="","",Master!N245)</x:f>
      </x:c>
      <x:c r="N28" s="3" t="str">
        <x:f>IF(Master!O245="","",Master!O245)</x:f>
      </x:c>
      <x:c r="O28" s="3" t="str">
        <x:f>IF(Master!P245="","",Master!P245)</x:f>
      </x:c>
      <x:c r="P28" s="3" t="str">
        <x:f>IF(Master!Q245="","",Master!Q245)</x:f>
      </x:c>
      <x:c r="Q28" s="3" t="str">
        <x:f>IF(Master!R245="","",Master!R245)</x:f>
      </x:c>
      <x:c r="R28" s="3" t="str">
        <x:f>IF(Master!S245="","",Master!S245)</x:f>
      </x:c>
      <x:c r="S28" s="3" t="str">
        <x:f>IF(Master!T245="","",Master!T245)</x:f>
      </x:c>
      <x:c r="T28" s="3" t="str">
        <x:f>IF(Master!U245="","",Master!U245)</x:f>
      </x:c>
      <x:c r="U28" s="3" t="str">
        <x:f>IF(Master!V245="","",Master!V245)</x:f>
        <x:v>N/A</x:v>
      </x:c>
      <x:c r="V28" s="3" t="str">
        <x:f>IF(Master!W245="","",Master!W245)</x:f>
      </x:c>
      <x:c r="W28" s="3" t="str">
        <x:f>IF(Master!X245="","",Master!X245)</x:f>
      </x:c>
      <x:c r="X28" s="3" t="str">
        <x:f>IF(Master!Y245="","",Master!Y245)</x:f>
        <x:v>No documented</x:v>
      </x:c>
      <x:c r="Y28" s="3" t="str">
        <x:f>IF(Master!Z245="","",Master!Z245)</x:f>
      </x:c>
      <x:c r="Z28" s="3" t="str">
        <x:f>IF(Master!AA245="","",Master!AA245)</x:f>
      </x:c>
      <x:c r="AA28" s="6" t="str">
        <x:f>IF(Master!AB245="","",Master!AB245)</x:f>
      </x:c>
      <x:c r="AB28" s="3" t="str">
        <x:f>IF(Master!AC245="","",Master!AC245)</x:f>
      </x:c>
      <x:c r="AC28" s="3" t="str">
        <x:f>IF(Master!AD245="","",Master!AD245)</x:f>
      </x:c>
      <x:c r="AD28" s="3" t="str">
        <x:f>IF(Master!AE245="","",Master!AE245)</x:f>
      </x:c>
      <x:c r="AE28" s="3" t="str">
        <x:f>IF(Master!AF245="","",Master!AF245)</x:f>
      </x:c>
      <x:c r="AF28" s="8" t="str">
        <x:f>IF(Master!AG245="","",Master!AG245)</x:f>
      </x:c>
    </x:row>
    <x:row r="29" ht="21.950000762939453" customHeight="1">
      <x:c r="A29" s="18" t="s">
        <x:v>507</x:v>
      </x:c>
      <x:c r="B29" s="18" t="str">
        <x:f t="shared" ref="B29:AF29" si="3">IF(""="","","")</x:f>
      </x:c>
      <x:c r="C29" s="18" t="str">
        <x:f t="shared" si="3"/>
      </x:c>
      <x:c r="D29" s="18" t="str">
        <x:f t="shared" si="3"/>
      </x:c>
      <x:c r="E29" s="18" t="str">
        <x:f t="shared" si="3"/>
      </x:c>
      <x:c r="F29" s="18" t="str">
        <x:f t="shared" si="3"/>
      </x:c>
      <x:c r="G29" s="18" t="str">
        <x:f t="shared" si="3"/>
      </x:c>
      <x:c r="H29" s="18" t="str">
        <x:f t="shared" si="3"/>
      </x:c>
      <x:c r="I29" s="18" t="str">
        <x:f t="shared" si="3"/>
      </x:c>
      <x:c r="J29" s="18" t="str">
        <x:f t="shared" si="3"/>
      </x:c>
      <x:c r="K29" s="18" t="str">
        <x:f t="shared" si="3"/>
      </x:c>
      <x:c r="L29" s="18" t="str">
        <x:f t="shared" si="3"/>
      </x:c>
      <x:c r="M29" s="18" t="str">
        <x:f t="shared" si="3"/>
      </x:c>
      <x:c r="N29" s="18" t="str">
        <x:f t="shared" si="3"/>
      </x:c>
      <x:c r="O29" s="18" t="str">
        <x:f t="shared" si="3"/>
      </x:c>
      <x:c r="P29" s="18" t="str">
        <x:f t="shared" si="3"/>
      </x:c>
      <x:c r="Q29" s="18" t="str">
        <x:f t="shared" si="3"/>
      </x:c>
      <x:c r="R29" s="18" t="str">
        <x:f t="shared" si="3"/>
      </x:c>
      <x:c r="S29" s="18" t="str">
        <x:f t="shared" si="3"/>
      </x:c>
      <x:c r="T29" s="18" t="str">
        <x:f t="shared" si="3"/>
      </x:c>
      <x:c r="U29" s="18" t="str">
        <x:f t="shared" si="3"/>
      </x:c>
      <x:c r="V29" s="18" t="str">
        <x:f t="shared" si="3"/>
      </x:c>
      <x:c r="W29" s="18" t="str">
        <x:f t="shared" si="3"/>
      </x:c>
      <x:c r="X29" s="18" t="str">
        <x:f t="shared" si="3"/>
      </x:c>
      <x:c r="Y29" s="18" t="str">
        <x:f t="shared" si="3"/>
      </x:c>
      <x:c r="Z29" s="18" t="str">
        <x:f t="shared" si="3"/>
      </x:c>
      <x:c r="AA29" s="18" t="str">
        <x:f t="shared" si="3"/>
      </x:c>
      <x:c r="AB29" s="18" t="str">
        <x:f t="shared" si="3"/>
      </x:c>
      <x:c r="AC29" s="18" t="str">
        <x:f t="shared" si="3"/>
      </x:c>
      <x:c r="AD29" s="18" t="str">
        <x:f t="shared" si="3"/>
      </x:c>
      <x:c r="AE29" s="18" t="str">
        <x:f t="shared" si="3"/>
      </x:c>
      <x:c r="AF29" s="19" t="str">
        <x:f t="shared" si="3"/>
      </x:c>
    </x:row>
    <x:row r="30" ht="36" customHeight="1">
      <x:c r="A30" s="17" t="s">
        <x:v>508</x:v>
      </x:c>
      <x:c r="B30" s="3" t="str">
        <x:f>IF(Master!C246="","",Master!C246)</x:f>
        <x:v>720p</x:v>
      </x:c>
      <x:c r="C30" s="3" t="str">
        <x:f>IF(Master!D246="","",Master!D246)</x:f>
      </x:c>
      <x:c r="D30" s="3" t="str">
        <x:f>IF(Master!E246="","",Master!E246)</x:f>
        <x:v>Up to 4K</x:v>
      </x:c>
      <x:c r="E30" s="3" t="str">
        <x:f>IF(Master!F246="","",Master!F246)</x:f>
      </x:c>
      <x:c r="F30" s="3" t="str">
        <x:f>IF(Master!G246="","",Master!G246)</x:f>
      </x:c>
      <x:c r="G30" s="3" t="str">
        <x:f>IF(Master!H246="","",Master!H246)</x:f>
        <x:v>720p</x:v>
      </x:c>
      <x:c r="H30" s="3" t="str">
        <x:f>IF(Master!I246="","",Master!I246)</x:f>
        <x:v>1080p</x:v>
      </x:c>
      <x:c r="I30" s="3" t="str">
        <x:f>IF(Master!J246="","",Master!J246)</x:f>
        <x:v>N/A</x:v>
      </x:c>
      <x:c r="J30" s="3" t="str">
        <x:f>IF(Master!K246="","",Master!K246)</x:f>
      </x:c>
      <x:c r="K30" s="3" t="str">
        <x:f>IF(Master!L246="","",Master!L246)</x:f>
        <x:v>4K native Source preset at 30 FPS is publicly documented; browser Source has an 8K defensive bound. Developer questionnaire reported 4K60.</x:v>
      </x:c>
      <x:c r="L30" s="3" t="str">
        <x:f>IF(Master!M246="","",Master!M246)</x:f>
      </x:c>
      <x:c r="M30" s="3" t="str">
        <x:f>IF(Master!N246="","",Master!N246)</x:f>
      </x:c>
      <x:c r="N30" s="3" t="str">
        <x:f>IF(Master!O246="","",Master!O246)</x:f>
        <x:v>Client-dependent</x:v>
      </x:c>
      <x:c r="O30" s="3" t="str">
        <x:f>IF(Master!P246="","",Master!P246)</x:f>
        <x:v>Deployment/plan dependent</x:v>
      </x:c>
      <x:c r="P30" s="3" t="str">
        <x:f>IF(Master!Q246="","",Master!Q246)</x:f>
      </x:c>
      <x:c r="Q30" s="3" t="str">
        <x:f>IF(Master!R246="","",Master!R246)</x:f>
        <x:v>N/A</x:v>
      </x:c>
      <x:c r="R30" s="3" t="str">
        <x:f>IF(Master!S246="","",Master!S246)</x:f>
      </x:c>
      <x:c r="S30" s="3" t="str">
        <x:f>IF(Master!T246="","",Master!T246)</x:f>
      </x:c>
      <x:c r="T30" s="3" t="str">
        <x:f>IF(Master!U246="","",Master!U246)</x:f>
        <x:v>1080p</x:v>
      </x:c>
      <x:c r="U30" s="3" t="str">
        <x:f>IF(Master!V246="","",Master!V246)</x:f>
        <x:v>1080p free</x:v>
      </x:c>
      <x:c r="V30" s="3" t="str">
        <x:f>IF(Master!W246="","",Master!W246)</x:f>
        <x:v>Provider-dependent</x:v>
      </x:c>
      <x:c r="W30" s="3" t="str">
        <x:f>IF(Master!X246="","",Master!X246)</x:f>
        <x:v>N/A</x:v>
      </x:c>
      <x:c r="X30" s="3" t="str">
        <x:f>IF(Master!Y246="","",Master!Y246)</x:f>
        <x:v>720p game / Source text mode</x:v>
      </x:c>
      <x:c r="Y30" s="3" t="str">
        <x:f>IF(Master!Z246="","",Master!Z246)</x:f>
        <x:v>Operator/config dependent</x:v>
      </x:c>
      <x:c r="Z30" s="3" t="str">
        <x:f>IF(Master!AA246="","",Master!AA246)</x:f>
        <x:v>720p</x:v>
      </x:c>
      <x:c r="AA30" s="6" t="str">
        <x:f>IF(Master!AB246="","",Master!AB246)</x:f>
      </x:c>
      <x:c r="AB30" s="3" t="str">
        <x:f>IF(Master!AC246="","",Master!AC246)</x:f>
      </x:c>
      <x:c r="AC30" s="3" t="str">
        <x:f>IF(Master!AD246="","",Master!AD246)</x:f>
      </x:c>
      <x:c r="AD30" s="3" t="str">
        <x:f>IF(Master!AE246="","",Master!AE246)</x:f>
      </x:c>
      <x:c r="AE30" s="3" t="str">
        <x:f>IF(Master!AF246="","",Master!AF246)</x:f>
        <x:v>Up to 1440p</x:v>
      </x:c>
      <x:c r="AF30" s="8" t="str">
        <x:f>IF(Master!AG246="","",Master!AG246)</x:f>
        <x:v>Provider-dependent</x:v>
      </x:c>
    </x:row>
    <x:row r="31" ht="36" customHeight="1">
      <x:c r="A31" s="17" t="s">
        <x:v>509</x:v>
      </x:c>
      <x:c r="B31" s="3" t="str">
        <x:f>IF(Master!C247="","",Master!C247)</x:f>
        <x:v>30</x:v>
      </x:c>
      <x:c r="C31" s="3" t="str">
        <x:f>IF(Master!D247="","",Master!D247)</x:f>
      </x:c>
      <x:c r="D31" s="3" t="str">
        <x:f>IF(Master!E247="","",Master!E247)</x:f>
        <x:v>Up to 60/120 by version/config</x:v>
      </x:c>
      <x:c r="E31" s="3" t="str">
        <x:f>IF(Master!F247="","",Master!F247)</x:f>
      </x:c>
      <x:c r="F31" s="3" t="str">
        <x:f>IF(Master!G247="","",Master!G247)</x:f>
      </x:c>
      <x:c r="G31" s="3" t="str">
        <x:f>IF(Master!H247="","",Master!H247)</x:f>
        <x:v>30</x:v>
      </x:c>
      <x:c r="H31" s="3" t="str">
        <x:f>IF(Master!I247="","",Master!I247)</x:f>
        <x:v>30</x:v>
      </x:c>
      <x:c r="I31" s="3" t="str">
        <x:f>IF(Master!J247="","",Master!J247)</x:f>
        <x:v>N/A</x:v>
      </x:c>
      <x:c r="J31" s="3" t="str">
        <x:f>IF(Master!K247="","",Master!K247)</x:f>
      </x:c>
      <x:c r="K31" s="3" t="str">
        <x:f>IF(Master!L247="","",Master!L247)</x:f>
        <x:v>30 FPS in current documented presets; developer questionnaire reported 60 FPS</x:v>
      </x:c>
      <x:c r="L31" s="3" t="str">
        <x:f>IF(Master!M247="","",Master!M247)</x:f>
      </x:c>
      <x:c r="M31" s="3" t="str">
        <x:f>IF(Master!N247="","",Master!N247)</x:f>
      </x:c>
      <x:c r="N31" s="3" t="str">
        <x:f>IF(Master!O247="","",Master!O247)</x:f>
        <x:v>Client-dependent</x:v>
      </x:c>
      <x:c r="O31" s="3" t="str">
        <x:f>IF(Master!P247="","",Master!P247)</x:f>
        <x:v>Deployment/plan dependent</x:v>
      </x:c>
      <x:c r="P31" s="3" t="str">
        <x:f>IF(Master!Q247="","",Master!Q247)</x:f>
      </x:c>
      <x:c r="Q31" s="3" t="str">
        <x:f>IF(Master!R247="","",Master!R247)</x:f>
        <x:v>N/A</x:v>
      </x:c>
      <x:c r="R31" s="3" t="str">
        <x:f>IF(Master!S247="","",Master!S247)</x:f>
      </x:c>
      <x:c r="S31" s="3" t="str">
        <x:f>IF(Master!T247="","",Master!T247)</x:f>
      </x:c>
      <x:c r="T31" s="3" t="str">
        <x:f>IF(Master!U247="","",Master!U247)</x:f>
        <x:v>Not publicly claimed</x:v>
      </x:c>
      <x:c r="U31" s="3" t="str">
        <x:f>IF(Master!V247="","",Master!V247)</x:f>
        <x:v>60</x:v>
      </x:c>
      <x:c r="V31" s="3" t="str">
        <x:f>IF(Master!W247="","",Master!W247)</x:f>
        <x:v>Provider-dependent</x:v>
      </x:c>
      <x:c r="W31" s="3" t="str">
        <x:f>IF(Master!X247="","",Master!X247)</x:f>
        <x:v>N/A</x:v>
      </x:c>
      <x:c r="X31" s="3" t="str">
        <x:f>IF(Master!Y247="","",Master!Y247)</x:f>
        <x:v>30 game / 5 source</x:v>
      </x:c>
      <x:c r="Y31" s="3" t="str">
        <x:f>IF(Master!Z247="","",Master!Z247)</x:f>
      </x:c>
      <x:c r="Z31" s="3" t="n">
        <x:f>IF(Master!AA247="","",Master!AA247)</x:f>
        <x:v>30</x:v>
      </x:c>
      <x:c r="AA31" s="6" t="str">
        <x:f>IF(Master!AB247="","",Master!AB247)</x:f>
      </x:c>
      <x:c r="AB31" s="3" t="str">
        <x:f>IF(Master!AC247="","",Master!AC247)</x:f>
      </x:c>
      <x:c r="AC31" s="3" t="str">
        <x:f>IF(Master!AD247="","",Master!AD247)</x:f>
      </x:c>
      <x:c r="AD31" s="3" t="str">
        <x:f>IF(Master!AE247="","",Master!AE247)</x:f>
      </x:c>
      <x:c r="AE31" s="3" t="str">
        <x:f>IF(Master!AF247="","",Master!AF247)</x:f>
      </x:c>
      <x:c r="AF31" s="8" t="str">
        <x:f>IF(Master!AG247="","",Master!AG247)</x:f>
        <x:v>Provider-dependent</x:v>
      </x:c>
    </x:row>
    <x:row r="32" ht="36" customHeight="1">
      <x:c r="A32" s="17" t="s">
        <x:v>510</x:v>
      </x:c>
      <x:c r="B32" s="3" t="str">
        <x:f>IF(Master!C248="","",Master!C248)</x:f>
        <x:v>4K</x:v>
      </x:c>
      <x:c r="C32" s="3" t="str">
        <x:f>IF(Master!D248="","",Master!D248)</x:f>
      </x:c>
      <x:c r="D32" s="3" t="str">
        <x:f>IF(Master!E248="","",Master!E248)</x:f>
      </x:c>
      <x:c r="E32" s="3" t="str">
        <x:f>IF(Master!F248="","",Master!F248)</x:f>
      </x:c>
      <x:c r="F32" s="3" t="str">
        <x:f>IF(Master!G248="","",Master!G248)</x:f>
      </x:c>
      <x:c r="G32" s="3" t="str">
        <x:f>IF(Master!H248="","",Master!H248)</x:f>
        <x:v>4K</x:v>
      </x:c>
      <x:c r="H32" s="3" t="str">
        <x:f>IF(Master!I248="","",Master!I248)</x:f>
        <x:v>4K</x:v>
      </x:c>
      <x:c r="I32" s="3" t="str">
        <x:f>IF(Master!J248="","",Master!J248)</x:f>
      </x:c>
      <x:c r="J32" s="3" t="str">
        <x:f>IF(Master!K248="","",Master!K248)</x:f>
      </x:c>
      <x:c r="K32" s="3" t="str">
        <x:f>IF(Master!L248="","",Master!L248)</x:f>
        <x:v>4K native Source preset at 30 FPS is publicly documented; browser Source has an 8K defensive bound. Developer questionnaire reported 4K60.</x:v>
      </x:c>
      <x:c r="L32" s="3" t="str">
        <x:f>IF(Master!M248="","",Master!M248)</x:f>
      </x:c>
      <x:c r="M32" s="3" t="str">
        <x:f>IF(Master!N248="","",Master!N248)</x:f>
      </x:c>
      <x:c r="N32" s="3" t="str">
        <x:f>IF(Master!O248="","",Master!O248)</x:f>
      </x:c>
      <x:c r="O32" s="3" t="str">
        <x:f>IF(Master!P248="","",Master!P248)</x:f>
      </x:c>
      <x:c r="P32" s="3" t="str">
        <x:f>IF(Master!Q248="","",Master!Q248)</x:f>
      </x:c>
      <x:c r="Q32" s="3" t="str">
        <x:f>IF(Master!R248="","",Master!R248)</x:f>
      </x:c>
      <x:c r="R32" s="3" t="str">
        <x:f>IF(Master!S248="","",Master!S248)</x:f>
      </x:c>
      <x:c r="S32" s="3" t="str">
        <x:f>IF(Master!T248="","",Master!T248)</x:f>
      </x:c>
      <x:c r="T32" s="3" t="str">
        <x:f>IF(Master!U248="","",Master!U248)</x:f>
        <x:v>1080p</x:v>
      </x:c>
      <x:c r="U32" s="3" t="str">
        <x:f>IF(Master!V248="","",Master!V248)</x:f>
        <x:v>1440p</x:v>
      </x:c>
      <x:c r="V32" s="3" t="str">
        <x:f>IF(Master!W248="","",Master!W248)</x:f>
      </x:c>
      <x:c r="W32" s="3" t="str">
        <x:f>IF(Master!X248="","",Master!X248)</x:f>
      </x:c>
      <x:c r="X32" s="3" t="str">
        <x:f>IF(Master!Y248="","",Master!Y248)</x:f>
        <x:v>1440p</x:v>
      </x:c>
      <x:c r="Y32" s="3" t="str">
        <x:f>IF(Master!Z248="","",Master!Z248)</x:f>
      </x:c>
      <x:c r="Z32" s="3" t="str">
        <x:f>IF(Master!AA248="","",Master!AA248)</x:f>
        <x:v>720p currently published</x:v>
      </x:c>
      <x:c r="AA32" s="6" t="str">
        <x:f>IF(Master!AB248="","",Master!AB248)</x:f>
      </x:c>
      <x:c r="AB32" s="3" t="str">
        <x:f>IF(Master!AC248="","",Master!AC248)</x:f>
      </x:c>
      <x:c r="AC32" s="3" t="str">
        <x:f>IF(Master!AD248="","",Master!AD248)</x:f>
      </x:c>
      <x:c r="AD32" s="3" t="str">
        <x:f>IF(Master!AE248="","",Master!AE248)</x:f>
      </x:c>
      <x:c r="AE32" s="3" t="str">
        <x:f>IF(Master!AF248="","",Master!AF248)</x:f>
      </x:c>
      <x:c r="AF32" s="8" t="str">
        <x:f>IF(Master!AG248="","",Master!AG248)</x:f>
      </x:c>
    </x:row>
    <x:row r="33" ht="36" customHeight="1">
      <x:c r="A33" s="17" t="s">
        <x:v>511</x:v>
      </x:c>
      <x:c r="B33" s="3" t="str">
        <x:f>IF(Master!C249="","",Master!C249)</x:f>
        <x:v>60</x:v>
      </x:c>
      <x:c r="C33" s="3" t="str">
        <x:f>IF(Master!D249="","",Master!D249)</x:f>
      </x:c>
      <x:c r="D33" s="3" t="str">
        <x:f>IF(Master!E249="","",Master!E249)</x:f>
      </x:c>
      <x:c r="E33" s="3" t="str">
        <x:f>IF(Master!F249="","",Master!F249)</x:f>
      </x:c>
      <x:c r="F33" s="3" t="str">
        <x:f>IF(Master!G249="","",Master!G249)</x:f>
      </x:c>
      <x:c r="G33" s="3" t="str">
        <x:f>IF(Master!H249="","",Master!H249)</x:f>
        <x:v>60</x:v>
      </x:c>
      <x:c r="H33" s="3" t="str">
        <x:f>IF(Master!I249="","",Master!I249)</x:f>
        <x:v>60</x:v>
      </x:c>
      <x:c r="I33" s="3" t="str">
        <x:f>IF(Master!J249="","",Master!J249)</x:f>
      </x:c>
      <x:c r="J33" s="3" t="str">
        <x:f>IF(Master!K249="","",Master!K249)</x:f>
      </x:c>
      <x:c r="K33" s="3" t="str">
        <x:f>IF(Master!L249="","",Master!L249)</x:f>
        <x:v>30 FPS in current documented presets; developer questionnaire reported 60 FPS</x:v>
      </x:c>
      <x:c r="L33" s="3" t="str">
        <x:f>IF(Master!M249="","",Master!M249)</x:f>
      </x:c>
      <x:c r="M33" s="3" t="str">
        <x:f>IF(Master!N249="","",Master!N249)</x:f>
      </x:c>
      <x:c r="N33" s="3" t="str">
        <x:f>IF(Master!O249="","",Master!O249)</x:f>
      </x:c>
      <x:c r="O33" s="3" t="str">
        <x:f>IF(Master!P249="","",Master!P249)</x:f>
      </x:c>
      <x:c r="P33" s="3" t="str">
        <x:f>IF(Master!Q249="","",Master!Q249)</x:f>
      </x:c>
      <x:c r="Q33" s="3" t="str">
        <x:f>IF(Master!R249="","",Master!R249)</x:f>
      </x:c>
      <x:c r="R33" s="3" t="str">
        <x:f>IF(Master!S249="","",Master!S249)</x:f>
      </x:c>
      <x:c r="S33" s="3" t="str">
        <x:f>IF(Master!T249="","",Master!T249)</x:f>
      </x:c>
      <x:c r="T33" s="3" t="str">
        <x:f>IF(Master!U249="","",Master!U249)</x:f>
        <x:v>Not publicly claimed</x:v>
      </x:c>
      <x:c r="U33" s="3" t="str">
        <x:f>IF(Master!V249="","",Master!V249)</x:f>
        <x:v>60</x:v>
      </x:c>
      <x:c r="V33" s="3" t="str">
        <x:f>IF(Master!W249="","",Master!W249)</x:f>
      </x:c>
      <x:c r="W33" s="3" t="str">
        <x:f>IF(Master!X249="","",Master!X249)</x:f>
      </x:c>
      <x:c r="X33" s="3" t="str">
        <x:f>IF(Master!Y249="","",Master!Y249)</x:f>
        <x:v>60</x:v>
      </x:c>
      <x:c r="Y33" s="3" t="str">
        <x:f>IF(Master!Z249="","",Master!Z249)</x:f>
      </x:c>
      <x:c r="Z33" s="3" t="n">
        <x:f>IF(Master!AA249="","",Master!AA249)</x:f>
        <x:v>30</x:v>
      </x:c>
      <x:c r="AA33" s="6" t="str">
        <x:f>IF(Master!AB249="","",Master!AB249)</x:f>
      </x:c>
      <x:c r="AB33" s="3" t="str">
        <x:f>IF(Master!AC249="","",Master!AC249)</x:f>
      </x:c>
      <x:c r="AC33" s="3" t="str">
        <x:f>IF(Master!AD249="","",Master!AD249)</x:f>
      </x:c>
      <x:c r="AD33" s="3" t="str">
        <x:f>IF(Master!AE249="","",Master!AE249)</x:f>
      </x:c>
      <x:c r="AE33" s="3" t="str">
        <x:f>IF(Master!AF249="","",Master!AF249)</x:f>
      </x:c>
      <x:c r="AF33" s="8" t="str">
        <x:f>IF(Master!AG249="","",Master!AG249)</x:f>
      </x:c>
    </x:row>
    <x:row r="34" ht="36" customHeight="1">
      <x:c r="A34" s="17" t="s">
        <x:v>512</x:v>
      </x:c>
      <x:c r="B34" s="3" t="str">
        <x:f>IF(Master!C250="","",Master!C250)</x:f>
        <x:v>Nitro</x:v>
      </x:c>
      <x:c r="C34" s="3" t="str">
        <x:f>IF(Master!D250="","",Master!D250)</x:f>
      </x:c>
      <x:c r="D34" s="3" t="str">
        <x:f>IF(Master!E250="","",Master!E250)</x:f>
      </x:c>
      <x:c r="E34" s="3" t="str">
        <x:f>IF(Master!F250="","",Master!F250)</x:f>
      </x:c>
      <x:c r="F34" s="3" t="str">
        <x:f>IF(Master!G250="","",Master!G250)</x:f>
      </x:c>
      <x:c r="G34" s="3" t="str">
        <x:f>IF(Master!H250="","",Master!H250)</x:f>
        <x:v>Plutonium</x:v>
      </x:c>
      <x:c r="H34" s="3" t="str">
        <x:f>IF(Master!I250="","",Master!I250)</x:f>
        <x:v>Diamond</x:v>
      </x:c>
      <x:c r="I34" s="3" t="str">
        <x:f>IF(Master!J250="","",Master!J250)</x:f>
      </x:c>
      <x:c r="J34" s="3" t="str">
        <x:f>IF(Master!K250="","",Master!K250)</x:f>
      </x:c>
      <x:c r="K34" s="3" t="str">
        <x:f>IF(Master!L250="","",Master!L250)</x:f>
        <x:v>No paid tier</x:v>
      </x:c>
      <x:c r="L34" s="3" t="str">
        <x:f>IF(Master!M250="","",Master!M250)</x:f>
      </x:c>
      <x:c r="M34" s="3" t="str">
        <x:f>IF(Master!N250="","",Master!N250)</x:f>
      </x:c>
      <x:c r="N34" s="3" t="str">
        <x:f>IF(Master!O250="","",Master!O250)</x:f>
      </x:c>
      <x:c r="O34" s="3" t="str">
        <x:f>IF(Master!P250="","",Master!P250)</x:f>
      </x:c>
      <x:c r="P34" s="3" t="str">
        <x:f>IF(Master!Q250="","",Master!Q250)</x:f>
        <x:v>None</x:v>
      </x:c>
      <x:c r="Q34" s="3" t="str">
        <x:f>IF(Master!R250="","",Master!R250)</x:f>
      </x:c>
      <x:c r="R34" s="3" t="str">
        <x:f>IF(Master!S250="","",Master!S250)</x:f>
      </x:c>
      <x:c r="S34" s="3" t="str">
        <x:f>IF(Master!T250="","",Master!T250)</x:f>
      </x:c>
      <x:c r="T34" s="3" t="str">
        <x:f>IF(Master!U250="","",Master!U250)</x:f>
        <x:v>No</x:v>
      </x:c>
      <x:c r="U34" s="3" t="str">
        <x:f>IF(Master!V250="","",Master!V250)</x:f>
        <x:v>Rift +</x:v>
      </x:c>
      <x:c r="V34" s="3" t="str">
        <x:f>IF(Master!W250="","",Master!W250)</x:f>
      </x:c>
      <x:c r="W34" s="3" t="str">
        <x:f>IF(Master!X250="","",Master!X250)</x:f>
      </x:c>
      <x:c r="X34" s="3" t="str">
        <x:f>IF(Master!Y250="","",Master!Y250)</x:f>
        <x:v>Sudo</x:v>
      </x:c>
      <x:c r="Y34" s="3" t="str">
        <x:f>IF(Master!Z250="","",Master!Z250)</x:f>
      </x:c>
      <x:c r="Z34" s="3" t="str">
        <x:f>IF(Master!AA250="","",Master!AA250)</x:f>
        <x:v>No separate tier stated</x:v>
      </x:c>
      <x:c r="AA34" s="6" t="str">
        <x:f>IF(Master!AB250="","",Master!AB250)</x:f>
      </x:c>
      <x:c r="AB34" s="3" t="str">
        <x:f>IF(Master!AC250="","",Master!AC250)</x:f>
      </x:c>
      <x:c r="AC34" s="3" t="str">
        <x:f>IF(Master!AD250="","",Master!AD250)</x:f>
      </x:c>
      <x:c r="AD34" s="3" t="str">
        <x:f>IF(Master!AE250="","",Master!AE250)</x:f>
        <x:v>None for core voice/video/screen share</x:v>
      </x:c>
      <x:c r="AE34" s="3" t="str">
        <x:f>IF(Master!AF250="","",Master!AF250)</x:f>
      </x:c>
      <x:c r="AF34" s="8" t="str">
        <x:f>IF(Master!AG250="","",Master!AG250)</x:f>
      </x:c>
    </x:row>
    <x:row r="35" ht="21.950000762939453" customHeight="1">
      <x:c r="A35" s="18" t="s">
        <x:v>513</x:v>
      </x:c>
      <x:c r="B35" s="18" t="str">
        <x:f t="shared" ref="B35:AF35" si="4">IF(""="","","")</x:f>
      </x:c>
      <x:c r="C35" s="18" t="str">
        <x:f t="shared" si="4"/>
      </x:c>
      <x:c r="D35" s="18" t="str">
        <x:f t="shared" si="4"/>
      </x:c>
      <x:c r="E35" s="18" t="str">
        <x:f t="shared" si="4"/>
      </x:c>
      <x:c r="F35" s="18" t="str">
        <x:f t="shared" si="4"/>
      </x:c>
      <x:c r="G35" s="18" t="str">
        <x:f t="shared" si="4"/>
      </x:c>
      <x:c r="H35" s="18" t="str">
        <x:f t="shared" si="4"/>
      </x:c>
      <x:c r="I35" s="18" t="str">
        <x:f t="shared" si="4"/>
      </x:c>
      <x:c r="J35" s="18" t="str">
        <x:f t="shared" si="4"/>
      </x:c>
      <x:c r="K35" s="18" t="str">
        <x:f t="shared" si="4"/>
      </x:c>
      <x:c r="L35" s="18" t="str">
        <x:f t="shared" si="4"/>
      </x:c>
      <x:c r="M35" s="18" t="str">
        <x:f t="shared" si="4"/>
      </x:c>
      <x:c r="N35" s="18" t="str">
        <x:f t="shared" si="4"/>
      </x:c>
      <x:c r="O35" s="18" t="str">
        <x:f t="shared" si="4"/>
      </x:c>
      <x:c r="P35" s="18" t="str">
        <x:f t="shared" si="4"/>
      </x:c>
      <x:c r="Q35" s="18" t="str">
        <x:f t="shared" si="4"/>
      </x:c>
      <x:c r="R35" s="18" t="str">
        <x:f t="shared" si="4"/>
      </x:c>
      <x:c r="S35" s="18" t="str">
        <x:f t="shared" si="4"/>
      </x:c>
      <x:c r="T35" s="18" t="str">
        <x:f t="shared" si="4"/>
      </x:c>
      <x:c r="U35" s="18" t="str">
        <x:f t="shared" si="4"/>
      </x:c>
      <x:c r="V35" s="18" t="str">
        <x:f t="shared" si="4"/>
      </x:c>
      <x:c r="W35" s="18" t="str">
        <x:f t="shared" si="4"/>
      </x:c>
      <x:c r="X35" s="18" t="str">
        <x:f t="shared" si="4"/>
      </x:c>
      <x:c r="Y35" s="18" t="str">
        <x:f t="shared" si="4"/>
      </x:c>
      <x:c r="Z35" s="18" t="str">
        <x:f t="shared" si="4"/>
      </x:c>
      <x:c r="AA35" s="18" t="str">
        <x:f t="shared" si="4"/>
      </x:c>
      <x:c r="AB35" s="18" t="str">
        <x:f t="shared" si="4"/>
      </x:c>
      <x:c r="AC35" s="18" t="str">
        <x:f t="shared" si="4"/>
      </x:c>
      <x:c r="AD35" s="18" t="str">
        <x:f t="shared" si="4"/>
      </x:c>
      <x:c r="AE35" s="18" t="str">
        <x:f t="shared" si="4"/>
      </x:c>
      <x:c r="AF35" s="19" t="str">
        <x:f t="shared" si="4"/>
      </x:c>
    </x:row>
    <x:row r="36" ht="36" customHeight="1">
      <x:c r="A36" s="17" t="s">
        <x:v>474</x:v>
      </x:c>
      <x:c r="B36" s="3" t="str">
        <x:f>IF(Master!C251="","",Master!C251)</x:f>
        <x:v>Yes: Windows, macOS, Chrome, mobile; Linux audio sharing unavailable</x:v>
      </x:c>
      <x:c r="C36" s="3" t="str">
        <x:f>IF(Master!D251="","",Master!D251)</x:f>
      </x:c>
      <x:c r="D36" s="3" t="str">
        <x:f>IF(Master!E251="","",Master!E251)</x:f>
        <x:v>Yes</x:v>
      </x:c>
      <x:c r="E36" s="3" t="str">
        <x:f>IF(Master!F251="","",Master!F251)</x:f>
        <x:v>Yes</x:v>
      </x:c>
      <x:c r="F36" s="3" t="str">
        <x:f>IF(Master!G251="","",Master!G251)</x:f>
        <x:v>Yes: screen sharing exists in alpha</x:v>
      </x:c>
      <x:c r="G36" s="3" t="str">
        <x:f>IF(Master!H251="","",Master!H251)</x:f>
        <x:v>Yes</x:v>
      </x:c>
      <x:c r="H36" s="3" t="str">
        <x:f>IF(Master!I251="","",Master!I251)</x:f>
        <x:v>Yes</x:v>
      </x:c>
      <x:c r="I36" s="3" t="str">
        <x:f>IF(Master!J251="","",Master!J251)</x:f>
      </x:c>
      <x:c r="J36" s="3" t="str">
        <x:f>IF(Master!K251="","",Master!K251)</x:f>
        <x:v>Yes on supported desktop platforms; per-app capture documented for Windows/Linux</x:v>
      </x:c>
      <x:c r="K36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36" s="3" t="str">
        <x:f>IF(Master!M251="","",Master!M251)</x:f>
      </x:c>
      <x:c r="M36" s="3" t="str">
        <x:f>IF(Master!N251="","",Master!N251)</x:f>
        <x:v>Yes</x:v>
      </x:c>
      <x:c r="N36" s="3" t="str">
        <x:f>IF(Master!O251="","",Master!O251)</x:f>
        <x:v>Varies by client</x:v>
      </x:c>
      <x:c r="O36" s="3" t="str">
        <x:f>IF(Master!P251="","",Master!P251)</x:f>
        <x:v>Yes</x:v>
      </x:c>
      <x:c r="P36" s="3" t="str">
        <x:f>IF(Master!Q251="","",Master!Q251)</x:f>
        <x:v>Yes</x:v>
      </x:c>
      <x:c r="Q36" s="3" t="str">
        <x:f>IF(Master!R251="","",Master!R251)</x:f>
        <x:v>N/A</x:v>
      </x:c>
      <x:c r="R36" s="3" t="str">
        <x:f>IF(Master!S251="","",Master!S251)</x:f>
      </x:c>
      <x:c r="S36" s="3" t="str">
        <x:f>IF(Master!T251="","",Master!T251)</x:f>
        <x:v>Yes</x:v>
      </x:c>
      <x:c r="T36" s="3" t="str">
        <x:f>IF(Master!U251="","",Master!U251)</x:f>
        <x:v>Yes: browser tab audio</x:v>
      </x:c>
      <x:c r="U36" s="3" t="str">
        <x:f>IF(Master!V251="","",Master!V251)</x:f>
        <x:v>Yes</x:v>
      </x:c>
      <x:c r="V36" s="3" t="str">
        <x:f>IF(Master!W251="","",Master!W251)</x:f>
        <x:v>Provider-dependent</x:v>
      </x:c>
      <x:c r="W36" s="3" t="str">
        <x:f>IF(Master!X251="","",Master!X251)</x:f>
        <x:v>N/A</x:v>
      </x:c>
      <x:c r="X36" s="3" t="str">
        <x:f>IF(Master!Y251="","",Master!Y251)</x:f>
        <x:v>Yes: share stream audio</x:v>
      </x:c>
      <x:c r="Y36" s="3" t="str">
        <x:f>IF(Master!Z251="","",Master!Z251)</x:f>
        <x:v>Go Live supported by recommended Pion implementation</x:v>
      </x:c>
      <x:c r="Z36" s="3" t="str">
        <x:f>IF(Master!AA251="","",Master!AA251)</x:f>
        <x:v>Yes: whole-screen and window audio</x:v>
      </x:c>
      <x:c r="AA36" s="6" t="str">
        <x:f>IF(Master!AB251="","",Master!AB251)</x:f>
        <x:v>Yes</x:v>
      </x:c>
      <x:c r="AB36" s="3" t="str">
        <x:f>IF(Master!AC251="","",Master!AC251)</x:f>
      </x:c>
      <x:c r="AC36" s="3" t="str">
        <x:f>IF(Master!AD251="","",Master!AD251)</x:f>
      </x:c>
      <x:c r="AD36" s="3" t="str">
        <x:f>IF(Master!AE251="","",Master!AE251)</x:f>
        <x:v>Yes</x:v>
      </x:c>
      <x:c r="AE36" s="3" t="str">
        <x:f>IF(Master!AF251="","",Master!AF251)</x:f>
        <x:v>Yes: screen share with audio</x:v>
      </x:c>
      <x:c r="AF36" s="8" t="str">
        <x:f>IF(Master!AG251="","",Master!AG251)</x:f>
        <x:v>Provider-dependent</x:v>
      </x:c>
    </x:row>
    <x:row r="37" ht="36" customHeight="1">
      <x:c r="A37" s="17" t="s">
        <x:v>475</x:v>
      </x:c>
      <x:c r="B37" s="3" t="str">
        <x:f>IF(Master!C252="","",Master!C252)</x:f>
        <x:v>Yes on supported platforms</x:v>
      </x:c>
      <x:c r="C37" s="3" t="str">
        <x:f>IF(Master!D252="","",Master!D252)</x:f>
      </x:c>
      <x:c r="D37" s="3" t="str">
        <x:f>IF(Master!E252="","",Master!E252)</x:f>
      </x:c>
      <x:c r="E37" s="3" t="str">
        <x:f>IF(Master!F252="","",Master!F252)</x:f>
      </x:c>
      <x:c r="F37" s="3" t="str">
        <x:f>IF(Master!G252="","",Master!G252)</x:f>
      </x:c>
      <x:c r="G37" s="3" t="str">
        <x:f>IF(Master!H252="","",Master!H252)</x:f>
        <x:v>Yes on supported desktop paths</x:v>
      </x:c>
      <x:c r="H37" s="3" t="str">
        <x:f>IF(Master!I252="","",Master!I252)</x:f>
      </x:c>
      <x:c r="I37" s="3" t="str">
        <x:f>IF(Master!J252="","",Master!J252)</x:f>
      </x:c>
      <x:c r="J37" s="3" t="str">
        <x:f>IF(Master!K252="","",Master!K252)</x:f>
      </x:c>
      <x:c r="K37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37" s="3" t="str">
        <x:f>IF(Master!M252="","",Master!M252)</x:f>
      </x:c>
      <x:c r="M37" s="3" t="str">
        <x:f>IF(Master!N252="","",Master!N252)</x:f>
      </x:c>
      <x:c r="N37" s="3" t="str">
        <x:f>IF(Master!O252="","",Master!O252)</x:f>
        <x:v>Varies by client</x:v>
      </x:c>
      <x:c r="O37" s="3" t="str">
        <x:f>IF(Master!P252="","",Master!P252)</x:f>
        <x:v>Yes</x:v>
      </x:c>
      <x:c r="P37" s="3" t="str">
        <x:f>IF(Master!Q252="","",Master!Q252)</x:f>
      </x:c>
      <x:c r="Q37" s="3" t="str">
        <x:f>IF(Master!R252="","",Master!R252)</x:f>
        <x:v>N/A</x:v>
      </x:c>
      <x:c r="R37" s="3" t="str">
        <x:f>IF(Master!S252="","",Master!S252)</x:f>
      </x:c>
      <x:c r="S37" s="3" t="str">
        <x:f>IF(Master!T252="","",Master!T252)</x:f>
      </x:c>
      <x:c r="T37" s="3" t="str">
        <x:f>IF(Master!U252="","",Master!U252)</x:f>
        <x:v>Browser tab audio supported; full system-audio capture not publicly claimed</x:v>
      </x:c>
      <x:c r="U37" s="3" t="str">
        <x:f>IF(Master!V252="","",Master!V252)</x:f>
        <x:v>Yes</x:v>
      </x:c>
      <x:c r="V37" s="3" t="str">
        <x:f>IF(Master!W252="","",Master!W252)</x:f>
        <x:v>Provider-dependent</x:v>
      </x:c>
      <x:c r="W37" s="3" t="str">
        <x:f>IF(Master!X252="","",Master!X252)</x:f>
        <x:v>N/A</x:v>
      </x:c>
      <x:c r="X37" s="3" t="str">
        <x:f>IF(Master!Y252="","",Master!Y252)</x:f>
        <x:v>Yes on supported desktop</x:v>
      </x:c>
      <x:c r="Y37" s="3" t="str">
        <x:f>IF(Master!Z252="","",Master!Z252)</x:f>
      </x:c>
      <x:c r="Z37" s="3" t="str">
        <x:f>IF(Master!AA252="","",Master!AA252)</x:f>
        <x:v>Yes: whole-screen/window audio; Wayland audio can be unreliable</x:v>
      </x:c>
      <x:c r="AA37" s="6" t="str">
        <x:f>IF(Master!AB252="","",Master!AB252)</x:f>
      </x:c>
      <x:c r="AB37" s="3" t="str">
        <x:f>IF(Master!AC252="","",Master!AC252)</x:f>
      </x:c>
      <x:c r="AC37" s="3" t="str">
        <x:f>IF(Master!AD252="","",Master!AD252)</x:f>
      </x:c>
      <x:c r="AD37" s="3" t="str">
        <x:f>IF(Master!AE252="","",Master!AE252)</x:f>
      </x:c>
      <x:c r="AE37" s="3" t="str">
        <x:f>IF(Master!AF252="","",Master!AF252)</x:f>
      </x:c>
      <x:c r="AF37" s="8" t="str">
        <x:f>IF(Master!AG252="","",Master!AG252)</x:f>
        <x:v>Provider-dependent</x:v>
      </x:c>
    </x:row>
    <x:row r="38" ht="36" customHeight="1">
      <x:c r="A38" s="17" t="s">
        <x:v>476</x:v>
      </x:c>
      <x:c r="B38" s="3" t="str">
        <x:f>IF(Master!C253="","",Master!C253)</x:f>
        <x:v>Linux audio-share limitations</x:v>
      </x:c>
      <x:c r="C38" s="3" t="str">
        <x:f>IF(Master!D253="","",Master!D253)</x:f>
      </x:c>
      <x:c r="D38" s="3" t="str">
        <x:f>IF(Master!E253="","",Master!E253)</x:f>
      </x:c>
      <x:c r="E38" s="3" t="str">
        <x:f>IF(Master!F253="","",Master!F253)</x:f>
      </x:c>
      <x:c r="F38" s="3" t="str">
        <x:f>IF(Master!G253="","",Master!G253)</x:f>
      </x:c>
      <x:c r="G38" s="3" t="str">
        <x:f>IF(Master!H253="","",Master!H253)</x:f>
      </x:c>
      <x:c r="H38" s="3" t="str">
        <x:f>IF(Master!I253="","",Master!I253)</x:f>
      </x:c>
      <x:c r="I38" s="3" t="str">
        <x:f>IF(Master!J253="","",Master!J253)</x:f>
      </x:c>
      <x:c r="J38" s="3" t="str">
        <x:f>IF(Master!K253="","",Master!K253)</x:f>
      </x:c>
      <x:c r="K38" s="3" t="str">
        <x:f>IF(Master!L253="","",Master!L253)</x:f>
        <x:v>No: current native desktop common mixer contract is not enabled; browser may provide surface audio</x:v>
      </x:c>
      <x:c r="L38" s="3" t="str">
        <x:f>IF(Master!M253="","",Master!M253)</x:f>
      </x:c>
      <x:c r="M38" s="3" t="str">
        <x:f>IF(Master!N253="","",Master!N253)</x:f>
      </x:c>
      <x:c r="N38" s="3" t="str">
        <x:f>IF(Master!O253="","",Master!O253)</x:f>
        <x:v>Client-dependent</x:v>
      </x:c>
      <x:c r="O38" s="3" t="str">
        <x:f>IF(Master!P253="","",Master!P253)</x:f>
        <x:v>Depends desktop/Linux support</x:v>
      </x:c>
      <x:c r="P38" s="3" t="str">
        <x:f>IF(Master!Q253="","",Master!Q253)</x:f>
      </x:c>
      <x:c r="Q38" s="3" t="str">
        <x:f>IF(Master!R253="","",Master!R253)</x:f>
        <x:v>N/A</x:v>
      </x:c>
      <x:c r="R38" s="3" t="str">
        <x:f>IF(Master!S253="","",Master!S253)</x:f>
      </x:c>
      <x:c r="S38" s="3" t="str">
        <x:f>IF(Master!T253="","",Master!T253)</x:f>
      </x:c>
      <x:c r="T38" s="3" t="str">
        <x:f>IF(Master!U253="","",Master!U253)</x:f>
        <x:v>Not publicly claimed separately</x:v>
      </x:c>
      <x:c r="U38" s="3" t="str">
        <x:f>IF(Master!V253="","",Master!V253)</x:f>
        <x:v>Yes</x:v>
      </x:c>
      <x:c r="V38" s="3" t="str">
        <x:f>IF(Master!W253="","",Master!W253)</x:f>
        <x:v>Provider-dependent</x:v>
      </x:c>
      <x:c r="W38" s="3" t="str">
        <x:f>IF(Master!X253="","",Master!X253)</x:f>
        <x:v>N/A</x:v>
      </x:c>
      <x:c r="X38" s="3" t="str">
        <x:f>IF(Master!Y253="","",Master!Y253)</x:f>
      </x:c>
      <x:c r="Y38" s="3" t="str">
        <x:f>IF(Master!Z253="","",Master!Z253)</x:f>
      </x:c>
      <x:c r="Z38" s="3" t="str">
        <x:f>IF(Master!AA253="","",Master!AA253)</x:f>
        <x:v>Yes: Wayland sound broadcasting may be unreliable</x:v>
      </x:c>
      <x:c r="AA38" s="6" t="str">
        <x:f>IF(Master!AB253="","",Master!AB253)</x:f>
      </x:c>
      <x:c r="AB38" s="3" t="str">
        <x:f>IF(Master!AC253="","",Master!AC253)</x:f>
      </x:c>
      <x:c r="AC38" s="3" t="str">
        <x:f>IF(Master!AD253="","",Master!AD253)</x:f>
        <x:v>Linux mic I/O known rough edge</x:v>
      </x:c>
      <x:c r="AD38" s="3" t="str">
        <x:f>IF(Master!AE253="","",Master!AE253)</x:f>
      </x:c>
      <x:c r="AE38" s="3" t="str">
        <x:f>IF(Master!AF253="","",Master!AF253)</x:f>
      </x:c>
      <x:c r="AF38" s="8" t="str">
        <x:f>IF(Master!AG253="","",Master!AG253)</x:f>
        <x:v>Provider-dependent</x:v>
      </x:c>
    </x:row>
    <x:row r="39" ht="36" customHeight="1">
      <x:c r="A39" s="17" t="s">
        <x:v>477</x:v>
      </x:c>
      <x:c r="B39" s="3" t="str">
        <x:f>IF(Master!C254="","",Master!C254)</x:f>
        <x:v>Mobile screen share supported</x:v>
      </x:c>
      <x:c r="C39" s="3" t="str">
        <x:f>IF(Master!D254="","",Master!D254)</x:f>
      </x:c>
      <x:c r="D39" s="3" t="str">
        <x:f>IF(Master!E254="","",Master!E254)</x:f>
      </x:c>
      <x:c r="E39" s="3" t="str">
        <x:f>IF(Master!F254="","",Master!F254)</x:f>
      </x:c>
      <x:c r="F39" s="3" t="str">
        <x:f>IF(Master!G254="","",Master!G254)</x:f>
      </x:c>
      <x:c r="G39" s="3" t="str">
        <x:f>IF(Master!H254="","",Master!H254)</x:f>
      </x:c>
      <x:c r="H39" s="3" t="str">
        <x:f>IF(Master!I254="","",Master!I254)</x:f>
      </x:c>
      <x:c r="I39" s="3" t="str">
        <x:f>IF(Master!J254="","",Master!J254)</x:f>
      </x:c>
      <x:c r="J39" s="3" t="str">
        <x:f>IF(Master!K254="","",Master!K254)</x:f>
      </x:c>
      <x:c r="K39" s="3" t="str">
        <x:f>IF(Master!L254="","",Master!L254)</x:f>
        <x:v>Yes: Android MediaProjection and iOS ReplayKit paths documented</x:v>
      </x:c>
      <x:c r="L39" s="3" t="str">
        <x:f>IF(Master!M254="","",Master!M254)</x:f>
      </x:c>
      <x:c r="M39" s="3" t="str">
        <x:f>IF(Master!N254="","",Master!N254)</x:f>
      </x:c>
      <x:c r="N39" s="3" t="str">
        <x:f>IF(Master!O254="","",Master!O254)</x:f>
        <x:v>Client-dependent</x:v>
      </x:c>
      <x:c r="O39" s="3" t="str">
        <x:f>IF(Master!P254="","",Master!P254)</x:f>
        <x:v>Mobile behavior varies</x:v>
      </x:c>
      <x:c r="P39" s="3" t="str">
        <x:f>IF(Master!Q254="","",Master!Q254)</x:f>
      </x:c>
      <x:c r="Q39" s="3" t="str">
        <x:f>IF(Master!R254="","",Master!R254)</x:f>
        <x:v>N/A</x:v>
      </x:c>
      <x:c r="R39" s="3" t="str">
        <x:f>IF(Master!S254="","",Master!S254)</x:f>
      </x:c>
      <x:c r="S39" s="3" t="str">
        <x:f>IF(Master!T254="","",Master!T254)</x:f>
      </x:c>
      <x:c r="T39" s="3" t="str">
        <x:f>IF(Master!U254="","",Master!U254)</x:f>
      </x:c>
      <x:c r="U39" s="3" t="str">
        <x:f>IF(Master!V254="","",Master!V254)</x:f>
        <x:v>Yes - App or Screen</x:v>
      </x:c>
      <x:c r="V39" s="3" t="str">
        <x:f>IF(Master!W254="","",Master!W254)</x:f>
        <x:v>Provider-dependent</x:v>
      </x:c>
      <x:c r="W39" s="3" t="str">
        <x:f>IF(Master!X254="","",Master!X254)</x:f>
        <x:v>N/A</x:v>
      </x:c>
      <x:c r="X39" s="3" t="str">
        <x:f>IF(Master!Y254="","",Master!Y254)</x:f>
        <x:v>No sharing from mobile</x:v>
      </x:c>
      <x:c r="Y39" s="3" t="str">
        <x:f>IF(Master!Z254="","",Master!Z254)</x:f>
      </x:c>
      <x:c r="Z39" s="3" t="str">
        <x:f>IF(Master!AA254="","",Master!AA254)</x:f>
        <x:v>Yes: mobile web, iOS TestFlight and Android</x:v>
      </x:c>
      <x:c r="AA39" s="6" t="str">
        <x:f>IF(Master!AB254="","",Master!AB254)</x:f>
      </x:c>
      <x:c r="AB39" s="3" t="str">
        <x:f>IF(Master!AC254="","",Master!AC254)</x:f>
      </x:c>
      <x:c r="AC39" s="3" t="str">
        <x:f>IF(Master!AD254="","",Master!AD254)</x:f>
      </x:c>
      <x:c r="AD39" s="3" t="str">
        <x:f>IF(Master!AE254="","",Master!AE254)</x:f>
      </x:c>
      <x:c r="AE39" s="3" t="str">
        <x:f>IF(Master!AF254="","",Master!AF254)</x:f>
      </x:c>
      <x:c r="AF39" s="8" t="str">
        <x:f>IF(Master!AG254="","",Master!AG254)</x:f>
        <x:v>Provider-dependent</x:v>
      </x:c>
    </x:row>
    <x:row r="40" ht="36" customHeight="1">
      <x:c r="A40" s="17" t="s">
        <x:v>478</x:v>
      </x:c>
      <x:c r="B40" s="3" t="str">
        <x:f>IF(Master!C255="","",Master!C255)</x:f>
      </x:c>
      <x:c r="C40" s="3" t="str">
        <x:f>IF(Master!D255="","",Master!D255)</x:f>
      </x:c>
      <x:c r="D40" s="3" t="str">
        <x:f>IF(Master!E255="","",Master!E255)</x:f>
      </x:c>
      <x:c r="E40" s="3" t="str">
        <x:f>IF(Master!F255="","",Master!F255)</x:f>
      </x:c>
      <x:c r="F40" s="3" t="str">
        <x:f>IF(Master!G255="","",Master!G255)</x:f>
      </x:c>
      <x:c r="G40" s="3" t="str">
        <x:f>IF(Master!H255="","",Master!H255)</x:f>
      </x:c>
      <x:c r="H40" s="3" t="str">
        <x:f>IF(Master!I255="","",Master!I255)</x:f>
      </x:c>
      <x:c r="I40" s="3" t="str">
        <x:f>IF(Master!J255="","",Master!J255)</x:f>
      </x:c>
      <x:c r="J40" s="3" t="str">
        <x:f>IF(Master!K255="","",Master!K255)</x:f>
        <x:v>P2P</x:v>
      </x:c>
      <x:c r="K40" s="3" t="str">
        <x:f>IF(Master!L255="","",Master!L255)</x:f>
        <x:v>Not documented</x:v>
      </x:c>
      <x:c r="L40" s="3" t="str">
        <x:f>IF(Master!M255="","",Master!M255)</x:f>
      </x:c>
      <x:c r="M40" s="3" t="str">
        <x:f>IF(Master!N255="","",Master!N255)</x:f>
      </x:c>
      <x:c r="N40" s="3" t="str">
        <x:f>IF(Master!O255="","",Master!O255)</x:f>
        <x:v>Client/provider-dependent</x:v>
      </x:c>
      <x:c r="O40" s="3" t="str">
        <x:f>IF(Master!P255="","",Master!P255)</x:f>
        <x:v>Plan-dependent</x:v>
      </x:c>
      <x:c r="P40" s="3" t="str">
        <x:f>IF(Master!Q255="","",Master!Q255)</x:f>
      </x:c>
      <x:c r="Q40" s="3" t="str">
        <x:f>IF(Master!R255="","",Master!R255)</x:f>
        <x:v>N/A</x:v>
      </x:c>
      <x:c r="R40" s="3" t="str">
        <x:f>IF(Master!S255="","",Master!S255)</x:f>
      </x:c>
      <x:c r="S40" s="3" t="str">
        <x:f>IF(Master!T255="","",Master!T255)</x:f>
      </x:c>
      <x:c r="T40" s="3" t="str">
        <x:f>IF(Master!U255="","",Master!U255)</x:f>
        <x:v>Yes: 2 in smaller rooms, 4 in big rooms</x:v>
      </x:c>
      <x:c r="U40" s="3" t="str">
        <x:f>IF(Master!V255="","",Master!V255)</x:f>
        <x:v>Yes</x:v>
      </x:c>
      <x:c r="V40" s="3" t="str">
        <x:f>IF(Master!W255="","",Master!W255)</x:f>
        <x:v>Provider-dependent</x:v>
      </x:c>
      <x:c r="W40" s="3" t="str">
        <x:f>IF(Master!X255="","",Master!X255)</x:f>
        <x:v>N/A</x:v>
      </x:c>
      <x:c r="X40" s="3" t="str">
        <x:f>IF(Master!Y255="","",Master!Y255)</x:f>
      </x:c>
      <x:c r="Y40" s="3" t="str">
        <x:f>IF(Master!Z255="","",Master!Z255)</x:f>
        <x:v>Implementation-dependent</x:v>
      </x:c>
      <x:c r="Z40" s="3" t="str">
        <x:f>IF(Master!AA255="","",Master!AA255)</x:f>
        <x:v>Yes: no stated limit</x:v>
      </x:c>
      <x:c r="AA40" s="6" t="str">
        <x:f>IF(Master!AB255="","",Master!AB255)</x:f>
      </x:c>
      <x:c r="AB40" s="3" t="str">
        <x:f>IF(Master!AC255="","",Master!AC255)</x:f>
      </x:c>
      <x:c r="AC40" s="3" t="str">
        <x:f>IF(Master!AD255="","",Master!AD255)</x:f>
      </x:c>
      <x:c r="AD40" s="3" t="str">
        <x:f>IF(Master!AE255="","",Master!AE255)</x:f>
      </x:c>
      <x:c r="AE40" s="3" t="str">
        <x:f>IF(Master!AF255="","",Master!AF255)</x:f>
      </x:c>
      <x:c r="AF40" s="8" t="str">
        <x:f>IF(Master!AG255="","",Master!AG255)</x:f>
        <x:v>Provider-dependent</x:v>
      </x:c>
    </x:row>
    <x:row r="41" ht="36" customHeight="1">
      <x:c r="A41" s="17" t="s">
        <x:v>514</x:v>
      </x:c>
      <x:c r="B41" s="3" t="str">
        <x:f>IF(Master!C256="","",Master!C256)</x:f>
      </x:c>
      <x:c r="C41" s="3" t="str">
        <x:f>IF(Master!D256="","",Master!D256)</x:f>
      </x:c>
      <x:c r="D41" s="3" t="str">
        <x:f>IF(Master!E256="","",Master!E256)</x:f>
      </x:c>
      <x:c r="E41" s="3" t="str">
        <x:f>IF(Master!F256="","",Master!F256)</x:f>
      </x:c>
      <x:c r="F41" s="3" t="str">
        <x:f>IF(Master!G256="","",Master!G256)</x:f>
      </x:c>
      <x:c r="G41" s="3" t="str">
        <x:f>IF(Master!H256="","",Master!H256)</x:f>
      </x:c>
      <x:c r="H41" s="3" t="str">
        <x:f>IF(Master!I256="","",Master!I256)</x:f>
      </x:c>
      <x:c r="I41" s="3" t="str">
        <x:f>IF(Master!J256="","",Master!J256)</x:f>
      </x:c>
      <x:c r="J41" s="3" t="str">
        <x:f>IF(Master!K256="","",Master!K256)</x:f>
      </x:c>
      <x:c r="K41" s="3" t="str">
        <x:f>IF(Master!L256="","",Master!L256)</x:f>
        <x:v>Not documented</x:v>
      </x:c>
      <x:c r="L41" s="3" t="str">
        <x:f>IF(Master!M256="","",Master!M256)</x:f>
      </x:c>
      <x:c r="M41" s="3" t="str">
        <x:f>IF(Master!N256="","",Master!N256)</x:f>
      </x:c>
      <x:c r="N41" s="3" t="str">
        <x:f>IF(Master!O256="","",Master!O256)</x:f>
      </x:c>
      <x:c r="O41" s="3" t="str">
        <x:f>IF(Master!P256="","",Master!P256)</x:f>
      </x:c>
      <x:c r="P41" s="3" t="str">
        <x:f>IF(Master!Q256="","",Master!Q256)</x:f>
      </x:c>
      <x:c r="Q41" s="3" t="str">
        <x:f>IF(Master!R256="","",Master!R256)</x:f>
      </x:c>
      <x:c r="R41" s="3" t="str">
        <x:f>IF(Master!S256="","",Master!S256)</x:f>
      </x:c>
      <x:c r="S41" s="3" t="str">
        <x:f>IF(Master!T256="","",Master!T256)</x:f>
      </x:c>
      <x:c r="T41" s="3" t="str">
        <x:f>IF(Master!U256="","",Master!U256)</x:f>
        <x:v>4 in big rooms; 2 in smaller rooms</x:v>
      </x:c>
      <x:c r="U41" s="3" t="str">
        <x:f>IF(Master!V256="","",Master!V256)</x:f>
      </x:c>
      <x:c r="V41" s="3" t="str">
        <x:f>IF(Master!W256="","",Master!W256)</x:f>
      </x:c>
      <x:c r="W41" s="3" t="str">
        <x:f>IF(Master!X256="","",Master!X256)</x:f>
      </x:c>
      <x:c r="X41" s="3" t="str">
        <x:f>IF(Master!Y256="","",Master!Y256)</x:f>
      </x:c>
      <x:c r="Y41" s="3" t="str">
        <x:f>IF(Master!Z256="","",Master!Z256)</x:f>
      </x:c>
      <x:c r="Z41" s="3" t="str">
        <x:f>IF(Master!AA256="","",Master!AA256)</x:f>
        <x:v>No stated limit</x:v>
      </x:c>
      <x:c r="AA41" s="6" t="str">
        <x:f>IF(Master!AB256="","",Master!AB256)</x:f>
      </x:c>
      <x:c r="AB41" s="3" t="str">
        <x:f>IF(Master!AC256="","",Master!AC256)</x:f>
      </x:c>
      <x:c r="AC41" s="3" t="str">
        <x:f>IF(Master!AD256="","",Master!AD256)</x:f>
      </x:c>
      <x:c r="AD41" s="3" t="str">
        <x:f>IF(Master!AE256="","",Master!AE256)</x:f>
      </x:c>
      <x:c r="AE41" s="3" t="str">
        <x:f>IF(Master!AF256="","",Master!AF256)</x:f>
      </x:c>
      <x:c r="AF41" s="8" t="str">
        <x:f>IF(Master!AG256="","",Master!AG256)</x:f>
      </x:c>
    </x:row>
    <x:row r="42" ht="36" customHeight="1">
      <x:c r="A42" s="17" t="s">
        <x:v>479</x:v>
      </x:c>
      <x:c r="B42" s="3" t="str">
        <x:f>IF(Master!C257="","",Master!C257)</x:f>
        <x:v>Yes</x:v>
      </x:c>
      <x:c r="C42" s="3" t="str">
        <x:f>IF(Master!D257="","",Master!D257)</x:f>
      </x:c>
      <x:c r="D42" s="3" t="str">
        <x:f>IF(Master!E257="","",Master!E257)</x:f>
      </x:c>
      <x:c r="E42" s="3" t="str">
        <x:f>IF(Master!F257="","",Master!F257)</x:f>
        <x:v>Yes</x:v>
      </x:c>
      <x:c r="F42" s="3" t="str">
        <x:f>IF(Master!G257="","",Master!G257)</x:f>
        <x:v>Yes</x:v>
      </x:c>
      <x:c r="G42" s="3" t="str">
        <x:f>IF(Master!H257="","",Master!H257)</x:f>
        <x:v>Yes</x:v>
      </x:c>
      <x:c r="H42" s="3" t="str">
        <x:f>IF(Master!I257="","",Master!I257)</x:f>
        <x:v>Yes</x:v>
      </x:c>
      <x:c r="I42" s="3" t="str">
        <x:f>IF(Master!J257="","",Master!J257)</x:f>
      </x:c>
      <x:c r="J42" s="3" t="str">
        <x:f>IF(Master!K257="","",Master!K257)</x:f>
      </x:c>
      <x:c r="K42" s="3" t="str">
        <x:f>IF(Master!L257="","",Master!L257)</x:f>
        <x:v>Not documented</x:v>
      </x:c>
      <x:c r="L42" s="3" t="str">
        <x:f>IF(Master!M257="","",Master!M257)</x:f>
      </x:c>
      <x:c r="M42" s="3" t="str">
        <x:f>IF(Master!N257="","",Master!N257)</x:f>
        <x:v>Yes</x:v>
      </x:c>
      <x:c r="N42" s="3" t="str">
        <x:f>IF(Master!O257="","",Master!O257)</x:f>
        <x:v>Varies by client</x:v>
      </x:c>
      <x:c r="O42" s="3" t="str">
        <x:f>IF(Master!P257="","",Master!P257)</x:f>
        <x:v>Yes</x:v>
      </x:c>
      <x:c r="P42" s="3" t="str">
        <x:f>IF(Master!Q257="","",Master!Q257)</x:f>
        <x:v>Yes</x:v>
      </x:c>
      <x:c r="Q42" s="3" t="str">
        <x:f>IF(Master!R257="","",Master!R257)</x:f>
        <x:v>N/A</x:v>
      </x:c>
      <x:c r="R42" s="3" t="str">
        <x:f>IF(Master!S257="","",Master!S257)</x:f>
      </x:c>
      <x:c r="S42" s="3" t="str">
        <x:f>IF(Master!T257="","",Master!T257)</x:f>
        <x:v>Yes</x:v>
      </x:c>
      <x:c r="T42" s="3" t="str">
        <x:f>IF(Master!U257="","",Master!U257)</x:f>
        <x:v>Yes: 2 presenters in smaller rooms, 4 in big rooms</x:v>
      </x:c>
      <x:c r="U42" s="3" t="str">
        <x:f>IF(Master!V257="","",Master!V257)</x:f>
        <x:v>Yes</x:v>
      </x:c>
      <x:c r="V42" s="3" t="str">
        <x:f>IF(Master!W257="","",Master!W257)</x:f>
        <x:v>Provider-dependent</x:v>
      </x:c>
      <x:c r="W42" s="3" t="str">
        <x:f>IF(Master!X257="","",Master!X257)</x:f>
        <x:v>N/A</x:v>
      </x:c>
      <x:c r="X42" s="3" t="str">
        <x:f>IF(Master!Y257="","",Master!Y257)</x:f>
        <x:v>Yes</x:v>
      </x:c>
      <x:c r="Y42" s="3" t="str">
        <x:f>IF(Master!Z257="","",Master!Z257)</x:f>
      </x:c>
      <x:c r="Z42" s="3" t="str">
        <x:f>IF(Master!AA257="","",Master!AA257)</x:f>
        <x:v>Yes: no stated limit on simultaneous shared screens</x:v>
      </x:c>
      <x:c r="AA42" s="6" t="str">
        <x:f>IF(Master!AB257="","",Master!AB257)</x:f>
        <x:v>Yes</x:v>
      </x:c>
      <x:c r="AB42" s="3" t="str">
        <x:f>IF(Master!AC257="","",Master!AC257)</x:f>
      </x:c>
      <x:c r="AC42" s="3" t="str">
        <x:f>IF(Master!AD257="","",Master!AD257)</x:f>
      </x:c>
      <x:c r="AD42" s="3" t="str">
        <x:f>IF(Master!AE257="","",Master!AE257)</x:f>
        <x:v>Yes</x:v>
      </x:c>
      <x:c r="AE42" s="3" t="str">
        <x:f>IF(Master!AF257="","",Master!AF257)</x:f>
      </x:c>
      <x:c r="AF42" s="8" t="str">
        <x:f>IF(Master!AG257="","",Master!AG257)</x:f>
        <x:v>Provider-dependent</x:v>
      </x:c>
    </x:row>
    <x:row r="43" ht="23.100000381469727" customHeight="1">
      <x:c r="A43" s="17" t="s">
        <x:v>407</x:v>
      </x:c>
      <x:c r="B43" s="4" t="str">
        <x:f>IF(Master!C258="","",Master!C258)</x:f>
        <x:v>25 when video active in server voice</x:v>
      </x:c>
      <x:c r="C43" s="4" t="str">
        <x:f>IF(Master!D258="","",Master!D258)</x:f>
      </x:c>
      <x:c r="D43" s="4" t="str">
        <x:f>IF(Master!E258="","",Master!E258)</x:f>
      </x:c>
      <x:c r="E43" s="4" t="str">
        <x:f>IF(Master!F258="","",Master!F258)</x:f>
      </x:c>
      <x:c r="F43" s="4" t="str">
        <x:f>IF(Master!G258="","",Master!G258)</x:f>
      </x:c>
      <x:c r="G43" s="4" t="str">
        <x:f>IF(Master!H258="","",Master!H258)</x:f>
      </x:c>
      <x:c r="H43" s="4" t="str">
        <x:f>IF(Master!I258="","",Master!I258)</x:f>
      </x:c>
      <x:c r="I43" s="4" t="str">
        <x:f>IF(Master!J258="","",Master!J258)</x:f>
      </x:c>
      <x:c r="J43" s="4" t="str">
        <x:f>IF(Master!K258="","",Master!K258)</x:f>
        <x:v>No</x:v>
      </x:c>
      <x:c r="K43" s="4" t="str">
        <x:f>IF(Master!L258="","",Master!L258)</x:f>
        <x:v>Not documented</x:v>
      </x:c>
      <x:c r="L43" s="4" t="str">
        <x:f>IF(Master!M258="","",Master!M258)</x:f>
      </x:c>
      <x:c r="M43" s="4" t="str">
        <x:f>IF(Master!N258="","",Master!N258)</x:f>
      </x:c>
      <x:c r="N43" s="4" t="str">
        <x:f>IF(Master!O258="","",Master!O258)</x:f>
        <x:v>Client-dependent</x:v>
      </x:c>
      <x:c r="O43" s="4" t="str">
        <x:f>IF(Master!P258="","",Master!P258)</x:f>
        <x:v>Yes</x:v>
      </x:c>
      <x:c r="P43" s="4" t="str">
        <x:f>IF(Master!Q258="","",Master!Q258)</x:f>
      </x:c>
      <x:c r="Q43" s="4" t="str">
        <x:f>IF(Master!R258="","",Master!R258)</x:f>
        <x:v>No</x:v>
      </x:c>
      <x:c r="R43" s="4" t="str">
        <x:f>IF(Master!S258="","",Master!S258)</x:f>
      </x:c>
      <x:c r="S43" s="4" t="str">
        <x:f>IF(Master!T258="","",Master!T258)</x:f>
      </x:c>
      <x:c r="T43" s="4" t="str">
        <x:f>IF(Master!U258="","",Master!U258)</x:f>
      </x:c>
      <x:c r="U43" s="4" t="str">
        <x:f>IF(Master!V258="","",Master!V258)</x:f>
      </x:c>
      <x:c r="V43" s="4" t="str">
        <x:f>IF(Master!W258="","",Master!W258)</x:f>
        <x:v>Provider-dependent</x:v>
      </x:c>
      <x:c r="W43" s="4" t="str">
        <x:f>IF(Master!X258="","",Master!X258)</x:f>
        <x:v>N/A</x:v>
      </x:c>
      <x:c r="X43" s="4" t="str">
        <x:f>IF(Master!Y258="","",Master!Y258)</x:f>
      </x:c>
      <x:c r="Y43" s="4" t="str">
        <x:f>IF(Master!Z258="","",Master!Z258)</x:f>
      </x:c>
      <x:c r="Z43" s="4" t="str">
        <x:f>IF(Master!AA258="","",Master!AA258)</x:f>
        <x:v>No stated camera-per-call limit</x:v>
      </x:c>
      <x:c r="AA43" s="5" t="str">
        <x:f>IF(Master!AB258="","",Master!AB258)</x:f>
      </x:c>
      <x:c r="AB43" s="4" t="str">
        <x:f>IF(Master!AC258="","",Master!AC258)</x:f>
      </x:c>
      <x:c r="AC43" s="4" t="str">
        <x:f>IF(Master!AD258="","",Master!AD258)</x:f>
      </x:c>
      <x:c r="AD43" s="4" t="str">
        <x:f>IF(Master!AE258="","",Master!AE258)</x:f>
      </x:c>
      <x:c r="AE43" s="4" t="str">
        <x:f>IF(Master!AF258="","",Master!AF258)</x:f>
        <x:v>No</x:v>
      </x:c>
      <x:c r="AF43" s="8" t="str">
        <x:f>IF(Master!AG258="","",Master!AG258)</x:f>
        <x:v>Provider-dependent</x:v>
      </x:c>
    </x:row>
    <x:row r="44" ht="23.100000381469727" customHeight="1">
      <x:c r="A44" s="17" t="s">
        <x:v>480</x:v>
      </x:c>
      <x:c r="B44" s="4" t="str">
        <x:f>IF(Master!C259="","",Master!C259)</x:f>
      </x:c>
      <x:c r="C44" s="4" t="str">
        <x:f>IF(Master!D259="","",Master!D259)</x:f>
      </x:c>
      <x:c r="D44" s="4" t="str">
        <x:f>IF(Master!E259="","",Master!E259)</x:f>
      </x:c>
      <x:c r="E44" s="4" t="str">
        <x:f>IF(Master!F259="","",Master!F259)</x:f>
      </x:c>
      <x:c r="F44" s="4" t="str">
        <x:f>IF(Master!G259="","",Master!G259)</x:f>
      </x:c>
      <x:c r="G44" s="4" t="str">
        <x:f>IF(Master!H259="","",Master!H259)</x:f>
      </x:c>
      <x:c r="H44" s="4" t="str">
        <x:f>IF(Master!I259="","",Master!I259)</x:f>
      </x:c>
      <x:c r="I44" s="4" t="str">
        <x:f>IF(Master!J259="","",Master!J259)</x:f>
      </x:c>
      <x:c r="J44" s="4" t="str">
        <x:f>IF(Master!K259="","",Master!K259)</x:f>
      </x:c>
      <x:c r="K44" s="4" t="str">
        <x:f>IF(Master!L259="","",Master!L259)</x:f>
        <x:v>Yes: developer reports Stage channels; screen-share publication is separately permissioned</x:v>
      </x:c>
      <x:c r="L44" s="4" t="str">
        <x:f>IF(Master!M259="","",Master!M259)</x:f>
      </x:c>
      <x:c r="M44" s="4" t="str">
        <x:f>IF(Master!N259="","",Master!N259)</x:f>
      </x:c>
      <x:c r="N44" s="4" t="str">
        <x:f>IF(Master!O259="","",Master!O259)</x:f>
      </x:c>
      <x:c r="O44" s="4" t="str">
        <x:f>IF(Master!P259="","",Master!P259)</x:f>
      </x:c>
      <x:c r="P44" s="4" t="str">
        <x:f>IF(Master!Q259="","",Master!Q259)</x:f>
      </x:c>
      <x:c r="Q44" s="4" t="str">
        <x:f>IF(Master!R259="","",Master!R259)</x:f>
      </x:c>
      <x:c r="R44" s="4" t="str">
        <x:f>IF(Master!S259="","",Master!S259)</x:f>
      </x:c>
      <x:c r="S44" s="4" t="str">
        <x:f>IF(Master!T259="","",Master!T259)</x:f>
      </x:c>
      <x:c r="T44" s="4" t="str">
        <x:f>IF(Master!U259="","",Master!U259)</x:f>
      </x:c>
      <x:c r="U44" s="4" t="str">
        <x:f>IF(Master!V259="","",Master!V259)</x:f>
      </x:c>
      <x:c r="V44" s="4" t="str">
        <x:f>IF(Master!W259="","",Master!W259)</x:f>
      </x:c>
      <x:c r="W44" s="4" t="str">
        <x:f>IF(Master!X259="","",Master!X259)</x:f>
      </x:c>
      <x:c r="X44" s="4" t="str">
        <x:f>IF(Master!Y259="","",Master!Y259)</x:f>
      </x:c>
      <x:c r="Y44" s="4" t="str">
        <x:f>IF(Master!Z259="","",Master!Z259)</x:f>
      </x:c>
      <x:c r="Z44" s="4" t="str">
        <x:f>IF(Master!AA259="","",Master!AA259)</x:f>
      </x:c>
      <x:c r="AA44" s="5" t="str">
        <x:f>IF(Master!AB259="","",Master!AB259)</x:f>
      </x:c>
      <x:c r="AB44" s="4" t="str">
        <x:f>IF(Master!AC259="","",Master!AC259)</x:f>
      </x:c>
      <x:c r="AC44" s="4" t="str">
        <x:f>IF(Master!AD259="","",Master!AD259)</x:f>
      </x:c>
      <x:c r="AD44" s="4" t="str">
        <x:f>IF(Master!AE259="","",Master!AE259)</x:f>
      </x:c>
      <x:c r="AE44" s="4" t="str">
        <x:f>IF(Master!AF259="","",Master!AF259)</x:f>
      </x:c>
      <x:c r="AF44" s="8" t="str">
        <x:f>IF(Master!AG259="","",Master!AG259)</x:f>
      </x:c>
    </x:row>
    <x:row r="45" ht="21.950000762939453" customHeight="1">
      <x:c r="A45" s="18" t="s">
        <x:v>413</x:v>
      </x:c>
      <x:c r="B45" s="18" t="str">
        <x:f t="shared" ref="B45:AF45" si="5">IF(""="","","")</x:f>
      </x:c>
      <x:c r="C45" s="18" t="str">
        <x:f t="shared" si="5"/>
      </x:c>
      <x:c r="D45" s="18" t="str">
        <x:f t="shared" si="5"/>
      </x:c>
      <x:c r="E45" s="18" t="str">
        <x:f t="shared" si="5"/>
      </x:c>
      <x:c r="F45" s="18" t="str">
        <x:f t="shared" si="5"/>
      </x:c>
      <x:c r="G45" s="18" t="str">
        <x:f t="shared" si="5"/>
      </x:c>
      <x:c r="H45" s="18" t="str">
        <x:f t="shared" si="5"/>
      </x:c>
      <x:c r="I45" s="18" t="str">
        <x:f t="shared" si="5"/>
      </x:c>
      <x:c r="J45" s="18" t="str">
        <x:f t="shared" si="5"/>
      </x:c>
      <x:c r="K45" s="18" t="str">
        <x:f t="shared" si="5"/>
      </x:c>
      <x:c r="L45" s="18" t="str">
        <x:f t="shared" si="5"/>
      </x:c>
      <x:c r="M45" s="18" t="str">
        <x:f t="shared" si="5"/>
      </x:c>
      <x:c r="N45" s="18" t="str">
        <x:f t="shared" si="5"/>
      </x:c>
      <x:c r="O45" s="18" t="str">
        <x:f t="shared" si="5"/>
      </x:c>
      <x:c r="P45" s="18" t="str">
        <x:f t="shared" si="5"/>
      </x:c>
      <x:c r="Q45" s="18" t="str">
        <x:f t="shared" si="5"/>
      </x:c>
      <x:c r="R45" s="18" t="str">
        <x:f t="shared" si="5"/>
      </x:c>
      <x:c r="S45" s="18" t="str">
        <x:f t="shared" si="5"/>
      </x:c>
      <x:c r="T45" s="18" t="str">
        <x:f t="shared" si="5"/>
      </x:c>
      <x:c r="U45" s="18" t="str">
        <x:f t="shared" si="5"/>
      </x:c>
      <x:c r="V45" s="18" t="str">
        <x:f t="shared" si="5"/>
      </x:c>
      <x:c r="W45" s="18" t="str">
        <x:f t="shared" si="5"/>
      </x:c>
      <x:c r="X45" s="18" t="str">
        <x:f t="shared" si="5"/>
      </x:c>
      <x:c r="Y45" s="18" t="str">
        <x:f t="shared" si="5"/>
      </x:c>
      <x:c r="Z45" s="18" t="str">
        <x:f t="shared" si="5"/>
      </x:c>
      <x:c r="AA45" s="18" t="str">
        <x:f t="shared" si="5"/>
      </x:c>
      <x:c r="AB45" s="18" t="str">
        <x:f t="shared" si="5"/>
      </x:c>
      <x:c r="AC45" s="18" t="str">
        <x:f t="shared" si="5"/>
      </x:c>
      <x:c r="AD45" s="18" t="str">
        <x:f t="shared" si="5"/>
      </x:c>
      <x:c r="AE45" s="18" t="str">
        <x:f t="shared" si="5"/>
      </x:c>
      <x:c r="AF45" s="19" t="str">
        <x:f t="shared" si="5"/>
      </x:c>
    </x:row>
    <x:row r="46" ht="36" customHeight="1">
      <x:c r="A46" s="17" t="s">
        <x:v>515</x:v>
      </x:c>
      <x:c r="B46" s="3" t="str">
        <x:f>IF(Master!C260="","",Master!C260)</x:f>
        <x:v>https://support.discord.com/hc/en-us/articles/360040816151-Go-Live-and-Screen-Share</x:v>
      </x:c>
      <x:c r="C46" s="3" t="str">
        <x:f>IF(Master!D260="","",Master!D260)</x:f>
      </x:c>
      <x:c r="D46" s="3" t="str">
        <x:f>IF(Master!E260="","",Master!E260)</x:f>
      </x:c>
      <x:c r="E46" s="3" t="str">
        <x:f>IF(Master!F260="","",Master!F260)</x:f>
      </x:c>
      <x:c r="F46" s="3" t="str">
        <x:f>IF(Master!G260="","",Master!G260)</x:f>
      </x:c>
      <x:c r="G46" s="3" t="str">
        <x:f>IF(Master!H260="","",Master!H260)</x:f>
        <x:v>https://fluxer.app/plutonium</x:v>
      </x:c>
      <x:c r="H46" s="3" t="str">
        <x:f>IF(Master!I260="","",Master!I260)</x:f>
        <x:v>https://gamevox.com/</x:v>
      </x:c>
      <x:c r="I46" s="3" t="str">
        <x:f>IF(Master!J260="","",Master!J260)</x:f>
      </x:c>
      <x:c r="J46" s="3" t="str">
        <x:f>IF(Master!K260="","",Master!K260)</x:f>
      </x:c>
      <x:c r="K46" s="3" t="str">
        <x:f>IF(Master!L260="","",Master!L260)</x:f>
        <x:v>https://github.com/CookieNom/KaedeChat/blob/main/docs/screen-sharing-quality.md</x:v>
      </x:c>
      <x:c r="L46" s="3" t="str">
        <x:f>IF(Master!M260="","",Master!M260)</x:f>
      </x:c>
      <x:c r="M46" s="3" t="str">
        <x:f>IF(Master!N260="","",Master!N260)</x:f>
      </x:c>
      <x:c r="N46" s="3" t="str">
        <x:f>IF(Master!O260="","",Master!O260)</x:f>
      </x:c>
      <x:c r="O46" s="3" t="str">
        <x:f>IF(Master!P260="","",Master!P260)</x:f>
      </x:c>
      <x:c r="P46" s="3" t="str">
        <x:f>IF(Master!Q260="","",Master!Q260)</x:f>
        <x:v>https://mezon.ai/docs/user/resources/FAQ/</x:v>
      </x:c>
      <x:c r="Q46" s="3" t="str">
        <x:f>IF(Master!R260="","",Master!R260)</x:f>
      </x:c>
      <x:c r="R46" s="3" t="str">
        <x:f>IF(Master!S260="","",Master!S260)</x:f>
      </x:c>
      <x:c r="S46" s="3" t="str">
        <x:f>IF(Master!T260="","",Master!T260)</x:f>
      </x:c>
      <x:c r="T46" s="3" t="str">
        <x:f>IF(Master!U260="","",Master!U260)</x:f>
        <x:v>https://pqp.gg/</x:v>
      </x:c>
      <x:c r="U46" s="3" t="str">
        <x:f>IF(Master!V260="","",Master!V260)</x:f>
        <x:v>https://therift.chat/de/plans/</x:v>
      </x:c>
      <x:c r="V46" s="3" t="str">
        <x:f>IF(Master!W260="","",Master!W260)</x:f>
      </x:c>
      <x:c r="W46" s="3" t="str">
        <x:f>IF(Master!X260="","",Master!X260)</x:f>
      </x:c>
      <x:c r="X46" s="3" t="str">
        <x:f>IF(Master!Y260="","",Master!Y260)</x:f>
        <x:v>https://support.rootapp.com/docs/sudo/get-started/sudo-faqs/</x:v>
      </x:c>
      <x:c r="Y46" s="3" t="str">
        <x:f>IF(Master!Z260="","",Master!Z260)</x:f>
      </x:c>
      <x:c r="Z46" s="3" t="str">
        <x:f>IF(Master!AA260="","",Master!AA260)</x:f>
        <x:v>https://stoat.chat/release-notes/93eb1f4ec77444ca9fb13617e0e6c0b1</x:v>
      </x:c>
      <x:c r="AA46" s="6" t="str">
        <x:f>IF(Master!AB260="","",Master!AB260)</x:f>
        <x:v>https://community.teamspeak.com/t/teamspeak-6-0-0-beta1-screen-camera-sharing-communities-design-overhaul/54925</x:v>
      </x:c>
      <x:c r="AB46" s="3" t="str">
        <x:f>IF(Master!AC260="","",Master!AC260)</x:f>
      </x:c>
      <x:c r="AC46" s="3" t="str">
        <x:f>IF(Master!AD260="","",Master!AD260)</x:f>
      </x:c>
      <x:c r="AD46" s="3" t="str">
        <x:f>IF(Master!AE260="","",Master!AE260)</x:f>
        <x:v>https://weered.ca/alternatives/discord</x:v>
      </x:c>
      <x:c r="AE46" s="3" t="str">
        <x:f>IF(Master!AF260="","",Master!AF260)</x:f>
      </x:c>
      <x:c r="AF46" s="8" t="str">
        <x:f>IF(Master!AG260="","",Master!AG260)</x:f>
      </x:c>
    </x:row>
    <x:row r="47" ht="36" customHeight="1">
      <x:c r="A47" s="17" t="s">
        <x:v>516</x:v>
      </x:c>
      <x:c r="B47" s="3" t="str">
        <x:f>IF(Master!C261="","",Master!C261)</x:f>
        <x:v>Voice/video/Go Live E2EE by default except Stage.</x:v>
      </x:c>
      <x:c r="C47" s="3" t="str">
        <x:f>IF(Master!D261="","",Master!D261)</x:f>
        <x:v>Voice exists; detailed limits are not publicly documented.</x:v>
      </x:c>
      <x:c r="D47" s="3" t="str">
        <x:f>IF(Master!E261="","",Master!E261)</x:f>
        <x:v>Media limits are software/operator-configurable rather than a paid tier.</x:v>
      </x:c>
      <x:c r="E47" s="3" t="str">
        <x:f>IF(Master!F261="","",Master!F261)</x:f>
        <x:v>LiveKit-based voice/video/screen sharing.</x:v>
      </x:c>
      <x:c r="F47" s="3" t="str">
        <x:f>IF(Master!G261="","",Master!G261)</x:f>
        <x:v>Alpha behavior/limits can change.</x:v>
      </x:c>
      <x:c r="G47" s="3" t="str">
        <x:f>IF(Master!H261="","",Master!H261)</x:f>
        <x:v>Nothing is E2EE yet per Sep 13 privacy policy.</x:v>
      </x:c>
      <x:c r="H47" s="3" t="str">
        <x:f>IF(Master!I261="","",Master!I261)</x:f>
        <x:v>Voice-first gaming platform.</x:v>
      </x:c>
      <x:c r="I47" s="3" t="str">
        <x:f>IF(Master!J261="","",Master!J261)</x:f>
        <x:v>Media is early/incomplete.</x:v>
      </x:c>
      <x:c r="J47" s="3" t="str">
        <x:f>IF(Master!K261="","",Master!K261)</x:f>
        <x:v>Media is peer-to-peer rather than server-room focused.</x:v>
      </x:c>
      <x:c r="K47" s="3" t="str">
        <x:f>IF(Master!L261="","",Master!L261)</x:f>
        <x:v>Current public documentation: 720p15/30, 1080p30, Source up to 4K native at 30 FPS; audio-capture behavior varies by platform. Developer questionnaire separately reported 4K60 + audio capture.</x:v>
      </x:c>
      <x:c r="L47" s="3" t="str">
        <x:f>IF(Master!M261="","",Master!M261)</x:f>
        <x:v>Media limits not well documented.</x:v>
      </x:c>
      <x:c r="M47" s="3" t="str">
        <x:f>IF(Master!N261="","",Master!N261)</x:f>
        <x:v>Voice/video/screen share are live in open beta.</x:v>
      </x:c>
      <x:c r="N47" s="3" t="str">
        <x:f>IF(Master!O261="","",Master!O261)</x:f>
        <x:v>Media limits depend on the client, homeserver, and SFU deployment; Matrix has no universal platform limit.</x:v>
      </x:c>
      <x:c r="O47" s="3" t="str">
        <x:f>IF(Master!P261="","",Master!P261)</x:f>
        <x:v>Native Calls supports screen share and meeting-style controls.</x:v>
      </x:c>
      <x:c r="P47" s="3" t="str">
        <x:f>IF(Master!Q261="","",Master!Q261)</x:f>
        <x:v>No paywall on voice/video quality claimed.</x:v>
      </x:c>
      <x:c r="Q47" s="3" t="str">
        <x:f>IF(Master!R261="","",Master!R261)</x:f>
        <x:v>Purpose-built voice; no webcam/screen-sharing core.</x:v>
      </x:c>
      <x:c r="R47" s="3" t="str">
        <x:f>IF(Master!S261="","",Master!S261)</x:f>
        <x:v>public documentation emphasize chat more than media limits.</x:v>
      </x:c>
      <x:c r="S47" s="3" t="str">
        <x:f>IF(Master!T261="","",Master!T261)</x:f>
        <x:v>Custom voice infrastructure is a headline feature.</x:v>
      </x:c>
      <x:c r="T47" s="3" t="str">
        <x:f>IF(Master!U261="","",Master!U261)</x:f>
        <x:v>Browser screen share supports tab audio at 360p-1080p. Smaller rooms allow 2 presenters; big rooms allow 4. A hosted watch party has exceeded 100 participants.</x:v>
      </x:c>
      <x:c r="U47" s="3" t="str">
        <x:f>IF(Master!V261="","",Master!V261)</x:f>
        <x:v>Rift's current pricing page lists 1080p free, 1440p Rift+ Pricing page used as authority.</x:v>
      </x:c>
      <x:c r="V47" s="3" t="str">
        <x:f>IF(Master!W261="","",Master!W261)</x:f>
        <x:v>Media calling varies by Rocket.Chat deployment; there is no single fixed platform profile.</x:v>
      </x:c>
      <x:c r="W47" s="3" t="str">
        <x:f>IF(Master!X261="","",Master!X261)</x:f>
        <x:v>Text/community-gardening focus.</x:v>
      </x:c>
      <x:c r="X47" s="3" t="str">
        <x:f>IF(Master!Y261="","",Master!Y261)</x:f>
        <x:v>Mobile can view shared screens.</x:v>
      </x:c>
      <x:c r="Y47" s="3" t="str">
        <x:f>IF(Master!Z261="","",Master!Z261)</x:f>
        <x:v>Voice is optional and disabled unless operator installs a compatible media implementation.</x:v>
      </x:c>
      <x:c r="Z47" s="3" t="str">
        <x:f>IF(Master!AA261="","",Master!AA261)</x:f>
        <x:v>Video chat and screen share launched 2026-07-17. Current quality: 720p30. Supports full-screen/window sharing with audio on desktop, browser, and mobile. No screen/camera count limit is stated.</x:v>
      </x:c>
      <x:c r="AA47" s="6" t="str">
        <x:f>IF(Master!AB261="","",Master!AB261)</x:f>
        <x:v>TS6 screen sharing is still evolving; server-side streaming has lagged behind P2P. No stable official resolution-tier table was found.</x:v>
      </x:c>
      <x:c r="AB47" s="3" t="str">
        <x:f>IF(Master!AC261="","",Master!AC261)</x:f>
      </x:c>
      <x:c r="AC47" s="3" t="str">
        <x:f>IF(Master!AD261="","",Master!AD261)</x:f>
        <x:v>Media details sparse.</x:v>
      </x:c>
      <x:c r="AD47" s="3" t="str">
        <x:f>IF(Master!AE261="","",Master!AE261)</x:f>
        <x:v>Designed around always-present game-room media.</x:v>
      </x:c>
      <x:c r="AE47" s="3" t="str">
        <x:f>IF(Master!AF261="","",Master!AF261)</x:f>
        <x:v>Self-host resource capacity determines practical limits.</x:v>
      </x:c>
      <x:c r="AF47" s="8" t="str">
        <x:f>IF(Master!AG261="","",Master!AG261)</x:f>
        <x:v>Voice/video are intentionally delegated to services such as Jitsi/Zoom/BigBlueButton.</x:v>
      </x:c>
    </x:row>
    <x:row r="48" ht="21.950000762939453" customHeight="1">
      <x:c r="A48" s="18" t="s">
        <x:v>517</x:v>
      </x:c>
      <x:c r="B48" s="18" t="str">
        <x:f t="shared" ref="B48:AF48" si="6">IF(""="","","")</x:f>
      </x:c>
      <x:c r="C48" s="18" t="str">
        <x:f t="shared" si="6"/>
      </x:c>
      <x:c r="D48" s="18" t="str">
        <x:f t="shared" si="6"/>
      </x:c>
      <x:c r="E48" s="18" t="str">
        <x:f t="shared" si="6"/>
      </x:c>
      <x:c r="F48" s="18" t="str">
        <x:f t="shared" si="6"/>
      </x:c>
      <x:c r="G48" s="18" t="str">
        <x:f t="shared" si="6"/>
      </x:c>
      <x:c r="H48" s="18" t="str">
        <x:f t="shared" si="6"/>
      </x:c>
      <x:c r="I48" s="18" t="str">
        <x:f t="shared" si="6"/>
      </x:c>
      <x:c r="J48" s="18" t="str">
        <x:f t="shared" si="6"/>
      </x:c>
      <x:c r="K48" s="18" t="str">
        <x:f t="shared" si="6"/>
      </x:c>
      <x:c r="L48" s="18" t="str">
        <x:f t="shared" si="6"/>
      </x:c>
      <x:c r="M48" s="18" t="str">
        <x:f t="shared" si="6"/>
      </x:c>
      <x:c r="N48" s="18" t="str">
        <x:f t="shared" si="6"/>
      </x:c>
      <x:c r="O48" s="18" t="str">
        <x:f t="shared" si="6"/>
      </x:c>
      <x:c r="P48" s="18" t="str">
        <x:f t="shared" si="6"/>
      </x:c>
      <x:c r="Q48" s="18" t="str">
        <x:f t="shared" si="6"/>
      </x:c>
      <x:c r="R48" s="18" t="str">
        <x:f t="shared" si="6"/>
      </x:c>
      <x:c r="S48" s="18" t="str">
        <x:f t="shared" si="6"/>
      </x:c>
      <x:c r="T48" s="18" t="str">
        <x:f t="shared" si="6"/>
      </x:c>
      <x:c r="U48" s="18" t="str">
        <x:f t="shared" si="6"/>
      </x:c>
      <x:c r="V48" s="18" t="str">
        <x:f t="shared" si="6"/>
      </x:c>
      <x:c r="W48" s="18" t="str">
        <x:f t="shared" si="6"/>
      </x:c>
      <x:c r="X48" s="18" t="str">
        <x:f t="shared" si="6"/>
      </x:c>
      <x:c r="Y48" s="18" t="str">
        <x:f t="shared" si="6"/>
      </x:c>
      <x:c r="Z48" s="18" t="str">
        <x:f t="shared" si="6"/>
      </x:c>
      <x:c r="AA48" s="18" t="str">
        <x:f t="shared" si="6"/>
      </x:c>
      <x:c r="AB48" s="18" t="str">
        <x:f t="shared" si="6"/>
      </x:c>
      <x:c r="AC48" s="18" t="str">
        <x:f t="shared" si="6"/>
      </x:c>
      <x:c r="AD48" s="18" t="str">
        <x:f t="shared" si="6"/>
      </x:c>
      <x:c r="AE48" s="18" t="str">
        <x:f t="shared" si="6"/>
      </x:c>
      <x:c r="AF48" s="19" t="str">
        <x:f t="shared" si="6"/>
      </x:c>
    </x:row>
    <x:row r="49" ht="23.100000381469727" customHeight="1">
      <x:c r="A49" s="17" t="s">
        <x:v>518</x:v>
      </x:c>
      <x:c r="B49" s="4" t="str">
        <x:f>IF(Master!C262="","",Master!C262)</x:f>
      </x:c>
      <x:c r="C49" s="4" t="str">
        <x:f>IF(Master!D262="","",Master!D262)</x:f>
      </x:c>
      <x:c r="D49" s="4" t="str">
        <x:f>IF(Master!E262="","",Master!E262)</x:f>
      </x:c>
      <x:c r="E49" s="4" t="str">
        <x:f>IF(Master!F262="","",Master!F262)</x:f>
      </x:c>
      <x:c r="F49" s="4" t="str">
        <x:f>IF(Master!G262="","",Master!G262)</x:f>
      </x:c>
      <x:c r="G49" s="4" t="str">
        <x:f>IF(Master!H262="","",Master!H262)</x:f>
      </x:c>
      <x:c r="H49" s="4" t="str">
        <x:f>IF(Master!I262="","",Master!I262)</x:f>
      </x:c>
      <x:c r="I49" s="4" t="str">
        <x:f>IF(Master!J262="","",Master!J262)</x:f>
      </x:c>
      <x:c r="J49" s="4" t="str">
        <x:f>IF(Master!K262="","",Master!K262)</x:f>
      </x:c>
      <x:c r="K49" s="4" t="str">
        <x:f>IF(Master!L262="","",Master!L262)</x:f>
        <x:v>Yes: mobile and desktop PiP/pop-out behavior documented</x:v>
      </x:c>
      <x:c r="L49" s="4" t="str">
        <x:f>IF(Master!M262="","",Master!M262)</x:f>
      </x:c>
      <x:c r="M49" s="4" t="str">
        <x:f>IF(Master!N262="","",Master!N262)</x:f>
      </x:c>
      <x:c r="N49" s="4" t="str">
        <x:f>IF(Master!O262="","",Master!O262)</x:f>
      </x:c>
      <x:c r="O49" s="4" t="str">
        <x:f>IF(Master!P262="","",Master!P262)</x:f>
      </x:c>
      <x:c r="P49" s="4" t="str">
        <x:f>IF(Master!Q262="","",Master!Q262)</x:f>
      </x:c>
      <x:c r="Q49" s="4" t="str">
        <x:f>IF(Master!R262="","",Master!R262)</x:f>
      </x:c>
      <x:c r="R49" s="4" t="str">
        <x:f>IF(Master!S262="","",Master!S262)</x:f>
      </x:c>
      <x:c r="S49" s="4" t="str">
        <x:f>IF(Master!T262="","",Master!T262)</x:f>
      </x:c>
      <x:c r="T49" s="4" t="str">
        <x:f>IF(Master!U262="","",Master!U262)</x:f>
      </x:c>
      <x:c r="U49" s="4" t="str">
        <x:f>IF(Master!V262="","",Master!V262)</x:f>
        <x:v>Yes</x:v>
      </x:c>
      <x:c r="V49" s="4" t="str">
        <x:f>IF(Master!W262="","",Master!W262)</x:f>
      </x:c>
      <x:c r="W49" s="4" t="str">
        <x:f>IF(Master!X262="","",Master!X262)</x:f>
      </x:c>
      <x:c r="X49" s="4" t="str">
        <x:f>IF(Master!Y262="","",Master!Y262)</x:f>
      </x:c>
      <x:c r="Y49" s="4" t="str">
        <x:f>IF(Master!Z262="","",Master!Z262)</x:f>
      </x:c>
      <x:c r="Z49" s="4" t="str">
        <x:f>IF(Master!AA262="","",Master!AA262)</x:f>
      </x:c>
      <x:c r="AA49" s="5" t="str">
        <x:f>IF(Master!AB262="","",Master!AB262)</x:f>
      </x:c>
      <x:c r="AB49" s="4" t="str">
        <x:f>IF(Master!AC262="","",Master!AC262)</x:f>
      </x:c>
      <x:c r="AC49" s="4" t="str">
        <x:f>IF(Master!AD262="","",Master!AD262)</x:f>
      </x:c>
      <x:c r="AD49" s="4" t="str">
        <x:f>IF(Master!AE262="","",Master!AE262)</x:f>
      </x:c>
      <x:c r="AE49" s="4" t="str">
        <x:f>IF(Master!AF262="","",Master!AF262)</x:f>
      </x:c>
      <x:c r="AF49" s="8" t="str">
        <x:f>IF(Master!AG262="","",Master!AG262)</x:f>
      </x:c>
    </x:row>
    <x:row r="50" ht="23.100000381469727" customHeight="1">
      <x:c r="A50" s="17" t="s">
        <x:v>519</x:v>
      </x:c>
      <x:c r="B50" s="4" t="str">
        <x:f>IF(Master!C263="","",Master!C263)</x:f>
      </x:c>
      <x:c r="C50" s="4" t="str">
        <x:f>IF(Master!D263="","",Master!D263)</x:f>
      </x:c>
      <x:c r="D50" s="4" t="str">
        <x:f>IF(Master!E263="","",Master!E263)</x:f>
      </x:c>
      <x:c r="E50" s="4" t="str">
        <x:f>IF(Master!F263="","",Master!F263)</x:f>
      </x:c>
      <x:c r="F50" s="4" t="str">
        <x:f>IF(Master!G263="","",Master!G263)</x:f>
      </x:c>
      <x:c r="G50" s="4" t="str">
        <x:f>IF(Master!H263="","",Master!H263)</x:f>
      </x:c>
      <x:c r="H50" s="4" t="str">
        <x:f>IF(Master!I263="","",Master!I263)</x:f>
      </x:c>
      <x:c r="I50" s="4" t="str">
        <x:f>IF(Master!J263="","",Master!J263)</x:f>
      </x:c>
      <x:c r="J50" s="4" t="str">
        <x:f>IF(Master!K263="","",Master!K263)</x:f>
      </x:c>
      <x:c r="K50" s="4" t="str">
        <x:f>IF(Master!L263="","",Master!L263)</x:f>
        <x:v>Yes: WebRTC may reduce resolution/frame rate under congestion</x:v>
      </x:c>
      <x:c r="L50" s="4" t="str">
        <x:f>IF(Master!M263="","",Master!M263)</x:f>
      </x:c>
      <x:c r="M50" s="4" t="str">
        <x:f>IF(Master!N263="","",Master!N263)</x:f>
      </x:c>
      <x:c r="N50" s="4" t="str">
        <x:f>IF(Master!O263="","",Master!O263)</x:f>
      </x:c>
      <x:c r="O50" s="4" t="str">
        <x:f>IF(Master!P263="","",Master!P263)</x:f>
      </x:c>
      <x:c r="P50" s="4" t="str">
        <x:f>IF(Master!Q263="","",Master!Q263)</x:f>
      </x:c>
      <x:c r="Q50" s="4" t="str">
        <x:f>IF(Master!R263="","",Master!R263)</x:f>
      </x:c>
      <x:c r="R50" s="4" t="str">
        <x:f>IF(Master!S263="","",Master!S263)</x:f>
      </x:c>
      <x:c r="S50" s="4" t="str">
        <x:f>IF(Master!T263="","",Master!T263)</x:f>
      </x:c>
      <x:c r="T50" s="4" t="str">
        <x:f>IF(Master!U263="","",Master!U263)</x:f>
      </x:c>
      <x:c r="U50" s="4" t="str">
        <x:f>IF(Master!V263="","",Master!V263)</x:f>
        <x:v>Yes</x:v>
      </x:c>
      <x:c r="V50" s="4" t="str">
        <x:f>IF(Master!W263="","",Master!W263)</x:f>
      </x:c>
      <x:c r="W50" s="4" t="str">
        <x:f>IF(Master!X263="","",Master!X263)</x:f>
      </x:c>
      <x:c r="X50" s="4" t="str">
        <x:f>IF(Master!Y263="","",Master!Y263)</x:f>
      </x:c>
      <x:c r="Y50" s="4" t="str">
        <x:f>IF(Master!Z263="","",Master!Z263)</x:f>
      </x:c>
      <x:c r="Z50" s="4" t="str">
        <x:f>IF(Master!AA263="","",Master!AA263)</x:f>
      </x:c>
      <x:c r="AA50" s="5" t="str">
        <x:f>IF(Master!AB263="","",Master!AB263)</x:f>
      </x:c>
      <x:c r="AB50" s="4" t="str">
        <x:f>IF(Master!AC263="","",Master!AC263)</x:f>
      </x:c>
      <x:c r="AC50" s="4" t="str">
        <x:f>IF(Master!AD263="","",Master!AD263)</x:f>
      </x:c>
      <x:c r="AD50" s="4" t="str">
        <x:f>IF(Master!AE263="","",Master!AE263)</x:f>
      </x:c>
      <x:c r="AE50" s="4" t="str">
        <x:f>IF(Master!AF263="","",Master!AF263)</x:f>
      </x:c>
      <x:c r="AF50" s="8" t="str">
        <x:f>IF(Master!AG263="","",Master!AG263)</x:f>
      </x:c>
    </x:row>
    <x:row r="51" ht="36" customHeight="1">
      <x:c r="A51" s="17" t="s">
        <x:v>520</x:v>
      </x:c>
      <x:c r="B51" s="3" t="str">
        <x:f>IF(Master!C264="","",Master!C264)</x:f>
        <x:v>Client/platform dependent</x:v>
      </x:c>
      <x:c r="C51" s="3" t="str">
        <x:f>IF(Master!D264="","",Master!D264)</x:f>
      </x:c>
      <x:c r="D51" s="3" t="str">
        <x:f>IF(Master!E264="","",Master!E264)</x:f>
      </x:c>
      <x:c r="E51" s="3" t="str">
        <x:f>IF(Master!F264="","",Master!F264)</x:f>
      </x:c>
      <x:c r="F51" s="3" t="str">
        <x:f>IF(Master!G264="","",Master!G264)</x:f>
      </x:c>
      <x:c r="G51" s="3" t="str">
        <x:f>IF(Master!H264="","",Master!H264)</x:f>
      </x:c>
      <x:c r="H51" s="3" t="str">
        <x:f>IF(Master!I264="","",Master!I264)</x:f>
      </x:c>
      <x:c r="I51" s="3" t="str">
        <x:f>IF(Master!J264="","",Master!J264)</x:f>
      </x:c>
      <x:c r="J51" s="3" t="str">
        <x:f>IF(Master!K264="","",Master!K264)</x:f>
      </x:c>
      <x:c r="K51" s="3" t="str">
        <x:f>IF(Master!L264="","",Master!L264)</x:f>
        <x:v>Not explicitly documented</x:v>
      </x:c>
      <x:c r="L51" s="3" t="str">
        <x:f>IF(Master!M264="","",Master!M264)</x:f>
      </x:c>
      <x:c r="M51" s="3" t="str">
        <x:f>IF(Master!N264="","",Master!N264)</x:f>
      </x:c>
      <x:c r="N51" s="3" t="str">
        <x:f>IF(Master!O264="","",Master!O264)</x:f>
      </x:c>
      <x:c r="O51" s="3" t="str">
        <x:f>IF(Master!P264="","",Master!P264)</x:f>
      </x:c>
      <x:c r="P51" s="3" t="str">
        <x:f>IF(Master!Q264="","",Master!Q264)</x:f>
      </x:c>
      <x:c r="Q51" s="3" t="str">
        <x:f>IF(Master!R264="","",Master!R264)</x:f>
      </x:c>
      <x:c r="R51" s="3" t="str">
        <x:f>IF(Master!S264="","",Master!S264)</x:f>
      </x:c>
      <x:c r="S51" s="3" t="str">
        <x:f>IF(Master!T264="","",Master!T264)</x:f>
      </x:c>
      <x:c r="T51" s="3" t="str">
        <x:f>IF(Master!U264="","",Master!U264)</x:f>
      </x:c>
      <x:c r="U51" s="3" t="str">
        <x:f>IF(Master!V264="","",Master!V264)</x:f>
        <x:v>Yes - Nvidia</x:v>
      </x:c>
      <x:c r="V51" s="3" t="str">
        <x:f>IF(Master!W264="","",Master!W264)</x:f>
      </x:c>
      <x:c r="W51" s="3" t="str">
        <x:f>IF(Master!X264="","",Master!X264)</x:f>
      </x:c>
      <x:c r="X51" s="3" t="str">
        <x:f>IF(Master!Y264="","",Master!Y264)</x:f>
      </x:c>
      <x:c r="Y51" s="3" t="str">
        <x:f>IF(Master!Z264="","",Master!Z264)</x:f>
      </x:c>
      <x:c r="Z51" s="3" t="str">
        <x:f>IF(Master!AA264="","",Master!AA264)</x:f>
      </x:c>
      <x:c r="AA51" s="6" t="str">
        <x:f>IF(Master!AB264="","",Master!AB264)</x:f>
      </x:c>
      <x:c r="AB51" s="3" t="str">
        <x:f>IF(Master!AC264="","",Master!AC264)</x:f>
      </x:c>
      <x:c r="AC51" s="3" t="str">
        <x:f>IF(Master!AD264="","",Master!AD264)</x:f>
      </x:c>
      <x:c r="AD51" s="3" t="str">
        <x:f>IF(Master!AE264="","",Master!AE264)</x:f>
      </x:c>
      <x:c r="AE51" s="3" t="str">
        <x:f>IF(Master!AF264="","",Master!AF264)</x:f>
      </x:c>
      <x:c r="AF51" s="8" t="str">
        <x:f>IF(Master!AG264="","",Master!AG264)</x:f>
      </x:c>
    </x:row>
    <x:row r="52" ht="36" customHeight="1">
      <x:c r="A52" s="17" t="s">
        <x:v>521</x:v>
      </x:c>
      <x:c r="B52" s="3" t="str">
        <x:f>IF(Master!C265="","",Master!C265)</x:f>
        <x:v>Via Activities</x:v>
      </x:c>
      <x:c r="C52" s="3" t="str">
        <x:f>IF(Master!D265="","",Master!D265)</x:f>
      </x:c>
      <x:c r="D52" s="3" t="str">
        <x:f>IF(Master!E265="","",Master!E265)</x:f>
      </x:c>
      <x:c r="E52" s="3" t="str">
        <x:f>IF(Master!F265="","",Master!F265)</x:f>
      </x:c>
      <x:c r="F52" s="3" t="str">
        <x:f>IF(Master!G265="","",Master!G265)</x:f>
      </x:c>
      <x:c r="G52" s="3" t="str">
        <x:f>IF(Master!H265="","",Master!H265)</x:f>
      </x:c>
      <x:c r="H52" s="3" t="str">
        <x:f>IF(Master!I265="","",Master!I265)</x:f>
      </x:c>
      <x:c r="I52" s="3" t="str">
        <x:f>IF(Master!J265="","",Master!J265)</x:f>
      </x:c>
      <x:c r="J52" s="3" t="str">
        <x:f>IF(Master!K265="","",Master!K265)</x:f>
      </x:c>
      <x:c r="K52" s="3" t="str">
        <x:f>IF(Master!L265="","",Master!L265)</x:f>
        <x:v>No synchronized watch-party feature documented</x:v>
      </x:c>
      <x:c r="L52" s="3" t="str">
        <x:f>IF(Master!M265="","",Master!M265)</x:f>
      </x:c>
      <x:c r="M52" s="3" t="str">
        <x:f>IF(Master!N265="","",Master!N265)</x:f>
      </x:c>
      <x:c r="N52" s="3" t="str">
        <x:f>IF(Master!O265="","",Master!O265)</x:f>
      </x:c>
      <x:c r="O52" s="3" t="str">
        <x:f>IF(Master!P265="","",Master!P265)</x:f>
      </x:c>
      <x:c r="P52" s="3" t="str">
        <x:f>IF(Master!Q265="","",Master!Q265)</x:f>
      </x:c>
      <x:c r="Q52" s="3" t="str">
        <x:f>IF(Master!R265="","",Master!R265)</x:f>
      </x:c>
      <x:c r="R52" s="3" t="str">
        <x:f>IF(Master!S265="","",Master!S265)</x:f>
      </x:c>
      <x:c r="S52" s="3" t="str">
        <x:f>IF(Master!T265="","",Master!T265)</x:f>
      </x:c>
      <x:c r="T52" s="3" t="str">
        <x:f>IF(Master!U265="","",Master!U265)</x:f>
        <x:v>Yes</x:v>
      </x:c>
      <x:c r="U52" s="3" t="str">
        <x:f>IF(Master!V265="","",Master!V265)</x:f>
        <x:v>Yes: YouTube/Twitch Portal Watch Party</x:v>
      </x:c>
      <x:c r="V52" s="3" t="str">
        <x:f>IF(Master!W265="","",Master!W265)</x:f>
      </x:c>
      <x:c r="W52" s="3" t="str">
        <x:f>IF(Master!X265="","",Master!X265)</x:f>
      </x:c>
      <x:c r="X52" s="3" t="str">
        <x:f>IF(Master!Y265="","",Master!Y265)</x:f>
      </x:c>
      <x:c r="Y52" s="3" t="str">
        <x:f>IF(Master!Z265="","",Master!Z265)</x:f>
      </x:c>
      <x:c r="Z52" s="3" t="str">
        <x:f>IF(Master!AA265="","",Master!AA265)</x:f>
      </x:c>
      <x:c r="AA52" s="6" t="str">
        <x:f>IF(Master!AB265="","",Master!AB265)</x:f>
      </x:c>
      <x:c r="AB52" s="3" t="str">
        <x:f>IF(Master!AC265="","",Master!AC265)</x:f>
      </x:c>
      <x:c r="AC52" s="3" t="str">
        <x:f>IF(Master!AD265="","",Master!AD265)</x:f>
      </x:c>
      <x:c r="AD52" s="3" t="str">
        <x:f>IF(Master!AE265="","",Master!AE265)</x:f>
      </x:c>
      <x:c r="AE52" s="3" t="str">
        <x:f>IF(Master!AF265="","",Master!AF265)</x:f>
      </x:c>
      <x:c r="AF52" s="8" t="str">
        <x:f>IF(Master!AG265="","",Master!AG265)</x:f>
      </x:c>
    </x:row>
  </x:sheetData>
  <x:mergeCells>
    <x:mergeCell ref="A1:A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Directory'!A1","Media &amp; Limits"),"Media &amp; Limits")</x:f>
        <x:v>Media &amp; Limits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104</x:v>
      </x:c>
      <x:c r="B3" s="3" t="str">
        <x:f>IF(Master!C266="","",Master!C266)</x:f>
        <x:v>Yes: persistent server voice channels</x:v>
      </x:c>
      <x:c r="C3" s="3" t="str">
        <x:f>IF(Master!D266="","",Master!D266)</x:f>
        <x:v>Yes</x:v>
      </x:c>
      <x:c r="D3" s="3" t="str">
        <x:f>IF(Master!E266="","",Master!E266)</x:f>
        <x:v>Yes</x:v>
      </x:c>
      <x:c r="E3" s="3" t="str">
        <x:f>IF(Master!F266="","",Master!F266)</x:f>
        <x:v>Yes</x:v>
      </x:c>
      <x:c r="F3" s="3" t="str">
        <x:f>IF(Master!G266="","",Master!G266)</x:f>
        <x:v>Yes</x:v>
      </x:c>
      <x:c r="G3" s="3" t="str">
        <x:f>IF(Master!H266="","",Master!H266)</x:f>
        <x:v>Yes</x:v>
      </x:c>
      <x:c r="H3" s="3" t="str">
        <x:f>IF(Master!I266="","",Master!I266)</x:f>
        <x:v>Yes</x:v>
      </x:c>
      <x:c r="I3" s="3" t="str">
        <x:f>IF(Master!J266="","",Master!J266)</x:f>
        <x:v>Yes: LiveKit voice channels</x:v>
      </x:c>
      <x:c r="J3" s="3" t="str">
        <x:f>IF(Master!K266="","",Master!K266)</x:f>
        <x:v>No persistent voice-room model verified</x:v>
      </x:c>
      <x:c r="K3" s="3" t="str">
        <x:f>IF(Master!L266="","",Master!L266)</x:f>
        <x:v>Yes</x:v>
      </x:c>
      <x:c r="L3" s="3" t="str">
        <x:f>IF(Master!M266="","",Master!M266)</x:f>
        <x:v>Yes</x:v>
      </x:c>
      <x:c r="M3" s="3" t="str">
        <x:f>IF(Master!N266="","",Master!N266)</x:f>
        <x:v>Yes</x:v>
      </x:c>
      <x:c r="N3" s="3" t="str">
        <x:f>IF(Master!O266="","",Master!O266)</x:f>
        <x:v>Client-dependent; many clients support calls/rooms</x:v>
      </x:c>
      <x:c r="O3" s="3" t="str">
        <x:f>IF(Master!P266="","",Master!P266)</x:f>
        <x:v>Calls available; not Discord-style always-on voice-first UX</x:v>
      </x:c>
      <x:c r="P3" s="3" t="str">
        <x:f>IF(Master!Q266="","",Master!Q266)</x:f>
        <x:v>Yes</x:v>
      </x:c>
      <x:c r="Q3" s="3" t="str">
        <x:f>IF(Master!R266="","",Master!R266)</x:f>
        <x:v>Yes: voice channels are the core product</x:v>
      </x:c>
      <x:c r="R3" s="3" t="str">
        <x:f>IF(Master!S266="","",Master!S266)</x:f>
      </x:c>
      <x:c r="S3" s="3" t="str">
        <x:f>IF(Master!T266="","",Master!T266)</x:f>
        <x:v>Yes</x:v>
      </x:c>
      <x:c r="T3" s="3" t="str">
        <x:f>IF(Master!U266="","",Master!U266)</x:f>
        <x:v>Yes</x:v>
      </x:c>
      <x:c r="U3" s="3" t="str">
        <x:f>IF(Master!V266="","",Master!V266)</x:f>
        <x:v>Yes</x:v>
      </x:c>
      <x:c r="V3" s="3" t="str">
        <x:f>IF(Master!W266="","",Master!W266)</x:f>
        <x:v>Voice/video deployment/provider-dependent</x:v>
      </x:c>
      <x:c r="W3" s="3" t="str">
        <x:f>IF(Master!X266="","",Master!X266)</x:f>
        <x:v>No mature voice verified</x:v>
      </x:c>
      <x:c r="X3" s="3" t="str">
        <x:f>IF(Master!Y266="","",Master!Y266)</x:f>
        <x:v>Yes</x:v>
      </x:c>
      <x:c r="Y3" s="3" t="str">
        <x:f>IF(Master!Z266="","",Master!Z266)</x:f>
        <x:v>Yes when optional voice package is installed</x:v>
      </x:c>
      <x:c r="Z3" s="3" t="str">
        <x:f>IF(Master!AA266="","",Master!AA266)</x:f>
        <x:v>Yes: persistent server voice channels</x:v>
      </x:c>
      <x:c r="AA3" s="6" t="str">
        <x:f>IF(Master!AB266="","",Master!AB266)</x:f>
        <x:v>Yes</x:v>
      </x:c>
      <x:c r="AB3" s="3" t="str">
        <x:f>IF(Master!AC266="","",Master!AC266)</x:f>
        <x:v>Yes</x:v>
      </x:c>
      <x:c r="AC3" s="3" t="str">
        <x:f>IF(Master!AD266="","",Master!AD266)</x:f>
      </x:c>
      <x:c r="AD3" s="3" t="str">
        <x:f>IF(Master!AE266="","",Master!AE266)</x:f>
        <x:v>Yes: voice in rooms</x:v>
      </x:c>
      <x:c r="AE3" s="3" t="str">
        <x:f>IF(Master!AF266="","",Master!AF266)</x:f>
        <x:v>Yes</x:v>
      </x:c>
      <x:c r="AF3" s="8" t="str">
        <x:f>IF(Master!AG266="","",Master!AG266)</x:f>
        <x:v>No native persistent voice rooms</x:v>
      </x:c>
    </x:row>
    <x:row r="4" ht="36" customHeight="1">
      <x:c r="A4" s="17" t="s">
        <x:v>522</x:v>
      </x:c>
      <x:c r="B4" s="3" t="str">
        <x:f>IF(Master!C267="","",Master!C267)</x:f>
        <x:v>Yes</x:v>
      </x:c>
      <x:c r="C4" s="3" t="str">
        <x:f>IF(Master!D267="","",Master!D267)</x:f>
      </x:c>
      <x:c r="D4" s="3" t="str">
        <x:f>IF(Master!E267="","",Master!E267)</x:f>
      </x:c>
      <x:c r="E4" s="3" t="str">
        <x:f>IF(Master!F267="","",Master!F267)</x:f>
        <x:v>Yes</x:v>
      </x:c>
      <x:c r="F4" s="3" t="str">
        <x:f>IF(Master!G267="","",Master!G267)</x:f>
        <x:v>Yes</x:v>
      </x:c>
      <x:c r="G4" s="3" t="str">
        <x:f>IF(Master!H267="","",Master!H267)</x:f>
        <x:v>Yes</x:v>
      </x:c>
      <x:c r="H4" s="3" t="str">
        <x:f>IF(Master!I267="","",Master!I267)</x:f>
      </x:c>
      <x:c r="I4" s="3" t="str">
        <x:f>IF(Master!J267="","",Master!J267)</x:f>
      </x:c>
      <x:c r="J4" s="3" t="str">
        <x:f>IF(Master!K267="","",Master!K267)</x:f>
        <x:v>Yes calls</x:v>
      </x:c>
      <x:c r="K4" s="3" t="str">
        <x:f>IF(Master!L267="","",Master!L267)</x:f>
        <x:v>Yes</x:v>
      </x:c>
      <x:c r="L4" s="3" t="str">
        <x:f>IF(Master!M267="","",Master!M267)</x:f>
      </x:c>
      <x:c r="M4" s="3" t="str">
        <x:f>IF(Master!N267="","",Master!N267)</x:f>
        <x:v>Yes</x:v>
      </x:c>
      <x:c r="N4" s="3" t="str">
        <x:f>IF(Master!O267="","",Master!O267)</x:f>
        <x:v>Client-dependent</x:v>
      </x:c>
      <x:c r="O4" s="3" t="str">
        <x:f>IF(Master!P267="","",Master!P267)</x:f>
        <x:v>Yes</x:v>
      </x:c>
      <x:c r="P4" s="3" t="str">
        <x:f>IF(Master!Q267="","",Master!Q267)</x:f>
        <x:v>Yes</x:v>
      </x:c>
      <x:c r="Q4" s="3" t="str">
        <x:f>IF(Master!R267="","",Master!R267)</x:f>
        <x:v>No persistent DM call model</x:v>
      </x:c>
      <x:c r="R4" s="3" t="str">
        <x:f>IF(Master!S267="","",Master!S267)</x:f>
      </x:c>
      <x:c r="S4" s="3" t="str">
        <x:f>IF(Master!T267="","",Master!T267)</x:f>
      </x:c>
      <x:c r="T4" s="3" t="str">
        <x:f>IF(Master!U267="","",Master!U267)</x:f>
        <x:v>Yes</x:v>
      </x:c>
      <x:c r="U4" s="3" t="str">
        <x:f>IF(Master!V267="","",Master!V267)</x:f>
        <x:v>Yes - Encrypted</x:v>
      </x:c>
      <x:c r="V4" s="3" t="str">
        <x:f>IF(Master!W267="","",Master!W267)</x:f>
        <x:v>Provider/deployment dependent</x:v>
      </x:c>
      <x:c r="W4" s="3" t="str">
        <x:f>IF(Master!X267="","",Master!X267)</x:f>
      </x:c>
      <x:c r="X4" s="3" t="str">
        <x:f>IF(Master!Y267="","",Master!Y267)</x:f>
        <x:v>Yes</x:v>
      </x:c>
      <x:c r="Y4" s="3" t="str">
        <x:f>IF(Master!Z267="","",Master!Z267)</x:f>
        <x:v>Yes</x:v>
      </x:c>
      <x:c r="Z4" s="3" t="str">
        <x:f>IF(Master!AA267="","",Master!AA267)</x:f>
      </x:c>
      <x:c r="AA4" s="6" t="str">
        <x:f>IF(Master!AB267="","",Master!AB267)</x:f>
      </x:c>
      <x:c r="AB4" s="3" t="str">
        <x:f>IF(Master!AC267="","",Master!AC267)</x:f>
      </x:c>
      <x:c r="AC4" s="3" t="str">
        <x:f>IF(Master!AD267="","",Master!AD267)</x:f>
      </x:c>
      <x:c r="AD4" s="3" t="str">
        <x:f>IF(Master!AE267="","",Master!AE267)</x:f>
        <x:v>Yes</x:v>
      </x:c>
      <x:c r="AE4" s="3" t="str">
        <x:f>IF(Master!AF267="","",Master!AF267)</x:f>
      </x:c>
      <x:c r="AF4" s="8" t="str">
        <x:f>IF(Master!AG267="","",Master!AG267)</x:f>
        <x:v>External provider</x:v>
      </x:c>
    </x:row>
    <x:row r="5" ht="36" customHeight="1">
      <x:c r="A5" s="17" t="s">
        <x:v>523</x:v>
      </x:c>
      <x:c r="B5" s="3" t="str">
        <x:f>IF(Master!C268="","",Master!C268)</x:f>
        <x:v>Yes</x:v>
      </x:c>
      <x:c r="C5" s="3" t="str">
        <x:f>IF(Master!D268="","",Master!D268)</x:f>
      </x:c>
      <x:c r="D5" s="3" t="str">
        <x:f>IF(Master!E268="","",Master!E268)</x:f>
      </x:c>
      <x:c r="E5" s="3" t="str">
        <x:f>IF(Master!F268="","",Master!F268)</x:f>
        <x:v>Yes</x:v>
      </x:c>
      <x:c r="F5" s="3" t="str">
        <x:f>IF(Master!G268="","",Master!G268)</x:f>
        <x:v>Yes</x:v>
      </x:c>
      <x:c r="G5" s="3" t="str">
        <x:f>IF(Master!H268="","",Master!H268)</x:f>
        <x:v>Yes</x:v>
      </x:c>
      <x:c r="H5" s="3" t="str">
        <x:f>IF(Master!I268="","",Master!I268)</x:f>
      </x:c>
      <x:c r="I5" s="3" t="str">
        <x:f>IF(Master!J268="","",Master!J268)</x:f>
      </x:c>
      <x:c r="J5" s="3" t="str">
        <x:f>IF(Master!K268="","",Master!K268)</x:f>
      </x:c>
      <x:c r="K5" s="3" t="str">
        <x:f>IF(Master!L268="","",Master!L268)</x:f>
        <x:v>Yes</x:v>
      </x:c>
      <x:c r="L5" s="3" t="str">
        <x:f>IF(Master!M268="","",Master!M268)</x:f>
      </x:c>
      <x:c r="M5" s="3" t="str">
        <x:f>IF(Master!N268="","",Master!N268)</x:f>
        <x:v>Yes</x:v>
      </x:c>
      <x:c r="N5" s="3" t="str">
        <x:f>IF(Master!O268="","",Master!O268)</x:f>
        <x:v>Client-dependent</x:v>
      </x:c>
      <x:c r="O5" s="3" t="str">
        <x:f>IF(Master!P268="","",Master!P268)</x:f>
        <x:v>Yes</x:v>
      </x:c>
      <x:c r="P5" s="3" t="str">
        <x:f>IF(Master!Q268="","",Master!Q268)</x:f>
        <x:v>Yes</x:v>
      </x:c>
      <x:c r="Q5" s="3" t="str">
        <x:f>IF(Master!R268="","",Master!R268)</x:f>
        <x:v>No group call model separate from channels</x:v>
      </x:c>
      <x:c r="R5" s="3" t="str">
        <x:f>IF(Master!S268="","",Master!S268)</x:f>
      </x:c>
      <x:c r="S5" s="3" t="str">
        <x:f>IF(Master!T268="","",Master!T268)</x:f>
      </x:c>
      <x:c r="T5" s="3" t="str">
        <x:f>IF(Master!U268="","",Master!U268)</x:f>
        <x:v>Yes</x:v>
      </x:c>
      <x:c r="U5" s="3" t="str">
        <x:f>IF(Master!V268="","",Master!V268)</x:f>
        <x:v>No</x:v>
      </x:c>
      <x:c r="V5" s="3" t="str">
        <x:f>IF(Master!W268="","",Master!W268)</x:f>
        <x:v>Provider/deployment dependent</x:v>
      </x:c>
      <x:c r="W5" s="3" t="str">
        <x:f>IF(Master!X268="","",Master!X268)</x:f>
      </x:c>
      <x:c r="X5" s="3" t="str">
        <x:f>IF(Master!Y268="","",Master!Y268)</x:f>
        <x:v>Yes</x:v>
      </x:c>
      <x:c r="Y5" s="3" t="str">
        <x:f>IF(Master!Z268="","",Master!Z268)</x:f>
        <x:v>Yes</x:v>
      </x:c>
      <x:c r="Z5" s="3" t="str">
        <x:f>IF(Master!AA268="","",Master!AA268)</x:f>
      </x:c>
      <x:c r="AA5" s="6" t="str">
        <x:f>IF(Master!AB268="","",Master!AB268)</x:f>
      </x:c>
      <x:c r="AB5" s="3" t="str">
        <x:f>IF(Master!AC268="","",Master!AC268)</x:f>
      </x:c>
      <x:c r="AC5" s="3" t="str">
        <x:f>IF(Master!AD268="","",Master!AD268)</x:f>
      </x:c>
      <x:c r="AD5" s="3" t="str">
        <x:f>IF(Master!AE268="","",Master!AE268)</x:f>
        <x:v>Yes</x:v>
      </x:c>
      <x:c r="AE5" s="3" t="str">
        <x:f>IF(Master!AF268="","",Master!AF268)</x:f>
      </x:c>
      <x:c r="AF5" s="8" t="str">
        <x:f>IF(Master!AG268="","",Master!AG268)</x:f>
        <x:v>External provider</x:v>
      </x:c>
    </x:row>
    <x:row r="6" ht="36" customHeight="1">
      <x:c r="A6" s="17" t="s">
        <x:v>524</x:v>
      </x:c>
      <x:c r="B6" s="3" t="str">
        <x:f>IF(Master!C269="","",Master!C269)</x:f>
        <x:v>Discord media infrastructure / DAVE</x:v>
      </x:c>
      <x:c r="C6" s="3" t="str">
        <x:f>IF(Master!D269="","",Master!D269)</x:f>
      </x:c>
      <x:c r="D6" s="3" t="str">
        <x:f>IF(Master!E269="","",Master!E269)</x:f>
        <x:v>LiveKit</x:v>
      </x:c>
      <x:c r="E6" s="3" t="str">
        <x:f>IF(Master!F269="","",Master!F269)</x:f>
        <x:v>LiveKit</x:v>
      </x:c>
      <x:c r="F6" s="3" t="str">
        <x:f>IF(Master!G269="","",Master!G269)</x:f>
        <x:v>LiveKit</x:v>
      </x:c>
      <x:c r="G6" s="3" t="str">
        <x:f>IF(Master!H269="","",Master!H269)</x:f>
        <x:v>LiveKit + Fluxer media stack</x:v>
      </x:c>
      <x:c r="H6" s="3" t="str">
        <x:f>IF(Master!I269="","",Master!I269)</x:f>
        <x:v>GameVox media stack</x:v>
      </x:c>
      <x:c r="I6" s="3" t="str">
        <x:f>IF(Master!J269="","",Master!J269)</x:f>
        <x:v>LiveKit</x:v>
      </x:c>
      <x:c r="J6" s="3" t="str">
        <x:f>IF(Master!K269="","",Master!K269)</x:f>
        <x:v>P2P WebRTC + TURN fallback</x:v>
      </x:c>
      <x:c r="K6" s="3" t="str">
        <x:f>IF(Master!L269="","",Master!L269)</x:f>
        <x:v>LiveKit</x:v>
      </x:c>
      <x:c r="L6" s="3" t="str">
        <x:f>IF(Master!M269="","",Master!M269)</x:f>
      </x:c>
      <x:c r="M6" s="3" t="str">
        <x:f>IF(Master!N269="","",Master!N269)</x:f>
        <x:v>LiveKit</x:v>
      </x:c>
      <x:c r="N6" s="3" t="str">
        <x:f>IF(Master!O269="","",Master!O269)</x:f>
        <x:v>MatrixRTC + deployment SFU(s), or legacy/provider integrations</x:v>
      </x:c>
      <x:c r="O6" s="3" t="str">
        <x:f>IF(Master!P269="","",Master!P269)</x:f>
        <x:v>Mattermost Calls WebRTC/SFU</x:v>
      </x:c>
      <x:c r="P6" s="3" t="str">
        <x:f>IF(Master!Q269="","",Master!Q269)</x:f>
        <x:v>Custom WebRTC SFU</x:v>
      </x:c>
      <x:c r="Q6" s="3" t="str">
        <x:f>IF(Master!R269="","",Master!R269)</x:f>
        <x:v>Mumble server mixes/routes voice</x:v>
      </x:c>
      <x:c r="R6" s="3" t="str">
        <x:f>IF(Master!S269="","",Master!S269)</x:f>
      </x:c>
      <x:c r="S6" s="3" t="str">
        <x:f>IF(Master!T269="","",Master!T269)</x:f>
        <x:v>Custom media infrastructure</x:v>
      </x:c>
      <x:c r="T6" s="3" t="str">
        <x:f>IF(Master!U269="","",Master!U269)</x:f>
        <x:v>Small rooms/DM calls may be P2P; listed/larger hosted rooms use LiveKit</x:v>
      </x:c>
      <x:c r="U6" s="3" t="str">
        <x:f>IF(Master!V269="","",Master!V269)</x:f>
      </x:c>
      <x:c r="V6" s="3" t="str">
        <x:f>IF(Master!W269="","",Master!W269)</x:f>
        <x:v>Deployment/integration dependent</x:v>
      </x:c>
      <x:c r="W6" s="3" t="str">
        <x:f>IF(Master!X269="","",Master!X269)</x:f>
        <x:v>N/A</x:v>
      </x:c>
      <x:c r="X6" s="3" t="str">
        <x:f>IF(Master!Y269="","",Master!Y269)</x:f>
      </x:c>
      <x:c r="Y6" s="3" t="str">
        <x:f>IF(Master!Z269="","",Master!Z269)</x:f>
        <x:v>Optional Pion/Medooze/Mediasoup WebRTC implementations</x:v>
      </x:c>
      <x:c r="Z6" s="3" t="str">
        <x:f>IF(Master!AA269="","",Master!AA269)</x:f>
        <x:v>LiveKit</x:v>
      </x:c>
      <x:c r="AA6" s="6" t="str">
        <x:f>IF(Master!AB269="","",Master!AB269)</x:f>
        <x:v>TeamSpeak media server</x:v>
      </x:c>
      <x:c r="AB6" s="3" t="str">
        <x:f>IF(Master!AC269="","",Master!AC269)</x:f>
        <x:v>LiveKit</x:v>
      </x:c>
      <x:c r="AC6" s="3" t="str">
        <x:f>IF(Master!AD269="","",Master!AD269)</x:f>
      </x:c>
      <x:c r="AD6" s="3" t="str">
        <x:f>IF(Master!AE269="","",Master!AE269)</x:f>
        <x:v>LiveKit</x:v>
      </x:c>
      <x:c r="AE6" s="3" t="str">
        <x:f>IF(Master!AF269="","",Master!AF269)</x:f>
        <x:v>Self-host media</x:v>
      </x:c>
      <x:c r="AF6" s="8" t="str">
        <x:f>IF(Master!AG269="","",Master!AG269)</x:f>
        <x:v>External integration/provider</x:v>
      </x:c>
    </x:row>
    <x:row r="7" ht="36" customHeight="1">
      <x:c r="A7" s="17" t="s">
        <x:v>422</x:v>
      </x:c>
      <x:c r="B7" s="3" t="str">
        <x:f>IF(Master!C196="","",Master!C196)</x:f>
        <x:v>Opus</x:v>
      </x:c>
      <x:c r="C7" s="3" t="str">
        <x:f>IF(Master!D196="","",Master!D196)</x:f>
      </x:c>
      <x:c r="D7" s="3" t="str">
        <x:f>IF(Master!E196="","",Master!E196)</x:f>
        <x:v>Opus</x:v>
      </x:c>
      <x:c r="E7" s="3" t="str">
        <x:f>IF(Master!F196="","",Master!F196)</x:f>
        <x:v>Opus/WebRTC</x:v>
      </x:c>
      <x:c r="F7" s="3" t="str">
        <x:f>IF(Master!G196="","",Master!G196)</x:f>
        <x:v>WebRTC/LiveKit</x:v>
      </x:c>
      <x:c r="G7" s="3" t="str">
        <x:f>IF(Master!H196="","",Master!H196)</x:f>
        <x:v>WebRTC/LiveKit</x:v>
      </x:c>
      <x:c r="H7" s="3" t="str">
        <x:f>IF(Master!I196="","",Master!I196)</x:f>
      </x:c>
      <x:c r="I7" s="3" t="str">
        <x:f>IF(Master!J196="","",Master!J196)</x:f>
      </x:c>
      <x:c r="J7" s="3" t="str">
        <x:f>IF(Master!K196="","",Master!K196)</x:f>
      </x:c>
      <x:c r="K7" s="3" t="str">
        <x:f>IF(Master!L196="","",Master!L196)</x:f>
        <x:v>Opus</x:v>
      </x:c>
      <x:c r="L7" s="3" t="str">
        <x:f>IF(Master!M196="","",Master!M196)</x:f>
      </x:c>
      <x:c r="M7" s="3" t="str">
        <x:f>IF(Master!N196="","",Master!N196)</x:f>
        <x:v>Opus/WebRTC</x:v>
      </x:c>
      <x:c r="N7" s="3" t="str">
        <x:f>IF(Master!O196="","",Master!O196)</x:f>
        <x:v>Opus commonly via WebRTC; protocol/client-dependent</x:v>
      </x:c>
      <x:c r="O7" s="3" t="str">
        <x:f>IF(Master!P196="","",Master!P196)</x:f>
        <x:v>WebRTC/Opus</x:v>
      </x:c>
      <x:c r="P7" s="3" t="str">
        <x:f>IF(Master!Q196="","",Master!Q196)</x:f>
        <x:v>Yes</x:v>
      </x:c>
      <x:c r="Q7" s="3" t="str">
        <x:f>IF(Master!R196="","",Master!R196)</x:f>
        <x:v>Opus</x:v>
      </x:c>
      <x:c r="R7" s="3" t="str">
        <x:f>IF(Master!S196="","",Master!S196)</x:f>
      </x:c>
      <x:c r="S7" s="3" t="str">
        <x:f>IF(Master!T196="","",Master!T196)</x:f>
      </x:c>
      <x:c r="T7" s="3" t="str">
        <x:f>IF(Master!U196="","",Master!U196)</x:f>
        <x:v>Not publicly claimed</x:v>
      </x:c>
      <x:c r="U7" s="3" t="str">
        <x:f>IF(Master!V196="","",Master!V196)</x:f>
        <x:v>Proprietary</x:v>
      </x:c>
      <x:c r="V7" s="3" t="str">
        <x:f>IF(Master!W196="","",Master!W196)</x:f>
        <x:v>WebRTC/integration-dependent</x:v>
      </x:c>
      <x:c r="W7" s="3" t="str">
        <x:f>IF(Master!X196="","",Master!X196)</x:f>
        <x:v>N/A</x:v>
      </x:c>
      <x:c r="X7" s="3" t="str">
        <x:f>IF(Master!Y196="","",Master!Y196)</x:f>
      </x:c>
      <x:c r="Y7" s="3" t="str">
        <x:f>IF(Master!Z196="","",Master!Z196)</x:f>
        <x:v>WebRTC; implementation-dependent codecs</x:v>
      </x:c>
      <x:c r="Z7" s="3" t="str">
        <x:f>IF(Master!AA196="","",Master!AA196)</x:f>
        <x:v>Opus/WebRTC via LiveKit</x:v>
      </x:c>
      <x:c r="AA7" s="6" t="str">
        <x:f>IF(Master!AB196="","",Master!AB196)</x:f>
        <x:v>Opus / proprietary stack depending generation</x:v>
      </x:c>
      <x:c r="AB7" s="3" t="str">
        <x:f>IF(Master!AC196="","",Master!AC196)</x:f>
        <x:v>Opus/WebRTC</x:v>
      </x:c>
      <x:c r="AC7" s="3" t="str">
        <x:f>IF(Master!AD196="","",Master!AD196)</x:f>
      </x:c>
      <x:c r="AD7" s="3" t="str">
        <x:f>IF(Master!AE196="","",Master!AE196)</x:f>
        <x:v>Opus/WebRTC</x:v>
      </x:c>
      <x:c r="AE7" s="3" t="str">
        <x:f>IF(Master!AF196="","",Master!AF196)</x:f>
      </x:c>
      <x:c r="AF7" s="8" t="str">
        <x:f>IF(Master!AG196="","",Master!AG196)</x:f>
        <x:v>Provider-dependent</x:v>
      </x:c>
    </x:row>
    <x:row r="8" ht="36" customHeight="1">
      <x:c r="A8" s="17" t="s">
        <x:v>525</x:v>
      </x:c>
      <x:c r="B8" s="3" t="str">
        <x:f>IF(Master!C270="","",Master!C270)</x:f>
        <x:v>96 kbps base server voice</x:v>
      </x:c>
      <x:c r="C8" s="3" t="str">
        <x:f>IF(Master!D270="","",Master!D270)</x:f>
      </x:c>
      <x:c r="D8" s="3" t="str">
        <x:f>IF(Master!E270="","",Master!E270)</x:f>
      </x:c>
      <x:c r="E8" s="3" t="str">
        <x:f>IF(Master!F270="","",Master!F270)</x:f>
      </x:c>
      <x:c r="F8" s="3" t="str">
        <x:f>IF(Master!G270="","",Master!G270)</x:f>
      </x:c>
      <x:c r="G8" s="3" t="str">
        <x:f>IF(Master!H270="","",Master!H270)</x:f>
      </x:c>
      <x:c r="H8" s="3" t="str">
        <x:f>IF(Master!I270="","",Master!I270)</x:f>
      </x:c>
      <x:c r="I8" s="3" t="str">
        <x:f>IF(Master!J270="","",Master!J270)</x:f>
      </x:c>
      <x:c r="J8" s="3" t="str">
        <x:f>IF(Master!K270="","",Master!K270)</x:f>
      </x:c>
      <x:c r="K8" s="3" t="str">
        <x:f>IF(Master!L270="","",Master!L270)</x:f>
        <x:v>24 / 48 / 96 / 128 kbps selectable Opus ceilings</x:v>
      </x:c>
      <x:c r="L8" s="3" t="str">
        <x:f>IF(Master!M270="","",Master!M270)</x:f>
      </x:c>
      <x:c r="M8" s="3" t="str">
        <x:f>IF(Master!N270="","",Master!N270)</x:f>
      </x:c>
      <x:c r="N8" s="3" t="str">
        <x:f>IF(Master!O270="","",Master!O270)</x:f>
        <x:v>Client/provider-dependent</x:v>
      </x:c>
      <x:c r="O8" s="3" t="str">
        <x:f>IF(Master!P270="","",Master!P270)</x:f>
      </x:c>
      <x:c r="P8" s="3" t="str">
        <x:f>IF(Master!Q270="","",Master!Q270)</x:f>
      </x:c>
      <x:c r="Q8" s="3" t="str">
        <x:f>IF(Master!R270="","",Master!R270)</x:f>
        <x:v>Server configured</x:v>
      </x:c>
      <x:c r="R8" s="3" t="str">
        <x:f>IF(Master!S270="","",Master!S270)</x:f>
      </x:c>
      <x:c r="S8" s="3" t="str">
        <x:f>IF(Master!T270="","",Master!T270)</x:f>
      </x:c>
      <x:c r="T8" s="3" t="str">
        <x:f>IF(Master!U270="","",Master!U270)</x:f>
        <x:v>Not publicly claimed</x:v>
      </x:c>
      <x:c r="U8" s="3" t="str">
        <x:f>IF(Master!V270="","",Master!V270)</x:f>
        <x:v>96 kbps</x:v>
      </x:c>
      <x:c r="V8" s="3" t="str">
        <x:f>IF(Master!W270="","",Master!W270)</x:f>
      </x:c>
      <x:c r="W8" s="3" t="str">
        <x:f>IF(Master!X270="","",Master!X270)</x:f>
        <x:v>N/A</x:v>
      </x:c>
      <x:c r="X8" s="3" t="str">
        <x:f>IF(Master!Y270="","",Master!Y270)</x:f>
      </x:c>
      <x:c r="Y8" s="3" t="str">
        <x:f>IF(Master!Z270="","",Master!Z270)</x:f>
      </x:c>
      <x:c r="Z8" s="3" t="str">
        <x:f>IF(Master!AA270="","",Master!AA270)</x:f>
      </x:c>
      <x:c r="AA8" s="6" t="str">
        <x:f>IF(Master!AB270="","",Master!AB270)</x:f>
      </x:c>
      <x:c r="AB8" s="3" t="str">
        <x:f>IF(Master!AC270="","",Master!AC270)</x:f>
      </x:c>
      <x:c r="AC8" s="3" t="str">
        <x:f>IF(Master!AD270="","",Master!AD270)</x:f>
      </x:c>
      <x:c r="AD8" s="3" t="str">
        <x:f>IF(Master!AE270="","",Master!AE270)</x:f>
      </x:c>
      <x:c r="AE8" s="3" t="str">
        <x:f>IF(Master!AF270="","",Master!AF270)</x:f>
      </x:c>
      <x:c r="AF8" s="8" t="str">
        <x:f>IF(Master!AG270="","",Master!AG270)</x:f>
        <x:v>Provider-dependent</x:v>
      </x:c>
    </x:row>
    <x:row r="9" ht="36" customHeight="1">
      <x:c r="A9" s="17" t="s">
        <x:v>526</x:v>
      </x:c>
      <x:c r="B9" s="3" t="str">
        <x:f>IF(Master!C271="","",Master!C271)</x:f>
        <x:v>384 kbps boosted</x:v>
      </x:c>
      <x:c r="C9" s="3" t="str">
        <x:f>IF(Master!D271="","",Master!D271)</x:f>
      </x:c>
      <x:c r="D9" s="3" t="str">
        <x:f>IF(Master!E271="","",Master!E271)</x:f>
        <x:v>Configurable up to very high</x:v>
      </x:c>
      <x:c r="E9" s="3" t="str">
        <x:f>IF(Master!F271="","",Master!F271)</x:f>
      </x:c>
      <x:c r="F9" s="3" t="str">
        <x:f>IF(Master!G271="","",Master!G271)</x:f>
      </x:c>
      <x:c r="G9" s="3" t="str">
        <x:f>IF(Master!H271="","",Master!H271)</x:f>
      </x:c>
      <x:c r="H9" s="3" t="str">
        <x:f>IF(Master!I271="","",Master!I271)</x:f>
      </x:c>
      <x:c r="I9" s="3" t="str">
        <x:f>IF(Master!J271="","",Master!J271)</x:f>
      </x:c>
      <x:c r="J9" s="3" t="str">
        <x:f>IF(Master!K271="","",Master!K271)</x:f>
      </x:c>
      <x:c r="K9" s="3" t="str">
        <x:f>IF(Master!L271="","",Master!L271)</x:f>
        <x:v>128 kbps</x:v>
      </x:c>
      <x:c r="L9" s="3" t="str">
        <x:f>IF(Master!M271="","",Master!M271)</x:f>
      </x:c>
      <x:c r="M9" s="3" t="str">
        <x:f>IF(Master!N271="","",Master!N271)</x:f>
      </x:c>
      <x:c r="N9" s="3" t="str">
        <x:f>IF(Master!O271="","",Master!O271)</x:f>
        <x:v>Client/provider-dependent</x:v>
      </x:c>
      <x:c r="O9" s="3" t="str">
        <x:f>IF(Master!P271="","",Master!P271)</x:f>
      </x:c>
      <x:c r="P9" s="3" t="str">
        <x:f>IF(Master!Q271="","",Master!Q271)</x:f>
      </x:c>
      <x:c r="Q9" s="3" t="str">
        <x:f>IF(Master!R271="","",Master!R271)</x:f>
        <x:v>Server configured</x:v>
      </x:c>
      <x:c r="R9" s="3" t="str">
        <x:f>IF(Master!S271="","",Master!S271)</x:f>
      </x:c>
      <x:c r="S9" s="3" t="str">
        <x:f>IF(Master!T271="","",Master!T271)</x:f>
      </x:c>
      <x:c r="T9" s="3" t="str">
        <x:f>IF(Master!U271="","",Master!U271)</x:f>
        <x:v>Not publicly claimed</x:v>
      </x:c>
      <x:c r="U9" s="3" t="str">
        <x:f>IF(Master!V271="","",Master!V271)</x:f>
        <x:v>192 kbps (Forge Shard)</x:v>
      </x:c>
      <x:c r="V9" s="3" t="str">
        <x:f>IF(Master!W271="","",Master!W271)</x:f>
      </x:c>
      <x:c r="W9" s="3" t="str">
        <x:f>IF(Master!X271="","",Master!X271)</x:f>
        <x:v>N/A</x:v>
      </x:c>
      <x:c r="X9" s="3" t="str">
        <x:f>IF(Master!Y271="","",Master!Y271)</x:f>
      </x:c>
      <x:c r="Y9" s="3" t="str">
        <x:f>IF(Master!Z271="","",Master!Z271)</x:f>
      </x:c>
      <x:c r="Z9" s="3" t="str">
        <x:f>IF(Master!AA271="","",Master!AA271)</x:f>
      </x:c>
      <x:c r="AA9" s="6" t="str">
        <x:f>IF(Master!AB271="","",Master!AB271)</x:f>
      </x:c>
      <x:c r="AB9" s="3" t="str">
        <x:f>IF(Master!AC271="","",Master!AC271)</x:f>
      </x:c>
      <x:c r="AC9" s="3" t="str">
        <x:f>IF(Master!AD271="","",Master!AD271)</x:f>
      </x:c>
      <x:c r="AD9" s="3" t="str">
        <x:f>IF(Master!AE271="","",Master!AE271)</x:f>
      </x:c>
      <x:c r="AE9" s="3" t="str">
        <x:f>IF(Master!AF271="","",Master!AF271)</x:f>
      </x:c>
      <x:c r="AF9" s="8" t="str">
        <x:f>IF(Master!AG271="","",Master!AG271)</x:f>
        <x:v>Provider-dependent</x:v>
      </x:c>
    </x:row>
    <x:row r="10" ht="36" customHeight="1">
      <x:c r="A10" s="17" t="s">
        <x:v>527</x:v>
      </x:c>
      <x:c r="B10" s="3" t="str">
        <x:f>IF(Master!C272="","",Master!C272)</x:f>
        <x:v>Yes</x:v>
      </x:c>
      <x:c r="C10" s="3" t="str">
        <x:f>IF(Master!D272="","",Master!D272)</x:f>
      </x:c>
      <x:c r="D10" s="3" t="str">
        <x:f>IF(Master!E272="","",Master!E272)</x:f>
      </x:c>
      <x:c r="E10" s="3" t="str">
        <x:f>IF(Master!F272="","",Master!F272)</x:f>
      </x:c>
      <x:c r="F10" s="3" t="str">
        <x:f>IF(Master!G272="","",Master!G272)</x:f>
        <x:v>Yes</x:v>
      </x:c>
      <x:c r="G10" s="3" t="str">
        <x:f>IF(Master!H272="","",Master!H272)</x:f>
        <x:v>Yes</x:v>
      </x:c>
      <x:c r="H10" s="3" t="str">
        <x:f>IF(Master!I272="","",Master!I272)</x:f>
        <x:v>Yes</x:v>
      </x:c>
      <x:c r="I10" s="3" t="str">
        <x:f>IF(Master!J272="","",Master!J272)</x:f>
      </x:c>
      <x:c r="J10" s="3" t="str">
        <x:f>IF(Master!K272="","",Master!K272)</x:f>
      </x:c>
      <x:c r="K10" s="3" t="str">
        <x:f>IF(Master!L272="","",Master!L272)</x:f>
        <x:v>Yes</x:v>
      </x:c>
      <x:c r="L10" s="3" t="str">
        <x:f>IF(Master!M272="","",Master!M272)</x:f>
      </x:c>
      <x:c r="M10" s="3" t="str">
        <x:f>IF(Master!N272="","",Master!N272)</x:f>
        <x:v>Yes</x:v>
      </x:c>
      <x:c r="N10" s="3" t="str">
        <x:f>IF(Master!O272="","",Master!O272)</x:f>
        <x:v>Client-dependent</x:v>
      </x:c>
      <x:c r="O10" s="3" t="str">
        <x:f>IF(Master!P272="","",Master!P272)</x:f>
      </x:c>
      <x:c r="P10" s="3" t="str">
        <x:f>IF(Master!Q272="","",Master!Q272)</x:f>
      </x:c>
      <x:c r="Q10" s="3" t="str">
        <x:f>IF(Master!R272="","",Master!R272)</x:f>
        <x:v>Yes</x:v>
      </x:c>
      <x:c r="R10" s="3" t="str">
        <x:f>IF(Master!S272="","",Master!S272)</x:f>
      </x:c>
      <x:c r="S10" s="3" t="str">
        <x:f>IF(Master!T272="","",Master!T272)</x:f>
      </x:c>
      <x:c r="T10" s="3" t="str">
        <x:f>IF(Master!U272="","",Master!U272)</x:f>
        <x:v>Yes</x:v>
      </x:c>
      <x:c r="U10" s="3" t="str">
        <x:f>IF(Master!V272="","",Master!V272)</x:f>
        <x:v>Yes</x:v>
      </x:c>
      <x:c r="V10" s="3" t="str">
        <x:f>IF(Master!W272="","",Master!W272)</x:f>
      </x:c>
      <x:c r="W10" s="3" t="str">
        <x:f>IF(Master!X272="","",Master!X272)</x:f>
        <x:v>N/A</x:v>
      </x:c>
      <x:c r="X10" s="3" t="str">
        <x:f>IF(Master!Y272="","",Master!Y272)</x:f>
        <x:v>Yes</x:v>
      </x:c>
      <x:c r="Y10" s="3" t="str">
        <x:f>IF(Master!Z272="","",Master!Z272)</x:f>
        <x:v>Client-dependent</x:v>
      </x:c>
      <x:c r="Z10" s="3" t="str">
        <x:f>IF(Master!AA272="","",Master!AA272)</x:f>
        <x:v>Yes</x:v>
      </x:c>
      <x:c r="AA10" s="6" t="str">
        <x:f>IF(Master!AB272="","",Master!AB272)</x:f>
        <x:v>Yes</x:v>
      </x:c>
      <x:c r="AB10" s="3" t="str">
        <x:f>IF(Master!AC272="","",Master!AC272)</x:f>
      </x:c>
      <x:c r="AC10" s="3" t="str">
        <x:f>IF(Master!AD272="","",Master!AD272)</x:f>
      </x:c>
      <x:c r="AD10" s="3" t="str">
        <x:f>IF(Master!AE272="","",Master!AE272)</x:f>
        <x:v>Yes</x:v>
      </x:c>
      <x:c r="AE10" s="3" t="str">
        <x:f>IF(Master!AF272="","",Master!AF272)</x:f>
      </x:c>
      <x:c r="AF10" s="8" t="str">
        <x:f>IF(Master!AG272="","",Master!AG272)</x:f>
        <x:v>Provider-dependent</x:v>
      </x:c>
    </x:row>
    <x:row r="11" ht="36" customHeight="1">
      <x:c r="A11" s="17" t="s">
        <x:v>528</x:v>
      </x:c>
      <x:c r="B11" s="3" t="str">
        <x:f>IF(Master!C273="","",Master!C273)</x:f>
        <x:v>Yes</x:v>
      </x:c>
      <x:c r="C11" s="3" t="str">
        <x:f>IF(Master!D273="","",Master!D273)</x:f>
      </x:c>
      <x:c r="D11" s="3" t="str">
        <x:f>IF(Master!E273="","",Master!E273)</x:f>
      </x:c>
      <x:c r="E11" s="3" t="str">
        <x:f>IF(Master!F273="","",Master!F273)</x:f>
      </x:c>
      <x:c r="F11" s="3" t="str">
        <x:f>IF(Master!G273="","",Master!G273)</x:f>
        <x:v>Yes</x:v>
      </x:c>
      <x:c r="G11" s="3" t="str">
        <x:f>IF(Master!H273="","",Master!H273)</x:f>
        <x:v>Yes</x:v>
      </x:c>
      <x:c r="H11" s="3" t="str">
        <x:f>IF(Master!I273="","",Master!I273)</x:f>
        <x:v>Yes</x:v>
      </x:c>
      <x:c r="I11" s="3" t="str">
        <x:f>IF(Master!J273="","",Master!J273)</x:f>
      </x:c>
      <x:c r="J11" s="3" t="str">
        <x:f>IF(Master!K273="","",Master!K273)</x:f>
      </x:c>
      <x:c r="K11" s="3" t="str">
        <x:f>IF(Master!L273="","",Master!L273)</x:f>
      </x:c>
      <x:c r="L11" s="3" t="str">
        <x:f>IF(Master!M273="","",Master!M273)</x:f>
      </x:c>
      <x:c r="M11" s="3" t="str">
        <x:f>IF(Master!N273="","",Master!N273)</x:f>
        <x:v>Yes</x:v>
      </x:c>
      <x:c r="N11" s="3" t="str">
        <x:f>IF(Master!O273="","",Master!O273)</x:f>
        <x:v>Client-dependent</x:v>
      </x:c>
      <x:c r="O11" s="3" t="str">
        <x:f>IF(Master!P273="","",Master!P273)</x:f>
        <x:v>Yes</x:v>
      </x:c>
      <x:c r="P11" s="3" t="str">
        <x:f>IF(Master!Q273="","",Master!Q273)</x:f>
      </x:c>
      <x:c r="Q11" s="3" t="str">
        <x:f>IF(Master!R273="","",Master!R273)</x:f>
        <x:v>Yes</x:v>
      </x:c>
      <x:c r="R11" s="3" t="str">
        <x:f>IF(Master!S273="","",Master!S273)</x:f>
      </x:c>
      <x:c r="S11" s="3" t="str">
        <x:f>IF(Master!T273="","",Master!T273)</x:f>
      </x:c>
      <x:c r="T11" s="3" t="str">
        <x:f>IF(Master!U273="","",Master!U273)</x:f>
        <x:v>Yes</x:v>
      </x:c>
      <x:c r="U11" s="3" t="str">
        <x:f>IF(Master!V273="","",Master!V273)</x:f>
        <x:v>Yes</x:v>
      </x:c>
      <x:c r="V11" s="3" t="str">
        <x:f>IF(Master!W273="","",Master!W273)</x:f>
      </x:c>
      <x:c r="W11" s="3" t="str">
        <x:f>IF(Master!X273="","",Master!X273)</x:f>
        <x:v>N/A</x:v>
      </x:c>
      <x:c r="X11" s="3" t="str">
        <x:f>IF(Master!Y273="","",Master!Y273)</x:f>
        <x:v>Yes</x:v>
      </x:c>
      <x:c r="Y11" s="3" t="str">
        <x:f>IF(Master!Z273="","",Master!Z273)</x:f>
        <x:v>Client-dependent</x:v>
      </x:c>
      <x:c r="Z11" s="3" t="str">
        <x:f>IF(Master!AA273="","",Master!AA273)</x:f>
        <x:v>Yes</x:v>
      </x:c>
      <x:c r="AA11" s="6" t="str">
        <x:f>IF(Master!AB273="","",Master!AB273)</x:f>
        <x:v>Yes</x:v>
      </x:c>
      <x:c r="AB11" s="3" t="str">
        <x:f>IF(Master!AC273="","",Master!AC273)</x:f>
      </x:c>
      <x:c r="AC11" s="3" t="str">
        <x:f>IF(Master!AD273="","",Master!AD273)</x:f>
      </x:c>
      <x:c r="AD11" s="3" t="str">
        <x:f>IF(Master!AE273="","",Master!AE273)</x:f>
      </x:c>
      <x:c r="AE11" s="3" t="str">
        <x:f>IF(Master!AF273="","",Master!AF273)</x:f>
      </x:c>
      <x:c r="AF11" s="8" t="str">
        <x:f>IF(Master!AG273="","",Master!AG273)</x:f>
        <x:v>Provider-dependent</x:v>
      </x:c>
    </x:row>
    <x:row r="12" ht="36" customHeight="1">
      <x:c r="A12" s="17" t="s">
        <x:v>529</x:v>
      </x:c>
      <x:c r="B12" s="3" t="str">
        <x:f>IF(Master!C274="","",Master!C274)</x:f>
        <x:v>Krisp</x:v>
      </x:c>
      <x:c r="C12" s="3" t="str">
        <x:f>IF(Master!D274="","",Master!D274)</x:f>
      </x:c>
      <x:c r="D12" s="3" t="str">
        <x:f>IF(Master!E274="","",Master!E274)</x:f>
        <x:v>Noise/echo cancellation</x:v>
      </x:c>
      <x:c r="E12" s="3" t="str">
        <x:f>IF(Master!F274="","",Master!F274)</x:f>
        <x:v>Echo cancellation/noise suppression/auto gain</x:v>
      </x:c>
      <x:c r="F12" s="3" t="str">
        <x:f>IF(Master!G274="","",Master!G274)</x:f>
        <x:v>DeepFilterNet3/local processing</x:v>
      </x:c>
      <x:c r="G12" s="3" t="str">
        <x:f>IF(Master!H274="","",Master!H274)</x:f>
        <x:v>DeepFilterNet3</x:v>
      </x:c>
      <x:c r="H12" s="3" t="str">
        <x:f>IF(Master!I274="","",Master!I274)</x:f>
        <x:v>Built-in processing</x:v>
      </x:c>
      <x:c r="I12" s="3" t="str">
        <x:f>IF(Master!J274="","",Master!J274)</x:f>
      </x:c>
      <x:c r="J12" s="3" t="str">
        <x:f>IF(Master!K274="","",Master!K274)</x:f>
      </x:c>
      <x:c r="K12" s="3" t="str">
        <x:f>IF(Master!L274="","",Master!L274)</x:f>
        <x:v>Yes: desktop/mobile; web suppression unavailable per developer report</x:v>
      </x:c>
      <x:c r="L12" s="3" t="str">
        <x:f>IF(Master!M274="","",Master!M274)</x:f>
      </x:c>
      <x:c r="M12" s="3" t="str">
        <x:f>IF(Master!N274="","",Master!N274)</x:f>
        <x:v>Noise suppression</x:v>
      </x:c>
      <x:c r="N12" s="3" t="str">
        <x:f>IF(Master!O274="","",Master!O274)</x:f>
        <x:v>Client-dependent</x:v>
      </x:c>
      <x:c r="O12" s="3" t="str">
        <x:f>IF(Master!P274="","",Master!P274)</x:f>
        <x:v>WebRTC processing</x:v>
      </x:c>
      <x:c r="P12" s="3" t="str">
        <x:f>IF(Master!Q274="","",Master!Q274)</x:f>
      </x:c>
      <x:c r="Q12" s="3" t="str">
        <x:f>IF(Master!R274="","",Master!R274)</x:f>
        <x:v>Built-in processing</x:v>
      </x:c>
      <x:c r="R12" s="3" t="str">
        <x:f>IF(Master!S274="","",Master!S274)</x:f>
      </x:c>
      <x:c r="S12" s="3" t="str">
        <x:f>IF(Master!T274="","",Master!T274)</x:f>
      </x:c>
      <x:c r="T12" s="3" t="str">
        <x:f>IF(Master!U274="","",Master!U274)</x:f>
        <x:v>No branded/public engine claim</x:v>
      </x:c>
      <x:c r="U12" s="3" t="str">
        <x:f>IF(Master!V274="","",Master!V274)</x:f>
        <x:v>Yes</x:v>
      </x:c>
      <x:c r="V12" s="3" t="str">
        <x:f>IF(Master!W274="","",Master!W274)</x:f>
        <x:v>Provider-dependent</x:v>
      </x:c>
      <x:c r="W12" s="3" t="str">
        <x:f>IF(Master!X274="","",Master!X274)</x:f>
        <x:v>N/A</x:v>
      </x:c>
      <x:c r="X12" s="3" t="str">
        <x:f>IF(Master!Y274="","",Master!Y274)</x:f>
      </x:c>
      <x:c r="Y12" s="3" t="str">
        <x:f>IF(Master!Z274="","",Master!Z274)</x:f>
      </x:c>
      <x:c r="Z12" s="3" t="str">
        <x:f>IF(Master!AA274="","",Master!AA274)</x:f>
        <x:v>RNNoise</x:v>
      </x:c>
      <x:c r="AA12" s="6" t="str">
        <x:f>IF(Master!AB274="","",Master!AB274)</x:f>
        <x:v>Built-in</x:v>
      </x:c>
      <x:c r="AB12" s="3" t="str">
        <x:f>IF(Master!AC274="","",Master!AC274)</x:f>
      </x:c>
      <x:c r="AC12" s="3" t="str">
        <x:f>IF(Master!AD274="","",Master!AD274)</x:f>
      </x:c>
      <x:c r="AD12" s="3" t="str">
        <x:f>IF(Master!AE274="","",Master!AE274)</x:f>
      </x:c>
      <x:c r="AE12" s="3" t="str">
        <x:f>IF(Master!AF274="","",Master!AF274)</x:f>
      </x:c>
      <x:c r="AF12" s="8" t="str">
        <x:f>IF(Master!AG274="","",Master!AG274)</x:f>
        <x:v>Provider-dependent</x:v>
      </x:c>
    </x:row>
    <x:row r="13" ht="36" customHeight="1">
      <x:c r="A13" s="17" t="s">
        <x:v>530</x:v>
      </x:c>
      <x:c r="B13" s="3" t="str">
        <x:f>IF(Master!C275="","",Master!C275)</x:f>
        <x:v>No native proximity</x:v>
      </x:c>
      <x:c r="C13" s="3" t="str">
        <x:f>IF(Master!D275="","",Master!D275)</x:f>
        <x:v>No</x:v>
      </x:c>
      <x:c r="D13" s="3" t="str">
        <x:f>IF(Master!E275="","",Master!E275)</x:f>
        <x:v>No</x:v>
      </x:c>
      <x:c r="E13" s="3" t="str">
        <x:f>IF(Master!F275="","",Master!F275)</x:f>
        <x:v>No</x:v>
      </x:c>
      <x:c r="F13" s="3" t="str">
        <x:f>IF(Master!G275="","",Master!G275)</x:f>
        <x:v>No</x:v>
      </x:c>
      <x:c r="G13" s="3" t="str">
        <x:f>IF(Master!H275="","",Master!H275)</x:f>
        <x:v>No</x:v>
      </x:c>
      <x:c r="H13" s="3" t="str">
        <x:f>IF(Master!I275="","",Master!I275)</x:f>
        <x:v>GameLink spatial audio</x:v>
      </x:c>
      <x:c r="I13" s="3" t="str">
        <x:f>IF(Master!J275="","",Master!J275)</x:f>
        <x:v>No</x:v>
      </x:c>
      <x:c r="J13" s="3" t="str">
        <x:f>IF(Master!K275="","",Master!K275)</x:f>
        <x:v>No</x:v>
      </x:c>
      <x:c r="K13" s="3" t="str">
        <x:f>IF(Master!L275="","",Master!L275)</x:f>
      </x:c>
      <x:c r="L13" s="3" t="str">
        <x:f>IF(Master!M275="","",Master!M275)</x:f>
        <x:v>No</x:v>
      </x:c>
      <x:c r="M13" s="3" t="str">
        <x:f>IF(Master!N275="","",Master!N275)</x:f>
        <x:v>No</x:v>
      </x:c>
      <x:c r="N13" s="3" t="str">
        <x:f>IF(Master!O275="","",Master!O275)</x:f>
        <x:v>Client-dependent</x:v>
      </x:c>
      <x:c r="O13" s="3" t="str">
        <x:f>IF(Master!P275="","",Master!P275)</x:f>
        <x:v>No</x:v>
      </x:c>
      <x:c r="P13" s="3" t="str">
        <x:f>IF(Master!Q275="","",Master!Q275)</x:f>
        <x:v>No</x:v>
      </x:c>
      <x:c r="Q13" s="3" t="str">
        <x:f>IF(Master!R275="","",Master!R275)</x:f>
        <x:v>Yes: positional audio</x:v>
      </x:c>
      <x:c r="R13" s="3" t="str">
        <x:f>IF(Master!S275="","",Master!S275)</x:f>
        <x:v>No</x:v>
      </x:c>
      <x:c r="S13" s="3" t="str">
        <x:f>IF(Master!T275="","",Master!T275)</x:f>
        <x:v>No</x:v>
      </x:c>
      <x:c r="T13" s="3" t="str">
        <x:f>IF(Master!U275="","",Master!U275)</x:f>
        <x:v>No</x:v>
      </x:c>
      <x:c r="U13" s="3" t="str">
        <x:f>IF(Master!V275="","",Master!V275)</x:f>
        <x:v>No</x:v>
      </x:c>
      <x:c r="V13" s="3" t="str">
        <x:f>IF(Master!W275="","",Master!W275)</x:f>
        <x:v>No</x:v>
      </x:c>
      <x:c r="W13" s="3" t="str">
        <x:f>IF(Master!X275="","",Master!X275)</x:f>
        <x:v>N/A</x:v>
      </x:c>
      <x:c r="X13" s="3" t="str">
        <x:f>IF(Master!Y275="","",Master!Y275)</x:f>
        <x:v>No</x:v>
      </x:c>
      <x:c r="Y13" s="3" t="str">
        <x:f>IF(Master!Z275="","",Master!Z275)</x:f>
        <x:v>No</x:v>
      </x:c>
      <x:c r="Z13" s="3" t="str">
        <x:f>IF(Master!AA275="","",Master!AA275)</x:f>
        <x:v>No</x:v>
      </x:c>
      <x:c r="AA13" s="6" t="str">
        <x:f>IF(Master!AB275="","",Master!AB275)</x:f>
        <x:v>3D/positional support historically</x:v>
      </x:c>
      <x:c r="AB13" s="3" t="str">
        <x:f>IF(Master!AC275="","",Master!AC275)</x:f>
        <x:v>No</x:v>
      </x:c>
      <x:c r="AC13" s="3" t="str">
        <x:f>IF(Master!AD275="","",Master!AD275)</x:f>
        <x:v>No</x:v>
      </x:c>
      <x:c r="AD13" s="3" t="str">
        <x:f>IF(Master!AE275="","",Master!AE275)</x:f>
        <x:v>No</x:v>
      </x:c>
      <x:c r="AE13" s="3" t="str">
        <x:f>IF(Master!AF275="","",Master!AF275)</x:f>
        <x:v>Yes: spatial/proximity</x:v>
      </x:c>
      <x:c r="AF13" s="8" t="str">
        <x:f>IF(Master!AG275="","",Master!AG275)</x:f>
        <x:v>No</x:v>
      </x:c>
    </x:row>
    <x:row r="14" ht="36" customHeight="1">
      <x:c r="A14" s="17" t="s">
        <x:v>531</x:v>
      </x:c>
      <x:c r="B14" s="3" t="str">
        <x:f>IF(Master!C276="","",Master!C276)</x:f>
        <x:v>Yes: Stage</x:v>
      </x:c>
      <x:c r="C14" s="3" t="str">
        <x:f>IF(Master!D276="","",Master!D276)</x:f>
      </x:c>
      <x:c r="D14" s="3" t="str">
        <x:f>IF(Master!E276="","",Master!E276)</x:f>
        <x:v>No</x:v>
      </x:c>
      <x:c r="E14" s="3" t="str">
        <x:f>IF(Master!F276="","",Master!F276)</x:f>
        <x:v>No</x:v>
      </x:c>
      <x:c r="F14" s="3" t="str">
        <x:f>IF(Master!G276="","",Master!G276)</x:f>
        <x:v>Nested voice/host-broadcasting direction</x:v>
      </x:c>
      <x:c r="G14" s="3" t="str">
        <x:f>IF(Master!H276="","",Master!H276)</x:f>
      </x:c>
      <x:c r="H14" s="3" t="str">
        <x:f>IF(Master!I276="","",Master!I276)</x:f>
        <x:v>No Stage verified</x:v>
      </x:c>
      <x:c r="I14" s="3" t="str">
        <x:f>IF(Master!J276="","",Master!J276)</x:f>
        <x:v>No</x:v>
      </x:c>
      <x:c r="J14" s="3" t="str">
        <x:f>IF(Master!K276="","",Master!K276)</x:f>
        <x:v>No</x:v>
      </x:c>
      <x:c r="K14" s="3" t="str">
        <x:f>IF(Master!L276="","",Master!L276)</x:f>
        <x:v>Developer-reported Stage channels</x:v>
      </x:c>
      <x:c r="L14" s="3" t="str">
        <x:f>IF(Master!M276="","",Master!M276)</x:f>
        <x:v>No</x:v>
      </x:c>
      <x:c r="M14" s="3" t="str">
        <x:f>IF(Master!N276="","",Master!N276)</x:f>
        <x:v>Stage/channel model</x:v>
      </x:c>
      <x:c r="N14" s="3" t="str">
        <x:f>IF(Master!O276="","",Master!O276)</x:f>
        <x:v>Client-dependent</x:v>
      </x:c>
      <x:c r="O14" s="3" t="str">
        <x:f>IF(Master!P276="","",Master!P276)</x:f>
        <x:v>Call presentation</x:v>
      </x:c>
      <x:c r="P14" s="3" t="str">
        <x:f>IF(Master!Q276="","",Master!Q276)</x:f>
      </x:c>
      <x:c r="Q14" s="3" t="str">
        <x:f>IF(Master!R276="","",Master!R276)</x:f>
        <x:v>No</x:v>
      </x:c>
      <x:c r="R14" s="3" t="str">
        <x:f>IF(Master!S276="","",Master!S276)</x:f>
        <x:v>No</x:v>
      </x:c>
      <x:c r="S14" s="3" t="str">
        <x:f>IF(Master!T276="","",Master!T276)</x:f>
        <x:v>No Stage verified</x:v>
      </x:c>
      <x:c r="T14" s="3" t="str">
        <x:f>IF(Master!U276="","",Master!U276)</x:f>
        <x:v>No</x:v>
      </x:c>
      <x:c r="U14" s="3" t="str">
        <x:f>IF(Master!V276="","",Master!V276)</x:f>
        <x:v>No dedicated Stage; announcements + permissions / voice launchers</x:v>
      </x:c>
      <x:c r="V14" s="3" t="str">
        <x:f>IF(Master!W276="","",Master!W276)</x:f>
        <x:v>Provider-dependent</x:v>
      </x:c>
      <x:c r="W14" s="3" t="str">
        <x:f>IF(Master!X276="","",Master!X276)</x:f>
        <x:v>N/A</x:v>
      </x:c>
      <x:c r="X14" s="3" t="str">
        <x:f>IF(Master!Y276="","",Master!Y276)</x:f>
        <x:v>No dedicated stage</x:v>
      </x:c>
      <x:c r="Y14" s="3" t="str">
        <x:f>IF(Master!Z276="","",Master!Z276)</x:f>
      </x:c>
      <x:c r="Z14" s="3" t="str">
        <x:f>IF(Master!AA276="","",Master!AA276)</x:f>
        <x:v>No verified</x:v>
      </x:c>
      <x:c r="AA14" s="6" t="str">
        <x:f>IF(Master!AB276="","",Master!AB276)</x:f>
        <x:v>No Discord stage equivalent</x:v>
      </x:c>
      <x:c r="AB14" s="3" t="str">
        <x:f>IF(Master!AC276="","",Master!AC276)</x:f>
        <x:v>No</x:v>
      </x:c>
      <x:c r="AC14" s="3" t="str">
        <x:f>IF(Master!AD276="","",Master!AD276)</x:f>
        <x:v>No</x:v>
      </x:c>
      <x:c r="AD14" s="3" t="str">
        <x:f>IF(Master!AE276="","",Master!AE276)</x:f>
        <x:v>Room stage/media surface</x:v>
      </x:c>
      <x:c r="AE14" s="3" t="str">
        <x:f>IF(Master!AF276="","",Master!AF276)</x:f>
        <x:v>No</x:v>
      </x:c>
      <x:c r="AF14" s="8" t="str">
        <x:f>IF(Master!AG276="","",Master!AG276)</x:f>
        <x:v>Provider-dependent</x:v>
      </x:c>
    </x:row>
    <x:row r="15" ht="36" customHeight="1">
      <x:c r="A15" s="17" t="s">
        <x:v>532</x:v>
      </x:c>
      <x:c r="B15" s="3" t="str">
        <x:f>IF(Master!C277="","",Master!C277)</x:f>
        <x:v>Yes</x:v>
      </x:c>
      <x:c r="C15" s="3" t="str">
        <x:f>IF(Master!D277="","",Master!D277)</x:f>
      </x:c>
      <x:c r="D15" s="3" t="str">
        <x:f>IF(Master!E277="","",Master!E277)</x:f>
      </x:c>
      <x:c r="E15" s="3" t="str">
        <x:f>IF(Master!F277="","",Master!F277)</x:f>
      </x:c>
      <x:c r="F15" s="3" t="str">
        <x:f>IF(Master!G277="","",Master!G277)</x:f>
      </x:c>
      <x:c r="G15" s="3" t="str">
        <x:f>IF(Master!H277="","",Master!H277)</x:f>
      </x:c>
      <x:c r="H15" s="3" t="str">
        <x:f>IF(Master!I277="","",Master!I277)</x:f>
      </x:c>
      <x:c r="I15" s="3" t="str">
        <x:f>IF(Master!J277="","",Master!J277)</x:f>
      </x:c>
      <x:c r="J15" s="3" t="str">
        <x:f>IF(Master!K277="","",Master!K277)</x:f>
        <x:v>No</x:v>
      </x:c>
      <x:c r="K15" s="3" t="str">
        <x:f>IF(Master!L277="","",Master!L277)</x:f>
        <x:v>Not documented</x:v>
      </x:c>
      <x:c r="L15" s="3" t="str">
        <x:f>IF(Master!M277="","",Master!M277)</x:f>
      </x:c>
      <x:c r="M15" s="3" t="str">
        <x:f>IF(Master!N277="","",Master!N277)</x:f>
      </x:c>
      <x:c r="N15" s="3" t="str">
        <x:f>IF(Master!O277="","",Master!O277)</x:f>
        <x:v>Client-dependent</x:v>
      </x:c>
      <x:c r="O15" s="3" t="str">
        <x:f>IF(Master!P277="","",Master!P277)</x:f>
        <x:v>Yes</x:v>
      </x:c>
      <x:c r="P15" s="3" t="str">
        <x:f>IF(Master!Q277="","",Master!Q277)</x:f>
      </x:c>
      <x:c r="Q15" s="3" t="str">
        <x:f>IF(Master!R277="","",Master!R277)</x:f>
        <x:v>No</x:v>
      </x:c>
      <x:c r="R15" s="3" t="str">
        <x:f>IF(Master!S277="","",Master!S277)</x:f>
      </x:c>
      <x:c r="S15" s="3" t="str">
        <x:f>IF(Master!T277="","",Master!T277)</x:f>
      </x:c>
      <x:c r="T15" s="3" t="str">
        <x:f>IF(Master!U277="","",Master!U277)</x:f>
      </x:c>
      <x:c r="U15" s="3" t="str">
        <x:f>IF(Master!V277="","",Master!V277)</x:f>
        <x:v>No</x:v>
      </x:c>
      <x:c r="V15" s="3" t="str">
        <x:f>IF(Master!W277="","",Master!W277)</x:f>
        <x:v>Provider-dependent</x:v>
      </x:c>
      <x:c r="W15" s="3" t="str">
        <x:f>IF(Master!X277="","",Master!X277)</x:f>
        <x:v>N/A</x:v>
      </x:c>
      <x:c r="X15" s="3" t="str">
        <x:f>IF(Master!Y277="","",Master!Y277)</x:f>
      </x:c>
      <x:c r="Y15" s="3" t="str">
        <x:f>IF(Master!Z277="","",Master!Z277)</x:f>
      </x:c>
      <x:c r="Z15" s="3" t="str">
        <x:f>IF(Master!AA277="","",Master!AA277)</x:f>
      </x:c>
      <x:c r="AA15" s="6" t="str">
        <x:f>IF(Master!AB277="","",Master!AB277)</x:f>
      </x:c>
      <x:c r="AB15" s="3" t="str">
        <x:f>IF(Master!AC277="","",Master!AC277)</x:f>
      </x:c>
      <x:c r="AC15" s="3" t="str">
        <x:f>IF(Master!AD277="","",Master!AD277)</x:f>
      </x:c>
      <x:c r="AD15" s="3" t="str">
        <x:f>IF(Master!AE277="","",Master!AE277)</x:f>
      </x:c>
      <x:c r="AE15" s="3" t="str">
        <x:f>IF(Master!AF277="","",Master!AF277)</x:f>
        <x:v>No</x:v>
      </x:c>
      <x:c r="AF15" s="8" t="str">
        <x:f>IF(Master!AG277="","",Master!AG277)</x:f>
        <x:v>Provider-dependent</x:v>
      </x:c>
    </x:row>
    <x:row r="16" ht="36" customHeight="1">
      <x:c r="A16" s="17" t="s">
        <x:v>533</x:v>
      </x:c>
      <x:c r="B16" s="3" t="str">
        <x:f>IF(Master!C278="","",Master!C278)</x:f>
        <x:v>Yes</x:v>
      </x:c>
      <x:c r="C16" s="3" t="str">
        <x:f>IF(Master!D278="","",Master!D278)</x:f>
      </x:c>
      <x:c r="D16" s="3" t="str">
        <x:f>IF(Master!E278="","",Master!E278)</x:f>
      </x:c>
      <x:c r="E16" s="3" t="str">
        <x:f>IF(Master!F278="","",Master!F278)</x:f>
        <x:v>Yes</x:v>
      </x:c>
      <x:c r="F16" s="3" t="str">
        <x:f>IF(Master!G278="","",Master!G278)</x:f>
        <x:v>Yes</x:v>
      </x:c>
      <x:c r="G16" s="3" t="str">
        <x:f>IF(Master!H278="","",Master!H278)</x:f>
        <x:v>Yes</x:v>
      </x:c>
      <x:c r="H16" s="3" t="str">
        <x:f>IF(Master!I278="","",Master!I278)</x:f>
        <x:v>Yes</x:v>
      </x:c>
      <x:c r="I16" s="3" t="str">
        <x:f>IF(Master!J278="","",Master!J278)</x:f>
        <x:v>In development</x:v>
      </x:c>
      <x:c r="J16" s="3" t="str">
        <x:f>IF(Master!K278="","",Master!K278)</x:f>
      </x:c>
      <x:c r="K16" s="3" t="str">
        <x:f>IF(Master!L278="","",Master!L278)</x:f>
        <x:v>Yes</x:v>
      </x:c>
      <x:c r="L16" s="3" t="str">
        <x:f>IF(Master!M278="","",Master!M278)</x:f>
      </x:c>
      <x:c r="M16" s="3" t="str">
        <x:f>IF(Master!N278="","",Master!N278)</x:f>
        <x:v>Yes</x:v>
      </x:c>
      <x:c r="N16" s="3" t="str">
        <x:f>IF(Master!O278="","",Master!O278)</x:f>
        <x:v>Client-dependent</x:v>
      </x:c>
      <x:c r="O16" s="3" t="str">
        <x:f>IF(Master!P278="","",Master!P278)</x:f>
        <x:v>Yes</x:v>
      </x:c>
      <x:c r="P16" s="3" t="str">
        <x:f>IF(Master!Q278="","",Master!Q278)</x:f>
        <x:v>Yes</x:v>
      </x:c>
      <x:c r="Q16" s="3" t="str">
        <x:f>IF(Master!R278="","",Master!R278)</x:f>
        <x:v>No</x:v>
      </x:c>
      <x:c r="R16" s="3" t="str">
        <x:f>IF(Master!S278="","",Master!S278)</x:f>
      </x:c>
      <x:c r="S16" s="3" t="str">
        <x:f>IF(Master!T278="","",Master!T278)</x:f>
        <x:v>Yes</x:v>
      </x:c>
      <x:c r="T16" s="3" t="str">
        <x:f>IF(Master!U278="","",Master!U278)</x:f>
        <x:v>Yes: camera in DM calls</x:v>
      </x:c>
      <x:c r="U16" s="3" t="str">
        <x:f>IF(Master!V278="","",Master!V278)</x:f>
        <x:v>Yes</x:v>
      </x:c>
      <x:c r="V16" s="3" t="str">
        <x:f>IF(Master!W278="","",Master!W278)</x:f>
        <x:v>Provider-dependent</x:v>
      </x:c>
      <x:c r="W16" s="3" t="str">
        <x:f>IF(Master!X278="","",Master!X278)</x:f>
        <x:v>N/A</x:v>
      </x:c>
      <x:c r="X16" s="3" t="str">
        <x:f>IF(Master!Y278="","",Master!Y278)</x:f>
        <x:v>Yes</x:v>
      </x:c>
      <x:c r="Y16" s="3" t="str">
        <x:f>IF(Master!Z278="","",Master!Z278)</x:f>
        <x:v>Yes with Pion implementation</x:v>
      </x:c>
      <x:c r="Z16" s="3" t="str">
        <x:f>IF(Master!AA278="","",Master!AA278)</x:f>
        <x:v>Yes/rollout</x:v>
      </x:c>
      <x:c r="AA16" s="6" t="str">
        <x:f>IF(Master!AB278="","",Master!AB278)</x:f>
      </x:c>
      <x:c r="AB16" s="3" t="str">
        <x:f>IF(Master!AC278="","",Master!AC278)</x:f>
      </x:c>
      <x:c r="AC16" s="3" t="str">
        <x:f>IF(Master!AD278="","",Master!AD278)</x:f>
      </x:c>
      <x:c r="AD16" s="3" t="str">
        <x:f>IF(Master!AE278="","",Master!AE278)</x:f>
        <x:v>Yes</x:v>
      </x:c>
      <x:c r="AE16" s="3" t="str">
        <x:f>IF(Master!AF278="","",Master!AF278)</x:f>
      </x:c>
      <x:c r="AF16" s="8" t="str">
        <x:f>IF(Master!AG278="","",Master!AG278)</x:f>
        <x:v>External provider</x:v>
      </x:c>
    </x:row>
    <x:row r="17" ht="36" customHeight="1">
      <x:c r="A17" s="17" t="s">
        <x:v>534</x:v>
      </x:c>
      <x:c r="B17" s="3" t="str">
        <x:f>IF(Master!C279="","",Master!C279)</x:f>
        <x:v>Yes</x:v>
      </x:c>
      <x:c r="C17" s="3" t="str">
        <x:f>IF(Master!D279="","",Master!D279)</x:f>
      </x:c>
      <x:c r="D17" s="3" t="str">
        <x:f>IF(Master!E279="","",Master!E279)</x:f>
        <x:v>Yes</x:v>
      </x:c>
      <x:c r="E17" s="3" t="str">
        <x:f>IF(Master!F279="","",Master!F279)</x:f>
        <x:v>Yes</x:v>
      </x:c>
      <x:c r="F17" s="3" t="str">
        <x:f>IF(Master!G279="","",Master!G279)</x:f>
        <x:v>Yes</x:v>
      </x:c>
      <x:c r="G17" s="3" t="str">
        <x:f>IF(Master!H279="","",Master!H279)</x:f>
        <x:v>Yes</x:v>
      </x:c>
      <x:c r="H17" s="3" t="str">
        <x:f>IF(Master!I279="","",Master!I279)</x:f>
        <x:v>Yes</x:v>
      </x:c>
      <x:c r="I17" s="3" t="str">
        <x:f>IF(Master!J279="","",Master!J279)</x:f>
        <x:v>In development</x:v>
      </x:c>
      <x:c r="J17" s="3" t="str">
        <x:f>IF(Master!K279="","",Master!K279)</x:f>
      </x:c>
      <x:c r="K17" s="3" t="str">
        <x:f>IF(Master!L279="","",Master!L279)</x:f>
        <x:v>Yes</x:v>
      </x:c>
      <x:c r="L17" s="3" t="str">
        <x:f>IF(Master!M279="","",Master!M279)</x:f>
        <x:v>Yes: screen share advertised</x:v>
      </x:c>
      <x:c r="M17" s="3" t="str">
        <x:f>IF(Master!N279="","",Master!N279)</x:f>
        <x:v>Yes</x:v>
      </x:c>
      <x:c r="N17" s="3" t="str">
        <x:f>IF(Master!O279="","",Master!O279)</x:f>
        <x:v>Client-dependent</x:v>
      </x:c>
      <x:c r="O17" s="3" t="str">
        <x:f>IF(Master!P279="","",Master!P279)</x:f>
        <x:v>Yes</x:v>
      </x:c>
      <x:c r="P17" s="3" t="str">
        <x:f>IF(Master!Q279="","",Master!Q279)</x:f>
        <x:v>Yes</x:v>
      </x:c>
      <x:c r="Q17" s="3" t="str">
        <x:f>IF(Master!R279="","",Master!R279)</x:f>
        <x:v>No</x:v>
      </x:c>
      <x:c r="R17" s="3" t="str">
        <x:f>IF(Master!S279="","",Master!S279)</x:f>
      </x:c>
      <x:c r="S17" s="3" t="str">
        <x:f>IF(Master!T279="","",Master!T279)</x:f>
        <x:v>Yes</x:v>
      </x:c>
      <x:c r="T17" s="3" t="str">
        <x:f>IF(Master!U279="","",Master!U279)</x:f>
        <x:v>Yes: browser screen share</x:v>
      </x:c>
      <x:c r="U17" s="3" t="str">
        <x:f>IF(Master!V279="","",Master!V279)</x:f>
        <x:v>Yes</x:v>
      </x:c>
      <x:c r="V17" s="3" t="str">
        <x:f>IF(Master!W279="","",Master!W279)</x:f>
        <x:v>Provider-dependent</x:v>
      </x:c>
      <x:c r="W17" s="3" t="str">
        <x:f>IF(Master!X279="","",Master!X279)</x:f>
        <x:v>N/A</x:v>
      </x:c>
      <x:c r="X17" s="3" t="str">
        <x:f>IF(Master!Y279="","",Master!Y279)</x:f>
        <x:v>Yes</x:v>
      </x:c>
      <x:c r="Y17" s="3" t="str">
        <x:f>IF(Master!Z279="","",Master!Z279)</x:f>
        <x:v>Yes: Go Live with Pion</x:v>
      </x:c>
      <x:c r="Z17" s="3" t="str">
        <x:f>IF(Master!AA279="","",Master!AA279)</x:f>
        <x:v>Yes/rollout</x:v>
      </x:c>
      <x:c r="AA17" s="6" t="str">
        <x:f>IF(Master!AB279="","",Master!AB279)</x:f>
        <x:v>Yes: TS6</x:v>
      </x:c>
      <x:c r="AB17" s="3" t="str">
        <x:f>IF(Master!AC279="","",Master!AC279)</x:f>
      </x:c>
      <x:c r="AC17" s="3" t="str">
        <x:f>IF(Master!AD279="","",Master!AD279)</x:f>
      </x:c>
      <x:c r="AD17" s="3" t="str">
        <x:f>IF(Master!AE279="","",Master!AE279)</x:f>
        <x:v>Yes</x:v>
      </x:c>
      <x:c r="AE17" s="3" t="str">
        <x:f>IF(Master!AF279="","",Master!AF279)</x:f>
        <x:v>Yes</x:v>
      </x:c>
      <x:c r="AF17" s="8" t="str">
        <x:f>IF(Master!AG279="","",Master!AG279)</x:f>
        <x:v>External provider</x:v>
      </x:c>
    </x:row>
    <x:row r="18" ht="36" customHeight="1">
      <x:c r="A18" s="17" t="s">
        <x:v>535</x:v>
      </x:c>
      <x:c r="B18" s="3" t="str">
        <x:f>IF(Master!C280="","",Master!C280)</x:f>
        <x:v>720p</x:v>
      </x:c>
      <x:c r="C18" s="3" t="str">
        <x:f>IF(Master!D280="","",Master!D280)</x:f>
      </x:c>
      <x:c r="D18" s="3" t="str">
        <x:f>IF(Master!E280="","",Master!E280)</x:f>
        <x:v>Up to 4K</x:v>
      </x:c>
      <x:c r="E18" s="3" t="str">
        <x:f>IF(Master!F280="","",Master!F280)</x:f>
      </x:c>
      <x:c r="F18" s="3" t="str">
        <x:f>IF(Master!G280="","",Master!G280)</x:f>
      </x:c>
      <x:c r="G18" s="3" t="str">
        <x:f>IF(Master!H280="","",Master!H280)</x:f>
        <x:v>720p</x:v>
      </x:c>
      <x:c r="H18" s="3" t="str">
        <x:f>IF(Master!I280="","",Master!I280)</x:f>
        <x:v>1080p</x:v>
      </x:c>
      <x:c r="I18" s="3" t="str">
        <x:f>IF(Master!J280="","",Master!J280)</x:f>
        <x:v>N/A</x:v>
      </x:c>
      <x:c r="J18" s="3" t="str">
        <x:f>IF(Master!K280="","",Master!K280)</x:f>
      </x:c>
      <x:c r="K18" s="3" t="str">
        <x:f>IF(Master!L280="","",Master!L280)</x:f>
        <x:v>4K native Source preset at 30 FPS is publicly documented; browser Source has an 8K defensive bound. Developer questionnaire reported 4K60.</x:v>
      </x:c>
      <x:c r="L18" s="3" t="str">
        <x:f>IF(Master!M280="","",Master!M280)</x:f>
      </x:c>
      <x:c r="M18" s="3" t="str">
        <x:f>IF(Master!N280="","",Master!N280)</x:f>
      </x:c>
      <x:c r="N18" s="3" t="str">
        <x:f>IF(Master!O280="","",Master!O280)</x:f>
        <x:v>Client-dependent</x:v>
      </x:c>
      <x:c r="O18" s="3" t="str">
        <x:f>IF(Master!P280="","",Master!P280)</x:f>
        <x:v>Deployment/plan dependent</x:v>
      </x:c>
      <x:c r="P18" s="3" t="str">
        <x:f>IF(Master!Q280="","",Master!Q280)</x:f>
        <x:v>Unlimited-resolution claim</x:v>
      </x:c>
      <x:c r="Q18" s="3" t="str">
        <x:f>IF(Master!R280="","",Master!R280)</x:f>
        <x:v>N/A</x:v>
      </x:c>
      <x:c r="R18" s="3" t="str">
        <x:f>IF(Master!S280="","",Master!S280)</x:f>
      </x:c>
      <x:c r="S18" s="3" t="str">
        <x:f>IF(Master!T280="","",Master!T280)</x:f>
      </x:c>
      <x:c r="T18" s="3" t="str">
        <x:f>IF(Master!U280="","",Master!U280)</x:f>
        <x:v>1080p</x:v>
      </x:c>
      <x:c r="U18" s="3" t="str">
        <x:f>IF(Master!V280="","",Master!V280)</x:f>
        <x:v>1080p free</x:v>
      </x:c>
      <x:c r="V18" s="3" t="str">
        <x:f>IF(Master!W280="","",Master!W280)</x:f>
        <x:v>Provider-dependent</x:v>
      </x:c>
      <x:c r="W18" s="3" t="str">
        <x:f>IF(Master!X280="","",Master!X280)</x:f>
        <x:v>N/A</x:v>
      </x:c>
      <x:c r="X18" s="3" t="str">
        <x:f>IF(Master!Y280="","",Master!Y280)</x:f>
        <x:v>720p game / Source text mode</x:v>
      </x:c>
      <x:c r="Y18" s="3" t="str">
        <x:f>IF(Master!Z280="","",Master!Z280)</x:f>
        <x:v>Operator/config dependent</x:v>
      </x:c>
      <x:c r="Z18" s="3" t="str">
        <x:f>IF(Master!AA280="","",Master!AA280)</x:f>
      </x:c>
      <x:c r="AA18" s="6" t="str">
        <x:f>IF(Master!AB280="","",Master!AB280)</x:f>
      </x:c>
      <x:c r="AB18" s="3" t="str">
        <x:f>IF(Master!AC280="","",Master!AC280)</x:f>
      </x:c>
      <x:c r="AC18" s="3" t="str">
        <x:f>IF(Master!AD280="","",Master!AD280)</x:f>
      </x:c>
      <x:c r="AD18" s="3" t="str">
        <x:f>IF(Master!AE280="","",Master!AE280)</x:f>
      </x:c>
      <x:c r="AE18" s="3" t="str">
        <x:f>IF(Master!AF280="","",Master!AF280)</x:f>
        <x:v>Up to 1440p</x:v>
      </x:c>
      <x:c r="AF18" s="8" t="str">
        <x:f>IF(Master!AG280="","",Master!AG280)</x:f>
        <x:v>Provider-dependent</x:v>
      </x:c>
    </x:row>
    <x:row r="19" ht="36" customHeight="1">
      <x:c r="A19" s="17" t="s">
        <x:v>536</x:v>
      </x:c>
      <x:c r="B19" s="3" t="str">
        <x:f>IF(Master!C281="","",Master!C281)</x:f>
        <x:v>30</x:v>
      </x:c>
      <x:c r="C19" s="3" t="str">
        <x:f>IF(Master!D281="","",Master!D281)</x:f>
      </x:c>
      <x:c r="D19" s="3" t="str">
        <x:f>IF(Master!E281="","",Master!E281)</x:f>
        <x:v>Up to 60/120 by version/config</x:v>
      </x:c>
      <x:c r="E19" s="3" t="str">
        <x:f>IF(Master!F281="","",Master!F281)</x:f>
      </x:c>
      <x:c r="F19" s="3" t="str">
        <x:f>IF(Master!G281="","",Master!G281)</x:f>
      </x:c>
      <x:c r="G19" s="3" t="str">
        <x:f>IF(Master!H281="","",Master!H281)</x:f>
        <x:v>30</x:v>
      </x:c>
      <x:c r="H19" s="3" t="str">
        <x:f>IF(Master!I281="","",Master!I281)</x:f>
        <x:v>30</x:v>
      </x:c>
      <x:c r="I19" s="3" t="str">
        <x:f>IF(Master!J281="","",Master!J281)</x:f>
        <x:v>N/A</x:v>
      </x:c>
      <x:c r="J19" s="3" t="str">
        <x:f>IF(Master!K281="","",Master!K281)</x:f>
      </x:c>
      <x:c r="K19" s="3" t="str">
        <x:f>IF(Master!L281="","",Master!L281)</x:f>
      </x:c>
      <x:c r="L19" s="3" t="str">
        <x:f>IF(Master!M281="","",Master!M281)</x:f>
      </x:c>
      <x:c r="M19" s="3" t="str">
        <x:f>IF(Master!N281="","",Master!N281)</x:f>
      </x:c>
      <x:c r="N19" s="3" t="str">
        <x:f>IF(Master!O281="","",Master!O281)</x:f>
        <x:v>Client-dependent</x:v>
      </x:c>
      <x:c r="O19" s="3" t="str">
        <x:f>IF(Master!P281="","",Master!P281)</x:f>
        <x:v>Deployment/plan dependent</x:v>
      </x:c>
      <x:c r="P19" s="3" t="str">
        <x:f>IF(Master!Q281="","",Master!Q281)</x:f>
      </x:c>
      <x:c r="Q19" s="3" t="str">
        <x:f>IF(Master!R281="","",Master!R281)</x:f>
        <x:v>N/A</x:v>
      </x:c>
      <x:c r="R19" s="3" t="str">
        <x:f>IF(Master!S281="","",Master!S281)</x:f>
      </x:c>
      <x:c r="S19" s="3" t="str">
        <x:f>IF(Master!T281="","",Master!T281)</x:f>
      </x:c>
      <x:c r="T19" s="3" t="str">
        <x:f>IF(Master!U281="","",Master!U281)</x:f>
        <x:v>Not publicly claimed</x:v>
      </x:c>
      <x:c r="U19" s="3" t="str">
        <x:f>IF(Master!V281="","",Master!V281)</x:f>
        <x:v>60 FPS free</x:v>
      </x:c>
      <x:c r="V19" s="3" t="str">
        <x:f>IF(Master!W281="","",Master!W281)</x:f>
        <x:v>Provider-dependent</x:v>
      </x:c>
      <x:c r="W19" s="3" t="str">
        <x:f>IF(Master!X281="","",Master!X281)</x:f>
        <x:v>N/A</x:v>
      </x:c>
      <x:c r="X19" s="3" t="str">
        <x:f>IF(Master!Y281="","",Master!Y281)</x:f>
        <x:v>30 game / 5 source</x:v>
      </x:c>
      <x:c r="Y19" s="3" t="str">
        <x:f>IF(Master!Z281="","",Master!Z281)</x:f>
      </x:c>
      <x:c r="Z19" s="3" t="str">
        <x:f>IF(Master!AA281="","",Master!AA281)</x:f>
      </x:c>
      <x:c r="AA19" s="6" t="str">
        <x:f>IF(Master!AB281="","",Master!AB281)</x:f>
      </x:c>
      <x:c r="AB19" s="3" t="str">
        <x:f>IF(Master!AC281="","",Master!AC281)</x:f>
      </x:c>
      <x:c r="AC19" s="3" t="str">
        <x:f>IF(Master!AD281="","",Master!AD281)</x:f>
      </x:c>
      <x:c r="AD19" s="3" t="str">
        <x:f>IF(Master!AE281="","",Master!AE281)</x:f>
      </x:c>
      <x:c r="AE19" s="3" t="str">
        <x:f>IF(Master!AF281="","",Master!AF281)</x:f>
      </x:c>
      <x:c r="AF19" s="8" t="str">
        <x:f>IF(Master!AG281="","",Master!AG281)</x:f>
        <x:v>Provider-dependent</x:v>
      </x:c>
    </x:row>
    <x:row r="20" ht="36" customHeight="1">
      <x:c r="A20" s="17" t="s">
        <x:v>467</x:v>
      </x:c>
      <x:c r="B20" s="3" t="str">
        <x:f>IF(Master!C220="","",Master!C220)</x:f>
        <x:v>Up to 4K/60 fps with Nitro/Nitro Classic</x:v>
      </x:c>
      <x:c r="C20" s="3" t="str">
        <x:f>IF(Master!D220="","",Master!D220)</x:f>
      </x:c>
      <x:c r="D20" s="3" t="str">
        <x:f>IF(Master!E220="","",Master!E220)</x:f>
        <x:v>Operator-configurable</x:v>
      </x:c>
      <x:c r="E20" s="3" t="str">
        <x:f>IF(Master!F220="","",Master!F220)</x:f>
      </x:c>
      <x:c r="F20" s="3" t="str">
        <x:f>IF(Master!G220="","",Master!G220)</x:f>
      </x:c>
      <x:c r="G20" s="3" t="str">
        <x:f>IF(Master!H220="","",Master!H220)</x:f>
        <x:v>Up to 4K/60 with Plutonium</x:v>
      </x:c>
      <x:c r="H20" s="3" t="str">
        <x:f>IF(Master!I220="","",Master!I220)</x:f>
        <x:v>Up to 4K/60 Diamond</x:v>
      </x:c>
      <x:c r="I20" s="3" t="str">
        <x:f>IF(Master!J220="","",Master!J220)</x:f>
        <x:v>N/A</x:v>
      </x:c>
      <x:c r="J20" s="3" t="str">
        <x:f>IF(Master!K220="","",Master!K220)</x:f>
        <x:v>N/A</x:v>
      </x:c>
      <x:c r="K20" s="3" t="str">
        <x:f>IF(Master!L220="","",Master!L220)</x:f>
        <x:v>No paid quality tier; documented presets are current/free</x:v>
      </x:c>
      <x:c r="L20" s="3" t="str">
        <x:f>IF(Master!M220="","",Master!M220)</x:f>
      </x:c>
      <x:c r="M20" s="3" t="str">
        <x:f>IF(Master!N220="","",Master!N220)</x:f>
      </x:c>
      <x:c r="N20" s="3" t="str">
        <x:f>IF(Master!O220="","",Master!O220)</x:f>
        <x:v>Client/provider-dependent</x:v>
      </x:c>
      <x:c r="O20" s="3" t="str">
        <x:f>IF(Master!P220="","",Master!P220)</x:f>
        <x:v>Plan/deployment-dependent</x:v>
      </x:c>
      <x:c r="P20" s="3" t="str">
        <x:f>IF(Master!Q220="","",Master!Q220)</x:f>
        <x:v>No paid cap claimed</x:v>
      </x:c>
      <x:c r="Q20" s="3" t="str">
        <x:f>IF(Master!R220="","",Master!R220)</x:f>
        <x:v>N/A</x:v>
      </x:c>
      <x:c r="R20" s="3" t="str">
        <x:f>IF(Master!S220="","",Master!S220)</x:f>
      </x:c>
      <x:c r="S20" s="3" t="str">
        <x:f>IF(Master!T220="","",Master!T220)</x:f>
      </x:c>
      <x:c r="T20" s="3" t="str">
        <x:f>IF(Master!U220="","",Master!U220)</x:f>
        <x:v>No paid tier: 1080p free</x:v>
      </x:c>
      <x:c r="U20" s="3" t="str">
        <x:f>IF(Master!V220="","",Master!V220)</x:f>
        <x:v>1440p60 with Rift+</x:v>
      </x:c>
      <x:c r="V20" s="3" t="str">
        <x:f>IF(Master!W220="","",Master!W220)</x:f>
        <x:v>Provider-dependent</x:v>
      </x:c>
      <x:c r="W20" s="3" t="str">
        <x:f>IF(Master!X220="","",Master!X220)</x:f>
        <x:v>N/A</x:v>
      </x:c>
      <x:c r="X20" s="3" t="str">
        <x:f>IF(Master!Y220="","",Master!Y220)</x:f>
        <x:v>Up to 1440p/60 with Sudo</x:v>
      </x:c>
      <x:c r="Y20" s="3" t="str">
        <x:f>IF(Master!Z220="","",Master!Z220)</x:f>
        <x:v>Operator/config dependent</x:v>
      </x:c>
      <x:c r="Z20" s="3" t="str">
        <x:f>IF(Master!AA220="","",Master!AA220)</x:f>
        <x:v>No separate paid screen-share entitlement publicly stated</x:v>
      </x:c>
      <x:c r="AA20" s="6" t="str">
        <x:f>IF(Master!AB220="","",Master!AB220)</x:f>
      </x:c>
      <x:c r="AB20" s="3" t="str">
        <x:f>IF(Master!AC220="","",Master!AC220)</x:f>
      </x:c>
      <x:c r="AC20" s="3" t="str">
        <x:f>IF(Master!AD220="","",Master!AD220)</x:f>
      </x:c>
      <x:c r="AD20" s="3" t="str">
        <x:f>IF(Master!AE220="","",Master!AE220)</x:f>
        <x:v>Free/unmetered claim</x:v>
      </x:c>
      <x:c r="AE20" s="3" t="str">
        <x:f>IF(Master!AF220="","",Master!AF220)</x:f>
        <x:v>Up to 1440p included</x:v>
      </x:c>
      <x:c r="AF20" s="8" t="str">
        <x:f>IF(Master!AG220="","",Master!AG220)</x:f>
        <x:v>Provider-dependent</x:v>
      </x:c>
    </x:row>
    <x:row r="21" ht="36" customHeight="1">
      <x:c r="A21" s="17" t="s">
        <x:v>468</x:v>
      </x:c>
      <x:c r="B21" s="3" t="str">
        <x:f>IF(Master!C251="","",Master!C251)</x:f>
        <x:v>Yes: Windows, macOS, Chrome, mobile; Linux audio sharing unavailable</x:v>
      </x:c>
      <x:c r="C21" s="3" t="str">
        <x:f>IF(Master!D251="","",Master!D251)</x:f>
      </x:c>
      <x:c r="D21" s="3" t="str">
        <x:f>IF(Master!E251="","",Master!E251)</x:f>
        <x:v>Yes</x:v>
      </x:c>
      <x:c r="E21" s="3" t="str">
        <x:f>IF(Master!F251="","",Master!F251)</x:f>
        <x:v>Yes</x:v>
      </x:c>
      <x:c r="F21" s="3" t="str">
        <x:f>IF(Master!G251="","",Master!G251)</x:f>
        <x:v>Yes: screen sharing exists in alpha</x:v>
      </x:c>
      <x:c r="G21" s="3" t="str">
        <x:f>IF(Master!H251="","",Master!H251)</x:f>
        <x:v>Yes</x:v>
      </x:c>
      <x:c r="H21" s="3" t="str">
        <x:f>IF(Master!I251="","",Master!I251)</x:f>
        <x:v>Yes</x:v>
      </x:c>
      <x:c r="I21" s="3" t="str">
        <x:f>IF(Master!J251="","",Master!J251)</x:f>
      </x:c>
      <x:c r="J21" s="3" t="str">
        <x:f>IF(Master!K251="","",Master!K251)</x:f>
        <x:v>Yes on supported desktop platforms; per-app capture documented for Windows/Linux</x:v>
      </x:c>
      <x:c r="K21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21" s="3" t="str">
        <x:f>IF(Master!M251="","",Master!M251)</x:f>
      </x:c>
      <x:c r="M21" s="3" t="str">
        <x:f>IF(Master!N251="","",Master!N251)</x:f>
        <x:v>Yes</x:v>
      </x:c>
      <x:c r="N21" s="3" t="str">
        <x:f>IF(Master!O251="","",Master!O251)</x:f>
        <x:v>Varies by client</x:v>
      </x:c>
      <x:c r="O21" s="3" t="str">
        <x:f>IF(Master!P251="","",Master!P251)</x:f>
        <x:v>Yes</x:v>
      </x:c>
      <x:c r="P21" s="3" t="str">
        <x:f>IF(Master!Q251="","",Master!Q251)</x:f>
        <x:v>Yes</x:v>
      </x:c>
      <x:c r="Q21" s="3" t="str">
        <x:f>IF(Master!R251="","",Master!R251)</x:f>
        <x:v>N/A</x:v>
      </x:c>
      <x:c r="R21" s="3" t="str">
        <x:f>IF(Master!S251="","",Master!S251)</x:f>
      </x:c>
      <x:c r="S21" s="3" t="str">
        <x:f>IF(Master!T251="","",Master!T251)</x:f>
        <x:v>Yes</x:v>
      </x:c>
      <x:c r="T21" s="3" t="str">
        <x:f>IF(Master!U251="","",Master!U251)</x:f>
        <x:v>Yes: browser tab audio</x:v>
      </x:c>
      <x:c r="U21" s="3" t="str">
        <x:f>IF(Master!V251="","",Master!V251)</x:f>
        <x:v>Yes</x:v>
      </x:c>
      <x:c r="V21" s="3" t="str">
        <x:f>IF(Master!W251="","",Master!W251)</x:f>
        <x:v>Provider-dependent</x:v>
      </x:c>
      <x:c r="W21" s="3" t="str">
        <x:f>IF(Master!X251="","",Master!X251)</x:f>
        <x:v>N/A</x:v>
      </x:c>
      <x:c r="X21" s="3" t="str">
        <x:f>IF(Master!Y251="","",Master!Y251)</x:f>
        <x:v>Yes: share stream audio</x:v>
      </x:c>
      <x:c r="Y21" s="3" t="str">
        <x:f>IF(Master!Z251="","",Master!Z251)</x:f>
        <x:v>Go Live supported by recommended Pion implementation</x:v>
      </x:c>
      <x:c r="Z21" s="3" t="str">
        <x:f>IF(Master!AA251="","",Master!AA251)</x:f>
        <x:v>Yes: whole-screen and window audio</x:v>
      </x:c>
      <x:c r="AA21" s="6" t="str">
        <x:f>IF(Master!AB251="","",Master!AB251)</x:f>
        <x:v>Yes</x:v>
      </x:c>
      <x:c r="AB21" s="3" t="str">
        <x:f>IF(Master!AC251="","",Master!AC251)</x:f>
      </x:c>
      <x:c r="AC21" s="3" t="str">
        <x:f>IF(Master!AD251="","",Master!AD251)</x:f>
      </x:c>
      <x:c r="AD21" s="3" t="str">
        <x:f>IF(Master!AE251="","",Master!AE251)</x:f>
        <x:v>Yes</x:v>
      </x:c>
      <x:c r="AE21" s="3" t="str">
        <x:f>IF(Master!AF251="","",Master!AF251)</x:f>
        <x:v>Yes: screen share with audio</x:v>
      </x:c>
      <x:c r="AF21" s="8" t="str">
        <x:f>IF(Master!AG251="","",Master!AG251)</x:f>
        <x:v>Provider-dependent</x:v>
      </x:c>
    </x:row>
    <x:row r="22" ht="36" customHeight="1">
      <x:c r="A22" s="17" t="s">
        <x:v>469</x:v>
      </x:c>
      <x:c r="B22" s="3" t="str">
        <x:f>IF(Master!C252="","",Master!C252)</x:f>
        <x:v>Yes on supported platforms</x:v>
      </x:c>
      <x:c r="C22" s="3" t="str">
        <x:f>IF(Master!D252="","",Master!D252)</x:f>
      </x:c>
      <x:c r="D22" s="3" t="str">
        <x:f>IF(Master!E252="","",Master!E252)</x:f>
      </x:c>
      <x:c r="E22" s="3" t="str">
        <x:f>IF(Master!F252="","",Master!F252)</x:f>
      </x:c>
      <x:c r="F22" s="3" t="str">
        <x:f>IF(Master!G252="","",Master!G252)</x:f>
      </x:c>
      <x:c r="G22" s="3" t="str">
        <x:f>IF(Master!H252="","",Master!H252)</x:f>
        <x:v>Yes on supported desktop paths</x:v>
      </x:c>
      <x:c r="H22" s="3" t="str">
        <x:f>IF(Master!I252="","",Master!I252)</x:f>
      </x:c>
      <x:c r="I22" s="3" t="str">
        <x:f>IF(Master!J252="","",Master!J252)</x:f>
      </x:c>
      <x:c r="J22" s="3" t="str">
        <x:f>IF(Master!K252="","",Master!K252)</x:f>
      </x:c>
      <x:c r="K22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22" s="3" t="str">
        <x:f>IF(Master!M252="","",Master!M252)</x:f>
      </x:c>
      <x:c r="M22" s="3" t="str">
        <x:f>IF(Master!N252="","",Master!N252)</x:f>
      </x:c>
      <x:c r="N22" s="3" t="str">
        <x:f>IF(Master!O252="","",Master!O252)</x:f>
        <x:v>Varies by client</x:v>
      </x:c>
      <x:c r="O22" s="3" t="str">
        <x:f>IF(Master!P252="","",Master!P252)</x:f>
        <x:v>Yes</x:v>
      </x:c>
      <x:c r="P22" s="3" t="str">
        <x:f>IF(Master!Q252="","",Master!Q252)</x:f>
      </x:c>
      <x:c r="Q22" s="3" t="str">
        <x:f>IF(Master!R252="","",Master!R252)</x:f>
        <x:v>N/A</x:v>
      </x:c>
      <x:c r="R22" s="3" t="str">
        <x:f>IF(Master!S252="","",Master!S252)</x:f>
      </x:c>
      <x:c r="S22" s="3" t="str">
        <x:f>IF(Master!T252="","",Master!T252)</x:f>
      </x:c>
      <x:c r="T22" s="3" t="str">
        <x:f>IF(Master!U252="","",Master!U252)</x:f>
        <x:v>Browser tab audio supported; full system-audio capture not publicly claimed</x:v>
      </x:c>
      <x:c r="U22" s="3" t="str">
        <x:f>IF(Master!V252="","",Master!V252)</x:f>
        <x:v>Yes</x:v>
      </x:c>
      <x:c r="V22" s="3" t="str">
        <x:f>IF(Master!W252="","",Master!W252)</x:f>
        <x:v>Provider-dependent</x:v>
      </x:c>
      <x:c r="W22" s="3" t="str">
        <x:f>IF(Master!X252="","",Master!X252)</x:f>
        <x:v>N/A</x:v>
      </x:c>
      <x:c r="X22" s="3" t="str">
        <x:f>IF(Master!Y252="","",Master!Y252)</x:f>
        <x:v>Yes on supported desktop</x:v>
      </x:c>
      <x:c r="Y22" s="3" t="str">
        <x:f>IF(Master!Z252="","",Master!Z252)</x:f>
      </x:c>
      <x:c r="Z22" s="3" t="str">
        <x:f>IF(Master!AA252="","",Master!AA252)</x:f>
        <x:v>Yes: whole-screen/window audio; Wayland audio can be unreliable</x:v>
      </x:c>
      <x:c r="AA22" s="6" t="str">
        <x:f>IF(Master!AB252="","",Master!AB252)</x:f>
      </x:c>
      <x:c r="AB22" s="3" t="str">
        <x:f>IF(Master!AC252="","",Master!AC252)</x:f>
      </x:c>
      <x:c r="AC22" s="3" t="str">
        <x:f>IF(Master!AD252="","",Master!AD252)</x:f>
      </x:c>
      <x:c r="AD22" s="3" t="str">
        <x:f>IF(Master!AE252="","",Master!AE252)</x:f>
      </x:c>
      <x:c r="AE22" s="3" t="str">
        <x:f>IF(Master!AF252="","",Master!AF252)</x:f>
      </x:c>
      <x:c r="AF22" s="8" t="str">
        <x:f>IF(Master!AG252="","",Master!AG252)</x:f>
        <x:v>Provider-dependent</x:v>
      </x:c>
    </x:row>
    <x:row r="23" ht="36" customHeight="1">
      <x:c r="A23" s="17" t="s">
        <x:v>537</x:v>
      </x:c>
      <x:c r="B23" s="3" t="str">
        <x:f>IF(Master!C282="","",Master!C282)</x:f>
        <x:v>Linux audio-share limitations</x:v>
      </x:c>
      <x:c r="C23" s="3" t="str">
        <x:f>IF(Master!D282="","",Master!D282)</x:f>
      </x:c>
      <x:c r="D23" s="3" t="str">
        <x:f>IF(Master!E282="","",Master!E282)</x:f>
      </x:c>
      <x:c r="E23" s="3" t="str">
        <x:f>IF(Master!F282="","",Master!F282)</x:f>
      </x:c>
      <x:c r="F23" s="3" t="str">
        <x:f>IF(Master!G282="","",Master!G282)</x:f>
      </x:c>
      <x:c r="G23" s="3" t="str">
        <x:f>IF(Master!H282="","",Master!H282)</x:f>
      </x:c>
      <x:c r="H23" s="3" t="str">
        <x:f>IF(Master!I282="","",Master!I282)</x:f>
      </x:c>
      <x:c r="I23" s="3" t="str">
        <x:f>IF(Master!J282="","",Master!J282)</x:f>
      </x:c>
      <x:c r="J23" s="3" t="str">
        <x:f>IF(Master!K282="","",Master!K282)</x:f>
      </x:c>
      <x:c r="K23" s="3" t="str">
        <x:f>IF(Master!L282="","",Master!L282)</x:f>
        <x:v>No: current native desktop common mixer contract is not enabled; browser may provide surface audio</x:v>
      </x:c>
      <x:c r="L23" s="3" t="str">
        <x:f>IF(Master!M282="","",Master!M282)</x:f>
      </x:c>
      <x:c r="M23" s="3" t="str">
        <x:f>IF(Master!N282="","",Master!N282)</x:f>
      </x:c>
      <x:c r="N23" s="3" t="str">
        <x:f>IF(Master!O282="","",Master!O282)</x:f>
        <x:v>Client-dependent</x:v>
      </x:c>
      <x:c r="O23" s="3" t="str">
        <x:f>IF(Master!P282="","",Master!P282)</x:f>
        <x:v>Depends desktop/Linux support</x:v>
      </x:c>
      <x:c r="P23" s="3" t="str">
        <x:f>IF(Master!Q282="","",Master!Q282)</x:f>
      </x:c>
      <x:c r="Q23" s="3" t="str">
        <x:f>IF(Master!R282="","",Master!R282)</x:f>
        <x:v>N/A</x:v>
      </x:c>
      <x:c r="R23" s="3" t="str">
        <x:f>IF(Master!S282="","",Master!S282)</x:f>
      </x:c>
      <x:c r="S23" s="3" t="str">
        <x:f>IF(Master!T282="","",Master!T282)</x:f>
      </x:c>
      <x:c r="T23" s="3" t="str">
        <x:f>IF(Master!U282="","",Master!U282)</x:f>
        <x:v>Linux supported</x:v>
      </x:c>
      <x:c r="U23" s="3" t="str">
        <x:f>IF(Master!V282="","",Master!V282)</x:f>
        <x:v>Yes</x:v>
      </x:c>
      <x:c r="V23" s="3" t="str">
        <x:f>IF(Master!W282="","",Master!W282)</x:f>
        <x:v>Provider-dependent</x:v>
      </x:c>
      <x:c r="W23" s="3" t="str">
        <x:f>IF(Master!X282="","",Master!X282)</x:f>
        <x:v>N/A</x:v>
      </x:c>
      <x:c r="X23" s="3" t="str">
        <x:f>IF(Master!Y282="","",Master!Y282)</x:f>
      </x:c>
      <x:c r="Y23" s="3" t="str">
        <x:f>IF(Master!Z282="","",Master!Z282)</x:f>
      </x:c>
      <x:c r="Z23" s="3" t="str">
        <x:f>IF(Master!AA282="","",Master!AA282)</x:f>
      </x:c>
      <x:c r="AA23" s="6" t="str">
        <x:f>IF(Master!AB282="","",Master!AB282)</x:f>
      </x:c>
      <x:c r="AB23" s="3" t="str">
        <x:f>IF(Master!AC282="","",Master!AC282)</x:f>
      </x:c>
      <x:c r="AC23" s="3" t="str">
        <x:f>IF(Master!AD282="","",Master!AD282)</x:f>
        <x:v>Linux mic I/O known rough edge</x:v>
      </x:c>
      <x:c r="AD23" s="3" t="str">
        <x:f>IF(Master!AE282="","",Master!AE282)</x:f>
      </x:c>
      <x:c r="AE23" s="3" t="str">
        <x:f>IF(Master!AF282="","",Master!AF282)</x:f>
      </x:c>
      <x:c r="AF23" s="8" t="str">
        <x:f>IF(Master!AG282="","",Master!AG282)</x:f>
        <x:v>Provider-dependent</x:v>
      </x:c>
    </x:row>
    <x:row r="24" ht="36" customHeight="1">
      <x:c r="A24" s="17" t="s">
        <x:v>538</x:v>
      </x:c>
      <x:c r="B24" s="3" t="str">
        <x:f>IF(Master!C283="","",Master!C283)</x:f>
        <x:v>Mobile screen share supported</x:v>
      </x:c>
      <x:c r="C24" s="3" t="str">
        <x:f>IF(Master!D283="","",Master!D283)</x:f>
      </x:c>
      <x:c r="D24" s="3" t="str">
        <x:f>IF(Master!E283="","",Master!E283)</x:f>
      </x:c>
      <x:c r="E24" s="3" t="str">
        <x:f>IF(Master!F283="","",Master!F283)</x:f>
      </x:c>
      <x:c r="F24" s="3" t="str">
        <x:f>IF(Master!G283="","",Master!G283)</x:f>
      </x:c>
      <x:c r="G24" s="3" t="str">
        <x:f>IF(Master!H283="","",Master!H283)</x:f>
      </x:c>
      <x:c r="H24" s="3" t="str">
        <x:f>IF(Master!I283="","",Master!I283)</x:f>
      </x:c>
      <x:c r="I24" s="3" t="str">
        <x:f>IF(Master!J283="","",Master!J283)</x:f>
      </x:c>
      <x:c r="J24" s="3" t="str">
        <x:f>IF(Master!K283="","",Master!K283)</x:f>
      </x:c>
      <x:c r="K24" s="3" t="str">
        <x:f>IF(Master!L283="","",Master!L283)</x:f>
        <x:v>Yes</x:v>
      </x:c>
      <x:c r="L24" s="3" t="str">
        <x:f>IF(Master!M283="","",Master!M283)</x:f>
      </x:c>
      <x:c r="M24" s="3" t="str">
        <x:f>IF(Master!N283="","",Master!N283)</x:f>
      </x:c>
      <x:c r="N24" s="3" t="str">
        <x:f>IF(Master!O283="","",Master!O283)</x:f>
        <x:v>Client-dependent</x:v>
      </x:c>
      <x:c r="O24" s="3" t="str">
        <x:f>IF(Master!P283="","",Master!P283)</x:f>
        <x:v>Mobile behavior varies</x:v>
      </x:c>
      <x:c r="P24" s="3" t="str">
        <x:f>IF(Master!Q283="","",Master!Q283)</x:f>
      </x:c>
      <x:c r="Q24" s="3" t="str">
        <x:f>IF(Master!R283="","",Master!R283)</x:f>
        <x:v>N/A</x:v>
      </x:c>
      <x:c r="R24" s="3" t="str">
        <x:f>IF(Master!S283="","",Master!S283)</x:f>
      </x:c>
      <x:c r="S24" s="3" t="str">
        <x:f>IF(Master!T283="","",Master!T283)</x:f>
      </x:c>
      <x:c r="T24" s="3" t="str">
        <x:f>IF(Master!U283="","",Master!U283)</x:f>
      </x:c>
      <x:c r="U24" s="3" t="str">
        <x:f>IF(Master!V283="","",Master!V283)</x:f>
        <x:v>Yes: mobile calls/screen documented</x:v>
      </x:c>
      <x:c r="V24" s="3" t="str">
        <x:f>IF(Master!W283="","",Master!W283)</x:f>
        <x:v>Provider-dependent</x:v>
      </x:c>
      <x:c r="W24" s="3" t="str">
        <x:f>IF(Master!X283="","",Master!X283)</x:f>
        <x:v>N/A</x:v>
      </x:c>
      <x:c r="X24" s="3" t="str">
        <x:f>IF(Master!Y283="","",Master!Y283)</x:f>
        <x:v>No sharing from mobile</x:v>
      </x:c>
      <x:c r="Y24" s="3" t="str">
        <x:f>IF(Master!Z283="","",Master!Z283)</x:f>
      </x:c>
      <x:c r="Z24" s="3" t="str">
        <x:f>IF(Master!AA283="","",Master!AA283)</x:f>
      </x:c>
      <x:c r="AA24" s="6" t="str">
        <x:f>IF(Master!AB283="","",Master!AB283)</x:f>
      </x:c>
      <x:c r="AB24" s="3" t="str">
        <x:f>IF(Master!AC283="","",Master!AC283)</x:f>
      </x:c>
      <x:c r="AC24" s="3" t="str">
        <x:f>IF(Master!AD283="","",Master!AD283)</x:f>
      </x:c>
      <x:c r="AD24" s="3" t="str">
        <x:f>IF(Master!AE283="","",Master!AE283)</x:f>
      </x:c>
      <x:c r="AE24" s="3" t="str">
        <x:f>IF(Master!AF283="","",Master!AF283)</x:f>
      </x:c>
      <x:c r="AF24" s="8" t="str">
        <x:f>IF(Master!AG283="","",Master!AG283)</x:f>
        <x:v>Provider-dependent</x:v>
      </x:c>
    </x:row>
    <x:row r="25" ht="36" customHeight="1">
      <x:c r="A25" s="17" t="s">
        <x:v>539</x:v>
      </x:c>
      <x:c r="B25" s="3" t="str">
        <x:f>IF(Master!C284="","",Master!C284)</x:f>
      </x:c>
      <x:c r="C25" s="3" t="str">
        <x:f>IF(Master!D284="","",Master!D284)</x:f>
      </x:c>
      <x:c r="D25" s="3" t="str">
        <x:f>IF(Master!E284="","",Master!E284)</x:f>
      </x:c>
      <x:c r="E25" s="3" t="str">
        <x:f>IF(Master!F284="","",Master!F284)</x:f>
      </x:c>
      <x:c r="F25" s="3" t="str">
        <x:f>IF(Master!G284="","",Master!G284)</x:f>
      </x:c>
      <x:c r="G25" s="3" t="str">
        <x:f>IF(Master!H284="","",Master!H284)</x:f>
      </x:c>
      <x:c r="H25" s="3" t="str">
        <x:f>IF(Master!I284="","",Master!I284)</x:f>
      </x:c>
      <x:c r="I25" s="3" t="str">
        <x:f>IF(Master!J284="","",Master!J284)</x:f>
      </x:c>
      <x:c r="J25" s="3" t="str">
        <x:f>IF(Master!K284="","",Master!K284)</x:f>
        <x:v>P2P</x:v>
      </x:c>
      <x:c r="K25" s="3" t="str">
        <x:f>IF(Master!L284="","",Master!L284)</x:f>
        <x:v>Not documented</x:v>
      </x:c>
      <x:c r="L25" s="3" t="str">
        <x:f>IF(Master!M284="","",Master!M284)</x:f>
      </x:c>
      <x:c r="M25" s="3" t="str">
        <x:f>IF(Master!N284="","",Master!N284)</x:f>
      </x:c>
      <x:c r="N25" s="3" t="str">
        <x:f>IF(Master!O284="","",Master!O284)</x:f>
        <x:v>Client/provider-dependent</x:v>
      </x:c>
      <x:c r="O25" s="3" t="str">
        <x:f>IF(Master!P284="","",Master!P284)</x:f>
        <x:v>Plan-dependent</x:v>
      </x:c>
      <x:c r="P25" s="3" t="str">
        <x:f>IF(Master!Q284="","",Master!Q284)</x:f>
      </x:c>
      <x:c r="Q25" s="3" t="str">
        <x:f>IF(Master!R284="","",Master!R284)</x:f>
        <x:v>N/A</x:v>
      </x:c>
      <x:c r="R25" s="3" t="str">
        <x:f>IF(Master!S284="","",Master!S284)</x:f>
      </x:c>
      <x:c r="S25" s="3" t="str">
        <x:f>IF(Master!T284="","",Master!T284)</x:f>
      </x:c>
      <x:c r="T25" s="3" t="str">
        <x:f>IF(Master!U284="","",Master!U284)</x:f>
        <x:v>2 in smaller rooms; 4 in big rooms</x:v>
      </x:c>
      <x:c r="U25" s="3" t="str">
        <x:f>IF(Master!V284="","",Master!V284)</x:f>
        <x:v>Yes</x:v>
      </x:c>
      <x:c r="V25" s="3" t="str">
        <x:f>IF(Master!W284="","",Master!W284)</x:f>
        <x:v>Provider-dependent</x:v>
      </x:c>
      <x:c r="W25" s="3" t="str">
        <x:f>IF(Master!X284="","",Master!X284)</x:f>
        <x:v>N/A</x:v>
      </x:c>
      <x:c r="X25" s="3" t="str">
        <x:f>IF(Master!Y284="","",Master!Y284)</x:f>
      </x:c>
      <x:c r="Y25" s="3" t="str">
        <x:f>IF(Master!Z284="","",Master!Z284)</x:f>
        <x:v>Implementation-dependent</x:v>
      </x:c>
      <x:c r="Z25" s="3" t="str">
        <x:f>IF(Master!AA284="","",Master!AA284)</x:f>
      </x:c>
      <x:c r="AA25" s="6" t="str">
        <x:f>IF(Master!AB284="","",Master!AB284)</x:f>
      </x:c>
      <x:c r="AB25" s="3" t="str">
        <x:f>IF(Master!AC284="","",Master!AC284)</x:f>
      </x:c>
      <x:c r="AC25" s="3" t="str">
        <x:f>IF(Master!AD284="","",Master!AD284)</x:f>
      </x:c>
      <x:c r="AD25" s="3" t="str">
        <x:f>IF(Master!AE284="","",Master!AE284)</x:f>
      </x:c>
      <x:c r="AE25" s="3" t="str">
        <x:f>IF(Master!AF284="","",Master!AF284)</x:f>
      </x:c>
      <x:c r="AF25" s="8" t="str">
        <x:f>IF(Master!AG284="","",Master!AG284)</x:f>
        <x:v>Provider-dependent</x:v>
      </x:c>
    </x:row>
    <x:row r="26" ht="36" customHeight="1">
      <x:c r="A26" s="17" t="s">
        <x:v>540</x:v>
      </x:c>
      <x:c r="B26" s="3" t="str">
        <x:f>IF(Master!C285="","",Master!C285)</x:f>
        <x:v>Yes</x:v>
      </x:c>
      <x:c r="C26" s="3" t="str">
        <x:f>IF(Master!D285="","",Master!D285)</x:f>
      </x:c>
      <x:c r="D26" s="3" t="str">
        <x:f>IF(Master!E285="","",Master!E285)</x:f>
      </x:c>
      <x:c r="E26" s="3" t="str">
        <x:f>IF(Master!F285="","",Master!F285)</x:f>
        <x:v>Yes</x:v>
      </x:c>
      <x:c r="F26" s="3" t="str">
        <x:f>IF(Master!G285="","",Master!G285)</x:f>
      </x:c>
      <x:c r="G26" s="3" t="str">
        <x:f>IF(Master!H285="","",Master!H285)</x:f>
        <x:v>Yes</x:v>
      </x:c>
      <x:c r="H26" s="3" t="str">
        <x:f>IF(Master!I285="","",Master!I285)</x:f>
        <x:v>Yes</x:v>
      </x:c>
      <x:c r="I26" s="3" t="str">
        <x:f>IF(Master!J285="","",Master!J285)</x:f>
      </x:c>
      <x:c r="J26" s="3" t="str">
        <x:f>IF(Master!K285="","",Master!K285)</x:f>
      </x:c>
      <x:c r="K26" s="3" t="str">
        <x:f>IF(Master!L285="","",Master!L285)</x:f>
      </x:c>
      <x:c r="L26" s="3" t="str">
        <x:f>IF(Master!M285="","",Master!M285)</x:f>
      </x:c>
      <x:c r="M26" s="3" t="str">
        <x:f>IF(Master!N285="","",Master!N285)</x:f>
        <x:v>Yes</x:v>
      </x:c>
      <x:c r="N26" s="3" t="str">
        <x:f>IF(Master!O285="","",Master!O285)</x:f>
        <x:v>Client-dependent</x:v>
      </x:c>
      <x:c r="O26" s="3" t="str">
        <x:f>IF(Master!P285="","",Master!P285)</x:f>
        <x:v>Yes</x:v>
      </x:c>
      <x:c r="P26" s="3" t="str">
        <x:f>IF(Master!Q285="","",Master!Q285)</x:f>
        <x:v>Yes</x:v>
      </x:c>
      <x:c r="Q26" s="3" t="str">
        <x:f>IF(Master!R285="","",Master!R285)</x:f>
        <x:v>N/A</x:v>
      </x:c>
      <x:c r="R26" s="3" t="str">
        <x:f>IF(Master!S285="","",Master!S285)</x:f>
      </x:c>
      <x:c r="S26" s="3" t="str">
        <x:f>IF(Master!T285="","",Master!T285)</x:f>
        <x:v>Yes</x:v>
      </x:c>
      <x:c r="T26" s="3" t="str">
        <x:f>IF(Master!U285="","",Master!U285)</x:f>
        <x:v>Yes</x:v>
      </x:c>
      <x:c r="U26" s="3" t="str">
        <x:f>IF(Master!V285="","",Master!V285)</x:f>
        <x:v>Yes</x:v>
      </x:c>
      <x:c r="V26" s="3" t="str">
        <x:f>IF(Master!W285="","",Master!W285)</x:f>
        <x:v>Provider-dependent</x:v>
      </x:c>
      <x:c r="W26" s="3" t="str">
        <x:f>IF(Master!X285="","",Master!X285)</x:f>
        <x:v>N/A</x:v>
      </x:c>
      <x:c r="X26" s="3" t="str">
        <x:f>IF(Master!Y285="","",Master!Y285)</x:f>
        <x:v>Yes</x:v>
      </x:c>
      <x:c r="Y26" s="3" t="str">
        <x:f>IF(Master!Z285="","",Master!Z285)</x:f>
      </x:c>
      <x:c r="Z26" s="3" t="str">
        <x:f>IF(Master!AA285="","",Master!AA285)</x:f>
      </x:c>
      <x:c r="AA26" s="6" t="str">
        <x:f>IF(Master!AB285="","",Master!AB285)</x:f>
      </x:c>
      <x:c r="AB26" s="3" t="str">
        <x:f>IF(Master!AC285="","",Master!AC285)</x:f>
      </x:c>
      <x:c r="AC26" s="3" t="str">
        <x:f>IF(Master!AD285="","",Master!AD285)</x:f>
      </x:c>
      <x:c r="AD26" s="3" t="str">
        <x:f>IF(Master!AE285="","",Master!AE285)</x:f>
        <x:v>Yes</x:v>
      </x:c>
      <x:c r="AE26" s="3" t="str">
        <x:f>IF(Master!AF285="","",Master!AF285)</x:f>
      </x:c>
      <x:c r="AF26" s="8" t="str">
        <x:f>IF(Master!AG285="","",Master!AG285)</x:f>
        <x:v>Provider-dependent</x:v>
      </x:c>
    </x:row>
    <x:row r="27" ht="36" customHeight="1">
      <x:c r="A27" s="17" t="s">
        <x:v>541</x:v>
      </x:c>
      <x:c r="B27" s="3" t="str">
        <x:f>IF(Master!C286="","",Master!C286)</x:f>
        <x:v>Voice/video/Go Live E2EE by default except Stage.</x:v>
      </x:c>
      <x:c r="C27" s="3" t="str">
        <x:f>IF(Master!D286="","",Master!D286)</x:f>
        <x:v>Voice exists; detailed limits are not publicly documented.</x:v>
      </x:c>
      <x:c r="D27" s="3" t="str">
        <x:f>IF(Master!E286="","",Master!E286)</x:f>
        <x:v>Media limits are software/operator-configurable rather than a paid tier.</x:v>
      </x:c>
      <x:c r="E27" s="3" t="str">
        <x:f>IF(Master!F286="","",Master!F286)</x:f>
        <x:v>LiveKit-based voice/video/screen sharing.</x:v>
      </x:c>
      <x:c r="F27" s="3" t="str">
        <x:f>IF(Master!G286="","",Master!G286)</x:f>
        <x:v>Alpha behavior/limits can change.</x:v>
      </x:c>
      <x:c r="G27" s="3" t="str">
        <x:f>IF(Master!H286="","",Master!H286)</x:f>
        <x:v>Nothing is E2EE yet per Sep 13 privacy policy.</x:v>
      </x:c>
      <x:c r="H27" s="3" t="str">
        <x:f>IF(Master!I286="","",Master!I286)</x:f>
        <x:v>Voice-first gaming platform.</x:v>
      </x:c>
      <x:c r="I27" s="3" t="str">
        <x:f>IF(Master!J286="","",Master!J286)</x:f>
        <x:v>Media is early/incomplete.</x:v>
      </x:c>
      <x:c r="J27" s="3" t="str">
        <x:f>IF(Master!K286="","",Master!K286)</x:f>
        <x:v>Media is peer-to-peer rather than server-room focused.</x:v>
      </x:c>
      <x:c r="K27" s="3" t="str">
        <x:f>IF(Master!L286="","",Master!L286)</x:f>
      </x:c>
      <x:c r="L27" s="3" t="str">
        <x:f>IF(Master!M286="","",Master!M286)</x:f>
        <x:v>Media limits not well documented.</x:v>
      </x:c>
      <x:c r="M27" s="3" t="str">
        <x:f>IF(Master!N286="","",Master!N286)</x:f>
        <x:v>Voice/video/screen share are live in open beta.</x:v>
      </x:c>
      <x:c r="N27" s="3" t="str">
        <x:f>IF(Master!O286="","",Master!O286)</x:f>
        <x:v>Media limits depend on the client, homeserver, and SFU deployment; Matrix has no universal platform limit.</x:v>
      </x:c>
      <x:c r="O27" s="3" t="str">
        <x:f>IF(Master!P286="","",Master!P286)</x:f>
        <x:v>Native Calls supports screen share and meeting-style controls.</x:v>
      </x:c>
      <x:c r="P27" s="3" t="str">
        <x:f>IF(Master!Q286="","",Master!Q286)</x:f>
        <x:v>No paywall on voice/video quality claimed.</x:v>
      </x:c>
      <x:c r="Q27" s="3" t="str">
        <x:f>IF(Master!R286="","",Master!R286)</x:f>
        <x:v>Purpose-built voice; no webcam/screen-sharing core.</x:v>
      </x:c>
      <x:c r="R27" s="3" t="str">
        <x:f>IF(Master!S286="","",Master!S286)</x:f>
        <x:v>public documentation emphasize chat more than media limits.</x:v>
      </x:c>
      <x:c r="S27" s="3" t="str">
        <x:f>IF(Master!T286="","",Master!T286)</x:f>
        <x:v>Custom voice infrastructure is a headline feature.</x:v>
      </x:c>
      <x:c r="T27" s="3" t="str">
        <x:f>IF(Master!U286="","",Master!U286)</x:f>
        <x:v>Persistent voice; P2P small/DM media; LiveKit for listed/larger hosted rooms. Hosted watch party has exceeded 100 participants.</x:v>
      </x:c>
      <x:c r="U27" s="3" t="str">
        <x:f>IF(Master!V286="","",Master!V286)</x:f>
        <x:v>Yes</x:v>
      </x:c>
      <x:c r="V27" s="3" t="str">
        <x:f>IF(Master!W286="","",Master!W286)</x:f>
        <x:v>Media calling varies by Rocket.Chat deployment; there is no single fixed platform profile.</x:v>
      </x:c>
      <x:c r="W27" s="3" t="str">
        <x:f>IF(Master!X286="","",Master!X286)</x:f>
        <x:v>Text/community-gardening focus.</x:v>
      </x:c>
      <x:c r="X27" s="3" t="str">
        <x:f>IF(Master!Y286="","",Master!Y286)</x:f>
        <x:v>Mobile can view shared screens.</x:v>
      </x:c>
      <x:c r="Y27" s="3" t="str">
        <x:f>IF(Master!Z286="","",Master!Z286)</x:f>
        <x:v>Voice is optional and disabled unless operator installs a compatible media implementation.</x:v>
      </x:c>
      <x:c r="Z27" s="3" t="str">
        <x:f>IF(Master!AA286="","",Master!AA286)</x:f>
        <x:v>Screen sharing/video rolled out in 2026; exact plan limits are not comprehensively documented.</x:v>
      </x:c>
      <x:c r="AA27" s="6" t="str">
        <x:f>IF(Master!AB286="","",Master!AB286)</x:f>
        <x:v>TS6 is beta, so limits/features are changing.</x:v>
      </x:c>
      <x:c r="AB27" s="3" t="str">
        <x:f>IF(Master!AC286="","",Master!AC286)</x:f>
      </x:c>
      <x:c r="AC27" s="3" t="str">
        <x:f>IF(Master!AD286="","",Master!AD286)</x:f>
        <x:v>Media details sparse.</x:v>
      </x:c>
      <x:c r="AD27" s="3" t="str">
        <x:f>IF(Master!AE286="","",Master!AE286)</x:f>
        <x:v>Designed around always-present game-room media.</x:v>
      </x:c>
      <x:c r="AE27" s="3" t="str">
        <x:f>IF(Master!AF286="","",Master!AF286)</x:f>
        <x:v>Self-host resource capacity determines practical limits.</x:v>
      </x:c>
      <x:c r="AF27" s="8" t="str">
        <x:f>IF(Master!AG286="","",Master!AG286)</x:f>
        <x:v>Voice/video are intentionally delegated to services such as Jitsi/Zoom/BigBlueButton.</x:v>
      </x:c>
    </x:row>
    <x:row r="28" ht="21.950000762939453" customHeight="1">
      <x:c r="A28" s="18" t="s">
        <x:v>542</x:v>
      </x:c>
      <x:c r="B28" s="18" t="str">
        <x:f t="shared" ref="B28:AF28" si="0">IF(""="","","")</x:f>
      </x:c>
      <x:c r="C28" s="18" t="str">
        <x:f t="shared" si="0"/>
      </x:c>
      <x:c r="D28" s="18" t="str">
        <x:f t="shared" si="0"/>
      </x:c>
      <x:c r="E28" s="18" t="str">
        <x:f t="shared" si="0"/>
      </x:c>
      <x:c r="F28" s="18" t="str">
        <x:f t="shared" si="0"/>
      </x:c>
      <x:c r="G28" s="18" t="str">
        <x:f t="shared" si="0"/>
      </x:c>
      <x:c r="H28" s="18" t="str">
        <x:f t="shared" si="0"/>
      </x:c>
      <x:c r="I28" s="18" t="str">
        <x:f t="shared" si="0"/>
      </x:c>
      <x:c r="J28" s="18" t="str">
        <x:f t="shared" si="0"/>
      </x:c>
      <x:c r="K28" s="18" t="str">
        <x:f t="shared" si="0"/>
      </x:c>
      <x:c r="L28" s="18" t="str">
        <x:f t="shared" si="0"/>
      </x:c>
      <x:c r="M28" s="18" t="str">
        <x:f t="shared" si="0"/>
      </x:c>
      <x:c r="N28" s="18" t="str">
        <x:f t="shared" si="0"/>
      </x:c>
      <x:c r="O28" s="18" t="str">
        <x:f t="shared" si="0"/>
      </x:c>
      <x:c r="P28" s="18" t="str">
        <x:f t="shared" si="0"/>
      </x:c>
      <x:c r="Q28" s="18" t="str">
        <x:f t="shared" si="0"/>
      </x:c>
      <x:c r="R28" s="18" t="str">
        <x:f t="shared" si="0"/>
      </x:c>
      <x:c r="S28" s="18" t="str">
        <x:f t="shared" si="0"/>
      </x:c>
      <x:c r="T28" s="18" t="str">
        <x:f t="shared" si="0"/>
      </x:c>
      <x:c r="U28" s="18" t="str">
        <x:f t="shared" si="0"/>
      </x:c>
      <x:c r="V28" s="18" t="str">
        <x:f t="shared" si="0"/>
      </x:c>
      <x:c r="W28" s="18" t="str">
        <x:f t="shared" si="0"/>
      </x:c>
      <x:c r="X28" s="18" t="str">
        <x:f t="shared" si="0"/>
      </x:c>
      <x:c r="Y28" s="18" t="str">
        <x:f t="shared" si="0"/>
      </x:c>
      <x:c r="Z28" s="18" t="str">
        <x:f t="shared" si="0"/>
      </x:c>
      <x:c r="AA28" s="18" t="str">
        <x:f t="shared" si="0"/>
      </x:c>
      <x:c r="AB28" s="18" t="str">
        <x:f t="shared" si="0"/>
      </x:c>
      <x:c r="AC28" s="18" t="str">
        <x:f t="shared" si="0"/>
      </x:c>
      <x:c r="AD28" s="18" t="str">
        <x:f t="shared" si="0"/>
      </x:c>
      <x:c r="AE28" s="18" t="str">
        <x:f t="shared" si="0"/>
      </x:c>
      <x:c r="AF28" s="19" t="str">
        <x:f t="shared" si="0"/>
      </x:c>
    </x:row>
    <x:row r="29" ht="36" customHeight="1">
      <x:c r="A29" s="17" t="s">
        <x:v>543</x:v>
      </x:c>
      <x:c r="B29" s="3" t="str">
        <x:f>IF(Master!C287="","",Master!C287)</x:f>
        <x:v>No native</x:v>
      </x:c>
      <x:c r="C29" s="3" t="str">
        <x:f>IF(Master!D287="","",Master!D287)</x:f>
      </x:c>
      <x:c r="D29" s="3" t="str">
        <x:f>IF(Master!E287="","",Master!E287)</x:f>
      </x:c>
      <x:c r="E29" s="3" t="str">
        <x:f>IF(Master!F287="","",Master!F287)</x:f>
      </x:c>
      <x:c r="F29" s="3" t="str">
        <x:f>IF(Master!G287="","",Master!G287)</x:f>
      </x:c>
      <x:c r="G29" s="3" t="str">
        <x:f>IF(Master!H287="","",Master!H287)</x:f>
      </x:c>
      <x:c r="H29" s="3" t="str">
        <x:f>IF(Master!I287="","",Master!I287)</x:f>
      </x:c>
      <x:c r="I29" s="3" t="str">
        <x:f>IF(Master!J287="","",Master!J287)</x:f>
      </x:c>
      <x:c r="J29" s="3" t="str">
        <x:f>IF(Master!K287="","",Master!K287)</x:f>
      </x:c>
      <x:c r="K29" s="3" t="str">
        <x:f>IF(Master!L287="","",Master!L287)</x:f>
        <x:v>No launcher/auto-delete voice-room model documented</x:v>
      </x:c>
      <x:c r="L29" s="3" t="str">
        <x:f>IF(Master!M287="","",Master!M287)</x:f>
      </x:c>
      <x:c r="M29" s="3" t="str">
        <x:f>IF(Master!N287="","",Master!N287)</x:f>
      </x:c>
      <x:c r="N29" s="3" t="str">
        <x:f>IF(Master!O287="","",Master!O287)</x:f>
      </x:c>
      <x:c r="O29" s="3" t="str">
        <x:f>IF(Master!P287="","",Master!P287)</x:f>
      </x:c>
      <x:c r="P29" s="3" t="str">
        <x:f>IF(Master!Q287="","",Master!Q287)</x:f>
      </x:c>
      <x:c r="Q29" s="3" t="str">
        <x:f>IF(Master!R287="","",Master!R287)</x:f>
      </x:c>
      <x:c r="R29" s="3" t="str">
        <x:f>IF(Master!S287="","",Master!S287)</x:f>
      </x:c>
      <x:c r="S29" s="3" t="str">
        <x:f>IF(Master!T287="","",Master!T287)</x:f>
      </x:c>
      <x:c r="T29" s="3" t="str">
        <x:f>IF(Master!U287="","",Master!U287)</x:f>
      </x:c>
      <x:c r="U29" s="3" t="str">
        <x:f>IF(Master!V287="","",Master!V287)</x:f>
        <x:v>Yes</x:v>
      </x:c>
      <x:c r="V29" s="3" t="str">
        <x:f>IF(Master!W287="","",Master!W287)</x:f>
      </x:c>
      <x:c r="W29" s="3" t="str">
        <x:f>IF(Master!X287="","",Master!X287)</x:f>
      </x:c>
      <x:c r="X29" s="3" t="str">
        <x:f>IF(Master!Y287="","",Master!Y287)</x:f>
      </x:c>
      <x:c r="Y29" s="3" t="str">
        <x:f>IF(Master!Z287="","",Master!Z287)</x:f>
      </x:c>
      <x:c r="Z29" s="3" t="str">
        <x:f>IF(Master!AA287="","",Master!AA287)</x:f>
      </x:c>
      <x:c r="AA29" s="6" t="str">
        <x:f>IF(Master!AB287="","",Master!AB287)</x:f>
      </x:c>
      <x:c r="AB29" s="3" t="str">
        <x:f>IF(Master!AC287="","",Master!AC287)</x:f>
      </x:c>
      <x:c r="AC29" s="3" t="str">
        <x:f>IF(Master!AD287="","",Master!AD287)</x:f>
      </x:c>
      <x:c r="AD29" s="3" t="str">
        <x:f>IF(Master!AE287="","",Master!AE287)</x:f>
      </x:c>
      <x:c r="AE29" s="3" t="str">
        <x:f>IF(Master!AF287="","",Master!AF287)</x:f>
      </x:c>
      <x:c r="AF29" s="8" t="str">
        <x:f>IF(Master!AG287="","",Master!AG287)</x:f>
      </x:c>
    </x:row>
    <x:row r="30" ht="23.100000381469727" customHeight="1">
      <x:c r="A30" s="17" t="s">
        <x:v>436</x:v>
      </x:c>
      <x:c r="B30" s="4" t="str">
        <x:f>IF(Master!C210="","",Master!C210)</x:f>
      </x:c>
      <x:c r="C30" s="4" t="str">
        <x:f>IF(Master!D210="","",Master!D210)</x:f>
      </x:c>
      <x:c r="D30" s="4" t="str">
        <x:f>IF(Master!E210="","",Master!E210)</x:f>
      </x:c>
      <x:c r="E30" s="4" t="str">
        <x:f>IF(Master!F210="","",Master!F210)</x:f>
      </x:c>
      <x:c r="F30" s="4" t="str">
        <x:f>IF(Master!G210="","",Master!G210)</x:f>
      </x:c>
      <x:c r="G30" s="4" t="str">
        <x:f>IF(Master!H210="","",Master!H210)</x:f>
      </x:c>
      <x:c r="H30" s="4" t="str">
        <x:f>IF(Master!I210="","",Master!I210)</x:f>
      </x:c>
      <x:c r="I30" s="4" t="str">
        <x:f>IF(Master!J210="","",Master!J210)</x:f>
      </x:c>
      <x:c r="J30" s="4" t="str">
        <x:f>IF(Master!K210="","",Master!K210)</x:f>
      </x:c>
      <x:c r="K30" s="4" t="str">
        <x:f>IF(Master!L210="","",Master!L210)</x:f>
        <x:v>No native recording</x:v>
      </x:c>
      <x:c r="L30" s="4" t="str">
        <x:f>IF(Master!M210="","",Master!M210)</x:f>
      </x:c>
      <x:c r="M30" s="4" t="str">
        <x:f>IF(Master!N210="","",Master!N210)</x:f>
      </x:c>
      <x:c r="N30" s="4" t="str">
        <x:f>IF(Master!O210="","",Master!O210)</x:f>
      </x:c>
      <x:c r="O30" s="4" t="str">
        <x:f>IF(Master!P210="","",Master!P210)</x:f>
      </x:c>
      <x:c r="P30" s="4" t="str">
        <x:f>IF(Master!Q210="","",Master!Q210)</x:f>
      </x:c>
      <x:c r="Q30" s="4" t="str">
        <x:f>IF(Master!R210="","",Master!R210)</x:f>
      </x:c>
      <x:c r="R30" s="4" t="str">
        <x:f>IF(Master!S210="","",Master!S210)</x:f>
      </x:c>
      <x:c r="S30" s="4" t="str">
        <x:f>IF(Master!T210="","",Master!T210)</x:f>
      </x:c>
      <x:c r="T30" s="4" t="str">
        <x:f>IF(Master!U210="","",Master!U210)</x:f>
      </x:c>
      <x:c r="U30" s="4" t="str">
        <x:f>IF(Master!V210="","",Master!V210)</x:f>
      </x:c>
      <x:c r="V30" s="4" t="str">
        <x:f>IF(Master!W210="","",Master!W210)</x:f>
      </x:c>
      <x:c r="W30" s="4" t="str">
        <x:f>IF(Master!X210="","",Master!X210)</x:f>
      </x:c>
      <x:c r="X30" s="4" t="str">
        <x:f>IF(Master!Y210="","",Master!Y210)</x:f>
      </x:c>
      <x:c r="Y30" s="4" t="str">
        <x:f>IF(Master!Z210="","",Master!Z210)</x:f>
      </x:c>
      <x:c r="Z30" s="4" t="str">
        <x:f>IF(Master!AA210="","",Master!AA210)</x:f>
      </x:c>
      <x:c r="AA30" s="5" t="str">
        <x:f>IF(Master!AB210="","",Master!AB210)</x:f>
      </x:c>
      <x:c r="AB30" s="4" t="str">
        <x:f>IF(Master!AC210="","",Master!AC210)</x:f>
      </x:c>
      <x:c r="AC30" s="4" t="str">
        <x:f>IF(Master!AD210="","",Master!AD210)</x:f>
      </x:c>
      <x:c r="AD30" s="4" t="str">
        <x:f>IF(Master!AE210="","",Master!AE210)</x:f>
      </x:c>
      <x:c r="AE30" s="4" t="str">
        <x:f>IF(Master!AF210="","",Master!AF210)</x:f>
      </x:c>
      <x:c r="AF30" s="8" t="str">
        <x:f>IF(Master!AG210="","",Master!AG210)</x:f>
      </x:c>
    </x:row>
    <x:row r="31" ht="36" customHeight="1">
      <x:c r="A31" s="17" t="s">
        <x:v>437</x:v>
      </x:c>
      <x:c r="B31" s="3" t="str">
        <x:f>IF(Master!C211="","",Master!C211)</x:f>
      </x:c>
      <x:c r="C31" s="3" t="str">
        <x:f>IF(Master!D211="","",Master!D211)</x:f>
      </x:c>
      <x:c r="D31" s="3" t="str">
        <x:f>IF(Master!E211="","",Master!E211)</x:f>
      </x:c>
      <x:c r="E31" s="3" t="str">
        <x:f>IF(Master!F211="","",Master!F211)</x:f>
      </x:c>
      <x:c r="F31" s="3" t="str">
        <x:f>IF(Master!G211="","",Master!G211)</x:f>
      </x:c>
      <x:c r="G31" s="3" t="str">
        <x:f>IF(Master!H211="","",Master!H211)</x:f>
      </x:c>
      <x:c r="H31" s="3" t="str">
        <x:f>IF(Master!I211="","",Master!I211)</x:f>
      </x:c>
      <x:c r="I31" s="3" t="str">
        <x:f>IF(Master!J211="","",Master!J211)</x:f>
      </x:c>
      <x:c r="J31" s="3" t="str">
        <x:f>IF(Master!K211="","",Master!K211)</x:f>
      </x:c>
      <x:c r="K31" s="3" t="str">
        <x:f>IF(Master!L211="","",Master!L211)</x:f>
        <x:v>No native transcription</x:v>
      </x:c>
      <x:c r="L31" s="3" t="str">
        <x:f>IF(Master!M211="","",Master!M211)</x:f>
      </x:c>
      <x:c r="M31" s="3" t="str">
        <x:f>IF(Master!N211="","",Master!N211)</x:f>
      </x:c>
      <x:c r="N31" s="3" t="str">
        <x:f>IF(Master!O211="","",Master!O211)</x:f>
      </x:c>
      <x:c r="O31" s="3" t="str">
        <x:f>IF(Master!P211="","",Master!P211)</x:f>
        <x:v>Yes</x:v>
      </x:c>
      <x:c r="P31" s="3" t="str">
        <x:f>IF(Master!Q211="","",Master!Q211)</x:f>
        <x:v>Yes</x:v>
      </x:c>
      <x:c r="Q31" s="3" t="str">
        <x:f>IF(Master!R211="","",Master!R211)</x:f>
      </x:c>
      <x:c r="R31" s="3" t="str">
        <x:f>IF(Master!S211="","",Master!S211)</x:f>
      </x:c>
      <x:c r="S31" s="3" t="str">
        <x:f>IF(Master!T211="","",Master!T211)</x:f>
      </x:c>
      <x:c r="T31" s="3" t="str">
        <x:f>IF(Master!U211="","",Master!U211)</x:f>
      </x:c>
      <x:c r="U31" s="3" t="str">
        <x:f>IF(Master!V211="","",Master!V211)</x:f>
        <x:v>No</x:v>
      </x:c>
      <x:c r="V31" s="3" t="str">
        <x:f>IF(Master!W211="","",Master!W211)</x:f>
      </x:c>
      <x:c r="W31" s="3" t="str">
        <x:f>IF(Master!X211="","",Master!X211)</x:f>
      </x:c>
      <x:c r="X31" s="3" t="str">
        <x:f>IF(Master!Y211="","",Master!Y211)</x:f>
      </x:c>
      <x:c r="Y31" s="3" t="str">
        <x:f>IF(Master!Z211="","",Master!Z211)</x:f>
      </x:c>
      <x:c r="Z31" s="3" t="str">
        <x:f>IF(Master!AA211="","",Master!AA211)</x:f>
      </x:c>
      <x:c r="AA31" s="6" t="str">
        <x:f>IF(Master!AB211="","",Master!AB211)</x:f>
      </x:c>
      <x:c r="AB31" s="3" t="str">
        <x:f>IF(Master!AC211="","",Master!AC211)</x:f>
      </x:c>
      <x:c r="AC31" s="3" t="str">
        <x:f>IF(Master!AD211="","",Master!AD211)</x:f>
      </x:c>
      <x:c r="AD31" s="3" t="str">
        <x:f>IF(Master!AE211="","",Master!AE211)</x:f>
      </x:c>
      <x:c r="AE31" s="3" t="str">
        <x:f>IF(Master!AF211="","",Master!AF211)</x:f>
      </x:c>
      <x:c r="AF31" s="8" t="str">
        <x:f>IF(Master!AG211="","",Master!AG211)</x:f>
      </x:c>
    </x:row>
    <x:row r="32" ht="36" customHeight="1">
      <x:c r="A32" s="17" t="s">
        <x:v>544</x:v>
      </x:c>
      <x:c r="B32" s="3" t="str">
        <x:f>IF(Master!C288="","",Master!C288)</x:f>
        <x:v>Activities can provide co-watching</x:v>
      </x:c>
      <x:c r="C32" s="3" t="str">
        <x:f>IF(Master!D288="","",Master!D288)</x:f>
      </x:c>
      <x:c r="D32" s="3" t="str">
        <x:f>IF(Master!E288="","",Master!E288)</x:f>
      </x:c>
      <x:c r="E32" s="3" t="str">
        <x:f>IF(Master!F288="","",Master!F288)</x:f>
      </x:c>
      <x:c r="F32" s="3" t="str">
        <x:f>IF(Master!G288="","",Master!G288)</x:f>
      </x:c>
      <x:c r="G32" s="3" t="str">
        <x:f>IF(Master!H288="","",Master!H288)</x:f>
      </x:c>
      <x:c r="H32" s="3" t="str">
        <x:f>IF(Master!I288="","",Master!I288)</x:f>
      </x:c>
      <x:c r="I32" s="3" t="str">
        <x:f>IF(Master!J288="","",Master!J288)</x:f>
      </x:c>
      <x:c r="J32" s="3" t="str">
        <x:f>IF(Master!K288="","",Master!K288)</x:f>
      </x:c>
      <x:c r="K32" s="3" t="str">
        <x:f>IF(Master!L288="","",Master!L288)</x:f>
        <x:v>No watch-party system documented</x:v>
      </x:c>
      <x:c r="L32" s="3" t="str">
        <x:f>IF(Master!M288="","",Master!M288)</x:f>
      </x:c>
      <x:c r="M32" s="3" t="str">
        <x:f>IF(Master!N288="","",Master!N288)</x:f>
      </x:c>
      <x:c r="N32" s="3" t="str">
        <x:f>IF(Master!O288="","",Master!O288)</x:f>
      </x:c>
      <x:c r="O32" s="3" t="str">
        <x:f>IF(Master!P288="","",Master!P288)</x:f>
      </x:c>
      <x:c r="P32" s="3" t="str">
        <x:f>IF(Master!Q288="","",Master!Q288)</x:f>
      </x:c>
      <x:c r="Q32" s="3" t="str">
        <x:f>IF(Master!R288="","",Master!R288)</x:f>
      </x:c>
      <x:c r="R32" s="3" t="str">
        <x:f>IF(Master!S288="","",Master!S288)</x:f>
      </x:c>
      <x:c r="S32" s="3" t="str">
        <x:f>IF(Master!T288="","",Master!T288)</x:f>
      </x:c>
      <x:c r="T32" s="3" t="str">
        <x:f>IF(Master!U288="","",Master!U288)</x:f>
        <x:v>Yes</x:v>
      </x:c>
      <x:c r="U32" s="3" t="str">
        <x:f>IF(Master!V288="","",Master!V288)</x:f>
        <x:v>Yes: YouTube/Twitch Watch Party</x:v>
      </x:c>
      <x:c r="V32" s="3" t="str">
        <x:f>IF(Master!W288="","",Master!W288)</x:f>
      </x:c>
      <x:c r="W32" s="3" t="str">
        <x:f>IF(Master!X288="","",Master!X288)</x:f>
      </x:c>
      <x:c r="X32" s="3" t="str">
        <x:f>IF(Master!Y288="","",Master!Y288)</x:f>
      </x:c>
      <x:c r="Y32" s="3" t="str">
        <x:f>IF(Master!Z288="","",Master!Z288)</x:f>
      </x:c>
      <x:c r="Z32" s="3" t="str">
        <x:f>IF(Master!AA288="","",Master!AA288)</x:f>
      </x:c>
      <x:c r="AA32" s="6" t="str">
        <x:f>IF(Master!AB288="","",Master!AB288)</x:f>
      </x:c>
      <x:c r="AB32" s="3" t="str">
        <x:f>IF(Master!AC288="","",Master!AC288)</x:f>
      </x:c>
      <x:c r="AC32" s="3" t="str">
        <x:f>IF(Master!AD288="","",Master!AD288)</x:f>
      </x:c>
      <x:c r="AD32" s="3" t="str">
        <x:f>IF(Master!AE288="","",Master!AE288)</x:f>
      </x:c>
      <x:c r="AE32" s="3" t="str">
        <x:f>IF(Master!AF288="","",Master!AF288)</x:f>
      </x:c>
      <x:c r="AF32" s="8" t="str">
        <x:f>IF(Master!AG288="","",Master!AG288)</x:f>
      </x:c>
    </x:row>
    <x:row r="33" ht="36" customHeight="1">
      <x:c r="A33" s="17" t="s">
        <x:v>545</x:v>
      </x:c>
      <x:c r="B33" s="3" t="str">
        <x:f>IF(Master!C289="","",Master!C289)</x:f>
      </x:c>
      <x:c r="C33" s="3" t="str">
        <x:f>IF(Master!D289="","",Master!D289)</x:f>
      </x:c>
      <x:c r="D33" s="3" t="str">
        <x:f>IF(Master!E289="","",Master!E289)</x:f>
      </x:c>
      <x:c r="E33" s="3" t="str">
        <x:f>IF(Master!F289="","",Master!F289)</x:f>
      </x:c>
      <x:c r="F33" s="3" t="str">
        <x:f>IF(Master!G289="","",Master!G289)</x:f>
      </x:c>
      <x:c r="G33" s="3" t="str">
        <x:f>IF(Master!H289="","",Master!H289)</x:f>
      </x:c>
      <x:c r="H33" s="3" t="str">
        <x:f>IF(Master!I289="","",Master!I289)</x:f>
      </x:c>
      <x:c r="I33" s="3" t="str">
        <x:f>IF(Master!J289="","",Master!J289)</x:f>
      </x:c>
      <x:c r="J33" s="3" t="str">
        <x:f>IF(Master!K289="","",Master!K289)</x:f>
      </x:c>
      <x:c r="K33" s="3" t="str">
        <x:f>IF(Master!L289="","",Master!L289)</x:f>
        <x:v>Partial: browser 128 kbps Studio; desktop uses processed mono voice graph</x:v>
      </x:c>
      <x:c r="L33" s="3" t="str">
        <x:f>IF(Master!M289="","",Master!M289)</x:f>
      </x:c>
      <x:c r="M33" s="3" t="str">
        <x:f>IF(Master!N289="","",Master!N289)</x:f>
      </x:c>
      <x:c r="N33" s="3" t="str">
        <x:f>IF(Master!O289="","",Master!O289)</x:f>
      </x:c>
      <x:c r="O33" s="3" t="str">
        <x:f>IF(Master!P289="","",Master!P289)</x:f>
      </x:c>
      <x:c r="P33" s="3" t="str">
        <x:f>IF(Master!Q289="","",Master!Q289)</x:f>
      </x:c>
      <x:c r="Q33" s="3" t="str">
        <x:f>IF(Master!R289="","",Master!R289)</x:f>
      </x:c>
      <x:c r="R33" s="3" t="str">
        <x:f>IF(Master!S289="","",Master!S289)</x:f>
      </x:c>
      <x:c r="S33" s="3" t="str">
        <x:f>IF(Master!T289="","",Master!T289)</x:f>
      </x:c>
      <x:c r="T33" s="3" t="str">
        <x:f>IF(Master!U289="","",Master!U289)</x:f>
      </x:c>
      <x:c r="U33" s="3" t="str">
        <x:f>IF(Master!V289="","",Master!V289)</x:f>
        <x:v>Yes: Rift+ high-fidelity mode at 128 kbps</x:v>
      </x:c>
      <x:c r="V33" s="3" t="str">
        <x:f>IF(Master!W289="","",Master!W289)</x:f>
      </x:c>
      <x:c r="W33" s="3" t="str">
        <x:f>IF(Master!X289="","",Master!X289)</x:f>
      </x:c>
      <x:c r="X33" s="3" t="str">
        <x:f>IF(Master!Y289="","",Master!Y289)</x:f>
      </x:c>
      <x:c r="Y33" s="3" t="str">
        <x:f>IF(Master!Z289="","",Master!Z289)</x:f>
      </x:c>
      <x:c r="Z33" s="3" t="str">
        <x:f>IF(Master!AA289="","",Master!AA289)</x:f>
      </x:c>
      <x:c r="AA33" s="6" t="str">
        <x:f>IF(Master!AB289="","",Master!AB289)</x:f>
        <x:v>Codec/settings dependent</x:v>
      </x:c>
      <x:c r="AB33" s="3" t="str">
        <x:f>IF(Master!AC289="","",Master!AC289)</x:f>
      </x:c>
      <x:c r="AC33" s="3" t="str">
        <x:f>IF(Master!AD289="","",Master!AD289)</x:f>
      </x:c>
      <x:c r="AD33" s="3" t="str">
        <x:f>IF(Master!AE289="","",Master!AE289)</x:f>
      </x:c>
      <x:c r="AE33" s="3" t="str">
        <x:f>IF(Master!AF289="","",Master!AF289)</x:f>
      </x:c>
      <x:c r="AF33" s="8" t="str">
        <x:f>IF(Master!AG289="","",Master!AG289)</x:f>
      </x:c>
    </x:row>
  </x:sheetData>
  <x:mergeCells>
    <x:mergeCell ref="A1:A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Directory'!A1","Files, Uploads &amp; Storage: Granular"),"Files, Uploads &amp; Storage: Granular")</x:f>
        <x:v>Files, Uploads &amp; Storage: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546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547</x:v>
      </x:c>
      <x:c r="B4" s="3" t="str">
        <x:f>IF(Master!C290="","",Master!C290)</x:f>
        <x:v>Yes</x:v>
      </x:c>
      <x:c r="C4" s="3" t="str">
        <x:f>IF(Master!D290="","",Master!D290)</x:f>
        <x:v>Yes</x:v>
      </x:c>
      <x:c r="D4" s="3" t="str">
        <x:f>IF(Master!E290="","",Master!E290)</x:f>
        <x:v>Yes</x:v>
      </x:c>
      <x:c r="E4" s="3" t="str">
        <x:f>IF(Master!F290="","",Master!F290)</x:f>
        <x:v>Yes</x:v>
      </x:c>
      <x:c r="F4" s="3" t="str">
        <x:f>IF(Master!G290="","",Master!G290)</x:f>
        <x:v>Yes</x:v>
      </x:c>
      <x:c r="G4" s="3" t="str">
        <x:f>IF(Master!H290="","",Master!H290)</x:f>
        <x:v>Yes</x:v>
      </x:c>
      <x:c r="H4" s="3" t="str">
        <x:f>IF(Master!I290="","",Master!I290)</x:f>
        <x:v>Yes</x:v>
      </x:c>
      <x:c r="I4" s="3" t="str">
        <x:f>IF(Master!J290="","",Master!J290)</x:f>
        <x:v>Yes</x:v>
      </x:c>
      <x:c r="J4" s="3" t="str">
        <x:f>IF(Master!K290="","",Master!K290)</x:f>
        <x:v>Yes</x:v>
      </x:c>
      <x:c r="K4" s="3" t="str">
        <x:f>IF(Master!L290="","",Master!L290)</x:f>
        <x:v>Yes</x:v>
      </x:c>
      <x:c r="L4" s="3" t="str">
        <x:f>IF(Master!M290="","",Master!M290)</x:f>
        <x:v>Yes</x:v>
      </x:c>
      <x:c r="M4" s="3" t="str">
        <x:f>IF(Master!N290="","",Master!N290)</x:f>
        <x:v>Yes</x:v>
      </x:c>
      <x:c r="N4" s="3" t="str">
        <x:f>IF(Master!O290="","",Master!O290)</x:f>
        <x:v>Yes</x:v>
      </x:c>
      <x:c r="O4" s="3" t="str">
        <x:f>IF(Master!P290="","",Master!P290)</x:f>
        <x:v>Yes</x:v>
      </x:c>
      <x:c r="P4" s="3" t="str">
        <x:f>IF(Master!Q290="","",Master!Q290)</x:f>
        <x:v>Yes</x:v>
      </x:c>
      <x:c r="Q4" s="3" t="str">
        <x:f>IF(Master!R290="","",Master!R290)</x:f>
        <x:v>No</x:v>
      </x:c>
      <x:c r="R4" s="3" t="str">
        <x:f>IF(Master!S290="","",Master!S290)</x:f>
        <x:v>Yes</x:v>
      </x:c>
      <x:c r="S4" s="3" t="str">
        <x:f>IF(Master!T290="","",Master!T290)</x:f>
        <x:v>Yes</x:v>
      </x:c>
      <x:c r="T4" s="3" t="str">
        <x:f>IF(Master!U290="","",Master!U290)</x:f>
        <x:v>Yes</x:v>
      </x:c>
      <x:c r="U4" s="3" t="str">
        <x:f>IF(Master!V290="","",Master!V290)</x:f>
        <x:v>Yes</x:v>
      </x:c>
      <x:c r="V4" s="3" t="str">
        <x:f>IF(Master!W290="","",Master!W290)</x:f>
        <x:v>Yes</x:v>
      </x:c>
      <x:c r="W4" s="3" t="str">
        <x:f>IF(Master!X290="","",Master!X290)</x:f>
        <x:v>Yes</x:v>
      </x:c>
      <x:c r="X4" s="3" t="str">
        <x:f>IF(Master!Y290="","",Master!Y290)</x:f>
        <x:v>Yes</x:v>
      </x:c>
      <x:c r="Y4" s="3" t="str">
        <x:f>IF(Master!Z290="","",Master!Z290)</x:f>
        <x:v>Yes</x:v>
      </x:c>
      <x:c r="Z4" s="3" t="str">
        <x:f>IF(Master!AA290="","",Master!AA290)</x:f>
        <x:v>Yes</x:v>
      </x:c>
      <x:c r="AA4" s="6" t="str">
        <x:f>IF(Master!AB290="","",Master!AB290)</x:f>
      </x:c>
      <x:c r="AB4" s="3" t="str">
        <x:f>IF(Master!AC290="","",Master!AC290)</x:f>
        <x:v>Yes</x:v>
      </x:c>
      <x:c r="AC4" s="3" t="str">
        <x:f>IF(Master!AD290="","",Master!AD290)</x:f>
        <x:v>Yes</x:v>
      </x:c>
      <x:c r="AD4" s="3" t="str">
        <x:f>IF(Master!AE290="","",Master!AE290)</x:f>
        <x:v>Yes</x:v>
      </x:c>
      <x:c r="AE4" s="3" t="str">
        <x:f>IF(Master!AF290="","",Master!AF290)</x:f>
        <x:v>Yes</x:v>
      </x:c>
      <x:c r="AF4" s="8" t="str">
        <x:f>IF(Master!AG290="","",Master!AG290)</x:f>
        <x:v>Yes</x:v>
      </x:c>
    </x:row>
    <x:row r="5" ht="36" customHeight="1">
      <x:c r="A5" s="17" t="s">
        <x:v>548</x:v>
      </x:c>
      <x:c r="B5" s="3" t="n">
        <x:f>IF(Master!C291="","",Master!C291)</x:f>
        <x:v>20</x:v>
      </x:c>
      <x:c r="C5" s="3" t="str">
        <x:f>IF(Master!D291="","",Master!D291)</x:f>
      </x:c>
      <x:c r="D5" s="3" t="str">
        <x:f>IF(Master!E291="","",Master!E291)</x:f>
      </x:c>
      <x:c r="E5" s="3" t="str">
        <x:f>IF(Master!F291="","",Master!F291)</x:f>
      </x:c>
      <x:c r="F5" s="3" t="str">
        <x:f>IF(Master!G291="","",Master!G291)</x:f>
      </x:c>
      <x:c r="G5" s="3" t="str">
        <x:f>IF(Master!H291="","",Master!H291)</x:f>
        <x:v>25</x:v>
      </x:c>
      <x:c r="H5" s="3" t="str">
        <x:f>IF(Master!I291="","",Master!I291)</x:f>
        <x:v>500</x:v>
      </x:c>
      <x:c r="I5" s="3" t="n">
        <x:f>IF(Master!J291="","",Master!J291)</x:f>
        <x:v>8</x:v>
      </x:c>
      <x:c r="J5" s="3" t="str">
        <x:f>IF(Master!K291="","",Master!K291)</x:f>
      </x:c>
      <x:c r="K5" s="3" t="str">
        <x:f>IF(Master!L291="","",Master!L291)</x:f>
        <x:v>15</x:v>
      </x:c>
      <x:c r="L5" s="3" t="str">
        <x:f>IF(Master!M291="","",Master!M291)</x:f>
      </x:c>
      <x:c r="M5" s="3" t="str">
        <x:f>IF(Master!N291="","",Master!N291)</x:f>
      </x:c>
      <x:c r="N5" s="3" t="str">
        <x:f>IF(Master!O291="","",Master!O291)</x:f>
      </x:c>
      <x:c r="O5" s="3" t="str">
        <x:f>IF(Master!P291="","",Master!P291)</x:f>
        <x:v>100 MB hard limit; configurable</x:v>
      </x:c>
      <x:c r="P5" s="3" t="str">
        <x:f>IF(Master!Q291="","",Master!Q291)</x:f>
        <x:v>100 for video/other; images 50</x:v>
      </x:c>
      <x:c r="Q5" s="3" t="str">
        <x:f>IF(Master!R291="","",Master!R291)</x:f>
      </x:c>
      <x:c r="R5" s="3" t="str">
        <x:f>IF(Master!S291="","",Master!S291)</x:f>
      </x:c>
      <x:c r="S5" s="3" t="str">
        <x:f>IF(Master!T291="","",Master!T291)</x:f>
      </x:c>
      <x:c r="T5" s="3" t="str">
        <x:f>IF(Master!U291="","",Master!U291)</x:f>
        <x:v>Not publicly claimed</x:v>
      </x:c>
      <x:c r="U5" s="3" t="str">
        <x:f>IF(Master!V291="","",Master!V291)</x:f>
        <x:v>50</x:v>
      </x:c>
      <x:c r="V5" s="3" t="str">
        <x:f>IF(Master!W291="","",Master!W291)</x:f>
        <x:v>Configurable by workspace; self-managed can use -1 for no app-level limit</x:v>
      </x:c>
      <x:c r="W5" s="3" t="str">
        <x:f>IF(Master!X291="","",Master!X291)</x:f>
      </x:c>
      <x:c r="X5" s="3" t="str">
        <x:f>IF(Master!Y291="","",Master!Y291)</x:f>
        <x:v>25</x:v>
      </x:c>
      <x:c r="Y5" s="3" t="str">
        <x:f>IF(Master!Z291="","",Master!Z291)</x:f>
      </x:c>
      <x:c r="Z5" s="3" t="str">
        <x:f>IF(Master!AA291="","",Master!AA291)</x:f>
      </x:c>
      <x:c r="AA5" s="6" t="n">
        <x:f>IF(Master!AB291="","",Master!AB291)</x:f>
        <x:v>10</x:v>
      </x:c>
      <x:c r="AB5" s="3" t="str">
        <x:f>IF(Master!AC291="","",Master!AC291)</x:f>
      </x:c>
      <x:c r="AC5" s="3" t="str">
        <x:f>IF(Master!AD291="","",Master!AD291)</x:f>
      </x:c>
      <x:c r="AD5" s="3" t="str">
        <x:f>IF(Master!AE291="","",Master!AE291)</x:f>
      </x:c>
      <x:c r="AE5" s="3" t="str">
        <x:f>IF(Master!AF291="","",Master!AF291)</x:f>
        <x:v>Configurable by server operator</x:v>
      </x:c>
      <x:c r="AF5" s="8" t="str">
        <x:f>IF(Master!AG291="","",Master!AG291)</x:f>
      </x:c>
    </x:row>
    <x:row r="6" ht="36" customHeight="1">
      <x:c r="A6" s="17" t="s">
        <x:v>549</x:v>
      </x:c>
      <x:c r="B6" s="3" t="str">
        <x:f>IF(Master!C292="","",Master!C292)</x:f>
        <x:v>500</x:v>
      </x:c>
      <x:c r="C6" s="3" t="str">
        <x:f>IF(Master!D292="","",Master!D292)</x:f>
      </x:c>
      <x:c r="D6" s="3" t="str">
        <x:f>IF(Master!E292="","",Master!E292)</x:f>
      </x:c>
      <x:c r="E6" s="3" t="str">
        <x:f>IF(Master!F292="","",Master!F292)</x:f>
      </x:c>
      <x:c r="F6" s="3" t="str">
        <x:f>IF(Master!G292="","",Master!G292)</x:f>
      </x:c>
      <x:c r="G6" s="3" t="str">
        <x:f>IF(Master!H292="","",Master!H292)</x:f>
        <x:v>500</x:v>
      </x:c>
      <x:c r="H6" s="3" t="str">
        <x:f>IF(Master!I292="","",Master!I292)</x:f>
        <x:v>10240</x:v>
      </x:c>
      <x:c r="I6" s="3" t="str">
        <x:f>IF(Master!J292="","",Master!J292)</x:f>
      </x:c>
      <x:c r="J6" s="3" t="str">
        <x:f>IF(Master!K292="","",Master!K292)</x:f>
      </x:c>
      <x:c r="K6" s="3" t="str">
        <x:f>IF(Master!L292="","",Master!L292)</x:f>
        <x:v>No paid upload tier; self-host quotas are configurable</x:v>
      </x:c>
      <x:c r="L6" s="3" t="str">
        <x:f>IF(Master!M292="","",Master!M292)</x:f>
      </x:c>
      <x:c r="M6" s="3" t="str">
        <x:f>IF(Master!N292="","",Master!N292)</x:f>
      </x:c>
      <x:c r="N6" s="3" t="str">
        <x:f>IF(Master!O292="","",Master!O292)</x:f>
      </x:c>
      <x:c r="O6" s="3" t="str">
        <x:f>IF(Master!P292="","",Master!P292)</x:f>
      </x:c>
      <x:c r="P6" s="3" t="str">
        <x:f>IF(Master!Q292="","",Master!Q292)</x:f>
        <x:v>N/A: no paid tier</x:v>
      </x:c>
      <x:c r="Q6" s="3" t="str">
        <x:f>IF(Master!R292="","",Master!R292)</x:f>
      </x:c>
      <x:c r="R6" s="3" t="str">
        <x:f>IF(Master!S292="","",Master!S292)</x:f>
      </x:c>
      <x:c r="S6" s="3" t="str">
        <x:f>IF(Master!T292="","",Master!T292)</x:f>
      </x:c>
      <x:c r="T6" s="3" t="str">
        <x:f>IF(Master!U292="","",Master!U292)</x:f>
        <x:v>No paid tier; hard limit not publicly claimed</x:v>
      </x:c>
      <x:c r="U6" s="3" t="str">
        <x:f>IF(Master!V292="","",Master!V292)</x:f>
        <x:v>300MB personal / 100MB community-member cap</x:v>
      </x:c>
      <x:c r="V6" s="3" t="str">
        <x:f>IF(Master!W292="","",Master!W292)</x:f>
      </x:c>
      <x:c r="W6" s="3" t="str">
        <x:f>IF(Master!X292="","",Master!X292)</x:f>
      </x:c>
      <x:c r="X6" s="3" t="str">
        <x:f>IF(Master!Y292="","",Master!Y292)</x:f>
      </x:c>
      <x:c r="Y6" s="3" t="str">
        <x:f>IF(Master!Z292="","",Master!Z292)</x:f>
      </x:c>
      <x:c r="Z6" s="3" t="str">
        <x:f>IF(Master!AA292="","",Master!AA292)</x:f>
      </x:c>
      <x:c r="AA6" s="6" t="str">
        <x:f>IF(Master!AB292="","",Master!AB292)</x:f>
      </x:c>
      <x:c r="AB6" s="3" t="str">
        <x:f>IF(Master!AC292="","",Master!AC292)</x:f>
      </x:c>
      <x:c r="AC6" s="3" t="str">
        <x:f>IF(Master!AD292="","",Master!AD292)</x:f>
      </x:c>
      <x:c r="AD6" s="3" t="str">
        <x:f>IF(Master!AE292="","",Master!AE292)</x:f>
      </x:c>
      <x:c r="AE6" s="3" t="str">
        <x:f>IF(Master!AF292="","",Master!AF292)</x:f>
      </x:c>
      <x:c r="AF6" s="8" t="str">
        <x:f>IF(Master!AG292="","",Master!AG292)</x:f>
      </x:c>
    </x:row>
    <x:row r="7" ht="36" customHeight="1">
      <x:c r="A7" s="17" t="s">
        <x:v>550</x:v>
      </x:c>
      <x:c r="B7" s="3" t="str">
        <x:f>IF(Master!C293="","",Master!C293)</x:f>
        <x:v>500</x:v>
      </x:c>
      <x:c r="C7" s="3" t="str">
        <x:f>IF(Master!D293="","",Master!D293)</x:f>
      </x:c>
      <x:c r="D7" s="3" t="str">
        <x:f>IF(Master!E293="","",Master!E293)</x:f>
      </x:c>
      <x:c r="E7" s="3" t="str">
        <x:f>IF(Master!F293="","",Master!F293)</x:f>
      </x:c>
      <x:c r="F7" s="3" t="str">
        <x:f>IF(Master!G293="","",Master!G293)</x:f>
      </x:c>
      <x:c r="G7" s="3" t="str">
        <x:f>IF(Master!H293="","",Master!H293)</x:f>
        <x:v>500</x:v>
      </x:c>
      <x:c r="H7" s="3" t="str">
        <x:f>IF(Master!I293="","",Master!I293)</x:f>
        <x:v>10240</x:v>
      </x:c>
      <x:c r="I7" s="3" t="str">
        <x:f>IF(Master!J293="","",Master!J293)</x:f>
      </x:c>
      <x:c r="J7" s="3" t="str">
        <x:f>IF(Master!K293="","",Master!K293)</x:f>
      </x:c>
      <x:c r="K7" s="3" t="str">
        <x:f>IF(Master!L293="","",Master!L293)</x:f>
        <x:v>Configurable by self-host operator; official instance developer-reported limit is 15 MB</x:v>
      </x:c>
      <x:c r="L7" s="3" t="str">
        <x:f>IF(Master!M293="","",Master!M293)</x:f>
      </x:c>
      <x:c r="M7" s="3" t="str">
        <x:f>IF(Master!N293="","",Master!N293)</x:f>
      </x:c>
      <x:c r="N7" s="3" t="str">
        <x:f>IF(Master!O293="","",Master!O293)</x:f>
      </x:c>
      <x:c r="O7" s="3" t="str">
        <x:f>IF(Master!P293="","",Master!P293)</x:f>
      </x:c>
      <x:c r="P7" s="3" t="str">
        <x:f>IF(Master!Q293="","",Master!Q293)</x:f>
        <x:v>100 verified</x:v>
      </x:c>
      <x:c r="Q7" s="3" t="str">
        <x:f>IF(Master!R293="","",Master!R293)</x:f>
      </x:c>
      <x:c r="R7" s="3" t="str">
        <x:f>IF(Master!S293="","",Master!S293)</x:f>
      </x:c>
      <x:c r="S7" s="3" t="str">
        <x:f>IF(Master!T293="","",Master!T293)</x:f>
      </x:c>
      <x:c r="T7" s="3" t="str">
        <x:f>IF(Master!U293="","",Master!U293)</x:f>
        <x:v>Not publicly claimed</x:v>
      </x:c>
      <x:c r="U7" s="3" t="n">
        <x:f>IF(Master!V293="","",Master!V293)</x:f>
        <x:v>300</x:v>
      </x:c>
      <x:c r="V7" s="3" t="str">
        <x:f>IF(Master!W293="","",Master!W293)</x:f>
      </x:c>
      <x:c r="W7" s="3" t="str">
        <x:f>IF(Master!X293="","",Master!X293)</x:f>
      </x:c>
      <x:c r="X7" s="3" t="str">
        <x:f>IF(Master!Y293="","",Master!Y293)</x:f>
        <x:v>25 verified</x:v>
      </x:c>
      <x:c r="Y7" s="3" t="str">
        <x:f>IF(Master!Z293="","",Master!Z293)</x:f>
      </x:c>
      <x:c r="Z7" s="3" t="str">
        <x:f>IF(Master!AA293="","",Master!AA293)</x:f>
      </x:c>
      <x:c r="AA7" s="6" t="str">
        <x:f>IF(Master!AB293="","",Master!AB293)</x:f>
      </x:c>
      <x:c r="AB7" s="3" t="str">
        <x:f>IF(Master!AC293="","",Master!AC293)</x:f>
      </x:c>
      <x:c r="AC7" s="3" t="str">
        <x:f>IF(Master!AD293="","",Master!AD293)</x:f>
      </x:c>
      <x:c r="AD7" s="3" t="str">
        <x:f>IF(Master!AE293="","",Master!AE293)</x:f>
      </x:c>
      <x:c r="AE7" s="3" t="str">
        <x:f>IF(Master!AF293="","",Master!AF293)</x:f>
      </x:c>
      <x:c r="AF7" s="8" t="str">
        <x:f>IF(Master!AG293="","",Master!AG293)</x:f>
      </x:c>
    </x:row>
    <x:row r="8" ht="36" customHeight="1">
      <x:c r="A8" s="17" t="s">
        <x:v>551</x:v>
      </x:c>
      <x:c r="B8" s="3" t="str">
        <x:f>IF(Master!C294="","",Master!C294)</x:f>
      </x:c>
      <x:c r="C8" s="3" t="str">
        <x:f>IF(Master!D294="","",Master!D294)</x:f>
      </x:c>
      <x:c r="D8" s="3" t="str">
        <x:f>IF(Master!E294="","",Master!E294)</x:f>
      </x:c>
      <x:c r="E8" s="3" t="str">
        <x:f>IF(Master!F294="","",Master!F294)</x:f>
      </x:c>
      <x:c r="F8" s="3" t="str">
        <x:f>IF(Master!G294="","",Master!G294)</x:f>
      </x:c>
      <x:c r="G8" s="3" t="str">
        <x:f>IF(Master!H294="","",Master!H294)</x:f>
      </x:c>
      <x:c r="H8" s="3" t="str">
        <x:f>IF(Master!I294="","",Master!I294)</x:f>
      </x:c>
      <x:c r="I8" s="3" t="str">
        <x:f>IF(Master!J294="","",Master!J294)</x:f>
      </x:c>
      <x:c r="J8" s="3" t="str">
        <x:f>IF(Master!K294="","",Master!K294)</x:f>
      </x:c>
      <x:c r="K8" s="3" t="str">
        <x:f>IF(Master!L294="","",Master!L294)</x:f>
      </x:c>
      <x:c r="L8" s="3" t="str">
        <x:f>IF(Master!M294="","",Master!M294)</x:f>
      </x:c>
      <x:c r="M8" s="3" t="str">
        <x:f>IF(Master!N294="","",Master!N294)</x:f>
      </x:c>
      <x:c r="N8" s="3" t="str">
        <x:f>IF(Master!O294="","",Master!O294)</x:f>
      </x:c>
      <x:c r="O8" s="3" t="str">
        <x:f>IF(Master!P294="","",Master!P294)</x:f>
      </x:c>
      <x:c r="P8" s="3" t="str">
        <x:f>IF(Master!Q294="","",Master!Q294)</x:f>
      </x:c>
      <x:c r="Q8" s="3" t="str">
        <x:f>IF(Master!R294="","",Master!R294)</x:f>
      </x:c>
      <x:c r="R8" s="3" t="str">
        <x:f>IF(Master!S294="","",Master!S294)</x:f>
      </x:c>
      <x:c r="S8" s="3" t="str">
        <x:f>IF(Master!T294="","",Master!T294)</x:f>
      </x:c>
      <x:c r="T8" s="3" t="str">
        <x:f>IF(Master!U294="","",Master!U294)</x:f>
      </x:c>
      <x:c r="U8" s="3" t="str">
        <x:f>IF(Master!V294="","",Master!V294)</x:f>
        <x:v>U/K</x:v>
      </x:c>
      <x:c r="V8" s="3" t="str">
        <x:f>IF(Master!W294="","",Master!W294)</x:f>
      </x:c>
      <x:c r="W8" s="3" t="str">
        <x:f>IF(Master!X294="","",Master!X294)</x:f>
      </x:c>
      <x:c r="X8" s="3" t="str">
        <x:f>IF(Master!Y294="","",Master!Y294)</x:f>
        <x:v>10</x:v>
      </x:c>
      <x:c r="Y8" s="3" t="str">
        <x:f>IF(Master!Z294="","",Master!Z294)</x:f>
      </x:c>
      <x:c r="Z8" s="3" t="str">
        <x:f>IF(Master!AA294="","",Master!AA294)</x:f>
      </x:c>
      <x:c r="AA8" s="6" t="str">
        <x:f>IF(Master!AB294="","",Master!AB294)</x:f>
      </x:c>
      <x:c r="AB8" s="3" t="str">
        <x:f>IF(Master!AC294="","",Master!AC294)</x:f>
      </x:c>
      <x:c r="AC8" s="3" t="str">
        <x:f>IF(Master!AD294="","",Master!AD294)</x:f>
      </x:c>
      <x:c r="AD8" s="3" t="str">
        <x:f>IF(Master!AE294="","",Master!AE294)</x:f>
      </x:c>
      <x:c r="AE8" s="3" t="str">
        <x:f>IF(Master!AF294="","",Master!AF294)</x:f>
      </x:c>
      <x:c r="AF8" s="8" t="str">
        <x:f>IF(Master!AG294="","",Master!AG294)</x:f>
      </x:c>
    </x:row>
    <x:row r="9" ht="36" customHeight="1">
      <x:c r="A9" s="17" t="s">
        <x:v>552</x:v>
      </x:c>
      <x:c r="B9" s="3" t="str">
        <x:f>IF(Master!C295="","",Master!C295)</x:f>
      </x:c>
      <x:c r="C9" s="3" t="str">
        <x:f>IF(Master!D295="","",Master!D295)</x:f>
      </x:c>
      <x:c r="D9" s="3" t="str">
        <x:f>IF(Master!E295="","",Master!E295)</x:f>
      </x:c>
      <x:c r="E9" s="3" t="str">
        <x:f>IF(Master!F295="","",Master!F295)</x:f>
      </x:c>
      <x:c r="F9" s="3" t="str">
        <x:f>IF(Master!G295="","",Master!G295)</x:f>
      </x:c>
      <x:c r="G9" s="3" t="str">
        <x:f>IF(Master!H295="","",Master!H295)</x:f>
      </x:c>
      <x:c r="H9" s="3" t="str">
        <x:f>IF(Master!I295="","",Master!I295)</x:f>
      </x:c>
      <x:c r="I9" s="3" t="str">
        <x:f>IF(Master!J295="","",Master!J295)</x:f>
      </x:c>
      <x:c r="J9" s="3" t="str">
        <x:f>IF(Master!K295="","",Master!K295)</x:f>
      </x:c>
      <x:c r="K9" s="3" t="str">
        <x:f>IF(Master!L295="","",Master!L295)</x:f>
        <x:v>15</x:v>
      </x:c>
      <x:c r="L9" s="3" t="str">
        <x:f>IF(Master!M295="","",Master!M295)</x:f>
      </x:c>
      <x:c r="M9" s="3" t="str">
        <x:f>IF(Master!N295="","",Master!N295)</x:f>
      </x:c>
      <x:c r="N9" s="3" t="str">
        <x:f>IF(Master!O295="","",Master!O295)</x:f>
      </x:c>
      <x:c r="O9" s="3" t="str">
        <x:f>IF(Master!P295="","",Master!P295)</x:f>
      </x:c>
      <x:c r="P9" s="3" t="str">
        <x:f>IF(Master!Q295="","",Master!Q295)</x:f>
        <x:v>50</x:v>
      </x:c>
      <x:c r="Q9" s="3" t="str">
        <x:f>IF(Master!R295="","",Master!R295)</x:f>
      </x:c>
      <x:c r="R9" s="3" t="str">
        <x:f>IF(Master!S295="","",Master!S295)</x:f>
      </x:c>
      <x:c r="S9" s="3" t="str">
        <x:f>IF(Master!T295="","",Master!T295)</x:f>
      </x:c>
      <x:c r="T9" s="3" t="str">
        <x:f>IF(Master!U295="","",Master!U295)</x:f>
      </x:c>
      <x:c r="U9" s="3" t="str">
        <x:f>IF(Master!V295="","",Master!V295)</x:f>
        <x:v>50 Free / 300 Rift+</x:v>
      </x:c>
      <x:c r="V9" s="3" t="str">
        <x:f>IF(Master!W295="","",Master!W295)</x:f>
      </x:c>
      <x:c r="W9" s="3" t="str">
        <x:f>IF(Master!X295="","",Master!X295)</x:f>
      </x:c>
      <x:c r="X9" s="3" t="str">
        <x:f>IF(Master!Y295="","",Master!Y295)</x:f>
      </x:c>
      <x:c r="Y9" s="3" t="str">
        <x:f>IF(Master!Z295="","",Master!Z295)</x:f>
      </x:c>
      <x:c r="Z9" s="3" t="str">
        <x:f>IF(Master!AA295="","",Master!AA295)</x:f>
      </x:c>
      <x:c r="AA9" s="6" t="str">
        <x:f>IF(Master!AB295="","",Master!AB295)</x:f>
      </x:c>
      <x:c r="AB9" s="3" t="str">
        <x:f>IF(Master!AC295="","",Master!AC295)</x:f>
      </x:c>
      <x:c r="AC9" s="3" t="str">
        <x:f>IF(Master!AD295="","",Master!AD295)</x:f>
      </x:c>
      <x:c r="AD9" s="3" t="str">
        <x:f>IF(Master!AE295="","",Master!AE295)</x:f>
      </x:c>
      <x:c r="AE9" s="3" t="str">
        <x:f>IF(Master!AF295="","",Master!AF295)</x:f>
      </x:c>
      <x:c r="AF9" s="8" t="str">
        <x:f>IF(Master!AG295="","",Master!AG295)</x:f>
      </x:c>
    </x:row>
    <x:row r="10" ht="36" customHeight="1">
      <x:c r="A10" s="17" t="s">
        <x:v>553</x:v>
      </x:c>
      <x:c r="B10" s="3" t="str">
        <x:f>IF(Master!C296="","",Master!C296)</x:f>
      </x:c>
      <x:c r="C10" s="3" t="str">
        <x:f>IF(Master!D296="","",Master!D296)</x:f>
      </x:c>
      <x:c r="D10" s="3" t="str">
        <x:f>IF(Master!E296="","",Master!E296)</x:f>
      </x:c>
      <x:c r="E10" s="3" t="str">
        <x:f>IF(Master!F296="","",Master!F296)</x:f>
      </x:c>
      <x:c r="F10" s="3" t="str">
        <x:f>IF(Master!G296="","",Master!G296)</x:f>
      </x:c>
      <x:c r="G10" s="3" t="str">
        <x:f>IF(Master!H296="","",Master!H296)</x:f>
      </x:c>
      <x:c r="H10" s="3" t="str">
        <x:f>IF(Master!I296="","",Master!I296)</x:f>
      </x:c>
      <x:c r="I10" s="3" t="str">
        <x:f>IF(Master!J296="","",Master!J296)</x:f>
      </x:c>
      <x:c r="J10" s="3" t="str">
        <x:f>IF(Master!K296="","",Master!K296)</x:f>
      </x:c>
      <x:c r="K10" s="3" t="str">
        <x:f>IF(Master!L296="","",Master!L296)</x:f>
        <x:v>15</x:v>
      </x:c>
      <x:c r="L10" s="3" t="str">
        <x:f>IF(Master!M296="","",Master!M296)</x:f>
      </x:c>
      <x:c r="M10" s="3" t="str">
        <x:f>IF(Master!N296="","",Master!N296)</x:f>
      </x:c>
      <x:c r="N10" s="3" t="str">
        <x:f>IF(Master!O296="","",Master!O296)</x:f>
      </x:c>
      <x:c r="O10" s="3" t="str">
        <x:f>IF(Master!P296="","",Master!P296)</x:f>
      </x:c>
      <x:c r="P10" s="3" t="str">
        <x:f>IF(Master!Q296="","",Master!Q296)</x:f>
        <x:v>100</x:v>
      </x:c>
      <x:c r="Q10" s="3" t="str">
        <x:f>IF(Master!R296="","",Master!R296)</x:f>
      </x:c>
      <x:c r="R10" s="3" t="str">
        <x:f>IF(Master!S296="","",Master!S296)</x:f>
      </x:c>
      <x:c r="S10" s="3" t="str">
        <x:f>IF(Master!T296="","",Master!T296)</x:f>
      </x:c>
      <x:c r="T10" s="3" t="str">
        <x:f>IF(Master!U296="","",Master!U296)</x:f>
      </x:c>
      <x:c r="U10" s="3" t="str">
        <x:f>IF(Master!V296="","",Master!V296)</x:f>
        <x:v>50 Free / 300 Rift+</x:v>
      </x:c>
      <x:c r="V10" s="3" t="str">
        <x:f>IF(Master!W296="","",Master!W296)</x:f>
      </x:c>
      <x:c r="W10" s="3" t="str">
        <x:f>IF(Master!X296="","",Master!X296)</x:f>
      </x:c>
      <x:c r="X10" s="3" t="str">
        <x:f>IF(Master!Y296="","",Master!Y296)</x:f>
      </x:c>
      <x:c r="Y10" s="3" t="str">
        <x:f>IF(Master!Z296="","",Master!Z296)</x:f>
      </x:c>
      <x:c r="Z10" s="3" t="str">
        <x:f>IF(Master!AA296="","",Master!AA296)</x:f>
      </x:c>
      <x:c r="AA10" s="6" t="str">
        <x:f>IF(Master!AB296="","",Master!AB296)</x:f>
      </x:c>
      <x:c r="AB10" s="3" t="str">
        <x:f>IF(Master!AC296="","",Master!AC296)</x:f>
      </x:c>
      <x:c r="AC10" s="3" t="str">
        <x:f>IF(Master!AD296="","",Master!AD296)</x:f>
      </x:c>
      <x:c r="AD10" s="3" t="str">
        <x:f>IF(Master!AE296="","",Master!AE296)</x:f>
      </x:c>
      <x:c r="AE10" s="3" t="str">
        <x:f>IF(Master!AF296="","",Master!AF296)</x:f>
      </x:c>
      <x:c r="AF10" s="8" t="str">
        <x:f>IF(Master!AG296="","",Master!AG296)</x:f>
      </x:c>
    </x:row>
    <x:row r="11" ht="36" customHeight="1">
      <x:c r="A11" s="17" t="s">
        <x:v>554</x:v>
      </x:c>
      <x:c r="B11" s="3" t="str">
        <x:f>IF(Master!C297="","",Master!C297)</x:f>
      </x:c>
      <x:c r="C11" s="3" t="str">
        <x:f>IF(Master!D297="","",Master!D297)</x:f>
      </x:c>
      <x:c r="D11" s="3" t="str">
        <x:f>IF(Master!E297="","",Master!E297)</x:f>
      </x:c>
      <x:c r="E11" s="3" t="str">
        <x:f>IF(Master!F297="","",Master!F297)</x:f>
      </x:c>
      <x:c r="F11" s="3" t="str">
        <x:f>IF(Master!G297="","",Master!G297)</x:f>
      </x:c>
      <x:c r="G11" s="3" t="str">
        <x:f>IF(Master!H297="","",Master!H297)</x:f>
      </x:c>
      <x:c r="H11" s="3" t="str">
        <x:f>IF(Master!I297="","",Master!I297)</x:f>
      </x:c>
      <x:c r="I11" s="3" t="str">
        <x:f>IF(Master!J297="","",Master!J297)</x:f>
      </x:c>
      <x:c r="J11" s="3" t="str">
        <x:f>IF(Master!K297="","",Master!K297)</x:f>
      </x:c>
      <x:c r="K11" s="3" t="str">
        <x:f>IF(Master!L297="","",Master!L297)</x:f>
        <x:v>15</x:v>
      </x:c>
      <x:c r="L11" s="3" t="str">
        <x:f>IF(Master!M297="","",Master!M297)</x:f>
      </x:c>
      <x:c r="M11" s="3" t="str">
        <x:f>IF(Master!N297="","",Master!N297)</x:f>
      </x:c>
      <x:c r="N11" s="3" t="str">
        <x:f>IF(Master!O297="","",Master!O297)</x:f>
      </x:c>
      <x:c r="O11" s="3" t="str">
        <x:f>IF(Master!P297="","",Master!P297)</x:f>
      </x:c>
      <x:c r="P11" s="3" t="str">
        <x:f>IF(Master!Q297="","",Master!Q297)</x:f>
        <x:v>100</x:v>
      </x:c>
      <x:c r="Q11" s="3" t="str">
        <x:f>IF(Master!R297="","",Master!R297)</x:f>
      </x:c>
      <x:c r="R11" s="3" t="str">
        <x:f>IF(Master!S297="","",Master!S297)</x:f>
      </x:c>
      <x:c r="S11" s="3" t="str">
        <x:f>IF(Master!T297="","",Master!T297)</x:f>
      </x:c>
      <x:c r="T11" s="3" t="str">
        <x:f>IF(Master!U297="","",Master!U297)</x:f>
      </x:c>
      <x:c r="U11" s="3" t="str">
        <x:f>IF(Master!V297="","",Master!V297)</x:f>
        <x:v>50 Free / 300 Rift+</x:v>
      </x:c>
      <x:c r="V11" s="3" t="str">
        <x:f>IF(Master!W297="","",Master!W297)</x:f>
      </x:c>
      <x:c r="W11" s="3" t="str">
        <x:f>IF(Master!X297="","",Master!X297)</x:f>
      </x:c>
      <x:c r="X11" s="3" t="str">
        <x:f>IF(Master!Y297="","",Master!Y297)</x:f>
      </x:c>
      <x:c r="Y11" s="3" t="str">
        <x:f>IF(Master!Z297="","",Master!Z297)</x:f>
      </x:c>
      <x:c r="Z11" s="3" t="str">
        <x:f>IF(Master!AA297="","",Master!AA297)</x:f>
      </x:c>
      <x:c r="AA11" s="6" t="str">
        <x:f>IF(Master!AB297="","",Master!AB297)</x:f>
      </x:c>
      <x:c r="AB11" s="3" t="str">
        <x:f>IF(Master!AC297="","",Master!AC297)</x:f>
      </x:c>
      <x:c r="AC11" s="3" t="str">
        <x:f>IF(Master!AD297="","",Master!AD297)</x:f>
      </x:c>
      <x:c r="AD11" s="3" t="str">
        <x:f>IF(Master!AE297="","",Master!AE297)</x:f>
      </x:c>
      <x:c r="AE11" s="3" t="str">
        <x:f>IF(Master!AF297="","",Master!AF297)</x:f>
      </x:c>
      <x:c r="AF11" s="8" t="str">
        <x:f>IF(Master!AG297="","",Master!AG297)</x:f>
      </x:c>
    </x:row>
    <x:row r="12" ht="23.100000381469727" customHeight="1">
      <x:c r="A12" s="17" t="s">
        <x:v>555</x:v>
      </x:c>
      <x:c r="B12" s="4" t="str">
        <x:f>IF(Master!C298="","",Master!C298)</x:f>
      </x:c>
      <x:c r="C12" s="4" t="str">
        <x:f>IF(Master!D298="","",Master!D298)</x:f>
      </x:c>
      <x:c r="D12" s="4" t="str">
        <x:f>IF(Master!E298="","",Master!E298)</x:f>
      </x:c>
      <x:c r="E12" s="4" t="str">
        <x:f>IF(Master!F298="","",Master!F298)</x:f>
      </x:c>
      <x:c r="F12" s="4" t="str">
        <x:f>IF(Master!G298="","",Master!G298)</x:f>
      </x:c>
      <x:c r="G12" s="4" t="str">
        <x:f>IF(Master!H298="","",Master!H298)</x:f>
      </x:c>
      <x:c r="H12" s="4" t="str">
        <x:f>IF(Master!I298="","",Master!I298)</x:f>
      </x:c>
      <x:c r="I12" s="4" t="str">
        <x:f>IF(Master!J298="","",Master!J298)</x:f>
      </x:c>
      <x:c r="J12" s="4" t="str">
        <x:f>IF(Master!K298="","",Master!K298)</x:f>
      </x:c>
      <x:c r="K12" s="4" t="str">
        <x:f>IF(Master!L298="","",Master!L298)</x:f>
      </x:c>
      <x:c r="L12" s="4" t="str">
        <x:f>IF(Master!M298="","",Master!M298)</x:f>
      </x:c>
      <x:c r="M12" s="4" t="str">
        <x:f>IF(Master!N298="","",Master!N298)</x:f>
      </x:c>
      <x:c r="N12" s="4" t="str">
        <x:f>IF(Master!O298="","",Master!O298)</x:f>
      </x:c>
      <x:c r="O12" s="4" t="str">
        <x:f>IF(Master!P298="","",Master!P298)</x:f>
      </x:c>
      <x:c r="P12" s="4" t="str">
        <x:f>IF(Master!Q298="","",Master!Q298)</x:f>
      </x:c>
      <x:c r="Q12" s="4" t="str">
        <x:f>IF(Master!R298="","",Master!R298)</x:f>
      </x:c>
      <x:c r="R12" s="4" t="str">
        <x:f>IF(Master!S298="","",Master!S298)</x:f>
      </x:c>
      <x:c r="S12" s="4" t="str">
        <x:f>IF(Master!T298="","",Master!T298)</x:f>
      </x:c>
      <x:c r="T12" s="4" t="str">
        <x:f>IF(Master!U298="","",Master!U298)</x:f>
      </x:c>
      <x:c r="U12" s="4" t="str">
        <x:f>IF(Master!V298="","",Master!V298)</x:f>
        <x:v>8 seconds or shorter</x:v>
      </x:c>
      <x:c r="V12" s="4" t="str">
        <x:f>IF(Master!W298="","",Master!W298)</x:f>
      </x:c>
      <x:c r="W12" s="4" t="str">
        <x:f>IF(Master!X298="","",Master!X298)</x:f>
      </x:c>
      <x:c r="X12" s="4" t="str">
        <x:f>IF(Master!Y298="","",Master!Y298)</x:f>
      </x:c>
      <x:c r="Y12" s="4" t="str">
        <x:f>IF(Master!Z298="","",Master!Z298)</x:f>
      </x:c>
      <x:c r="Z12" s="4" t="str">
        <x:f>IF(Master!AA298="","",Master!AA298)</x:f>
      </x:c>
      <x:c r="AA12" s="5" t="str">
        <x:f>IF(Master!AB298="","",Master!AB298)</x:f>
      </x:c>
      <x:c r="AB12" s="4" t="str">
        <x:f>IF(Master!AC298="","",Master!AC298)</x:f>
      </x:c>
      <x:c r="AC12" s="4" t="str">
        <x:f>IF(Master!AD298="","",Master!AD298)</x:f>
      </x:c>
      <x:c r="AD12" s="4" t="str">
        <x:f>IF(Master!AE298="","",Master!AE298)</x:f>
      </x:c>
      <x:c r="AE12" s="4" t="str">
        <x:f>IF(Master!AF298="","",Master!AF298)</x:f>
      </x:c>
      <x:c r="AF12" s="8" t="str">
        <x:f>IF(Master!AG298="","",Master!AG298)</x:f>
      </x:c>
    </x:row>
    <x:row r="13" ht="21.950000762939453" customHeight="1">
      <x:c r="A13" s="18" t="s">
        <x:v>556</x:v>
      </x:c>
      <x:c r="B13" s="18" t="str">
        <x:f t="shared" ref="B13:AF13" si="1">IF(""="","","")</x:f>
      </x:c>
      <x:c r="C13" s="18" t="str">
        <x:f t="shared" si="1"/>
      </x:c>
      <x:c r="D13" s="18" t="str">
        <x:f t="shared" si="1"/>
      </x:c>
      <x:c r="E13" s="18" t="str">
        <x:f t="shared" si="1"/>
      </x:c>
      <x:c r="F13" s="18" t="str">
        <x:f t="shared" si="1"/>
      </x:c>
      <x:c r="G13" s="18" t="str">
        <x:f t="shared" si="1"/>
      </x:c>
      <x:c r="H13" s="18" t="str">
        <x:f t="shared" si="1"/>
      </x:c>
      <x:c r="I13" s="18" t="str">
        <x:f t="shared" si="1"/>
      </x:c>
      <x:c r="J13" s="18" t="str">
        <x:f t="shared" si="1"/>
      </x:c>
      <x:c r="K13" s="18" t="str">
        <x:f t="shared" si="1"/>
      </x:c>
      <x:c r="L13" s="18" t="str">
        <x:f t="shared" si="1"/>
      </x:c>
      <x:c r="M13" s="18" t="str">
        <x:f t="shared" si="1"/>
      </x:c>
      <x:c r="N13" s="18" t="str">
        <x:f t="shared" si="1"/>
      </x:c>
      <x:c r="O13" s="18" t="str">
        <x:f t="shared" si="1"/>
      </x:c>
      <x:c r="P13" s="18" t="str">
        <x:f t="shared" si="1"/>
      </x:c>
      <x:c r="Q13" s="18" t="str">
        <x:f t="shared" si="1"/>
      </x:c>
      <x:c r="R13" s="18" t="str">
        <x:f t="shared" si="1"/>
      </x:c>
      <x:c r="S13" s="18" t="str">
        <x:f t="shared" si="1"/>
      </x:c>
      <x:c r="T13" s="18" t="str">
        <x:f t="shared" si="1"/>
      </x:c>
      <x:c r="U13" s="18" t="str">
        <x:f t="shared" si="1"/>
      </x:c>
      <x:c r="V13" s="18" t="str">
        <x:f t="shared" si="1"/>
      </x:c>
      <x:c r="W13" s="18" t="str">
        <x:f t="shared" si="1"/>
      </x:c>
      <x:c r="X13" s="18" t="str">
        <x:f t="shared" si="1"/>
      </x:c>
      <x:c r="Y13" s="18" t="str">
        <x:f t="shared" si="1"/>
      </x:c>
      <x:c r="Z13" s="18" t="str">
        <x:f t="shared" si="1"/>
      </x:c>
      <x:c r="AA13" s="18" t="str">
        <x:f t="shared" si="1"/>
      </x:c>
      <x:c r="AB13" s="18" t="str">
        <x:f t="shared" si="1"/>
      </x:c>
      <x:c r="AC13" s="18" t="str">
        <x:f t="shared" si="1"/>
      </x:c>
      <x:c r="AD13" s="18" t="str">
        <x:f t="shared" si="1"/>
      </x:c>
      <x:c r="AE13" s="18" t="str">
        <x:f t="shared" si="1"/>
      </x:c>
      <x:c r="AF13" s="19" t="str">
        <x:f t="shared" si="1"/>
      </x:c>
    </x:row>
    <x:row r="14" ht="36" customHeight="1">
      <x:c r="A14" s="17" t="s">
        <x:v>557</x:v>
      </x:c>
      <x:c r="B14" s="3" t="str">
        <x:f>IF(Master!C299="","",Master!C299)</x:f>
      </x:c>
      <x:c r="C14" s="3" t="str">
        <x:f>IF(Master!D299="","",Master!D299)</x:f>
      </x:c>
      <x:c r="D14" s="3" t="str">
        <x:f>IF(Master!E299="","",Master!E299)</x:f>
      </x:c>
      <x:c r="E14" s="3" t="str">
        <x:f>IF(Master!F299="","",Master!F299)</x:f>
      </x:c>
      <x:c r="F14" s="3" t="str">
        <x:f>IF(Master!G299="","",Master!G299)</x:f>
      </x:c>
      <x:c r="G14" s="3" t="str">
        <x:f>IF(Master!H299="","",Master!H299)</x:f>
      </x:c>
      <x:c r="H14" s="3" t="str">
        <x:f>IF(Master!I299="","",Master!I299)</x:f>
        <x:v>2 GB per Standard server</x:v>
      </x:c>
      <x:c r="I14" s="3" t="str">
        <x:f>IF(Master!J299="","",Master!J299)</x:f>
      </x:c>
      <x:c r="J14" s="3" t="str">
        <x:f>IF(Master!K299="","",Master!K299)</x:f>
      </x:c>
      <x:c r="K14" s="3" t="str">
        <x:f>IF(Master!L299="","",Master!L299)</x:f>
      </x:c>
      <x:c r="L14" s="3" t="str">
        <x:f>IF(Master!M299="","",Master!M299)</x:f>
      </x:c>
      <x:c r="M14" s="3" t="str">
        <x:f>IF(Master!N299="","",Master!N299)</x:f>
      </x:c>
      <x:c r="N14" s="3" t="str">
        <x:f>IF(Master!O299="","",Master!O299)</x:f>
      </x:c>
      <x:c r="O14" s="3" t="str">
        <x:f>IF(Master!P299="","",Master!P299)</x:f>
      </x:c>
      <x:c r="P14" s="3" t="str">
        <x:f>IF(Master!Q299="","",Master!Q299)</x:f>
      </x:c>
      <x:c r="Q14" s="3" t="str">
        <x:f>IF(Master!R299="","",Master!R299)</x:f>
      </x:c>
      <x:c r="R14" s="3" t="str">
        <x:f>IF(Master!S299="","",Master!S299)</x:f>
      </x:c>
      <x:c r="S14" s="3" t="str">
        <x:f>IF(Master!T299="","",Master!T299)</x:f>
      </x:c>
      <x:c r="T14" s="3" t="str">
        <x:f>IF(Master!U299="","",Master!U299)</x:f>
      </x:c>
      <x:c r="U14" s="3" t="str">
        <x:f>IF(Master!V299="","",Master!V299)</x:f>
      </x:c>
      <x:c r="V14" s="3" t="str">
        <x:f>IF(Master!W299="","",Master!W299)</x:f>
      </x:c>
      <x:c r="W14" s="3" t="str">
        <x:f>IF(Master!X299="","",Master!X299)</x:f>
      </x:c>
      <x:c r="X14" s="3" t="str">
        <x:f>IF(Master!Y299="","",Master!Y299)</x:f>
      </x:c>
      <x:c r="Y14" s="3" t="str">
        <x:f>IF(Master!Z299="","",Master!Z299)</x:f>
      </x:c>
      <x:c r="Z14" s="3" t="str">
        <x:f>IF(Master!AA299="","",Master!AA299)</x:f>
      </x:c>
      <x:c r="AA14" s="6" t="str">
        <x:f>IF(Master!AB299="","",Master!AB299)</x:f>
      </x:c>
      <x:c r="AB14" s="3" t="str">
        <x:f>IF(Master!AC299="","",Master!AC299)</x:f>
      </x:c>
      <x:c r="AC14" s="3" t="str">
        <x:f>IF(Master!AD299="","",Master!AD299)</x:f>
      </x:c>
      <x:c r="AD14" s="3" t="str">
        <x:f>IF(Master!AE299="","",Master!AE299)</x:f>
      </x:c>
      <x:c r="AE14" s="3" t="str">
        <x:f>IF(Master!AF299="","",Master!AF299)</x:f>
      </x:c>
      <x:c r="AF14" s="8" t="str">
        <x:f>IF(Master!AG299="","",Master!AG299)</x:f>
        <x:v>5 GB total (Zulip Cloud Free)</x:v>
      </x:c>
    </x:row>
    <x:row r="15" ht="36" customHeight="1">
      <x:c r="A15" s="17" t="s">
        <x:v>558</x:v>
      </x:c>
      <x:c r="B15" s="3" t="str">
        <x:f>IF(Master!C300="","",Master!C300)</x:f>
      </x:c>
      <x:c r="C15" s="3" t="str">
        <x:f>IF(Master!D300="","",Master!D300)</x:f>
      </x:c>
      <x:c r="D15" s="3" t="str">
        <x:f>IF(Master!E300="","",Master!E300)</x:f>
      </x:c>
      <x:c r="E15" s="3" t="str">
        <x:f>IF(Master!F300="","",Master!F300)</x:f>
      </x:c>
      <x:c r="F15" s="3" t="str">
        <x:f>IF(Master!G300="","",Master!G300)</x:f>
      </x:c>
      <x:c r="G15" s="3" t="str">
        <x:f>IF(Master!H300="","",Master!H300)</x:f>
      </x:c>
      <x:c r="H15" s="3" t="str">
        <x:f>IF(Master!I300="","",Master!I300)</x:f>
        <x:v>Up to 200 GB / tier-dependent</x:v>
      </x:c>
      <x:c r="I15" s="3" t="str">
        <x:f>IF(Master!J300="","",Master!J300)</x:f>
      </x:c>
      <x:c r="J15" s="3" t="str">
        <x:f>IF(Master!K300="","",Master!K300)</x:f>
      </x:c>
      <x:c r="K15" s="3" t="str">
        <x:f>IF(Master!L300="","",Master!L300)</x:f>
      </x:c>
      <x:c r="L15" s="3" t="str">
        <x:f>IF(Master!M300="","",Master!M300)</x:f>
      </x:c>
      <x:c r="M15" s="3" t="str">
        <x:f>IF(Master!N300="","",Master!N300)</x:f>
      </x:c>
      <x:c r="N15" s="3" t="str">
        <x:f>IF(Master!O300="","",Master!O300)</x:f>
      </x:c>
      <x:c r="O15" s="3" t="str">
        <x:f>IF(Master!P300="","",Master!P300)</x:f>
      </x:c>
      <x:c r="P15" s="3" t="str">
        <x:f>IF(Master!Q300="","",Master!Q300)</x:f>
      </x:c>
      <x:c r="Q15" s="3" t="str">
        <x:f>IF(Master!R300="","",Master!R300)</x:f>
      </x:c>
      <x:c r="R15" s="3" t="str">
        <x:f>IF(Master!S300="","",Master!S300)</x:f>
      </x:c>
      <x:c r="S15" s="3" t="str">
        <x:f>IF(Master!T300="","",Master!T300)</x:f>
      </x:c>
      <x:c r="T15" s="3" t="str">
        <x:f>IF(Master!U300="","",Master!U300)</x:f>
      </x:c>
      <x:c r="U15" s="3" t="str">
        <x:f>IF(Master!V300="","",Master!V300)</x:f>
      </x:c>
      <x:c r="V15" s="3" t="str">
        <x:f>IF(Master!W300="","",Master!W300)</x:f>
      </x:c>
      <x:c r="W15" s="3" t="str">
        <x:f>IF(Master!X300="","",Master!X300)</x:f>
      </x:c>
      <x:c r="X15" s="3" t="str">
        <x:f>IF(Master!Y300="","",Master!Y300)</x:f>
      </x:c>
      <x:c r="Y15" s="3" t="str">
        <x:f>IF(Master!Z300="","",Master!Z300)</x:f>
      </x:c>
      <x:c r="Z15" s="3" t="str">
        <x:f>IF(Master!AA300="","",Master!AA300)</x:f>
      </x:c>
      <x:c r="AA15" s="6" t="str">
        <x:f>IF(Master!AB300="","",Master!AB300)</x:f>
      </x:c>
      <x:c r="AB15" s="3" t="str">
        <x:f>IF(Master!AC300="","",Master!AC300)</x:f>
      </x:c>
      <x:c r="AC15" s="3" t="str">
        <x:f>IF(Master!AD300="","",Master!AD300)</x:f>
      </x:c>
      <x:c r="AD15" s="3" t="str">
        <x:f>IF(Master!AE300="","",Master!AE300)</x:f>
      </x:c>
      <x:c r="AE15" s="3" t="str">
        <x:f>IF(Master!AF300="","",Master!AF300)</x:f>
      </x:c>
      <x:c r="AF15" s="8" t="str">
        <x:f>IF(Master!AG300="","",Master!AG300)</x:f>
        <x:v>5 GB/user Standard; 25 GB/user Plus</x:v>
      </x:c>
    </x:row>
    <x:row r="16" ht="36" customHeight="1">
      <x:c r="A16" s="17" t="s">
        <x:v>559</x:v>
      </x:c>
      <x:c r="B16" s="3" t="str">
        <x:f>IF(Master!C301="","",Master!C301)</x:f>
      </x:c>
      <x:c r="C16" s="3" t="str">
        <x:f>IF(Master!D301="","",Master!D301)</x:f>
      </x:c>
      <x:c r="D16" s="3" t="str">
        <x:f>IF(Master!E301="","",Master!E301)</x:f>
      </x:c>
      <x:c r="E16" s="3" t="str">
        <x:f>IF(Master!F301="","",Master!F301)</x:f>
      </x:c>
      <x:c r="F16" s="3" t="str">
        <x:f>IF(Master!G301="","",Master!G301)</x:f>
      </x:c>
      <x:c r="G16" s="3" t="str">
        <x:f>IF(Master!H301="","",Master!H301)</x:f>
      </x:c>
      <x:c r="H16" s="3" t="str">
        <x:f>IF(Master!I301="","",Master!I301)</x:f>
      </x:c>
      <x:c r="I16" s="3" t="str">
        <x:f>IF(Master!J301="","",Master!J301)</x:f>
      </x:c>
      <x:c r="J16" s="3" t="str">
        <x:f>IF(Master!K301="","",Master!K301)</x:f>
      </x:c>
      <x:c r="K16" s="3" t="str">
        <x:f>IF(Master!L301="","",Master!L301)</x:f>
        <x:v>Configurable by self-host operator; official instance developer-reported limit is 15 MB</x:v>
      </x:c>
      <x:c r="L16" s="3" t="str">
        <x:f>IF(Master!M301="","",Master!M301)</x:f>
      </x:c>
      <x:c r="M16" s="3" t="str">
        <x:f>IF(Master!N301="","",Master!N301)</x:f>
      </x:c>
      <x:c r="N16" s="3" t="str">
        <x:f>IF(Master!O301="","",Master!O301)</x:f>
      </x:c>
      <x:c r="O16" s="3" t="str">
        <x:f>IF(Master!P301="","",Master!P301)</x:f>
      </x:c>
      <x:c r="P16" s="3" t="str">
        <x:f>IF(Master!Q301="","",Master!Q301)</x:f>
      </x:c>
      <x:c r="Q16" s="3" t="str">
        <x:f>IF(Master!R301="","",Master!R301)</x:f>
      </x:c>
      <x:c r="R16" s="3" t="str">
        <x:f>IF(Master!S301="","",Master!S301)</x:f>
      </x:c>
      <x:c r="S16" s="3" t="str">
        <x:f>IF(Master!T301="","",Master!T301)</x:f>
      </x:c>
      <x:c r="T16" s="3" t="str">
        <x:f>IF(Master!U301="","",Master!U301)</x:f>
      </x:c>
      <x:c r="U16" s="3" t="str">
        <x:f>IF(Master!V301="","",Master!V301)</x:f>
      </x:c>
      <x:c r="V16" s="3" t="str">
        <x:f>IF(Master!W301="","",Master!W301)</x:f>
      </x:c>
      <x:c r="W16" s="3" t="str">
        <x:f>IF(Master!X301="","",Master!X301)</x:f>
      </x:c>
      <x:c r="X16" s="3" t="str">
        <x:f>IF(Master!Y301="","",Master!Y301)</x:f>
      </x:c>
      <x:c r="Y16" s="3" t="str">
        <x:f>IF(Master!Z301="","",Master!Z301)</x:f>
      </x:c>
      <x:c r="Z16" s="3" t="str">
        <x:f>IF(Master!AA301="","",Master!AA301)</x:f>
      </x:c>
      <x:c r="AA16" s="6" t="str">
        <x:f>IF(Master!AB301="","",Master!AB301)</x:f>
      </x:c>
      <x:c r="AB16" s="3" t="str">
        <x:f>IF(Master!AC301="","",Master!AC301)</x:f>
      </x:c>
      <x:c r="AC16" s="3" t="str">
        <x:f>IF(Master!AD301="","",Master!AD301)</x:f>
      </x:c>
      <x:c r="AD16" s="3" t="str">
        <x:f>IF(Master!AE301="","",Master!AE301)</x:f>
      </x:c>
      <x:c r="AE16" s="3" t="str">
        <x:f>IF(Master!AF301="","",Master!AF301)</x:f>
      </x:c>
      <x:c r="AF16" s="8" t="str">
        <x:f>IF(Master!AG301="","",Master!AG301)</x:f>
        <x:v>5 GB Standard / 25 GB Plus</x:v>
      </x:c>
    </x:row>
    <x:row r="17" ht="23.100000381469727" customHeight="1">
      <x:c r="A17" s="17" t="s">
        <x:v>560</x:v>
      </x:c>
      <x:c r="B17" s="4" t="str">
        <x:f>IF(Master!C302="","",Master!C302)</x:f>
      </x:c>
      <x:c r="C17" s="4" t="str">
        <x:f>IF(Master!D302="","",Master!D302)</x:f>
      </x:c>
      <x:c r="D17" s="4" t="str">
        <x:f>IF(Master!E302="","",Master!E302)</x:f>
      </x:c>
      <x:c r="E17" s="4" t="str">
        <x:f>IF(Master!F302="","",Master!F302)</x:f>
      </x:c>
      <x:c r="F17" s="4" t="str">
        <x:f>IF(Master!G302="","",Master!G302)</x:f>
      </x:c>
      <x:c r="G17" s="4" t="str">
        <x:f>IF(Master!H302="","",Master!H302)</x:f>
      </x:c>
      <x:c r="H17" s="4" t="str">
        <x:f>IF(Master!I302="","",Master!I302)</x:f>
      </x:c>
      <x:c r="I17" s="4" t="str">
        <x:f>IF(Master!J302="","",Master!J302)</x:f>
      </x:c>
      <x:c r="J17" s="4" t="str">
        <x:f>IF(Master!K302="","",Master!K302)</x:f>
      </x:c>
      <x:c r="K17" s="4" t="str">
        <x:f>IF(Master!L302="","",Master!L302)</x:f>
        <x:v>Configurable by self-host operator; official instance developer-reported limit is 15 MB</x:v>
      </x:c>
      <x:c r="L17" s="4" t="str">
        <x:f>IF(Master!M302="","",Master!M302)</x:f>
      </x:c>
      <x:c r="M17" s="4" t="str">
        <x:f>IF(Master!N302="","",Master!N302)</x:f>
      </x:c>
      <x:c r="N17" s="4" t="str">
        <x:f>IF(Master!O302="","",Master!O302)</x:f>
      </x:c>
      <x:c r="O17" s="4" t="str">
        <x:f>IF(Master!P302="","",Master!P302)</x:f>
      </x:c>
      <x:c r="P17" s="4" t="str">
        <x:f>IF(Master!Q302="","",Master!Q302)</x:f>
      </x:c>
      <x:c r="Q17" s="4" t="str">
        <x:f>IF(Master!R302="","",Master!R302)</x:f>
      </x:c>
      <x:c r="R17" s="4" t="str">
        <x:f>IF(Master!S302="","",Master!S302)</x:f>
      </x:c>
      <x:c r="S17" s="4" t="str">
        <x:f>IF(Master!T302="","",Master!T302)</x:f>
      </x:c>
      <x:c r="T17" s="4" t="str">
        <x:f>IF(Master!U302="","",Master!U302)</x:f>
      </x:c>
      <x:c r="U17" s="4" t="str">
        <x:f>IF(Master!V302="","",Master!V302)</x:f>
      </x:c>
      <x:c r="V17" s="4" t="str">
        <x:f>IF(Master!W302="","",Master!W302)</x:f>
      </x:c>
      <x:c r="W17" s="4" t="str">
        <x:f>IF(Master!X302="","",Master!X302)</x:f>
      </x:c>
      <x:c r="X17" s="4" t="str">
        <x:f>IF(Master!Y302="","",Master!Y302)</x:f>
      </x:c>
      <x:c r="Y17" s="4" t="str">
        <x:f>IF(Master!Z302="","",Master!Z302)</x:f>
      </x:c>
      <x:c r="Z17" s="4" t="str">
        <x:f>IF(Master!AA302="","",Master!AA302)</x:f>
      </x:c>
      <x:c r="AA17" s="5" t="str">
        <x:f>IF(Master!AB302="","",Master!AB302)</x:f>
      </x:c>
      <x:c r="AB17" s="4" t="str">
        <x:f>IF(Master!AC302="","",Master!AC302)</x:f>
      </x:c>
      <x:c r="AC17" s="4" t="str">
        <x:f>IF(Master!AD302="","",Master!AD302)</x:f>
      </x:c>
      <x:c r="AD17" s="4" t="str">
        <x:f>IF(Master!AE302="","",Master!AE302)</x:f>
      </x:c>
      <x:c r="AE17" s="4" t="str">
        <x:f>IF(Master!AF302="","",Master!AF302)</x:f>
      </x:c>
      <x:c r="AF17" s="8" t="str">
        <x:f>IF(Master!AG302="","",Master!AG302)</x:f>
      </x:c>
    </x:row>
    <x:row r="18" ht="23.100000381469727" customHeight="1">
      <x:c r="A18" s="17" t="s">
        <x:v>561</x:v>
      </x:c>
      <x:c r="B18" s="4" t="str">
        <x:f>IF(Master!C303="","",Master!C303)</x:f>
      </x:c>
      <x:c r="C18" s="4" t="str">
        <x:f>IF(Master!D303="","",Master!D303)</x:f>
      </x:c>
      <x:c r="D18" s="4" t="str">
        <x:f>IF(Master!E303="","",Master!E303)</x:f>
      </x:c>
      <x:c r="E18" s="4" t="str">
        <x:f>IF(Master!F303="","",Master!F303)</x:f>
      </x:c>
      <x:c r="F18" s="4" t="str">
        <x:f>IF(Master!G303="","",Master!G303)</x:f>
      </x:c>
      <x:c r="G18" s="4" t="str">
        <x:f>IF(Master!H303="","",Master!H303)</x:f>
      </x:c>
      <x:c r="H18" s="4" t="str">
        <x:f>IF(Master!I303="","",Master!I303)</x:f>
      </x:c>
      <x:c r="I18" s="4" t="str">
        <x:f>IF(Master!J303="","",Master!J303)</x:f>
      </x:c>
      <x:c r="J18" s="4" t="str">
        <x:f>IF(Master!K303="","",Master!K303)</x:f>
      </x:c>
      <x:c r="K18" s="4" t="str">
        <x:f>IF(Master!L303="","",Master!L303)</x:f>
        <x:v>Yes</x:v>
      </x:c>
      <x:c r="L18" s="4" t="str">
        <x:f>IF(Master!M303="","",Master!M303)</x:f>
      </x:c>
      <x:c r="M18" s="4" t="str">
        <x:f>IF(Master!N303="","",Master!N303)</x:f>
      </x:c>
      <x:c r="N18" s="4" t="str">
        <x:f>IF(Master!O303="","",Master!O303)</x:f>
      </x:c>
      <x:c r="O18" s="4" t="str">
        <x:f>IF(Master!P303="","",Master!P303)</x:f>
      </x:c>
      <x:c r="P18" s="4" t="str">
        <x:f>IF(Master!Q303="","",Master!Q303)</x:f>
      </x:c>
      <x:c r="Q18" s="4" t="str">
        <x:f>IF(Master!R303="","",Master!R303)</x:f>
      </x:c>
      <x:c r="R18" s="4" t="str">
        <x:f>IF(Master!S303="","",Master!S303)</x:f>
      </x:c>
      <x:c r="S18" s="4" t="str">
        <x:f>IF(Master!T303="","",Master!T303)</x:f>
      </x:c>
      <x:c r="T18" s="4" t="str">
        <x:f>IF(Master!U303="","",Master!U303)</x:f>
      </x:c>
      <x:c r="U18" s="4" t="str">
        <x:f>IF(Master!V303="","",Master!V303)</x:f>
      </x:c>
      <x:c r="V18" s="4" t="str">
        <x:f>IF(Master!W303="","",Master!W303)</x:f>
      </x:c>
      <x:c r="W18" s="4" t="str">
        <x:f>IF(Master!X303="","",Master!X303)</x:f>
      </x:c>
      <x:c r="X18" s="4" t="str">
        <x:f>IF(Master!Y303="","",Master!Y303)</x:f>
      </x:c>
      <x:c r="Y18" s="4" t="str">
        <x:f>IF(Master!Z303="","",Master!Z303)</x:f>
      </x:c>
      <x:c r="Z18" s="4" t="str">
        <x:f>IF(Master!AA303="","",Master!AA303)</x:f>
      </x:c>
      <x:c r="AA18" s="5" t="str">
        <x:f>IF(Master!AB303="","",Master!AB303)</x:f>
      </x:c>
      <x:c r="AB18" s="4" t="str">
        <x:f>IF(Master!AC303="","",Master!AC303)</x:f>
      </x:c>
      <x:c r="AC18" s="4" t="str">
        <x:f>IF(Master!AD303="","",Master!AD303)</x:f>
      </x:c>
      <x:c r="AD18" s="4" t="str">
        <x:f>IF(Master!AE303="","",Master!AE303)</x:f>
      </x:c>
      <x:c r="AE18" s="4" t="str">
        <x:f>IF(Master!AF303="","",Master!AF303)</x:f>
      </x:c>
      <x:c r="AF18" s="8" t="str">
        <x:f>IF(Master!AG303="","",Master!AG303)</x:f>
      </x:c>
    </x:row>
    <x:row r="19" ht="21.950000762939453" customHeight="1">
      <x:c r="A19" s="18" t="s">
        <x:v>562</x:v>
      </x:c>
      <x:c r="B19" s="18" t="str">
        <x:f t="shared" ref="B19:AF19" si="2">IF(""="","","")</x:f>
      </x:c>
      <x:c r="C19" s="18" t="str">
        <x:f t="shared" si="2"/>
      </x:c>
      <x:c r="D19" s="18" t="str">
        <x:f t="shared" si="2"/>
      </x:c>
      <x:c r="E19" s="18" t="str">
        <x:f t="shared" si="2"/>
      </x:c>
      <x:c r="F19" s="18" t="str">
        <x:f t="shared" si="2"/>
      </x:c>
      <x:c r="G19" s="18" t="str">
        <x:f t="shared" si="2"/>
      </x:c>
      <x:c r="H19" s="18" t="str">
        <x:f t="shared" si="2"/>
      </x:c>
      <x:c r="I19" s="18" t="str">
        <x:f t="shared" si="2"/>
      </x:c>
      <x:c r="J19" s="18" t="str">
        <x:f t="shared" si="2"/>
      </x:c>
      <x:c r="K19" s="18" t="str">
        <x:f t="shared" si="2"/>
      </x:c>
      <x:c r="L19" s="18" t="str">
        <x:f t="shared" si="2"/>
      </x:c>
      <x:c r="M19" s="18" t="str">
        <x:f t="shared" si="2"/>
      </x:c>
      <x:c r="N19" s="18" t="str">
        <x:f t="shared" si="2"/>
      </x:c>
      <x:c r="O19" s="18" t="str">
        <x:f t="shared" si="2"/>
      </x:c>
      <x:c r="P19" s="18" t="str">
        <x:f t="shared" si="2"/>
      </x:c>
      <x:c r="Q19" s="18" t="str">
        <x:f t="shared" si="2"/>
      </x:c>
      <x:c r="R19" s="18" t="str">
        <x:f t="shared" si="2"/>
      </x:c>
      <x:c r="S19" s="18" t="str">
        <x:f t="shared" si="2"/>
      </x:c>
      <x:c r="T19" s="18" t="str">
        <x:f t="shared" si="2"/>
      </x:c>
      <x:c r="U19" s="18" t="str">
        <x:f t="shared" si="2"/>
      </x:c>
      <x:c r="V19" s="18" t="str">
        <x:f t="shared" si="2"/>
      </x:c>
      <x:c r="W19" s="18" t="str">
        <x:f t="shared" si="2"/>
      </x:c>
      <x:c r="X19" s="18" t="str">
        <x:f t="shared" si="2"/>
      </x:c>
      <x:c r="Y19" s="18" t="str">
        <x:f t="shared" si="2"/>
      </x:c>
      <x:c r="Z19" s="18" t="str">
        <x:f t="shared" si="2"/>
      </x:c>
      <x:c r="AA19" s="18" t="str">
        <x:f t="shared" si="2"/>
      </x:c>
      <x:c r="AB19" s="18" t="str">
        <x:f t="shared" si="2"/>
      </x:c>
      <x:c r="AC19" s="18" t="str">
        <x:f t="shared" si="2"/>
      </x:c>
      <x:c r="AD19" s="18" t="str">
        <x:f t="shared" si="2"/>
      </x:c>
      <x:c r="AE19" s="18" t="str">
        <x:f t="shared" si="2"/>
      </x:c>
      <x:c r="AF19" s="19" t="str">
        <x:f t="shared" si="2"/>
      </x:c>
    </x:row>
    <x:row r="20" ht="36" customHeight="1">
      <x:c r="A20" s="17" t="s">
        <x:v>563</x:v>
      </x:c>
      <x:c r="B20" s="3" t="str">
        <x:f>IF(Master!C304="","",Master!C304)</x:f>
      </x:c>
      <x:c r="C20" s="3" t="str">
        <x:f>IF(Master!D304="","",Master!D304)</x:f>
      </x:c>
      <x:c r="D20" s="3" t="str">
        <x:f>IF(Master!E304="","",Master!E304)</x:f>
      </x:c>
      <x:c r="E20" s="3" t="str">
        <x:f>IF(Master!F304="","",Master!F304)</x:f>
      </x:c>
      <x:c r="F20" s="3" t="str">
        <x:f>IF(Master!G304="","",Master!G304)</x:f>
      </x:c>
      <x:c r="G20" s="3" t="str">
        <x:f>IF(Master!H304="","",Master!H304)</x:f>
      </x:c>
      <x:c r="H20" s="3" t="str">
        <x:f>IF(Master!I304="","",Master!I304)</x:f>
      </x:c>
      <x:c r="I20" s="3" t="str">
        <x:f>IF(Master!J304="","",Master!J304)</x:f>
      </x:c>
      <x:c r="J20" s="3" t="str">
        <x:f>IF(Master!K304="","",Master!K304)</x:f>
      </x:c>
      <x:c r="K20" s="3" t="str">
        <x:f>IF(Master!L304="","",Master!L304)</x:f>
        <x:v>Unlimited message-search depth per developer report; plaintext history/search is not artificially depth-limited</x:v>
      </x:c>
      <x:c r="L20" s="3" t="str">
        <x:f>IF(Master!M304="","",Master!M304)</x:f>
      </x:c>
      <x:c r="M20" s="3" t="str">
        <x:f>IF(Master!N304="","",Master!N304)</x:f>
      </x:c>
      <x:c r="N20" s="3" t="str">
        <x:f>IF(Master!O304="","",Master!O304)</x:f>
      </x:c>
      <x:c r="O20" s="3" t="str">
        <x:f>IF(Master!P304="","",Master!P304)</x:f>
      </x:c>
      <x:c r="P20" s="3" t="str">
        <x:f>IF(Master!Q304="","",Master!Q304)</x:f>
      </x:c>
      <x:c r="Q20" s="3" t="str">
        <x:f>IF(Master!R304="","",Master!R304)</x:f>
      </x:c>
      <x:c r="R20" s="3" t="str">
        <x:f>IF(Master!S304="","",Master!S304)</x:f>
      </x:c>
      <x:c r="S20" s="3" t="str">
        <x:f>IF(Master!T304="","",Master!T304)</x:f>
      </x:c>
      <x:c r="T20" s="3" t="str">
        <x:f>IF(Master!U304="","",Master!U304)</x:f>
      </x:c>
      <x:c r="U20" s="3" t="str">
        <x:f>IF(Master!V304="","",Master!V304)</x:f>
      </x:c>
      <x:c r="V20" s="3" t="str">
        <x:f>IF(Master!W304="","",Master!W304)</x:f>
      </x:c>
      <x:c r="W20" s="3" t="str">
        <x:f>IF(Master!X304="","",Master!X304)</x:f>
      </x:c>
      <x:c r="X20" s="3" t="str">
        <x:f>IF(Master!Y304="","",Master!Y304)</x:f>
      </x:c>
      <x:c r="Y20" s="3" t="str">
        <x:f>IF(Master!Z304="","",Master!Z304)</x:f>
      </x:c>
      <x:c r="Z20" s="3" t="str">
        <x:f>IF(Master!AA304="","",Master!AA304)</x:f>
      </x:c>
      <x:c r="AA20" s="6" t="str">
        <x:f>IF(Master!AB304="","",Master!AB304)</x:f>
      </x:c>
      <x:c r="AB20" s="3" t="str">
        <x:f>IF(Master!AC304="","",Master!AC304)</x:f>
      </x:c>
      <x:c r="AC20" s="3" t="str">
        <x:f>IF(Master!AD304="","",Master!AD304)</x:f>
      </x:c>
      <x:c r="AD20" s="3" t="str">
        <x:f>IF(Master!AE304="","",Master!AE304)</x:f>
      </x:c>
      <x:c r="AE20" s="3" t="str">
        <x:f>IF(Master!AF304="","",Master!AF304)</x:f>
      </x:c>
      <x:c r="AF20" s="8" t="str">
        <x:f>IF(Master!AG304="","",Master!AG304)</x:f>
        <x:v>10,000 messages searchable</x:v>
      </x:c>
    </x:row>
    <x:row r="21" ht="36" customHeight="1">
      <x:c r="A21" s="17" t="s">
        <x:v>564</x:v>
      </x:c>
      <x:c r="B21" s="3" t="str">
        <x:f>IF(Master!C305="","",Master!C305)</x:f>
      </x:c>
      <x:c r="C21" s="3" t="str">
        <x:f>IF(Master!D305="","",Master!D305)</x:f>
      </x:c>
      <x:c r="D21" s="3" t="str">
        <x:f>IF(Master!E305="","",Master!E305)</x:f>
      </x:c>
      <x:c r="E21" s="3" t="str">
        <x:f>IF(Master!F305="","",Master!F305)</x:f>
      </x:c>
      <x:c r="F21" s="3" t="str">
        <x:f>IF(Master!G305="","",Master!G305)</x:f>
      </x:c>
      <x:c r="G21" s="3" t="str">
        <x:f>IF(Master!H305="","",Master!H305)</x:f>
      </x:c>
      <x:c r="H21" s="3" t="str">
        <x:f>IF(Master!I305="","",Master!I305)</x:f>
      </x:c>
      <x:c r="I21" s="3" t="str">
        <x:f>IF(Master!J305="","",Master!J305)</x:f>
      </x:c>
      <x:c r="J21" s="3" t="str">
        <x:f>IF(Master!K305="","",Master!K305)</x:f>
      </x:c>
      <x:c r="K21" s="3" t="str">
        <x:f>IF(Master!L305="","",Master!L305)</x:f>
        <x:v>Unlimited message-search depth per developer report; plaintext history/search is not artificially depth-limited</x:v>
      </x:c>
      <x:c r="L21" s="3" t="str">
        <x:f>IF(Master!M305="","",Master!M305)</x:f>
      </x:c>
      <x:c r="M21" s="3" t="str">
        <x:f>IF(Master!N305="","",Master!N305)</x:f>
      </x:c>
      <x:c r="N21" s="3" t="str">
        <x:f>IF(Master!O305="","",Master!O305)</x:f>
      </x:c>
      <x:c r="O21" s="3" t="str">
        <x:f>IF(Master!P305="","",Master!P305)</x:f>
      </x:c>
      <x:c r="P21" s="3" t="str">
        <x:f>IF(Master!Q305="","",Master!Q305)</x:f>
      </x:c>
      <x:c r="Q21" s="3" t="str">
        <x:f>IF(Master!R305="","",Master!R305)</x:f>
      </x:c>
      <x:c r="R21" s="3" t="str">
        <x:f>IF(Master!S305="","",Master!S305)</x:f>
      </x:c>
      <x:c r="S21" s="3" t="str">
        <x:f>IF(Master!T305="","",Master!T305)</x:f>
      </x:c>
      <x:c r="T21" s="3" t="str">
        <x:f>IF(Master!U305="","",Master!U305)</x:f>
      </x:c>
      <x:c r="U21" s="3" t="str">
        <x:f>IF(Master!V305="","",Master!V305)</x:f>
      </x:c>
      <x:c r="V21" s="3" t="str">
        <x:f>IF(Master!W305="","",Master!W305)</x:f>
      </x:c>
      <x:c r="W21" s="3" t="str">
        <x:f>IF(Master!X305="","",Master!X305)</x:f>
      </x:c>
      <x:c r="X21" s="3" t="str">
        <x:f>IF(Master!Y305="","",Master!Y305)</x:f>
      </x:c>
      <x:c r="Y21" s="3" t="str">
        <x:f>IF(Master!Z305="","",Master!Z305)</x:f>
      </x:c>
      <x:c r="Z21" s="3" t="str">
        <x:f>IF(Master!AA305="","",Master!AA305)</x:f>
      </x:c>
      <x:c r="AA21" s="6" t="str">
        <x:f>IF(Master!AB305="","",Master!AB305)</x:f>
      </x:c>
      <x:c r="AB21" s="3" t="str">
        <x:f>IF(Master!AC305="","",Master!AC305)</x:f>
      </x:c>
      <x:c r="AC21" s="3" t="str">
        <x:f>IF(Master!AD305="","",Master!AD305)</x:f>
      </x:c>
      <x:c r="AD21" s="3" t="str">
        <x:f>IF(Master!AE305="","",Master!AE305)</x:f>
      </x:c>
      <x:c r="AE21" s="3" t="str">
        <x:f>IF(Master!AF305="","",Master!AF305)</x:f>
      </x:c>
      <x:c r="AF21" s="8" t="str">
        <x:f>IF(Master!AG305="","",Master!AG305)</x:f>
        <x:v>Unlimited search history</x:v>
      </x:c>
    </x:row>
    <x:row r="22" ht="23.100000381469727" customHeight="1">
      <x:c r="A22" s="17" t="s">
        <x:v>565</x:v>
      </x:c>
      <x:c r="B22" s="4" t="str">
        <x:f>IF(Master!C306="","",Master!C306)</x:f>
      </x:c>
      <x:c r="C22" s="4" t="str">
        <x:f>IF(Master!D306="","",Master!D306)</x:f>
      </x:c>
      <x:c r="D22" s="4" t="str">
        <x:f>IF(Master!E306="","",Master!E306)</x:f>
      </x:c>
      <x:c r="E22" s="4" t="str">
        <x:f>IF(Master!F306="","",Master!F306)</x:f>
      </x:c>
      <x:c r="F22" s="4" t="str">
        <x:f>IF(Master!G306="","",Master!G306)</x:f>
      </x:c>
      <x:c r="G22" s="4" t="str">
        <x:f>IF(Master!H306="","",Master!H306)</x:f>
      </x:c>
      <x:c r="H22" s="4" t="str">
        <x:f>IF(Master!I306="","",Master!I306)</x:f>
      </x:c>
      <x:c r="I22" s="4" t="str">
        <x:f>IF(Master!J306="","",Master!J306)</x:f>
      </x:c>
      <x:c r="J22" s="4" t="str">
        <x:f>IF(Master!K306="","",Master!K306)</x:f>
      </x:c>
      <x:c r="K22" s="4" t="str">
        <x:f>IF(Master!L306="","",Master!L306)</x:f>
        <x:v>Retained until user deletes/requests deletion on official instance per developer report; operators can configure retention/purge behavior</x:v>
      </x:c>
      <x:c r="L22" s="4" t="str">
        <x:f>IF(Master!M306="","",Master!M306)</x:f>
      </x:c>
      <x:c r="M22" s="4" t="str">
        <x:f>IF(Master!N306="","",Master!N306)</x:f>
      </x:c>
      <x:c r="N22" s="4" t="str">
        <x:f>IF(Master!O306="","",Master!O306)</x:f>
      </x:c>
      <x:c r="O22" s="4" t="str">
        <x:f>IF(Master!P306="","",Master!P306)</x:f>
      </x:c>
      <x:c r="P22" s="4" t="str">
        <x:f>IF(Master!Q306="","",Master!Q306)</x:f>
      </x:c>
      <x:c r="Q22" s="4" t="str">
        <x:f>IF(Master!R306="","",Master!R306)</x:f>
      </x:c>
      <x:c r="R22" s="4" t="str">
        <x:f>IF(Master!S306="","",Master!S306)</x:f>
      </x:c>
      <x:c r="S22" s="4" t="str">
        <x:f>IF(Master!T306="","",Master!T306)</x:f>
      </x:c>
      <x:c r="T22" s="4" t="str">
        <x:f>IF(Master!U306="","",Master!U306)</x:f>
      </x:c>
      <x:c r="U22" s="4" t="str">
        <x:f>IF(Master!V306="","",Master!V306)</x:f>
      </x:c>
      <x:c r="V22" s="4" t="str">
        <x:f>IF(Master!W306="","",Master!W306)</x:f>
      </x:c>
      <x:c r="W22" s="4" t="str">
        <x:f>IF(Master!X306="","",Master!X306)</x:f>
      </x:c>
      <x:c r="X22" s="4" t="str">
        <x:f>IF(Master!Y306="","",Master!Y306)</x:f>
      </x:c>
      <x:c r="Y22" s="4" t="str">
        <x:f>IF(Master!Z306="","",Master!Z306)</x:f>
      </x:c>
      <x:c r="Z22" s="4" t="str">
        <x:f>IF(Master!AA306="","",Master!AA306)</x:f>
      </x:c>
      <x:c r="AA22" s="5" t="str">
        <x:f>IF(Master!AB306="","",Master!AB306)</x:f>
      </x:c>
      <x:c r="AB22" s="4" t="str">
        <x:f>IF(Master!AC306="","",Master!AC306)</x:f>
      </x:c>
      <x:c r="AC22" s="4" t="str">
        <x:f>IF(Master!AD306="","",Master!AD306)</x:f>
      </x:c>
      <x:c r="AD22" s="4" t="str">
        <x:f>IF(Master!AE306="","",Master!AE306)</x:f>
      </x:c>
      <x:c r="AE22" s="4" t="str">
        <x:f>IF(Master!AF306="","",Master!AF306)</x:f>
      </x:c>
      <x:c r="AF22" s="8" t="str">
        <x:f>IF(Master!AG306="","",Master!AG306)</x:f>
      </x:c>
    </x:row>
    <x:row r="23" ht="23.100000381469727" customHeight="1">
      <x:c r="A23" s="17" t="s">
        <x:v>566</x:v>
      </x:c>
      <x:c r="B23" s="4" t="str">
        <x:f>IF(Master!C307="","",Master!C307)</x:f>
      </x:c>
      <x:c r="C23" s="4" t="str">
        <x:f>IF(Master!D307="","",Master!D307)</x:f>
      </x:c>
      <x:c r="D23" s="4" t="str">
        <x:f>IF(Master!E307="","",Master!E307)</x:f>
      </x:c>
      <x:c r="E23" s="4" t="str">
        <x:f>IF(Master!F307="","",Master!F307)</x:f>
      </x:c>
      <x:c r="F23" s="4" t="str">
        <x:f>IF(Master!G307="","",Master!G307)</x:f>
      </x:c>
      <x:c r="G23" s="4" t="str">
        <x:f>IF(Master!H307="","",Master!H307)</x:f>
      </x:c>
      <x:c r="H23" s="4" t="str">
        <x:f>IF(Master!I307="","",Master!I307)</x:f>
      </x:c>
      <x:c r="I23" s="4" t="str">
        <x:f>IF(Master!J307="","",Master!J307)</x:f>
      </x:c>
      <x:c r="J23" s="4" t="str">
        <x:f>IF(Master!K307="","",Master!K307)</x:f>
      </x:c>
      <x:c r="K23" s="4" t="str">
        <x:f>IF(Master!L307="","",Master!L307)</x:f>
        <x:v>Deletion/purge jobs are documented; no fixed public deleted-attachment retention interval found</x:v>
      </x:c>
      <x:c r="L23" s="4" t="str">
        <x:f>IF(Master!M307="","",Master!M307)</x:f>
      </x:c>
      <x:c r="M23" s="4" t="str">
        <x:f>IF(Master!N307="","",Master!N307)</x:f>
      </x:c>
      <x:c r="N23" s="4" t="str">
        <x:f>IF(Master!O307="","",Master!O307)</x:f>
      </x:c>
      <x:c r="O23" s="4" t="str">
        <x:f>IF(Master!P307="","",Master!P307)</x:f>
      </x:c>
      <x:c r="P23" s="4" t="str">
        <x:f>IF(Master!Q307="","",Master!Q307)</x:f>
      </x:c>
      <x:c r="Q23" s="4" t="str">
        <x:f>IF(Master!R307="","",Master!R307)</x:f>
      </x:c>
      <x:c r="R23" s="4" t="str">
        <x:f>IF(Master!S307="","",Master!S307)</x:f>
      </x:c>
      <x:c r="S23" s="4" t="str">
        <x:f>IF(Master!T307="","",Master!T307)</x:f>
      </x:c>
      <x:c r="T23" s="4" t="str">
        <x:f>IF(Master!U307="","",Master!U307)</x:f>
      </x:c>
      <x:c r="U23" s="4" t="str">
        <x:f>IF(Master!V307="","",Master!V307)</x:f>
      </x:c>
      <x:c r="V23" s="4" t="str">
        <x:f>IF(Master!W307="","",Master!W307)</x:f>
      </x:c>
      <x:c r="W23" s="4" t="str">
        <x:f>IF(Master!X307="","",Master!X307)</x:f>
      </x:c>
      <x:c r="X23" s="4" t="str">
        <x:f>IF(Master!Y307="","",Master!Y307)</x:f>
      </x:c>
      <x:c r="Y23" s="4" t="str">
        <x:f>IF(Master!Z307="","",Master!Z307)</x:f>
      </x:c>
      <x:c r="Z23" s="4" t="str">
        <x:f>IF(Master!AA307="","",Master!AA307)</x:f>
      </x:c>
      <x:c r="AA23" s="5" t="str">
        <x:f>IF(Master!AB307="","",Master!AB307)</x:f>
      </x:c>
      <x:c r="AB23" s="4" t="str">
        <x:f>IF(Master!AC307="","",Master!AC307)</x:f>
      </x:c>
      <x:c r="AC23" s="4" t="str">
        <x:f>IF(Master!AD307="","",Master!AD307)</x:f>
      </x:c>
      <x:c r="AD23" s="4" t="str">
        <x:f>IF(Master!AE307="","",Master!AE307)</x:f>
      </x:c>
      <x:c r="AE23" s="4" t="str">
        <x:f>IF(Master!AF307="","",Master!AF307)</x:f>
      </x:c>
      <x:c r="AF23" s="8" t="str">
        <x:f>IF(Master!AG307="","",Master!AG307)</x:f>
      </x:c>
    </x:row>
    <x:row r="24" ht="21.950000762939453" customHeight="1">
      <x:c r="A24" s="18" t="s">
        <x:v>567</x:v>
      </x:c>
      <x:c r="B24" s="18" t="str">
        <x:f t="shared" ref="B24:AF24" si="3">IF(""="","","")</x:f>
      </x:c>
      <x:c r="C24" s="18" t="str">
        <x:f t="shared" si="3"/>
      </x:c>
      <x:c r="D24" s="18" t="str">
        <x:f t="shared" si="3"/>
      </x:c>
      <x:c r="E24" s="18" t="str">
        <x:f t="shared" si="3"/>
      </x:c>
      <x:c r="F24" s="18" t="str">
        <x:f t="shared" si="3"/>
      </x:c>
      <x:c r="G24" s="18" t="str">
        <x:f t="shared" si="3"/>
      </x:c>
      <x:c r="H24" s="18" t="str">
        <x:f t="shared" si="3"/>
      </x:c>
      <x:c r="I24" s="18" t="str">
        <x:f t="shared" si="3"/>
      </x:c>
      <x:c r="J24" s="18" t="str">
        <x:f t="shared" si="3"/>
      </x:c>
      <x:c r="K24" s="18" t="str">
        <x:f t="shared" si="3"/>
      </x:c>
      <x:c r="L24" s="18" t="str">
        <x:f t="shared" si="3"/>
      </x:c>
      <x:c r="M24" s="18" t="str">
        <x:f t="shared" si="3"/>
      </x:c>
      <x:c r="N24" s="18" t="str">
        <x:f t="shared" si="3"/>
      </x:c>
      <x:c r="O24" s="18" t="str">
        <x:f t="shared" si="3"/>
      </x:c>
      <x:c r="P24" s="18" t="str">
        <x:f t="shared" si="3"/>
      </x:c>
      <x:c r="Q24" s="18" t="str">
        <x:f t="shared" si="3"/>
      </x:c>
      <x:c r="R24" s="18" t="str">
        <x:f t="shared" si="3"/>
      </x:c>
      <x:c r="S24" s="18" t="str">
        <x:f t="shared" si="3"/>
      </x:c>
      <x:c r="T24" s="18" t="str">
        <x:f t="shared" si="3"/>
      </x:c>
      <x:c r="U24" s="18" t="str">
        <x:f t="shared" si="3"/>
      </x:c>
      <x:c r="V24" s="18" t="str">
        <x:f t="shared" si="3"/>
      </x:c>
      <x:c r="W24" s="18" t="str">
        <x:f t="shared" si="3"/>
      </x:c>
      <x:c r="X24" s="18" t="str">
        <x:f t="shared" si="3"/>
      </x:c>
      <x:c r="Y24" s="18" t="str">
        <x:f t="shared" si="3"/>
      </x:c>
      <x:c r="Z24" s="18" t="str">
        <x:f t="shared" si="3"/>
      </x:c>
      <x:c r="AA24" s="18" t="str">
        <x:f t="shared" si="3"/>
      </x:c>
      <x:c r="AB24" s="18" t="str">
        <x:f t="shared" si="3"/>
      </x:c>
      <x:c r="AC24" s="18" t="str">
        <x:f t="shared" si="3"/>
      </x:c>
      <x:c r="AD24" s="18" t="str">
        <x:f t="shared" si="3"/>
      </x:c>
      <x:c r="AE24" s="18" t="str">
        <x:f t="shared" si="3"/>
      </x:c>
      <x:c r="AF24" s="19" t="str">
        <x:f t="shared" si="3"/>
      </x:c>
    </x:row>
    <x:row r="25" ht="36" customHeight="1">
      <x:c r="A25" s="17" t="s">
        <x:v>568</x:v>
      </x:c>
      <x:c r="B25" s="3" t="str">
        <x:f>IF(Master!C308="","",Master!C308)</x:f>
        <x:v>Yes / CDN</x:v>
      </x:c>
      <x:c r="C25" s="3" t="str">
        <x:f>IF(Master!D308="","",Master!D308)</x:f>
      </x:c>
      <x:c r="D25" s="3" t="str">
        <x:f>IF(Master!E308="","",Master!E308)</x:f>
      </x:c>
      <x:c r="E25" s="3" t="str">
        <x:f>IF(Master!F308="","",Master!F308)</x:f>
      </x:c>
      <x:c r="F25" s="3" t="str">
        <x:f>IF(Master!G308="","",Master!G308)</x:f>
      </x:c>
      <x:c r="G25" s="3" t="str">
        <x:f>IF(Master!H308="","",Master!H308)</x:f>
        <x:v>Yes / CDN</x:v>
      </x:c>
      <x:c r="H25" s="3" t="str">
        <x:f>IF(Master!I308="","",Master!I308)</x:f>
      </x:c>
      <x:c r="I25" s="3" t="str">
        <x:f>IF(Master!J308="","",Master!J308)</x:f>
      </x:c>
      <x:c r="J25" s="3" t="str">
        <x:f>IF(Master!K308="","",Master!K308)</x:f>
      </x:c>
      <x:c r="K25" s="3" t="str">
        <x:f>IF(Master!L308="","",Master!L308)</x:f>
        <x:v>Private S3-compatible media via short-lived presigned URLs; Garage default, external S3 supported</x:v>
      </x:c>
      <x:c r="L25" s="3" t="str">
        <x:f>IF(Master!M308="","",Master!M308)</x:f>
      </x:c>
      <x:c r="M25" s="3" t="str">
        <x:f>IF(Master!N308="","",Master!N308)</x:f>
      </x:c>
      <x:c r="N25" s="3" t="str">
        <x:f>IF(Master!O308="","",Master!O308)</x:f>
      </x:c>
      <x:c r="O25" s="3" t="str">
        <x:f>IF(Master!P308="","",Master!P308)</x:f>
      </x:c>
      <x:c r="P25" s="3" t="str">
        <x:f>IF(Master!Q308="","",Master!Q308)</x:f>
      </x:c>
      <x:c r="Q25" s="3" t="str">
        <x:f>IF(Master!R308="","",Master!R308)</x:f>
      </x:c>
      <x:c r="R25" s="3" t="str">
        <x:f>IF(Master!S308="","",Master!S308)</x:f>
      </x:c>
      <x:c r="S25" s="3" t="str">
        <x:f>IF(Master!T308="","",Master!T308)</x:f>
      </x:c>
      <x:c r="T25" s="3" t="str">
        <x:f>IF(Master!U308="","",Master!U308)</x:f>
      </x:c>
      <x:c r="U25" s="3" t="str">
        <x:f>IF(Master!V308="","",Master!V308)</x:f>
        <x:v>Yes: media proxy</x:v>
      </x:c>
      <x:c r="V25" s="3" t="str">
        <x:f>IF(Master!W308="","",Master!W308)</x:f>
      </x:c>
      <x:c r="W25" s="3" t="str">
        <x:f>IF(Master!X308="","",Master!X308)</x:f>
      </x:c>
      <x:c r="X25" s="3" t="str">
        <x:f>IF(Master!Y308="","",Master!Y308)</x:f>
        <x:v>Yes / CDN</x:v>
      </x:c>
      <x:c r="Y25" s="3" t="str">
        <x:f>IF(Master!Z308="","",Master!Z308)</x:f>
      </x:c>
      <x:c r="Z25" s="3" t="str">
        <x:f>IF(Master!AA308="","",Master!AA308)</x:f>
      </x:c>
      <x:c r="AA25" s="6" t="str">
        <x:f>IF(Master!AB308="","",Master!AB308)</x:f>
      </x:c>
      <x:c r="AB25" s="3" t="str">
        <x:f>IF(Master!AC308="","",Master!AC308)</x:f>
      </x:c>
      <x:c r="AC25" s="3" t="str">
        <x:f>IF(Master!AD308="","",Master!AD308)</x:f>
      </x:c>
      <x:c r="AD25" s="3" t="str">
        <x:f>IF(Master!AE308="","",Master!AE308)</x:f>
      </x:c>
      <x:c r="AE25" s="3" t="str">
        <x:f>IF(Master!AF308="","",Master!AF308)</x:f>
      </x:c>
      <x:c r="AF25" s="8" t="str">
        <x:f>IF(Master!AG308="","",Master!AG308)</x:f>
      </x:c>
    </x:row>
    <x:row r="26" ht="36" customHeight="1">
      <x:c r="A26" s="17" t="s">
        <x:v>569</x:v>
      </x:c>
      <x:c r="B26" s="3" t="str">
        <x:f>IF(Master!C309="","",Master!C309)</x:f>
      </x:c>
      <x:c r="C26" s="3" t="str">
        <x:f>IF(Master!D309="","",Master!D309)</x:f>
      </x:c>
      <x:c r="D26" s="3" t="str">
        <x:f>IF(Master!E309="","",Master!E309)</x:f>
      </x:c>
      <x:c r="E26" s="3" t="str">
        <x:f>IF(Master!F309="","",Master!F309)</x:f>
      </x:c>
      <x:c r="F26" s="3" t="str">
        <x:f>IF(Master!G309="","",Master!G309)</x:f>
      </x:c>
      <x:c r="G26" s="3" t="str">
        <x:f>IF(Master!H309="","",Master!H309)</x:f>
      </x:c>
      <x:c r="H26" s="3" t="str">
        <x:f>IF(Master!I309="","",Master!I309)</x:f>
      </x:c>
      <x:c r="I26" s="3" t="str">
        <x:f>IF(Master!J309="","",Master!J309)</x:f>
      </x:c>
      <x:c r="J26" s="3" t="str">
        <x:f>IF(Master!K309="","",Master!K309)</x:f>
      </x:c>
      <x:c r="K26" s="3" t="str">
        <x:f>IF(Master!L309="","",Master!L309)</x:f>
        <x:v>Not explicitly documented</x:v>
      </x:c>
      <x:c r="L26" s="3" t="str">
        <x:f>IF(Master!M309="","",Master!M309)</x:f>
      </x:c>
      <x:c r="M26" s="3" t="str">
        <x:f>IF(Master!N309="","",Master!N309)</x:f>
      </x:c>
      <x:c r="N26" s="3" t="str">
        <x:f>IF(Master!O309="","",Master!O309)</x:f>
        <x:v>Client/server-dependent</x:v>
      </x:c>
      <x:c r="O26" s="3" t="str">
        <x:f>IF(Master!P309="","",Master!P309)</x:f>
      </x:c>
      <x:c r="P26" s="3" t="str">
        <x:f>IF(Master!Q309="","",Master!Q309)</x:f>
      </x:c>
      <x:c r="Q26" s="3" t="str">
        <x:f>IF(Master!R309="","",Master!R309)</x:f>
        <x:v>N/A</x:v>
      </x:c>
      <x:c r="R26" s="3" t="str">
        <x:f>IF(Master!S309="","",Master!S309)</x:f>
      </x:c>
      <x:c r="S26" s="3" t="str">
        <x:f>IF(Master!T309="","",Master!T309)</x:f>
      </x:c>
      <x:c r="T26" s="3" t="str">
        <x:f>IF(Master!U309="","",Master!U309)</x:f>
      </x:c>
      <x:c r="U26" s="3" t="str">
        <x:f>IF(Master!V309="","",Master!V309)</x:f>
        <x:v>Yes: automatic EXIF stripping</x:v>
      </x:c>
      <x:c r="V26" s="3" t="str">
        <x:f>IF(Master!W309="","",Master!W309)</x:f>
      </x:c>
      <x:c r="W26" s="3" t="str">
        <x:f>IF(Master!X309="","",Master!X309)</x:f>
      </x:c>
      <x:c r="X26" s="3" t="str">
        <x:f>IF(Master!Y309="","",Master!Y309)</x:f>
      </x:c>
      <x:c r="Y26" s="3" t="str">
        <x:f>IF(Master!Z309="","",Master!Z309)</x:f>
      </x:c>
      <x:c r="Z26" s="3" t="str">
        <x:f>IF(Master!AA309="","",Master!AA309)</x:f>
      </x:c>
      <x:c r="AA26" s="6" t="str">
        <x:f>IF(Master!AB309="","",Master!AB309)</x:f>
      </x:c>
      <x:c r="AB26" s="3" t="str">
        <x:f>IF(Master!AC309="","",Master!AC309)</x:f>
      </x:c>
      <x:c r="AC26" s="3" t="str">
        <x:f>IF(Master!AD309="","",Master!AD309)</x:f>
      </x:c>
      <x:c r="AD26" s="3" t="str">
        <x:f>IF(Master!AE309="","",Master!AE309)</x:f>
      </x:c>
      <x:c r="AE26" s="3" t="str">
        <x:f>IF(Master!AF309="","",Master!AF309)</x:f>
      </x:c>
      <x:c r="AF26" s="8" t="str">
        <x:f>IF(Master!AG309="","",Master!AG309)</x:f>
      </x:c>
    </x:row>
    <x:row r="27" ht="36" customHeight="1">
      <x:c r="A27" s="17" t="s">
        <x:v>570</x:v>
      </x:c>
      <x:c r="B27" s="3" t="str">
        <x:f>IF(Master!C310="","",Master!C310)</x:f>
        <x:v>ZIP / JSON-heavy Data Package</x:v>
      </x:c>
      <x:c r="C27" s="3" t="str">
        <x:f>IF(Master!D310="","",Master!D310)</x:f>
        <x:v>Nostr events</x:v>
      </x:c>
      <x:c r="D27" s="3" t="str">
        <x:f>IF(Master!E310="","",Master!E310)</x:f>
        <x:v>DCTS export</x:v>
      </x:c>
      <x:c r="E27" s="3" t="str">
        <x:f>IF(Master!F310="","",Master!F310)</x:f>
      </x:c>
      <x:c r="F27" s="3" t="str">
        <x:f>IF(Master!G310="","",Master!G310)</x:f>
      </x:c>
      <x:c r="G27" s="3" t="str">
        <x:f>IF(Master!H310="","",Master!H310)</x:f>
      </x:c>
      <x:c r="H27" s="3" t="str">
        <x:f>IF(Master!I310="","",Master!I310)</x:f>
      </x:c>
      <x:c r="I27" s="3" t="str">
        <x:f>IF(Master!J310="","",Master!J310)</x:f>
      </x:c>
      <x:c r="J27" s="3" t="str">
        <x:f>IF(Master!K310="","",Master!K310)</x:f>
        <x:v>Encrypted .hollow/local formats</x:v>
      </x:c>
      <x:c r="K27" s="3" t="str">
        <x:f>IF(Master!L310="","",Master!L310)</x:f>
        <x:v>Direct downloads supported; no bulk attachment/account export workflow documented</x:v>
      </x:c>
      <x:c r="L27" s="3" t="str">
        <x:f>IF(Master!M310="","",Master!M310)</x:f>
      </x:c>
      <x:c r="M27" s="3" t="str">
        <x:f>IF(Master!N310="","",Master!N310)</x:f>
      </x:c>
      <x:c r="N27" s="3" t="str">
        <x:f>IF(Master!O310="","",Master!O310)</x:f>
        <x:v>Client/provider-dependent</x:v>
      </x:c>
      <x:c r="O27" s="3" t="str">
        <x:f>IF(Master!P310="","",Master!P310)</x:f>
        <x:v>Bulk/export formats</x:v>
      </x:c>
      <x:c r="P27" s="3" t="str">
        <x:f>IF(Master!Q310="","",Master!Q310)</x:f>
      </x:c>
      <x:c r="Q27" s="3" t="str">
        <x:f>IF(Master!R310="","",Master!R310)</x:f>
        <x:v>N/A</x:v>
      </x:c>
      <x:c r="R27" s="3" t="str">
        <x:f>IF(Master!S310="","",Master!S310)</x:f>
      </x:c>
      <x:c r="S27" s="3" t="str">
        <x:f>IF(Master!T310="","",Master!T310)</x:f>
      </x:c>
      <x:c r="T27" s="3" t="str">
        <x:f>IF(Master!U310="","",Master!U310)</x:f>
      </x:c>
      <x:c r="U27" s="3" t="str">
        <x:f>IF(Master!V310="","",Master!V310)</x:f>
        <x:v>Direct downloads supported</x:v>
      </x:c>
      <x:c r="V27" s="3" t="str">
        <x:f>IF(Master!W310="","",Master!W310)</x:f>
        <x:v>Export/backup deployment-dependent</x:v>
      </x:c>
      <x:c r="W27" s="3" t="str">
        <x:f>IF(Master!X310="","",Master!X310)</x:f>
        <x:v>ATProto records</x:v>
      </x:c>
      <x:c r="X27" s="3" t="str">
        <x:f>IF(Master!Y310="","",Master!Y310)</x:f>
      </x:c>
      <x:c r="Y27" s="3" t="str">
        <x:f>IF(Master!Z310="","",Master!Z310)</x:f>
      </x:c>
      <x:c r="Z27" s="3" t="str">
        <x:f>IF(Master!AA310="","",Master!AA310)</x:f>
      </x:c>
      <x:c r="AA27" s="6" t="str">
        <x:f>IF(Master!AB310="","",Master!AB310)</x:f>
      </x:c>
      <x:c r="AB27" s="3" t="str">
        <x:f>IF(Master!AC310="","",Master!AC310)</x:f>
      </x:c>
      <x:c r="AC27" s="3" t="str">
        <x:f>IF(Master!AD310="","",Master!AD310)</x:f>
      </x:c>
      <x:c r="AD27" s="3" t="str">
        <x:f>IF(Master!AE310="","",Master!AE310)</x:f>
      </x:c>
      <x:c r="AE27" s="3" t="str">
        <x:f>IF(Master!AF310="","",Master!AF310)</x:f>
      </x:c>
      <x:c r="AF27" s="8" t="str">
        <x:f>IF(Master!AG310="","",Master!AG310)</x:f>
        <x:v>Zulip export archives</x:v>
      </x:c>
    </x:row>
    <x:row r="28" ht="36" customHeight="1">
      <x:c r="A28" s="17" t="s">
        <x:v>571</x:v>
      </x:c>
      <x:c r="B28" s="3" t="str">
        <x:f>IF(Master!C311="","",Master!C311)</x:f>
        <x:v>Yes</x:v>
      </x:c>
      <x:c r="C28" s="3" t="str">
        <x:f>IF(Master!D311="","",Master!D311)</x:f>
      </x:c>
      <x:c r="D28" s="3" t="str">
        <x:f>IF(Master!E311="","",Master!E311)</x:f>
      </x:c>
      <x:c r="E28" s="3" t="str">
        <x:f>IF(Master!F311="","",Master!F311)</x:f>
      </x:c>
      <x:c r="F28" s="3" t="str">
        <x:f>IF(Master!G311="","",Master!G311)</x:f>
      </x:c>
      <x:c r="G28" s="3" t="str">
        <x:f>IF(Master!H311="","",Master!H311)</x:f>
        <x:v>Yes</x:v>
      </x:c>
      <x:c r="H28" s="3" t="str">
        <x:f>IF(Master!I311="","",Master!I311)</x:f>
        <x:v>Yes</x:v>
      </x:c>
      <x:c r="I28" s="3" t="str">
        <x:f>IF(Master!J311="","",Master!J311)</x:f>
      </x:c>
      <x:c r="J28" s="3" t="str">
        <x:f>IF(Master!K311="","",Master!K311)</x:f>
      </x:c>
      <x:c r="K28" s="3" t="str">
        <x:f>IF(Master!L311="","",Master!L311)</x:f>
        <x:v>Yes: clean image/video derivatives and previews are produced after scan</x:v>
      </x:c>
      <x:c r="L28" s="3" t="str">
        <x:f>IF(Master!M311="","",Master!M311)</x:f>
      </x:c>
      <x:c r="M28" s="3" t="str">
        <x:f>IF(Master!N311="","",Master!N311)</x:f>
      </x:c>
      <x:c r="N28" s="3" t="str">
        <x:f>IF(Master!O311="","",Master!O311)</x:f>
      </x:c>
      <x:c r="O28" s="3" t="str">
        <x:f>IF(Master!P311="","",Master!P311)</x:f>
        <x:v>Yes</x:v>
      </x:c>
      <x:c r="P28" s="3" t="str">
        <x:f>IF(Master!Q311="","",Master!Q311)</x:f>
        <x:v>Yes</x:v>
      </x:c>
      <x:c r="Q28" s="3" t="str">
        <x:f>IF(Master!R311="","",Master!R311)</x:f>
      </x:c>
      <x:c r="R28" s="3" t="str">
        <x:f>IF(Master!S311="","",Master!S311)</x:f>
      </x:c>
      <x:c r="S28" s="3" t="str">
        <x:f>IF(Master!T311="","",Master!T311)</x:f>
      </x:c>
      <x:c r="T28" s="3" t="str">
        <x:f>IF(Master!U311="","",Master!U311)</x:f>
      </x:c>
      <x:c r="U28" s="3" t="str">
        <x:f>IF(Master!V311="","",Master!V311)</x:f>
        <x:v>Yes</x:v>
      </x:c>
      <x:c r="V28" s="3" t="str">
        <x:f>IF(Master!W311="","",Master!W311)</x:f>
        <x:v>Yes</x:v>
      </x:c>
      <x:c r="W28" s="3" t="str">
        <x:f>IF(Master!X311="","",Master!X311)</x:f>
      </x:c>
      <x:c r="X28" s="3" t="str">
        <x:f>IF(Master!Y311="","",Master!Y311)</x:f>
        <x:v>Yes</x:v>
      </x:c>
      <x:c r="Y28" s="3" t="str">
        <x:f>IF(Master!Z311="","",Master!Z311)</x:f>
      </x:c>
      <x:c r="Z28" s="3" t="str">
        <x:f>IF(Master!AA311="","",Master!AA311)</x:f>
      </x:c>
      <x:c r="AA28" s="6" t="str">
        <x:f>IF(Master!AB311="","",Master!AB311)</x:f>
      </x:c>
      <x:c r="AB28" s="3" t="str">
        <x:f>IF(Master!AC311="","",Master!AC311)</x:f>
      </x:c>
      <x:c r="AC28" s="3" t="str">
        <x:f>IF(Master!AD311="","",Master!AD311)</x:f>
      </x:c>
      <x:c r="AD28" s="3" t="str">
        <x:f>IF(Master!AE311="","",Master!AE311)</x:f>
      </x:c>
      <x:c r="AE28" s="3" t="str">
        <x:f>IF(Master!AF311="","",Master!AF311)</x:f>
      </x:c>
      <x:c r="AF28" s="8" t="str">
        <x:f>IF(Master!AG311="","",Master!AG311)</x:f>
        <x:v>Yes</x:v>
      </x:c>
    </x:row>
    <x:row r="29" ht="21.950000762939453" customHeight="1">
      <x:c r="A29" s="18" t="s">
        <x:v>413</x:v>
      </x:c>
      <x:c r="B29" s="18" t="str">
        <x:f t="shared" ref="B29:AF29" si="4">IF(""="","","")</x:f>
      </x:c>
      <x:c r="C29" s="18" t="str">
        <x:f t="shared" si="4"/>
      </x:c>
      <x:c r="D29" s="18" t="str">
        <x:f t="shared" si="4"/>
      </x:c>
      <x:c r="E29" s="18" t="str">
        <x:f t="shared" si="4"/>
      </x:c>
      <x:c r="F29" s="18" t="str">
        <x:f t="shared" si="4"/>
      </x:c>
      <x:c r="G29" s="18" t="str">
        <x:f t="shared" si="4"/>
      </x:c>
      <x:c r="H29" s="18" t="str">
        <x:f t="shared" si="4"/>
      </x:c>
      <x:c r="I29" s="18" t="str">
        <x:f t="shared" si="4"/>
      </x:c>
      <x:c r="J29" s="18" t="str">
        <x:f t="shared" si="4"/>
      </x:c>
      <x:c r="K29" s="18" t="str">
        <x:f t="shared" si="4"/>
      </x:c>
      <x:c r="L29" s="18" t="str">
        <x:f t="shared" si="4"/>
      </x:c>
      <x:c r="M29" s="18" t="str">
        <x:f t="shared" si="4"/>
      </x:c>
      <x:c r="N29" s="18" t="str">
        <x:f t="shared" si="4"/>
      </x:c>
      <x:c r="O29" s="18" t="str">
        <x:f t="shared" si="4"/>
      </x:c>
      <x:c r="P29" s="18" t="str">
        <x:f t="shared" si="4"/>
      </x:c>
      <x:c r="Q29" s="18" t="str">
        <x:f t="shared" si="4"/>
      </x:c>
      <x:c r="R29" s="18" t="str">
        <x:f t="shared" si="4"/>
      </x:c>
      <x:c r="S29" s="18" t="str">
        <x:f t="shared" si="4"/>
      </x:c>
      <x:c r="T29" s="18" t="str">
        <x:f t="shared" si="4"/>
      </x:c>
      <x:c r="U29" s="18" t="str">
        <x:f t="shared" si="4"/>
      </x:c>
      <x:c r="V29" s="18" t="str">
        <x:f t="shared" si="4"/>
      </x:c>
      <x:c r="W29" s="18" t="str">
        <x:f t="shared" si="4"/>
      </x:c>
      <x:c r="X29" s="18" t="str">
        <x:f t="shared" si="4"/>
      </x:c>
      <x:c r="Y29" s="18" t="str">
        <x:f t="shared" si="4"/>
      </x:c>
      <x:c r="Z29" s="18" t="str">
        <x:f t="shared" si="4"/>
      </x:c>
      <x:c r="AA29" s="18" t="str">
        <x:f t="shared" si="4"/>
      </x:c>
      <x:c r="AB29" s="18" t="str">
        <x:f t="shared" si="4"/>
      </x:c>
      <x:c r="AC29" s="18" t="str">
        <x:f t="shared" si="4"/>
      </x:c>
      <x:c r="AD29" s="18" t="str">
        <x:f t="shared" si="4"/>
      </x:c>
      <x:c r="AE29" s="18" t="str">
        <x:f t="shared" si="4"/>
      </x:c>
      <x:c r="AF29" s="19" t="str">
        <x:f t="shared" si="4"/>
      </x:c>
    </x:row>
    <x:row r="30" ht="36" customHeight="1">
      <x:c r="A30" s="17" t="s">
        <x:v>572</x:v>
      </x:c>
      <x:c r="B30" s="3" t="str">
        <x:f>IF(Master!C312="","",Master!C312)</x:f>
        <x:v>https://support.discord.com/hc/en-us/articles/25444343291031-File-Attachments-FAQ</x:v>
      </x:c>
      <x:c r="C30" s="3" t="str">
        <x:f>IF(Master!D312="","",Master!D312)</x:f>
      </x:c>
      <x:c r="D30" s="3" t="str">
        <x:f>IF(Master!E312="","",Master!E312)</x:f>
      </x:c>
      <x:c r="E30" s="3" t="str">
        <x:f>IF(Master!F312="","",Master!F312)</x:f>
      </x:c>
      <x:c r="F30" s="3" t="str">
        <x:f>IF(Master!G312="","",Master!G312)</x:f>
      </x:c>
      <x:c r="G30" s="3" t="str">
        <x:f>IF(Master!H312="","",Master!H312)</x:f>
        <x:v>https://fluxer.app/plutonium</x:v>
      </x:c>
      <x:c r="H30" s="3" t="str">
        <x:f>IF(Master!I312="","",Master!I312)</x:f>
        <x:v>https://gamevox.com/blog/gamevox-vs-discord/</x:v>
      </x:c>
      <x:c r="I30" s="3" t="str">
        <x:f>IF(Master!J312="","",Master!J312)</x:f>
      </x:c>
      <x:c r="J30" s="3" t="str">
        <x:f>IF(Master!K312="","",Master!K312)</x:f>
      </x:c>
      <x:c r="K30" s="3" t="str">
        <x:f>IF(Master!L312="","",Master!L312)</x:f>
        <x:v>https://github.com/CookieNom/KaedeChat/blob/main/docs/architecture.md</x:v>
      </x:c>
      <x:c r="L30" s="3" t="str">
        <x:f>IF(Master!M312="","",Master!M312)</x:f>
      </x:c>
      <x:c r="M30" s="3" t="str">
        <x:f>IF(Master!N312="","",Master!N312)</x:f>
      </x:c>
      <x:c r="N30" s="3" t="str">
        <x:f>IF(Master!O312="","",Master!O312)</x:f>
      </x:c>
      <x:c r="O30" s="3" t="str">
        <x:f>IF(Master!P312="","",Master!P312)</x:f>
      </x:c>
      <x:c r="P30" s="3" t="str">
        <x:f>IF(Master!Q312="","",Master!Q312)</x:f>
        <x:v>https://mezon.ai/docs/user/resources/FAQ/</x:v>
      </x:c>
      <x:c r="Q30" s="3" t="str">
        <x:f>IF(Master!R312="","",Master!R312)</x:f>
      </x:c>
      <x:c r="R30" s="3" t="str">
        <x:f>IF(Master!S312="","",Master!S312)</x:f>
      </x:c>
      <x:c r="S30" s="3" t="str">
        <x:f>IF(Master!T312="","",Master!T312)</x:f>
      </x:c>
      <x:c r="T30" s="3" t="str">
        <x:f>IF(Master!U312="","",Master!U312)</x:f>
      </x:c>
      <x:c r="U30" s="3" t="str">
        <x:f>IF(Master!V312="","",Master!V312)</x:f>
        <x:v>https://therift.chat/plans/</x:v>
      </x:c>
      <x:c r="V30" s="3" t="str">
        <x:f>IF(Master!W312="","",Master!W312)</x:f>
      </x:c>
      <x:c r="W30" s="3" t="str">
        <x:f>IF(Master!X312="","",Master!X312)</x:f>
      </x:c>
      <x:c r="X30" s="3" t="str">
        <x:f>IF(Master!Y312="","",Master!Y312)</x:f>
        <x:v>https://support.rootapp.com/docs/leader/channel-files/overview/</x:v>
      </x:c>
      <x:c r="Y30" s="3" t="str">
        <x:f>IF(Master!Z312="","",Master!Z312)</x:f>
      </x:c>
      <x:c r="Z30" s="3" t="str">
        <x:f>IF(Master!AA312="","",Master!AA312)</x:f>
      </x:c>
      <x:c r="AA30" s="6" t="str">
        <x:f>IF(Master!AB312="","",Master!AB312)</x:f>
      </x:c>
      <x:c r="AB30" s="3" t="str">
        <x:f>IF(Master!AC312="","",Master!AC312)</x:f>
      </x:c>
      <x:c r="AC30" s="3" t="str">
        <x:f>IF(Master!AD312="","",Master!AD312)</x:f>
      </x:c>
      <x:c r="AD30" s="3" t="str">
        <x:f>IF(Master!AE312="","",Master!AE312)</x:f>
      </x:c>
      <x:c r="AE30" s="3" t="str">
        <x:f>IF(Master!AF312="","",Master!AF312)</x:f>
      </x:c>
      <x:c r="AF30" s="8" t="str">
        <x:f>IF(Master!AG312="","",Master!AG312)</x:f>
        <x:v>https://zulip.com/plans/</x:v>
      </x:c>
    </x:row>
    <x:row r="31" ht="36" customHeight="1">
      <x:c r="A31" s="17" t="s">
        <x:v>573</x:v>
      </x:c>
      <x:c r="B31" s="3" t="str">
        <x:f>IF(Master!C313="","",Master!C313)</x:f>
        <x:v>20 MB free; 50 MB Nitro Basic; 500 MB Nitro.</x:v>
      </x:c>
      <x:c r="C31" s="3" t="str">
        <x:f>IF(Master!D313="","",Master!D313)</x:f>
        <x:v>Relay-dependent</x:v>
      </x:c>
      <x:c r="D31" s="3" t="str">
        <x:f>IF(Master!E313="","",Master!E313)</x:f>
        <x:v>Operator configured</x:v>
      </x:c>
      <x:c r="E31" s="3" t="str">
        <x:f>IF(Master!F313="","",Master!F313)</x:f>
      </x:c>
      <x:c r="F31" s="3" t="str">
        <x:f>IF(Master!G313="","",Master!G313)</x:f>
      </x:c>
      <x:c r="G31" s="3" t="str">
        <x:f>IF(Master!H313="","",Master!H313)</x:f>
        <x:v>25 MB free; 500 MB with Plutonium.</x:v>
      </x:c>
      <x:c r="H31" s="3" t="str">
        <x:f>IF(Master!I313="","",Master!I313)</x:f>
        <x:v>500 MB free; Silver 1 GB/file; Gold 2 GB/file; Diamond 10 GB/file.</x:v>
      </x:c>
      <x:c r="I31" s="3" t="str">
        <x:f>IF(Master!J313="","",Master!J313)</x:f>
      </x:c>
      <x:c r="J31" s="3" t="str">
        <x:f>IF(Master!K313="","",Master!K313)</x:f>
        <x:v>Local/device storage</x:v>
      </x:c>
      <x:c r="K31" s="3" t="str">
        <x:f>IF(Master!L313="","",Master!L313)</x:f>
        <x:v>Three private buckets; exact-length upload tickets; magic validation; ClamAV scanning; safe WebP/video derivatives; remote media is origin-authenticated and re-scanned before local cache.</x:v>
      </x:c>
      <x:c r="L31" s="3" t="str">
        <x:f>IF(Master!M313="","",Master!M313)</x:f>
      </x:c>
      <x:c r="M31" s="3" t="str">
        <x:f>IF(Master!N313="","",Master!N313)</x:f>
      </x:c>
      <x:c r="N31" s="3" t="str">
        <x:f>IF(Master!O313="","",Master!O313)</x:f>
        <x:v>Homeserver-dependent</x:v>
      </x:c>
      <x:c r="O31" s="3" t="str">
        <x:f>IF(Master!P313="","",Master!P313)</x:f>
        <x:v>Admin-configurable</x:v>
      </x:c>
      <x:c r="P31" s="3" t="str">
        <x:f>IF(Master!Q313="","",Master!Q313)</x:f>
        <x:v>All features free; images max 50 MB, video/other max 100 MB.</x:v>
      </x:c>
      <x:c r="Q31" s="3" t="str">
        <x:f>IF(Master!R313="","",Master!R313)</x:f>
        <x:v>N/A</x:v>
      </x:c>
      <x:c r="R31" s="3" t="str">
        <x:f>IF(Master!S313="","",Master!S313)</x:f>
      </x:c>
      <x:c r="S31" s="3" t="str">
        <x:f>IF(Master!T313="","",Master!T313)</x:f>
      </x:c>
      <x:c r="T31" s="3" t="str">
        <x:f>IF(Master!U313="","",Master!U313)</x:f>
      </x:c>
      <x:c r="U31" s="3" t="str">
        <x:f>IF(Master!V313="","",Master!V313)</x:f>
        <x:v>Free 50 MB; Rift+ 300 MB; Ember 75 MB/member; Forge 100 MB/member.</x:v>
      </x:c>
      <x:c r="V31" s="3" t="str">
        <x:f>IF(Master!W313="","",Master!W313)</x:f>
        <x:v>Admin-configurable</x:v>
      </x:c>
      <x:c r="W31" s="3" t="str">
        <x:f>IF(Master!X313="","",Master!X313)</x:f>
      </x:c>
      <x:c r="X31" s="3" t="str">
        <x:f>IF(Master!Y313="","",Master!Y313)</x:f>
        <x:v>Root documentation verify 25 MB max and 10 files/upload; no higher paid file cap verified.</x:v>
      </x:c>
      <x:c r="Y31" s="3" t="str">
        <x:f>IF(Master!Z313="","",Master!Z313)</x:f>
        <x:v>Operator-configurable</x:v>
      </x:c>
      <x:c r="Z31" s="3" t="str">
        <x:f>IF(Master!AA313="","",Master!AA313)</x:f>
      </x:c>
      <x:c r="AA31" s="6" t="str">
        <x:f>IF(Master!AB313="","",Master!AB313)</x:f>
        <x:v>A 5 MB attachment limit is widely documented in current comparisons; official primary limit was not re-verified in this pass.</x:v>
      </x:c>
      <x:c r="AB31" s="3" t="str">
        <x:f>IF(Master!AC313="","",Master!AC313)</x:f>
      </x:c>
      <x:c r="AC31" s="3" t="str">
        <x:f>IF(Master!AD313="","",Master!AD313)</x:f>
      </x:c>
      <x:c r="AD31" s="3" t="str">
        <x:f>IF(Master!AE313="","",Master!AE313)</x:f>
      </x:c>
      <x:c r="AE31" s="3" t="str">
        <x:f>IF(Master!AF313="","",Master!AF313)</x:f>
        <x:v>Server-configurable</x:v>
      </x:c>
      <x:c r="AF31" s="8" t="str">
        <x:f>IF(Master!AG313="","",Master!AG313)</x:f>
        <x:v>Plan/server configurable</x:v>
      </x:c>
    </x:row>
    <x:row r="32" ht="21.950000762939453" customHeight="1">
      <x:c r="A32" s="18" t="s">
        <x:v>574</x:v>
      </x:c>
      <x:c r="B32" s="18" t="str">
        <x:f t="shared" ref="B32:AF32" si="5">IF(""="","","")</x:f>
      </x:c>
      <x:c r="C32" s="18" t="str">
        <x:f t="shared" si="5"/>
      </x:c>
      <x:c r="D32" s="18" t="str">
        <x:f t="shared" si="5"/>
      </x:c>
      <x:c r="E32" s="18" t="str">
        <x:f t="shared" si="5"/>
      </x:c>
      <x:c r="F32" s="18" t="str">
        <x:f t="shared" si="5"/>
      </x:c>
      <x:c r="G32" s="18" t="str">
        <x:f t="shared" si="5"/>
      </x:c>
      <x:c r="H32" s="18" t="str">
        <x:f t="shared" si="5"/>
      </x:c>
      <x:c r="I32" s="18" t="str">
        <x:f t="shared" si="5"/>
      </x:c>
      <x:c r="J32" s="18" t="str">
        <x:f t="shared" si="5"/>
      </x:c>
      <x:c r="K32" s="18" t="str">
        <x:f t="shared" si="5"/>
      </x:c>
      <x:c r="L32" s="18" t="str">
        <x:f t="shared" si="5"/>
      </x:c>
      <x:c r="M32" s="18" t="str">
        <x:f t="shared" si="5"/>
      </x:c>
      <x:c r="N32" s="18" t="str">
        <x:f t="shared" si="5"/>
      </x:c>
      <x:c r="O32" s="18" t="str">
        <x:f t="shared" si="5"/>
      </x:c>
      <x:c r="P32" s="18" t="str">
        <x:f t="shared" si="5"/>
      </x:c>
      <x:c r="Q32" s="18" t="str">
        <x:f t="shared" si="5"/>
      </x:c>
      <x:c r="R32" s="18" t="str">
        <x:f t="shared" si="5"/>
      </x:c>
      <x:c r="S32" s="18" t="str">
        <x:f t="shared" si="5"/>
      </x:c>
      <x:c r="T32" s="18" t="str">
        <x:f t="shared" si="5"/>
      </x:c>
      <x:c r="U32" s="18" t="str">
        <x:f t="shared" si="5"/>
      </x:c>
      <x:c r="V32" s="18" t="str">
        <x:f t="shared" si="5"/>
      </x:c>
      <x:c r="W32" s="18" t="str">
        <x:f t="shared" si="5"/>
      </x:c>
      <x:c r="X32" s="18" t="str">
        <x:f t="shared" si="5"/>
      </x:c>
      <x:c r="Y32" s="18" t="str">
        <x:f t="shared" si="5"/>
      </x:c>
      <x:c r="Z32" s="18" t="str">
        <x:f t="shared" si="5"/>
      </x:c>
      <x:c r="AA32" s="18" t="str">
        <x:f t="shared" si="5"/>
      </x:c>
      <x:c r="AB32" s="18" t="str">
        <x:f t="shared" si="5"/>
      </x:c>
      <x:c r="AC32" s="18" t="str">
        <x:f t="shared" si="5"/>
      </x:c>
      <x:c r="AD32" s="18" t="str">
        <x:f t="shared" si="5"/>
      </x:c>
      <x:c r="AE32" s="18" t="str">
        <x:f t="shared" si="5"/>
      </x:c>
      <x:c r="AF32" s="19" t="str">
        <x:f t="shared" si="5"/>
      </x:c>
    </x:row>
    <x:row r="33" ht="36" customHeight="1">
      <x:c r="A33" s="17" t="s">
        <x:v>575</x:v>
      </x:c>
      <x:c r="B33" s="3" t="str">
        <x:f>IF(Master!C314="","",Master!C314)</x:f>
      </x:c>
      <x:c r="C33" s="3" t="str">
        <x:f>IF(Master!D314="","",Master!D314)</x:f>
      </x:c>
      <x:c r="D33" s="3" t="str">
        <x:f>IF(Master!E314="","",Master!E314)</x:f>
      </x:c>
      <x:c r="E33" s="3" t="str">
        <x:f>IF(Master!F314="","",Master!F314)</x:f>
      </x:c>
      <x:c r="F33" s="3" t="str">
        <x:f>IF(Master!G314="","",Master!G314)</x:f>
      </x:c>
      <x:c r="G33" s="3" t="str">
        <x:f>IF(Master!H314="","",Master!H314)</x:f>
      </x:c>
      <x:c r="H33" s="3" t="str">
        <x:f>IF(Master!I314="","",Master!I314)</x:f>
      </x:c>
      <x:c r="I33" s="3" t="str">
        <x:f>IF(Master!J314="","",Master!J314)</x:f>
      </x:c>
      <x:c r="J33" s="3" t="str">
        <x:f>IF(Master!K314="","",Master!K314)</x:f>
      </x:c>
      <x:c r="K33" s="3" t="str">
        <x:f>IF(Master!L314="","",Master!L314)</x:f>
        <x:v>Yes: magic validation + ClamAV malware scan before originals become available</x:v>
      </x:c>
      <x:c r="L33" s="3" t="str">
        <x:f>IF(Master!M314="","",Master!M314)</x:f>
      </x:c>
      <x:c r="M33" s="3" t="str">
        <x:f>IF(Master!N314="","",Master!N314)</x:f>
      </x:c>
      <x:c r="N33" s="3" t="str">
        <x:f>IF(Master!O314="","",Master!O314)</x:f>
      </x:c>
      <x:c r="O33" s="3" t="str">
        <x:f>IF(Master!P314="","",Master!P314)</x:f>
        <x:v>Deployment/integration dependent</x:v>
      </x:c>
      <x:c r="P33" s="3" t="str">
        <x:f>IF(Master!Q314="","",Master!Q314)</x:f>
      </x:c>
      <x:c r="Q33" s="3" t="str">
        <x:f>IF(Master!R314="","",Master!R314)</x:f>
      </x:c>
      <x:c r="R33" s="3" t="str">
        <x:f>IF(Master!S314="","",Master!S314)</x:f>
      </x:c>
      <x:c r="S33" s="3" t="str">
        <x:f>IF(Master!T314="","",Master!T314)</x:f>
      </x:c>
      <x:c r="T33" s="3" t="str">
        <x:f>IF(Master!U314="","",Master!U314)</x:f>
      </x:c>
      <x:c r="U33" s="3" t="str">
        <x:f>IF(Master!V314="","",Master!V314)</x:f>
      </x:c>
      <x:c r="V33" s="3" t="str">
        <x:f>IF(Master!W314="","",Master!W314)</x:f>
      </x:c>
      <x:c r="W33" s="3" t="str">
        <x:f>IF(Master!X314="","",Master!X314)</x:f>
      </x:c>
      <x:c r="X33" s="3" t="str">
        <x:f>IF(Master!Y314="","",Master!Y314)</x:f>
      </x:c>
      <x:c r="Y33" s="3" t="str">
        <x:f>IF(Master!Z314="","",Master!Z314)</x:f>
      </x:c>
      <x:c r="Z33" s="3" t="str">
        <x:f>IF(Master!AA314="","",Master!AA314)</x:f>
      </x:c>
      <x:c r="AA33" s="6" t="str">
        <x:f>IF(Master!AB314="","",Master!AB314)</x:f>
      </x:c>
      <x:c r="AB33" s="3" t="str">
        <x:f>IF(Master!AC314="","",Master!AC314)</x:f>
      </x:c>
      <x:c r="AC33" s="3" t="str">
        <x:f>IF(Master!AD314="","",Master!AD314)</x:f>
      </x:c>
      <x:c r="AD33" s="3" t="str">
        <x:f>IF(Master!AE314="","",Master!AE314)</x:f>
      </x:c>
      <x:c r="AE33" s="3" t="str">
        <x:f>IF(Master!AF314="","",Master!AF314)</x:f>
      </x:c>
      <x:c r="AF33" s="8" t="str">
        <x:f>IF(Master!AG314="","",Master!AG314)</x:f>
      </x:c>
    </x:row>
    <x:row r="34" ht="36" customHeight="1">
      <x:c r="A34" s="17" t="s">
        <x:v>576</x:v>
      </x:c>
      <x:c r="B34" s="3" t="str">
        <x:f>IF(Master!C315="","",Master!C315)</x:f>
        <x:v>Platform-controlled</x:v>
      </x:c>
      <x:c r="C34" s="3" t="str">
        <x:f>IF(Master!D315="","",Master!D315)</x:f>
      </x:c>
      <x:c r="D34" s="3" t="str">
        <x:f>IF(Master!E315="","",Master!E315)</x:f>
      </x:c>
      <x:c r="E34" s="3" t="str">
        <x:f>IF(Master!F315="","",Master!F315)</x:f>
      </x:c>
      <x:c r="F34" s="3" t="str">
        <x:f>IF(Master!G315="","",Master!G315)</x:f>
      </x:c>
      <x:c r="G34" s="3" t="str">
        <x:f>IF(Master!H315="","",Master!H315)</x:f>
      </x:c>
      <x:c r="H34" s="3" t="str">
        <x:f>IF(Master!I315="","",Master!I315)</x:f>
      </x:c>
      <x:c r="I34" s="3" t="str">
        <x:f>IF(Master!J315="","",Master!J315)</x:f>
      </x:c>
      <x:c r="J34" s="3" t="str">
        <x:f>IF(Master!K315="","",Master!K315)</x:f>
      </x:c>
      <x:c r="K34" s="3" t="str">
        <x:f>IF(Master!L315="","",Master!L315)</x:f>
        <x:v>MIME/type validation is enforced; operator-configurable restriction policy was not separately documented</x:v>
      </x:c>
      <x:c r="L34" s="3" t="str">
        <x:f>IF(Master!M315="","",Master!M315)</x:f>
      </x:c>
      <x:c r="M34" s="3" t="str">
        <x:f>IF(Master!N315="","",Master!N315)</x:f>
      </x:c>
      <x:c r="N34" s="3" t="str">
        <x:f>IF(Master!O315="","",Master!O315)</x:f>
      </x:c>
      <x:c r="O34" s="3" t="str">
        <x:f>IF(Master!P315="","",Master!P315)</x:f>
        <x:v>Admin/deployment dependent</x:v>
      </x:c>
      <x:c r="P34" s="3" t="str">
        <x:f>IF(Master!Q315="","",Master!Q315)</x:f>
      </x:c>
      <x:c r="Q34" s="3" t="str">
        <x:f>IF(Master!R315="","",Master!R315)</x:f>
      </x:c>
      <x:c r="R34" s="3" t="str">
        <x:f>IF(Master!S315="","",Master!S315)</x:f>
      </x:c>
      <x:c r="S34" s="3" t="str">
        <x:f>IF(Master!T315="","",Master!T315)</x:f>
      </x:c>
      <x:c r="T34" s="3" t="str">
        <x:f>IF(Master!U315="","",Master!U315)</x:f>
      </x:c>
      <x:c r="U34" s="3" t="str">
        <x:f>IF(Master!V315="","",Master!V315)</x:f>
      </x:c>
      <x:c r="V34" s="3" t="str">
        <x:f>IF(Master!W315="","",Master!W315)</x:f>
      </x:c>
      <x:c r="W34" s="3" t="str">
        <x:f>IF(Master!X315="","",Master!X315)</x:f>
      </x:c>
      <x:c r="X34" s="3" t="str">
        <x:f>IF(Master!Y315="","",Master!Y315)</x:f>
      </x:c>
      <x:c r="Y34" s="3" t="str">
        <x:f>IF(Master!Z315="","",Master!Z315)</x:f>
      </x:c>
      <x:c r="Z34" s="3" t="str">
        <x:f>IF(Master!AA315="","",Master!AA315)</x:f>
      </x:c>
      <x:c r="AA34" s="6" t="str">
        <x:f>IF(Master!AB315="","",Master!AB315)</x:f>
      </x:c>
      <x:c r="AB34" s="3" t="str">
        <x:f>IF(Master!AC315="","",Master!AC315)</x:f>
      </x:c>
      <x:c r="AC34" s="3" t="str">
        <x:f>IF(Master!AD315="","",Master!AD315)</x:f>
      </x:c>
      <x:c r="AD34" s="3" t="str">
        <x:f>IF(Master!AE315="","",Master!AE315)</x:f>
      </x:c>
      <x:c r="AE34" s="3" t="str">
        <x:f>IF(Master!AF315="","",Master!AF315)</x:f>
      </x:c>
      <x:c r="AF34" s="8" t="str">
        <x:f>IF(Master!AG315="","",Master!AG315)</x:f>
      </x:c>
    </x:row>
    <x:row r="35" ht="36" customHeight="1">
      <x:c r="A35" s="17" t="s">
        <x:v>577</x:v>
      </x:c>
      <x:c r="B35" s="3" t="str">
        <x:f>IF(Master!C316="","",Master!C316)</x:f>
        <x:v>No general native retention timer</x:v>
      </x:c>
      <x:c r="C35" s="3" t="str">
        <x:f>IF(Master!D316="","",Master!D316)</x:f>
      </x:c>
      <x:c r="D35" s="3" t="str">
        <x:f>IF(Master!E316="","",Master!E316)</x:f>
      </x:c>
      <x:c r="E35" s="3" t="str">
        <x:f>IF(Master!F316="","",Master!F316)</x:f>
      </x:c>
      <x:c r="F35" s="3" t="str">
        <x:f>IF(Master!G316="","",Master!G316)</x:f>
      </x:c>
      <x:c r="G35" s="3" t="str">
        <x:f>IF(Master!H316="","",Master!H316)</x:f>
      </x:c>
      <x:c r="H35" s="3" t="str">
        <x:f>IF(Master!I316="","",Master!I316)</x:f>
      </x:c>
      <x:c r="I35" s="3" t="str">
        <x:f>IF(Master!J316="","",Master!J316)</x:f>
      </x:c>
      <x:c r="J35" s="3" t="str">
        <x:f>IF(Master!K316="","",Master!K316)</x:f>
      </x:c>
      <x:c r="K35" s="3" t="str">
        <x:f>IF(Master!L316="","",Master!L316)</x:f>
        <x:v>Not documented</x:v>
      </x:c>
      <x:c r="L35" s="3" t="str">
        <x:f>IF(Master!M316="","",Master!M316)</x:f>
      </x:c>
      <x:c r="M35" s="3" t="str">
        <x:f>IF(Master!N316="","",Master!N316)</x:f>
      </x:c>
      <x:c r="N35" s="3" t="str">
        <x:f>IF(Master!O316="","",Master!O316)</x:f>
      </x:c>
      <x:c r="O35" s="3" t="str">
        <x:f>IF(Master!P316="","",Master!P316)</x:f>
        <x:v>Enterprise/deployment dependent</x:v>
      </x:c>
      <x:c r="P35" s="3" t="str">
        <x:f>IF(Master!Q316="","",Master!Q316)</x:f>
      </x:c>
      <x:c r="Q35" s="3" t="str">
        <x:f>IF(Master!R316="","",Master!R316)</x:f>
      </x:c>
      <x:c r="R35" s="3" t="str">
        <x:f>IF(Master!S316="","",Master!S316)</x:f>
      </x:c>
      <x:c r="S35" s="3" t="str">
        <x:f>IF(Master!T316="","",Master!T316)</x:f>
      </x:c>
      <x:c r="T35" s="3" t="str">
        <x:f>IF(Master!U316="","",Master!U316)</x:f>
        <x:v>Message retention controls available; exact granularity not stated</x:v>
      </x:c>
      <x:c r="U35" s="3" t="str">
        <x:f>IF(Master!V316="","",Master!V316)</x:f>
        <x:v>Yes: disappearing messages per channel</x:v>
      </x:c>
      <x:c r="V35" s="3" t="str">
        <x:f>IF(Master!W316="","",Master!W316)</x:f>
        <x:v>Deployment/settings dependent</x:v>
      </x:c>
      <x:c r="W35" s="3" t="str">
        <x:f>IF(Master!X316="","",Master!X316)</x:f>
      </x:c>
      <x:c r="X35" s="3" t="str">
        <x:f>IF(Master!Y316="","",Master!Y316)</x:f>
      </x:c>
      <x:c r="Y35" s="3" t="str">
        <x:f>IF(Master!Z316="","",Master!Z316)</x:f>
      </x:c>
      <x:c r="Z35" s="3" t="str">
        <x:f>IF(Master!AA316="","",Master!AA316)</x:f>
      </x:c>
      <x:c r="AA35" s="6" t="str">
        <x:f>IF(Master!AB316="","",Master!AB316)</x:f>
      </x:c>
      <x:c r="AB35" s="3" t="str">
        <x:f>IF(Master!AC316="","",Master!AC316)</x:f>
      </x:c>
      <x:c r="AC35" s="3" t="str">
        <x:f>IF(Master!AD316="","",Master!AD316)</x:f>
      </x:c>
      <x:c r="AD35" s="3" t="str">
        <x:f>IF(Master!AE316="","",Master!AE316)</x:f>
      </x:c>
      <x:c r="AE35" s="3" t="str">
        <x:f>IF(Master!AF316="","",Master!AF316)</x:f>
      </x:c>
      <x:c r="AF35" s="8" t="str">
        <x:f>IF(Master!AG316="","",Master!AG316)</x:f>
      </x:c>
    </x:row>
    <x:row r="36" ht="36" customHeight="1">
      <x:c r="A36" s="17" t="s">
        <x:v>578</x:v>
      </x:c>
      <x:c r="B36" s="3" t="str">
        <x:f>IF(Master!C317="","",Master!C317)</x:f>
      </x:c>
      <x:c r="C36" s="3" t="str">
        <x:f>IF(Master!D317="","",Master!D317)</x:f>
      </x:c>
      <x:c r="D36" s="3" t="str">
        <x:f>IF(Master!E317="","",Master!E317)</x:f>
      </x:c>
      <x:c r="E36" s="3" t="str">
        <x:f>IF(Master!F317="","",Master!F317)</x:f>
      </x:c>
      <x:c r="F36" s="3" t="str">
        <x:f>IF(Master!G317="","",Master!G317)</x:f>
      </x:c>
      <x:c r="G36" s="3" t="str">
        <x:f>IF(Master!H317="","",Master!H317)</x:f>
        <x:v>Yes / recommended</x:v>
      </x:c>
      <x:c r="H36" s="3" t="str">
        <x:f>IF(Master!I317="","",Master!I317)</x:f>
      </x:c>
      <x:c r="I36" s="3" t="str">
        <x:f>IF(Master!J317="","",Master!J317)</x:f>
      </x:c>
      <x:c r="J36" s="3" t="str">
        <x:f>IF(Master!K317="","",Master!K317)</x:f>
      </x:c>
      <x:c r="K36" s="3" t="str">
        <x:f>IF(Master!L317="","",Master!L317)</x:f>
        <x:v>Yes: Garage or external S3-compatible storage</x:v>
      </x:c>
      <x:c r="L36" s="3" t="str">
        <x:f>IF(Master!M317="","",Master!M317)</x:f>
      </x:c>
      <x:c r="M36" s="3" t="str">
        <x:f>IF(Master!N317="","",Master!N317)</x:f>
      </x:c>
      <x:c r="N36" s="3" t="str">
        <x:f>IF(Master!O317="","",Master!O317)</x:f>
      </x:c>
      <x:c r="O36" s="3" t="str">
        <x:f>IF(Master!P317="","",Master!P317)</x:f>
        <x:v>Yes / recommended</x:v>
      </x:c>
      <x:c r="P36" s="3" t="str">
        <x:f>IF(Master!Q317="","",Master!Q317)</x:f>
      </x:c>
      <x:c r="Q36" s="3" t="str">
        <x:f>IF(Master!R317="","",Master!R317)</x:f>
      </x:c>
      <x:c r="R36" s="3" t="str">
        <x:f>IF(Master!S317="","",Master!S317)</x:f>
      </x:c>
      <x:c r="S36" s="3" t="str">
        <x:f>IF(Master!T317="","",Master!T317)</x:f>
      </x:c>
      <x:c r="T36" s="3" t="str">
        <x:f>IF(Master!U317="","",Master!U317)</x:f>
      </x:c>
      <x:c r="U36" s="3" t="str">
        <x:f>IF(Master!V317="","",Master!V317)</x:f>
      </x:c>
      <x:c r="V36" s="3" t="str">
        <x:f>IF(Master!W317="","",Master!W317)</x:f>
        <x:v>Yes / recommended</x:v>
      </x:c>
      <x:c r="W36" s="3" t="str">
        <x:f>IF(Master!X317="","",Master!X317)</x:f>
      </x:c>
      <x:c r="X36" s="3" t="str">
        <x:f>IF(Master!Y317="","",Master!Y317)</x:f>
      </x:c>
      <x:c r="Y36" s="3" t="str">
        <x:f>IF(Master!Z317="","",Master!Z317)</x:f>
      </x:c>
      <x:c r="Z36" s="3" t="str">
        <x:f>IF(Master!AA317="","",Master!AA317)</x:f>
        <x:v>Yes / recommended</x:v>
      </x:c>
      <x:c r="AA36" s="6" t="str">
        <x:f>IF(Master!AB317="","",Master!AB317)</x:f>
      </x:c>
      <x:c r="AB36" s="3" t="str">
        <x:f>IF(Master!AC317="","",Master!AC317)</x:f>
      </x:c>
      <x:c r="AC36" s="3" t="str">
        <x:f>IF(Master!AD317="","",Master!AD317)</x:f>
      </x:c>
      <x:c r="AD36" s="3" t="str">
        <x:f>IF(Master!AE317="","",Master!AE317)</x:f>
      </x:c>
      <x:c r="AE36" s="3" t="str">
        <x:f>IF(Master!AF317="","",Master!AF317)</x:f>
      </x:c>
      <x:c r="AF36" s="8" t="str">
        <x:f>IF(Master!AG317="","",Master!AG317)</x:f>
      </x:c>
    </x:row>
  </x:sheetData>
  <x:mergeCells>
    <x:mergeCell ref="A1:AF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Directory'!A1","Platform Model &amp; Ecosystem"),"Platform Model &amp; Ecosystem")</x:f>
        <x:v>Platform Model &amp; Ecosystem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579</x:v>
      </x:c>
      <x:c r="B3" s="3" t="str">
        <x:f>IF(Master!C318="","",Master!C318)</x:f>
        <x:v>Discord</x:v>
      </x:c>
      <x:c r="C3" s="3" t="str">
        <x:f>IF(Master!D318="","",Master!D318)</x:f>
        <x:v>Armada</x:v>
      </x:c>
      <x:c r="D3" s="3" t="str">
        <x:f>IF(Master!E318="","",Master!E318)</x:f>
        <x:v>DCTS</x:v>
      </x:c>
      <x:c r="E3" s="3" t="str">
        <x:f>IF(Master!F318="","",Master!F318)</x:f>
        <x:v>Echon</x:v>
      </x:c>
      <x:c r="F3" s="3" t="str">
        <x:f>IF(Master!G318="","",Master!G318)</x:f>
        <x:v>Fenrid</x:v>
      </x:c>
      <x:c r="G3" s="3" t="str">
        <x:f>IF(Master!H318="","",Master!H318)</x:f>
        <x:v>Fluxer</x:v>
      </x:c>
      <x:c r="H3" s="3" t="str">
        <x:f>IF(Master!I318="","",Master!I318)</x:f>
        <x:v>GameVox</x:v>
      </x:c>
      <x:c r="I3" s="3" t="str">
        <x:f>IF(Master!J318="","",Master!J318)</x:f>
        <x:v>Harmony</x:v>
      </x:c>
      <x:c r="J3" s="3" t="str">
        <x:f>IF(Master!K318="","",Master!K318)</x:f>
        <x:v>Hollow</x:v>
      </x:c>
      <x:c r="K3" s="3" t="str">
        <x:f>IF(Master!L318="","",Master!L318)</x:f>
        <x:v>Federated self-hosted Discord-style chat platform</x:v>
      </x:c>
      <x:c r="L3" s="3" t="str">
        <x:f>IF(Master!M318="","",Master!M318)</x:f>
        <x:v>Kloak</x:v>
      </x:c>
      <x:c r="M3" s="3" t="str">
        <x:f>IF(Master!N318="","",Master!N318)</x:f>
        <x:v>Loqa</x:v>
      </x:c>
      <x:c r="N3" s="3" t="str">
        <x:f>IF(Master!O318="","",Master!O318)</x:f>
        <x:v>Matrix</x:v>
      </x:c>
      <x:c r="O3" s="3" t="str">
        <x:f>IF(Master!P318="","",Master!P318)</x:f>
        <x:v>Mattermost</x:v>
      </x:c>
      <x:c r="P3" s="3" t="str">
        <x:f>IF(Master!Q318="","",Master!Q318)</x:f>
        <x:v>Mezon</x:v>
      </x:c>
      <x:c r="Q3" s="3" t="str">
        <x:f>IF(Master!R318="","",Master!R318)</x:f>
        <x:v>Mumble</x:v>
      </x:c>
      <x:c r="R3" s="3" t="str">
        <x:f>IF(Master!S318="","",Master!S318)</x:f>
        <x:v>Nerimity</x:v>
      </x:c>
      <x:c r="S3" s="3" t="str">
        <x:f>IF(Master!T318="","",Master!T318)</x:f>
        <x:v>Osmium</x:v>
      </x:c>
      <x:c r="T3" s="3" t="str">
        <x:f>IF(Master!U318="","",Master!U318)</x:f>
        <x:v>pqp.gg</x:v>
      </x:c>
      <x:c r="U3" s="3" t="str">
        <x:f>IF(Master!V318="","",Master!V318)</x:f>
        <x:v>Rift</x:v>
      </x:c>
      <x:c r="V3" s="3" t="str">
        <x:f>IF(Master!W318="","",Master!W318)</x:f>
        <x:v>Rocket.Chat</x:v>
      </x:c>
      <x:c r="W3" s="3" t="str">
        <x:f>IF(Master!X318="","",Master!X318)</x:f>
        <x:v>Roomy</x:v>
      </x:c>
      <x:c r="X3" s="3" t="str">
        <x:f>IF(Master!Y318="","",Master!Y318)</x:f>
        <x:v>Root</x:v>
      </x:c>
      <x:c r="Y3" s="3" t="str">
        <x:f>IF(Master!Z318="","",Master!Z318)</x:f>
        <x:v>Spacebar</x:v>
      </x:c>
      <x:c r="Z3" s="3" t="str">
        <x:f>IF(Master!AA318="","",Master!AA318)</x:f>
        <x:v>Stoat (formerly Revolt)</x:v>
      </x:c>
      <x:c r="AA3" s="6" t="str">
        <x:f>IF(Master!AB318="","",Master!AB318)</x:f>
        <x:v>TeamSpeak</x:v>
      </x:c>
      <x:c r="AB3" s="3" t="str">
        <x:f>IF(Master!AC318="","",Master!AC318)</x:f>
        <x:v>Valour</x:v>
      </x:c>
      <x:c r="AC3" s="3" t="str">
        <x:f>IF(Master!AD318="","",Master!AD318)</x:f>
        <x:v>Venta</x:v>
      </x:c>
      <x:c r="AD3" s="3" t="str">
        <x:f>IF(Master!AE318="","",Master!AE318)</x:f>
        <x:v>Weered</x:v>
      </x:c>
      <x:c r="AE3" s="3" t="str">
        <x:f>IF(Master!AF318="","",Master!AF318)</x:f>
        <x:v>Yapper</x:v>
      </x:c>
      <x:c r="AF3" s="8" t="str">
        <x:f>IF(Master!AG318="","",Master!AG318)</x:f>
        <x:v>Zulip</x:v>
      </x:c>
    </x:row>
    <x:row r="4" ht="36" customHeight="1">
      <x:c r="A4" s="17" t="s">
        <x:v>112</x:v>
      </x:c>
      <x:c r="B4" s="3" t="str">
        <x:f>IF(Master!C319="","",Master!C319)</x:f>
        <x:v>Centralized proprietary communication service</x:v>
      </x:c>
      <x:c r="C4" s="3" t="str">
        <x:f>IF(Master!D319="","",Master!D319)</x:f>
        <x:v>Serverless/federated-style E2EE community client built on Nostr</x:v>
      </x:c>
      <x:c r="D4" s="3" t="str">
        <x:f>IF(Master!E319="","",Master!E319)</x:f>
        <x:v>Self-hosted-only decentralized chat software + key-based messenger</x:v>
      </x:c>
      <x:c r="E4" s="3" t="str">
        <x:f>IF(Master!F319="","",Master!F319)</x:f>
        <x:v>Centralized Discord-like voice/chat service</x:v>
      </x:c>
      <x:c r="F4" s="3" t="str">
        <x:f>IF(Master!G319="","",Master!G319)</x:f>
        <x:v>Centralized hosted community platform</x:v>
      </x:c>
      <x:c r="G4" s="3" t="str">
        <x:f>IF(Master!H319="","",Master!H319)</x:f>
        <x:v>Hosted + self-hostable Discord-like service</x:v>
      </x:c>
      <x:c r="H4" s="3" t="str">
        <x:f>IF(Master!I319="","",Master!I319)</x:f>
        <x:v>Hosted + self-hostable gaming community platform</x:v>
      </x:c>
      <x:c r="I4" s="3" t="str">
        <x:f>IF(Master!J319="","",Master!J319)</x:f>
        <x:v>Hosted + self-hostable open-source community/chat platform</x:v>
      </x:c>
      <x:c r="J4" s="3" t="str">
        <x:f>IF(Master!K319="","",Master!K319)</x:f>
        <x:v>Local-first distributed encrypted messenger/community app</x:v>
      </x:c>
      <x:c r="K4" s="3" t="str">
        <x:f>IF(Master!L319="","",Master!L319)</x:f>
        <x:v>Federated self-hosted chat application</x:v>
      </x:c>
      <x:c r="L4" s="3" t="str">
        <x:f>IF(Master!M319="","",Master!M319)</x:f>
        <x:v>Centralized privacy-focused community platform</x:v>
      </x:c>
      <x:c r="M4" s="3" t="str">
        <x:f>IF(Master!N319="","",Master!N319)</x:f>
        <x:v>Discord-like hosted/self-host/federation-oriented community platform</x:v>
      </x:c>
      <x:c r="N4" s="3" t="str">
        <x:f>IF(Master!O319="","",Master!O319)</x:f>
        <x:v>Open federated communication protocol/ecosystem</x:v>
      </x:c>
      <x:c r="O4" s="3" t="str">
        <x:f>IF(Master!P319="","",Master!P319)</x:f>
        <x:v>Enterprise collaboration application; cloud or self-host</x:v>
      </x:c>
      <x:c r="P4" s="3" t="str">
        <x:f>IF(Master!Q319="","",Master!Q319)</x:f>
        <x:v>Hosted all-in-one community/work platform</x:v>
      </x:c>
      <x:c r="Q4" s="3" t="str">
        <x:f>IF(Master!R319="","",Master!R319)</x:f>
        <x:v>Self-hosted low-latency voice protocol/application</x:v>
      </x:c>
      <x:c r="R4" s="3" t="str">
        <x:f>IF(Master!S319="","",Master!S319)</x:f>
        <x:v>Open-source centralized community chat application</x:v>
      </x:c>
      <x:c r="S4" s="3" t="str">
        <x:f>IF(Master!T319="","",Master!T319)</x:f>
        <x:v>Centralized distributed-region community platform</x:v>
      </x:c>
      <x:c r="T4" s="3" t="str">
        <x:f>IF(Master!U319="","",Master!U319)</x:f>
        <x:v>Centralized hosted service + self-hostable AGPL community chat</x:v>
      </x:c>
      <x:c r="U4" s="3" t="str">
        <x:f>IF(Master!V319="","",Master!V319)</x:f>
        <x:v>Centralized proprietary community/chat platform</x:v>
      </x:c>
      <x:c r="V4" s="3" t="str">
        <x:f>IF(Master!W319="","",Master!W319)</x:f>
        <x:v>Collaboration platform; cloud/self-host with optional federation</x:v>
      </x:c>
      <x:c r="W4" s="3" t="str">
        <x:f>IF(Master!X319="","",Master!X319)</x:f>
        <x:v>ATProto-based group chat/community app</x:v>
      </x:c>
      <x:c r="X4" s="3" t="str">
        <x:f>IF(Master!Y319="","",Master!Y319)</x:f>
        <x:v>Centralized proprietary community platform</x:v>
      </x:c>
      <x:c r="Y4" s="3" t="str">
        <x:f>IF(Master!Z319="","",Master!Z319)</x:f>
        <x:v>Self-hosted Discord-compatible service implementation</x:v>
      </x:c>
      <x:c r="Z4" s="3" t="str">
        <x:f>IF(Master!AA319="","",Master!AA319)</x:f>
        <x:v>Hosted + self-hostable Discord-like service</x:v>
      </x:c>
      <x:c r="AA4" s="6" t="str">
        <x:f>IF(Master!AB319="","",Master!AB319)</x:f>
        <x:v>Commercial self-hosted/hosted voice communication platform</x:v>
      </x:c>
      <x:c r="AB4" s="3" t="str">
        <x:f>IF(Master!AC319="","",Master!AC319)</x:f>
        <x:v>Open-source community platform with hosted + self-host nodes</x:v>
      </x:c>
      <x:c r="AC4" s="3" t="str">
        <x:f>IF(Master!AD319="","",Master!AD319)</x:f>
        <x:v>Discord-like platform moving from centralized to open-source/self-host/federated</x:v>
      </x:c>
      <x:c r="AD4" s="3" t="str">
        <x:f>IF(Master!AE319="","",Master!AE319)</x:f>
        <x:v>Centralized lobby-first gaming social platform</x:v>
      </x:c>
      <x:c r="AE4" s="3" t="str">
        <x:f>IF(Master!AF319="","",Master!AF319)</x:f>
        <x:v>Self-hosted voice/chat collaboration platform</x:v>
      </x:c>
      <x:c r="AF4" s="8" t="str">
        <x:f>IF(Master!AG319="","",Master!AG319)</x:f>
        <x:v>Hosted + self-hosted team chat application</x:v>
      </x:c>
    </x:row>
    <x:row r="5" ht="36" customHeight="1">
      <x:c r="A5" s="17" t="s">
        <x:v>113</x:v>
      </x:c>
      <x:c r="B5" s="3" t="str">
        <x:f>IF(Master!C320="","",Master!C320)</x:f>
        <x:v>Discord official web/desktop/mobile clients</x:v>
      </x:c>
      <x:c r="C5" s="3" t="str">
        <x:f>IF(Master!D320="","",Master!D320)</x:f>
        <x:v>Armada client</x:v>
      </x:c>
      <x:c r="D5" s="3" t="str">
        <x:f>IF(Master!E320="","",Master!E320)</x:f>
        <x:v>DCTS web/desktop/Android clients</x:v>
      </x:c>
      <x:c r="E5" s="3" t="str">
        <x:f>IF(Master!F320="","",Master!F320)</x:f>
        <x:v>Echon web/native clients</x:v>
      </x:c>
      <x:c r="F5" s="3" t="str">
        <x:f>IF(Master!G320="","",Master!G320)</x:f>
        <x:v>Fenrid web/PWA alpha</x:v>
      </x:c>
      <x:c r="G5" s="3" t="str">
        <x:f>IF(Master!H320="","",Master!H320)</x:f>
        <x:v>Fluxer Web/PWA, Electron desktop, Flutter mobile beta</x:v>
      </x:c>
      <x:c r="H5" s="3" t="str">
        <x:f>IF(Master!I320="","",Master!I320)</x:f>
        <x:v>GameVox native/web clients</x:v>
      </x:c>
      <x:c r="I5" s="3" t="str">
        <x:f>IF(Master!J320="","",Master!J320)</x:f>
        <x:v>Fermi is the current primary client</x:v>
      </x:c>
      <x:c r="J5" s="3" t="str">
        <x:f>IF(Master!K320="","",Master!K320)</x:f>
        <x:v>Hollow native client</x:v>
      </x:c>
      <x:c r="K5" s="3" t="str">
        <x:f>IF(Master!L320="","",Master!L320)</x:f>
        <x:v>Web (SvelteKit), Tauri desktop, Flutter mobile</x:v>
      </x:c>
      <x:c r="L5" s="3" t="str">
        <x:f>IF(Master!M320="","",Master!M320)</x:f>
        <x:v>Kloak web/client</x:v>
      </x:c>
      <x:c r="M5" s="3" t="str">
        <x:f>IF(Master!N320="","",Master!N320)</x:f>
        <x:v>Loqa web client</x:v>
      </x:c>
      <x:c r="N5" s="3" t="str">
        <x:f>IF(Master!O320="","",Master!O320)</x:f>
        <x:v>No single official client. Element/Element X are example clients, not Matrix itself.</x:v>
      </x:c>
      <x:c r="O5" s="3" t="str">
        <x:f>IF(Master!P320="","",Master!P320)</x:f>
        <x:v>Mattermost web/desktop/mobile</x:v>
      </x:c>
      <x:c r="P5" s="3" t="str">
        <x:f>IF(Master!Q320="","",Master!Q320)</x:f>
        <x:v>Mezon web/desktop/mobile</x:v>
      </x:c>
      <x:c r="Q5" s="3" t="str">
        <x:f>IF(Master!R320="","",Master!R320)</x:f>
        <x:v>Mumble desktop client</x:v>
      </x:c>
      <x:c r="R5" s="3" t="str">
        <x:f>IF(Master!S320="","",Master!S320)</x:f>
        <x:v>Nerimity Web/Desktop/Android</x:v>
      </x:c>
      <x:c r="S5" s="3" t="str">
        <x:f>IF(Master!T320="","",Master!T320)</x:f>
        <x:v>Osmium web/desktop/mobile</x:v>
      </x:c>
      <x:c r="T5" s="3" t="str">
        <x:f>IF(Master!U320="","",Master!U320)</x:f>
        <x:v>Web React/Vite; desktop Electron; iOS TestFlight; Android APK</x:v>
      </x:c>
      <x:c r="U5" s="3" t="str">
        <x:f>IF(Master!V320="","",Master!V320)</x:f>
        <x:v>Rift client/web/mobile</x:v>
      </x:c>
      <x:c r="V5" s="3" t="str">
        <x:f>IF(Master!W320="","",Master!W320)</x:f>
        <x:v>Rocket.Chat web/desktop/mobile</x:v>
      </x:c>
      <x:c r="W5" s="3" t="str">
        <x:f>IF(Master!X320="","",Master!X320)</x:f>
        <x:v>Roomy web app</x:v>
      </x:c>
      <x:c r="X5" s="3" t="str">
        <x:f>IF(Master!Y320="","",Master!Y320)</x:f>
        <x:v>Root desktop/mobile/web surfaces</x:v>
      </x:c>
      <x:c r="Y5" s="3" t="str">
        <x:f>IF(Master!Z320="","",Master!Z320)</x:f>
        <x:v>Spacebar-aware client(s); compatibility with Discord-style clients is a project goal</x:v>
      </x:c>
      <x:c r="Z5" s="3" t="str">
        <x:f>IF(Master!AA320="","",Master!AA320)</x:f>
        <x:v>Stoat Web/PWA, Desktop, Android; iOS project</x:v>
      </x:c>
      <x:c r="AA5" s="6" t="str">
        <x:f>IF(Master!AB320="","",Master!AB320)</x:f>
        <x:v>TeamSpeak official clients</x:v>
      </x:c>
      <x:c r="AB5" s="3" t="str">
        <x:f>IF(Master!AC320="","",Master!AC320)</x:f>
        <x:v>Valour web/Windows/Android</x:v>
      </x:c>
      <x:c r="AC5" s="3" t="str">
        <x:f>IF(Master!AD320="","",Master!AD320)</x:f>
        <x:v>Venta client</x:v>
      </x:c>
      <x:c r="AD5" s="3" t="str">
        <x:f>IF(Master!AE320="","",Master!AE320)</x:f>
        <x:v>Weered web/Tauri client</x:v>
      </x:c>
      <x:c r="AE5" s="3" t="str">
        <x:f>IF(Master!AF320="","",Master!AF320)</x:f>
        <x:v>Yapper browser/client</x:v>
      </x:c>
      <x:c r="AF5" s="8" t="str">
        <x:f>IF(Master!AG320="","",Master!AG320)</x:f>
        <x:v>Zulip web/desktop/mobile</x:v>
      </x:c>
    </x:row>
    <x:row r="6" ht="36" customHeight="1">
      <x:c r="A6" s="17" t="s">
        <x:v>580</x:v>
      </x:c>
      <x:c r="B6" s="3" t="str">
        <x:f>IF(Master!C321="","",Master!C321)</x:f>
        <x:v>Third-party clients generally not supported</x:v>
      </x:c>
      <x:c r="C6" s="3" t="str">
        <x:f>IF(Master!D321="","",Master!D321)</x:f>
        <x:v>Other Nostr clients do not automatically implement Armada/Concord semantics</x:v>
      </x:c>
      <x:c r="D6" s="3" t="str">
        <x:f>IF(Master!E321="","",Master!E321)</x:f>
        <x:v>Open source allows custom clients</x:v>
      </x:c>
      <x:c r="E6" s="3" t="str">
        <x:f>IF(Master!F321="","",Master!F321)</x:f>
        <x:v>No third-party clients verified</x:v>
      </x:c>
      <x:c r="F6" s="3" t="str">
        <x:f>IF(Master!G321="","",Master!G321)</x:f>
        <x:v>No established third-party client ecosystem</x:v>
      </x:c>
      <x:c r="G6" s="3" t="str">
        <x:f>IF(Master!H321="","",Master!H321)</x:f>
        <x:v>No mature third-party client ecosystem verified</x:v>
      </x:c>
      <x:c r="H6" s="3" t="str">
        <x:f>IF(Master!I321="","",Master!I321)</x:f>
        <x:v>No interchangeable third-party client ecosystem verified</x:v>
      </x:c>
      <x:c r="I6" s="3" t="str">
        <x:f>IF(Master!J321="","",Master!J321)</x:f>
        <x:v>Anyone can build clients against Harmony API</x:v>
      </x:c>
      <x:c r="J6" s="3" t="str">
        <x:f>IF(Master!K321="","",Master!K321)</x:f>
      </x:c>
      <x:c r="K6" s="3" t="str">
        <x:f>IF(Master!L321="","",Master!L321)</x:f>
      </x:c>
      <x:c r="L6" s="3" t="str">
        <x:f>IF(Master!M321="","",Master!M321)</x:f>
        <x:v>No third-party clients verified</x:v>
      </x:c>
      <x:c r="M6" s="3" t="str">
        <x:f>IF(Master!N321="","",Master!N321)</x:f>
      </x:c>
      <x:c r="N6" s="3" t="str">
        <x:f>IF(Master!O321="","",Master!O321)</x:f>
        <x:v>Cinny, FluffyChat, Nheko, Fractal, Commet and many others</x:v>
      </x:c>
      <x:c r="O6" s="3" t="str">
        <x:f>IF(Master!P321="","",Master!P321)</x:f>
        <x:v>Custom clients/integrations possible; not interchangeable protocol clients</x:v>
      </x:c>
      <x:c r="P6" s="3" t="str">
        <x:f>IF(Master!Q321="","",Master!Q321)</x:f>
      </x:c>
      <x:c r="Q6" s="3" t="str">
        <x:f>IF(Master!R321="","",Master!R321)</x:f>
        <x:v>Third-party mobile clients</x:v>
      </x:c>
      <x:c r="R6" s="3" t="str">
        <x:f>IF(Master!S321="","",Master!S321)</x:f>
        <x:v>Forks/custom clients possible via open API/code</x:v>
      </x:c>
      <x:c r="S6" s="3" t="str">
        <x:f>IF(Master!T321="","",Master!T321)</x:f>
        <x:v>No interchangeable client ecosystem verified</x:v>
      </x:c>
      <x:c r="T6" s="3" t="str">
        <x:f>IF(Master!U321="","",Master!U321)</x:f>
        <x:v>Open source but no third-party client protocol ecosystem verified</x:v>
      </x:c>
      <x:c r="U6" s="3" t="str">
        <x:f>IF(Master!V321="","",Master!V321)</x:f>
        <x:v>No third-party client ecosystem</x:v>
      </x:c>
      <x:c r="V6" s="3" t="str">
        <x:f>IF(Master!W321="","",Master!W321)</x:f>
        <x:v>API/custom clients possible</x:v>
      </x:c>
      <x:c r="W6" s="3" t="str">
        <x:f>IF(Master!X321="","",Master!X321)</x:f>
      </x:c>
      <x:c r="X6" s="3" t="str">
        <x:f>IF(Master!Y321="","",Master!Y321)</x:f>
        <x:v>No third-party client ecosystem</x:v>
      </x:c>
      <x:c r="Y6" s="3" t="str">
        <x:f>IF(Master!Z321="","",Master!Z321)</x:f>
        <x:v>Potential compatible/community clients</x:v>
      </x:c>
      <x:c r="Z6" s="3" t="str">
        <x:f>IF(Master!AA321="","",Master!AA321)</x:f>
        <x:v>Community clients exist</x:v>
      </x:c>
      <x:c r="AA6" s="6" t="str">
        <x:f>IF(Master!AB321="","",Master!AB321)</x:f>
        <x:v>Third-party client support limited by proprietary ecosystem</x:v>
      </x:c>
      <x:c r="AB6" s="3" t="str">
        <x:f>IF(Master!AC321="","",Master!AC321)</x:f>
        <x:v>Open API; independent clients possible</x:v>
      </x:c>
      <x:c r="AC6" s="3" t="str">
        <x:f>IF(Master!AD321="","",Master!AD321)</x:f>
      </x:c>
      <x:c r="AD6" s="3" t="str">
        <x:f>IF(Master!AE321="","",Master!AE321)</x:f>
        <x:v>No third-party clients verified</x:v>
      </x:c>
      <x:c r="AE6" s="3" t="str">
        <x:f>IF(Master!AF321="","",Master!AF321)</x:f>
        <x:v>No third-party clients verified</x:v>
      </x:c>
      <x:c r="AF6" s="8" t="str">
        <x:f>IF(Master!AG321="","",Master!AG321)</x:f>
        <x:v>API clients/bots; not interchangeable end-user clients in Matrix sense</x:v>
      </x:c>
    </x:row>
    <x:row r="7" ht="36" customHeight="1">
      <x:c r="A7" s="17" t="s">
        <x:v>114</x:v>
      </x:c>
      <x:c r="B7" s="3" t="str">
        <x:f>IF(Master!C322="","",Master!C322)</x:f>
        <x:v>No</x:v>
      </x:c>
      <x:c r="C7" s="3" t="str">
        <x:f>IF(Master!D322="","",Master!D322)</x:f>
        <x:v>Partial</x:v>
      </x:c>
      <x:c r="D7" s="3" t="str">
        <x:f>IF(Master!E322="","",Master!E322)</x:f>
        <x:v>Yes for messenger/home server identity</x:v>
      </x:c>
      <x:c r="E7" s="3" t="str">
        <x:f>IF(Master!F322="","",Master!F322)</x:f>
        <x:v>No</x:v>
      </x:c>
      <x:c r="F7" s="3" t="str">
        <x:f>IF(Master!G322="","",Master!G322)</x:f>
        <x:v>No</x:v>
      </x:c>
      <x:c r="G7" s="3" t="str">
        <x:f>IF(Master!H322="","",Master!H322)</x:f>
        <x:v>Limited</x:v>
      </x:c>
      <x:c r="H7" s="3" t="str">
        <x:f>IF(Master!I322="","",Master!I322)</x:f>
        <x:v>No</x:v>
      </x:c>
      <x:c r="I7" s="3" t="str">
        <x:f>IF(Master!J322="","",Master!J322)</x:f>
        <x:v>Yes in principle</x:v>
      </x:c>
      <x:c r="J7" s="3" t="str">
        <x:f>IF(Master!K322="","",Master!K322)</x:f>
        <x:v>Identity portable across relays</x:v>
      </x:c>
      <x:c r="K7" s="3" t="str">
        <x:f>IF(Master!L322="","",Master!L322)</x:f>
        <x:v>Possible through documented APIs/protocol; no established third-party client ecosystem yet</x:v>
      </x:c>
      <x:c r="L7" s="3" t="str">
        <x:f>IF(Master!M322="","",Master!M322)</x:f>
        <x:v>No</x:v>
      </x:c>
      <x:c r="M7" s="3" t="str">
        <x:f>IF(Master!N322="","",Master!N322)</x:f>
      </x:c>
      <x:c r="N7" s="3" t="str">
        <x:f>IF(Master!O322="","",Master!O322)</x:f>
        <x:v>Yes: core architectural feature</x:v>
      </x:c>
      <x:c r="O7" s="3" t="str">
        <x:f>IF(Master!P322="","",Master!P322)</x:f>
        <x:v>Limited</x:v>
      </x:c>
      <x:c r="P7" s="3" t="str">
        <x:f>IF(Master!Q322="","",Master!Q322)</x:f>
      </x:c>
      <x:c r="Q7" s="3" t="str">
        <x:f>IF(Master!R322="","",Master!R322)</x:f>
        <x:v>Yes within Mumble protocol compatibility</x:v>
      </x:c>
      <x:c r="R7" s="3" t="str">
        <x:f>IF(Master!S322="","",Master!S322)</x:f>
        <x:v>Limited</x:v>
      </x:c>
      <x:c r="S7" s="3" t="str">
        <x:f>IF(Master!T322="","",Master!T322)</x:f>
        <x:v>No</x:v>
      </x:c>
      <x:c r="T7" s="3" t="str">
        <x:f>IF(Master!U322="","",Master!U322)</x:f>
        <x:v>Limited</x:v>
      </x:c>
      <x:c r="U7" s="3" t="str">
        <x:f>IF(Master!V322="","",Master!V322)</x:f>
        <x:v>No</x:v>
      </x:c>
      <x:c r="V7" s="3" t="str">
        <x:f>IF(Master!W322="","",Master!W322)</x:f>
        <x:v>Limited</x:v>
      </x:c>
      <x:c r="W7" s="3" t="str">
        <x:f>IF(Master!X322="","",Master!X322)</x:f>
        <x:v>Partial</x:v>
      </x:c>
      <x:c r="X7" s="3" t="str">
        <x:f>IF(Master!Y322="","",Master!Y322)</x:f>
        <x:v>No</x:v>
      </x:c>
      <x:c r="Y7" s="3" t="str">
        <x:f>IF(Master!Z322="","",Master!Z322)</x:f>
        <x:v>Potentially, within compatibility limits</x:v>
      </x:c>
      <x:c r="Z7" s="3" t="str">
        <x:f>IF(Master!AA322="","",Master!AA322)</x:f>
        <x:v>Limited: official clients do not all support arbitrary self-hosted instances</x:v>
      </x:c>
      <x:c r="AA7" s="6" t="str">
        <x:f>IF(Master!AB322="","",Master!AB322)</x:f>
        <x:v>Limited</x:v>
      </x:c>
      <x:c r="AB7" s="3" t="str">
        <x:f>IF(Master!AC322="","",Master!AC322)</x:f>
        <x:v>Partial</x:v>
      </x:c>
      <x:c r="AC7" s="3" t="str">
        <x:f>IF(Master!AD322="","",Master!AD322)</x:f>
      </x:c>
      <x:c r="AD7" s="3" t="str">
        <x:f>IF(Master!AE322="","",Master!AE322)</x:f>
        <x:v>No</x:v>
      </x:c>
      <x:c r="AE7" s="3" t="str">
        <x:f>IF(Master!AF322="","",Master!AF322)</x:f>
        <x:v>No</x:v>
      </x:c>
      <x:c r="AF7" s="8" t="str">
        <x:f>IF(Master!AG322="","",Master!AG322)</x:f>
        <x:v>Limited</x:v>
      </x:c>
    </x:row>
    <x:row r="8" ht="36" customHeight="1">
      <x:c r="A8" s="17" t="s">
        <x:v>581</x:v>
      </x:c>
      <x:c r="B8" s="3" t="str">
        <x:f>IF(Master!C323="","",Master!C323)</x:f>
        <x:v>Discord</x:v>
      </x:c>
      <x:c r="C8" s="3" t="str">
        <x:f>IF(Master!D323="","",Master!D323)</x:f>
        <x:v>Nostr keypair</x:v>
      </x:c>
      <x:c r="D8" s="3" t="str">
        <x:f>IF(Master!E323="","",Master!E323)</x:f>
        <x:v>Chosen DCTS instance or key-based messenger</x:v>
      </x:c>
      <x:c r="E8" s="3" t="str">
        <x:f>IF(Master!F323="","",Master!F323)</x:f>
        <x:v>Echon</x:v>
      </x:c>
      <x:c r="F8" s="3" t="str">
        <x:f>IF(Master!G323="","",Master!G323)</x:f>
        <x:v>Fenrid</x:v>
      </x:c>
      <x:c r="G8" s="3" t="str">
        <x:f>IF(Master!H323="","",Master!H323)</x:f>
        <x:v>Fluxer hosted or self-host operator</x:v>
      </x:c>
      <x:c r="H8" s="3" t="str">
        <x:f>IF(Master!I323="","",Master!I323)</x:f>
        <x:v>GameVox account / self-host server</x:v>
      </x:c>
      <x:c r="I8" s="3" t="str">
        <x:f>IF(Master!J323="","",Master!J323)</x:f>
        <x:v>Per-instance</x:v>
      </x:c>
      <x:c r="J8" s="3" t="str">
        <x:f>IF(Master!K323="","",Master!K323)</x:f>
        <x:v>User Ed25519 keypair</x:v>
      </x:c>
      <x:c r="K8" s="3" t="str">
        <x:f>IF(Master!L323="","",Master!L323)</x:f>
        <x:v>Chosen home instance; identity is username@domain</x:v>
      </x:c>
      <x:c r="L8" s="3" t="str">
        <x:f>IF(Master!M323="","",Master!M323)</x:f>
        <x:v>Kloak</x:v>
      </x:c>
      <x:c r="M8" s="3" t="str">
        <x:f>IF(Master!N323="","",Master!N323)</x:f>
      </x:c>
      <x:c r="N8" s="3" t="str">
        <x:f>IF(Master!O323="","",Master!O323)</x:f>
        <x:v>Chosen Matrix homeserver/provider</x:v>
      </x:c>
      <x:c r="O8" s="3" t="str">
        <x:f>IF(Master!P323="","",Master!P323)</x:f>
        <x:v>Mattermost Cloud or chosen self-host server</x:v>
      </x:c>
      <x:c r="P8" s="3" t="str">
        <x:f>IF(Master!Q323="","",Master!Q323)</x:f>
        <x:v>Mezon account</x:v>
      </x:c>
      <x:c r="Q8" s="3" t="str">
        <x:f>IF(Master!R323="","",Master!R323)</x:f>
        <x:v>Chosen Mumble server</x:v>
      </x:c>
      <x:c r="R8" s="3" t="str">
        <x:f>IF(Master!S323="","",Master!S323)</x:f>
        <x:v>Nerimity hosted service</x:v>
      </x:c>
      <x:c r="S8" s="3" t="str">
        <x:f>IF(Master!T323="","",Master!T323)</x:f>
        <x:v>Osmium</x:v>
      </x:c>
      <x:c r="T8" s="3" t="str">
        <x:f>IF(Master!U323="","",Master!U323)</x:f>
        <x:v>Clerk on the hosted service; self-host operator controls deployment</x:v>
      </x:c>
      <x:c r="U8" s="3" t="str">
        <x:f>IF(Master!V323="","",Master!V323)</x:f>
        <x:v>Rift</x:v>
      </x:c>
      <x:c r="V8" s="3" t="str">
        <x:f>IF(Master!W323="","",Master!W323)</x:f>
        <x:v>Rocket.Chat Cloud or chosen server</x:v>
      </x:c>
      <x:c r="W8" s="3" t="str">
        <x:f>IF(Master!X323="","",Master!X323)</x:f>
        <x:v>Bluesky/ATProto identity</x:v>
      </x:c>
      <x:c r="X8" s="3" t="str">
        <x:f>IF(Master!Y323="","",Master!Y323)</x:f>
        <x:v>Root</x:v>
      </x:c>
      <x:c r="Y8" s="3" t="str">
        <x:f>IF(Master!Z323="","",Master!Z323)</x:f>
        <x:v>Each Spacebar instance operator</x:v>
      </x:c>
      <x:c r="Z8" s="3" t="str">
        <x:f>IF(Master!AA323="","",Master!AA323)</x:f>
        <x:v>Hosted Stoat or self-host operator</x:v>
      </x:c>
      <x:c r="AA8" s="6" t="str">
        <x:f>IF(Master!AB323="","",Master!AB323)</x:f>
        <x:v>Chosen TeamSpeak server / provider</x:v>
      </x:c>
      <x:c r="AB8" s="3" t="str">
        <x:f>IF(Master!AC323="","",Master!AC323)</x:f>
        <x:v>Valour account</x:v>
      </x:c>
      <x:c r="AC8" s="3" t="str">
        <x:f>IF(Master!AD323="","",Master!AD323)</x:f>
        <x:v>Venta identity intended to span federated servers</x:v>
      </x:c>
      <x:c r="AD8" s="3" t="str">
        <x:f>IF(Master!AE323="","",Master!AE323)</x:f>
        <x:v>Weered</x:v>
      </x:c>
      <x:c r="AE8" s="3" t="str">
        <x:f>IF(Master!AF323="","",Master!AF323)</x:f>
        <x:v>Yapper account/license + chosen server</x:v>
      </x:c>
      <x:c r="AF8" s="8" t="str">
        <x:f>IF(Master!AG323="","",Master!AG323)</x:f>
        <x:v>Zulip Cloud or chosen self-host server</x:v>
      </x:c>
    </x:row>
    <x:row r="9" ht="36" customHeight="1">
      <x:c r="A9" s="17" t="s">
        <x:v>582</x:v>
      </x:c>
      <x:c r="B9" s="3" t="str">
        <x:f>IF(Master!C324="","",Master!C324)</x:f>
        <x:v>Discord proprietary backend</x:v>
      </x:c>
      <x:c r="C9" s="3" t="str">
        <x:f>IF(Master!D324="","",Master!D324)</x:f>
        <x:v>Nostr relays / Concord</x:v>
      </x:c>
      <x:c r="D9" s="3" t="str">
        <x:f>IF(Master!E324="","",Master!E324)</x:f>
        <x:v>DCTS server</x:v>
      </x:c>
      <x:c r="E9" s="3" t="str">
        <x:f>IF(Master!F324="","",Master!F324)</x:f>
        <x:v>Private Rust backend</x:v>
      </x:c>
      <x:c r="F9" s="3" t="str">
        <x:f>IF(Master!G324="","",Master!G324)</x:f>
        <x:v>Private hosted backend</x:v>
      </x:c>
      <x:c r="G9" s="3" t="str">
        <x:f>IF(Master!H324="","",Master!H324)</x:f>
        <x:v>Fluxer open-source backend/services</x:v>
      </x:c>
      <x:c r="H9" s="3" t="str">
        <x:f>IF(Master!I324="","",Master!I324)</x:f>
        <x:v>Proprietary GameVox server</x:v>
      </x:c>
      <x:c r="I9" s="3" t="str">
        <x:f>IF(Master!J324="","",Master!J324)</x:f>
        <x:v>Harmony server</x:v>
      </x:c>
      <x:c r="J9" s="3" t="str">
        <x:f>IF(Master!K324="","",Master!K324)</x:f>
        <x:v>Stateless/ephemeral relay servers</x:v>
      </x:c>
      <x:c r="K9" s="3" t="str">
        <x:f>IF(Master!L324="","",Master!L324)</x:f>
        <x:v>Kaede Chat server (FastAPI + PostgreSQL + Dragonfly + S3-compatible storage + LiveKit)</x:v>
      </x:c>
      <x:c r="L9" s="3" t="str">
        <x:f>IF(Master!M324="","",Master!M324)</x:f>
        <x:v>Proprietary backend</x:v>
      </x:c>
      <x:c r="M9" s="3" t="str">
        <x:f>IF(Master!N324="","",Master!N324)</x:f>
        <x:v>Loqa backend</x:v>
      </x:c>
      <x:c r="N9" s="3" t="str">
        <x:f>IF(Master!O324="","",Master!O324)</x:f>
        <x:v>Synapse, Dendrite/other Matrix homeservers</x:v>
      </x:c>
      <x:c r="O9" s="3" t="str">
        <x:f>IF(Master!P324="","",Master!P324)</x:f>
        <x:v>Mattermost server</x:v>
      </x:c>
      <x:c r="P9" s="3" t="str">
        <x:f>IF(Master!Q324="","",Master!Q324)</x:f>
        <x:v>Mezon native backend</x:v>
      </x:c>
      <x:c r="Q9" s="3" t="str">
        <x:f>IF(Master!R324="","",Master!R324)</x:f>
        <x:v>Murmur/Mumble server</x:v>
      </x:c>
      <x:c r="R9" s="3" t="str">
        <x:f>IF(Master!S324="","",Master!S324)</x:f>
        <x:v>Nerimity server</x:v>
      </x:c>
      <x:c r="S9" s="3" t="str">
        <x:f>IF(Master!T324="","",Master!T324)</x:f>
        <x:v>Proprietary/partly open backend components</x:v>
      </x:c>
      <x:c r="T9" s="3" t="str">
        <x:f>IF(Master!U324="","",Master!U324)</x:f>
        <x:v>pqp AGPL server; hosted API on Fly.io in São Paulo</x:v>
      </x:c>
      <x:c r="U9" s="3" t="str">
        <x:f>IF(Master!V324="","",Master!V324)</x:f>
        <x:v>Rift proprietary backend</x:v>
      </x:c>
      <x:c r="V9" s="3" t="str">
        <x:f>IF(Master!W324="","",Master!W324)</x:f>
        <x:v>Rocket.Chat server</x:v>
      </x:c>
      <x:c r="W9" s="3" t="str">
        <x:f>IF(Master!X324="","",Master!X324)</x:f>
        <x:v>ATProto/PDS + Roomy services</x:v>
      </x:c>
      <x:c r="X9" s="3" t="str">
        <x:f>IF(Master!Y324="","",Master!Y324)</x:f>
        <x:v>Root proprietary cloud backend</x:v>
      </x:c>
      <x:c r="Y9" s="3" t="str">
        <x:f>IF(Master!Z324="","",Master!Z324)</x:f>
        <x:v>Spacebar API/Gateway/CDN services</x:v>
      </x:c>
      <x:c r="Z9" s="3" t="str">
        <x:f>IF(Master!AA324="","",Master!AA324)</x:f>
        <x:v>Stoat Rust backend</x:v>
      </x:c>
      <x:c r="AA9" s="6" t="str">
        <x:f>IF(Master!AB324="","",Master!AB324)</x:f>
        <x:v>Proprietary TeamSpeak server</x:v>
      </x:c>
      <x:c r="AB9" s="3" t="str">
        <x:f>IF(Master!AC324="","",Master!AC324)</x:f>
        <x:v>Valour node-based backend</x:v>
      </x:c>
      <x:c r="AC9" s="3" t="str">
        <x:f>IF(Master!AD324="","",Master!AD324)</x:f>
        <x:v>AlpineBackend</x:v>
      </x:c>
      <x:c r="AD9" s="3" t="str">
        <x:f>IF(Master!AE324="","",Master!AE324)</x:f>
        <x:v>Private/source-available backend</x:v>
      </x:c>
      <x:c r="AE9" s="3" t="str">
        <x:f>IF(Master!AF324="","",Master!AF324)</x:f>
        <x:v>Yapper server software</x:v>
      </x:c>
      <x:c r="AF9" s="8" t="str">
        <x:f>IF(Master!AG324="","",Master!AG324)</x:f>
        <x:v>Zulip server/web application</x:v>
      </x:c>
    </x:row>
    <x:row r="10" ht="36" customHeight="1">
      <x:c r="A10" s="17" t="s">
        <x:v>583</x:v>
      </x:c>
      <x:c r="B10" s="3" t="str">
        <x:f>IF(Master!C325="","",Master!C325)</x:f>
        <x:v>Yes: discord.com</x:v>
      </x:c>
      <x:c r="C10" s="3" t="str">
        <x:f>IF(Master!D325="","",Master!D325)</x:f>
        <x:v>No central host required</x:v>
      </x:c>
      <x:c r="D10" s="3" t="str">
        <x:f>IF(Master!E325="","",Master!E325)</x:f>
        <x:v>Official public instance exists, but project is self-hosting-first</x:v>
      </x:c>
      <x:c r="E10" s="3" t="str">
        <x:f>IF(Master!F325="","",Master!F325)</x:f>
        <x:v>Yes</x:v>
      </x:c>
      <x:c r="F10" s="3" t="str">
        <x:f>IF(Master!G325="","",Master!G325)</x:f>
        <x:v>Yes</x:v>
      </x:c>
      <x:c r="G10" s="3" t="str">
        <x:f>IF(Master!H325="","",Master!H325)</x:f>
        <x:v>Yes</x:v>
      </x:c>
      <x:c r="H10" s="3" t="str">
        <x:f>IF(Master!I325="","",Master!I325)</x:f>
        <x:v>Yes</x:v>
      </x:c>
      <x:c r="I10" s="3" t="str">
        <x:f>IF(Master!J325="","",Master!J325)</x:f>
        <x:v>fermi.chat hosted instance</x:v>
      </x:c>
      <x:c r="J10" s="3" t="str">
        <x:f>IF(Master!K325="","",Master!K325)</x:f>
        <x:v>Official relay exists</x:v>
      </x:c>
      <x:c r="K10" s="3" t="str">
        <x:f>IF(Master!L325="","",Master!L325)</x:f>
        <x:v>Yes: kaede.chat</x:v>
      </x:c>
      <x:c r="L10" s="3" t="str">
        <x:f>IF(Master!M325="","",Master!M325)</x:f>
        <x:v>Yes</x:v>
      </x:c>
      <x:c r="M10" s="3" t="str">
        <x:f>IF(Master!N325="","",Master!N325)</x:f>
        <x:v>Yes</x:v>
      </x:c>
      <x:c r="N10" s="3" t="str">
        <x:f>IF(Master!O325="","",Master!O325)</x:f>
        <x:v>matrix.org is one Foundation-operated homeserver; many other providers exist</x:v>
      </x:c>
      <x:c r="O10" s="3" t="str">
        <x:f>IF(Master!P325="","",Master!P325)</x:f>
        <x:v>Yes: cloud offering</x:v>
      </x:c>
      <x:c r="P10" s="3" t="str">
        <x:f>IF(Master!Q325="","",Master!Q325)</x:f>
        <x:v>Yes</x:v>
      </x:c>
      <x:c r="Q10" s="3" t="str">
        <x:f>IF(Master!R325="","",Master!R325)</x:f>
        <x:v>No central service</x:v>
      </x:c>
      <x:c r="R10" s="3" t="str">
        <x:f>IF(Master!S325="","",Master!S325)</x:f>
        <x:v>Yes</x:v>
      </x:c>
      <x:c r="S10" s="3" t="str">
        <x:f>IF(Master!T325="","",Master!T325)</x:f>
        <x:v>Yes</x:v>
      </x:c>
      <x:c r="T10" s="3" t="str">
        <x:f>IF(Master!U325="","",Master!U325)</x:f>
        <x:v>Yes: API on Fly.io in São Paulo; SPA on Cloudflare Pages</x:v>
      </x:c>
      <x:c r="U10" s="3" t="str">
        <x:f>IF(Master!V325="","",Master!V325)</x:f>
        <x:v>Yes</x:v>
      </x:c>
      <x:c r="V10" s="3" t="str">
        <x:f>IF(Master!W325="","",Master!W325)</x:f>
        <x:v>Yes</x:v>
      </x:c>
      <x:c r="W10" s="3" t="str">
        <x:f>IF(Master!X325="","",Master!X325)</x:f>
        <x:v>roomy.space</x:v>
      </x:c>
      <x:c r="X10" s="3" t="str">
        <x:f>IF(Master!Y325="","",Master!Y325)</x:f>
        <x:v>Yes</x:v>
      </x:c>
      <x:c r="Y10" s="3" t="str">
        <x:f>IF(Master!Z325="","",Master!Z325)</x:f>
        <x:v>No canonical global first-party hosted network required</x:v>
      </x:c>
      <x:c r="Z10" s="3" t="str">
        <x:f>IF(Master!AA325="","",Master!AA325)</x:f>
        <x:v>Yes</x:v>
      </x:c>
      <x:c r="AA10" s="6" t="str">
        <x:f>IF(Master!AB325="","",Master!AB325)</x:f>
        <x:v>Hosted options exist; many self-host</x:v>
      </x:c>
      <x:c r="AB10" s="3" t="str">
        <x:f>IF(Master!AC325="","",Master!AC325)</x:f>
        <x:v>Yes</x:v>
      </x:c>
      <x:c r="AC10" s="3" t="str">
        <x:f>IF(Master!AD325="","",Master!AD325)</x:f>
        <x:v>Yes</x:v>
      </x:c>
      <x:c r="AD10" s="3" t="str">
        <x:f>IF(Master!AE325="","",Master!AE325)</x:f>
        <x:v>Yes</x:v>
      </x:c>
      <x:c r="AE10" s="3" t="str">
        <x:f>IF(Master!AF325="","",Master!AF325)</x:f>
        <x:v>Optional managed hosting</x:v>
      </x:c>
      <x:c r="AF10" s="8" t="str">
        <x:f>IF(Master!AG325="","",Master!AG325)</x:f>
        <x:v>Yes: Zulip Cloud</x:v>
      </x:c>
    </x:row>
    <x:row r="11" ht="36" customHeight="1">
      <x:c r="A11" s="17" t="s">
        <x:v>115</x:v>
      </x:c>
      <x:c r="B11" s="3" t="str">
        <x:f>IF(Master!C326="","",Master!C326)</x:f>
        <x:v>No</x:v>
      </x:c>
      <x:c r="C11" s="3" t="str">
        <x:f>IF(Master!D326="","",Master!D326)</x:f>
        <x:v>Yes: relays/self-host</x:v>
      </x:c>
      <x:c r="D11" s="3" t="str">
        <x:f>IF(Master!E326="","",Master!E326)</x:f>
        <x:v>Yes</x:v>
      </x:c>
      <x:c r="E11" s="3" t="str">
        <x:f>IF(Master!F326="","",Master!F326)</x:f>
        <x:v>No</x:v>
      </x:c>
      <x:c r="F11" s="3" t="str">
        <x:f>IF(Master!G326="","",Master!G326)</x:f>
        <x:v>No currently</x:v>
      </x:c>
      <x:c r="G11" s="3" t="str">
        <x:f>IF(Master!H326="","",Master!H326)</x:f>
        <x:v>Yes</x:v>
      </x:c>
      <x:c r="H11" s="3" t="str">
        <x:f>IF(Master!I326="","",Master!I326)</x:f>
        <x:v>Yes</x:v>
      </x:c>
      <x:c r="I11" s="3" t="str">
        <x:f>IF(Master!J326="","",Master!J326)</x:f>
        <x:v>Yes</x:v>
      </x:c>
      <x:c r="J11" s="3" t="str">
        <x:f>IF(Master!K326="","",Master!K326)</x:f>
        <x:v>Yes</x:v>
      </x:c>
      <x:c r="K11" s="3" t="str">
        <x:f>IF(Master!L326="","",Master!L326)</x:f>
        <x:v>Yes</x:v>
      </x:c>
      <x:c r="L11" s="3" t="str">
        <x:f>IF(Master!M326="","",Master!M326)</x:f>
        <x:v>No</x:v>
      </x:c>
      <x:c r="M11" s="3" t="str">
        <x:f>IF(Master!N326="","",Master!N326)</x:f>
        <x:v>Yes</x:v>
      </x:c>
      <x:c r="N11" s="3" t="str">
        <x:f>IF(Master!O326="","",Master!O326)</x:f>
        <x:v>Yes</x:v>
      </x:c>
      <x:c r="O11" s="3" t="str">
        <x:f>IF(Master!P326="","",Master!P326)</x:f>
        <x:v>Yes</x:v>
      </x:c>
      <x:c r="P11" s="3" t="str">
        <x:f>IF(Master!Q326="","",Master!Q326)</x:f>
      </x:c>
      <x:c r="Q11" s="3" t="str">
        <x:f>IF(Master!R326="","",Master!R326)</x:f>
        <x:v>Yes</x:v>
      </x:c>
      <x:c r="R11" s="3" t="str">
        <x:f>IF(Master!S326="","",Master!S326)</x:f>
        <x:v>Technically possible but explicitly not intended/supported</x:v>
      </x:c>
      <x:c r="S11" s="3" t="str">
        <x:f>IF(Master!T326="","",Master!T326)</x:f>
        <x:v>No</x:v>
      </x:c>
      <x:c r="T11" s="3" t="str">
        <x:f>IF(Master!U326="","",Master!U326)</x:f>
        <x:v>Yes: AGPL-3.0; documentation in repository</x:v>
      </x:c>
      <x:c r="U11" s="3" t="str">
        <x:f>IF(Master!V326="","",Master!V326)</x:f>
        <x:v>No</x:v>
      </x:c>
      <x:c r="V11" s="3" t="str">
        <x:f>IF(Master!W326="","",Master!W326)</x:f>
        <x:v>Yes</x:v>
      </x:c>
      <x:c r="W11" s="3" t="str">
        <x:f>IF(Master!X326="","",Master!X326)</x:f>
        <x:v>Partially via ATProto/PDS model</x:v>
      </x:c>
      <x:c r="X11" s="3" t="str">
        <x:f>IF(Master!Y326="","",Master!Y326)</x:f>
        <x:v>No</x:v>
      </x:c>
      <x:c r="Y11" s="3" t="str">
        <x:f>IF(Master!Z326="","",Master!Z326)</x:f>
        <x:v>Yes</x:v>
      </x:c>
      <x:c r="Z11" s="3" t="str">
        <x:f>IF(Master!AA326="","",Master!AA326)</x:f>
        <x:v>Yes</x:v>
      </x:c>
      <x:c r="AA11" s="6" t="str">
        <x:f>IF(Master!AB326="","",Master!AB326)</x:f>
        <x:v>Yes</x:v>
      </x:c>
      <x:c r="AB11" s="3" t="str">
        <x:f>IF(Master!AC326="","",Master!AC326)</x:f>
        <x:v>Yes</x:v>
      </x:c>
      <x:c r="AC11" s="3" t="str">
        <x:f>IF(Master!AD326="","",Master!AD326)</x:f>
        <x:v>In development</x:v>
      </x:c>
      <x:c r="AD11" s="3" t="str">
        <x:f>IF(Master!AE326="","",Master!AE326)</x:f>
        <x:v>No</x:v>
      </x:c>
      <x:c r="AE11" s="3" t="str">
        <x:f>IF(Master!AF326="","",Master!AF326)</x:f>
        <x:v>Yes</x:v>
      </x:c>
      <x:c r="AF11" s="8" t="str">
        <x:f>IF(Master!AG326="","",Master!AG326)</x:f>
        <x:v>Yes</x:v>
      </x:c>
    </x:row>
    <x:row r="12" ht="36" customHeight="1">
      <x:c r="A12" s="17" t="s">
        <x:v>584</x:v>
      </x:c>
      <x:c r="B12" s="3" t="str">
        <x:f>IF(Master!C327="","",Master!C327)</x:f>
        <x:v>No</x:v>
      </x:c>
      <x:c r="C12" s="3" t="str">
        <x:f>IF(Master!D327="","",Master!D327)</x:f>
        <x:v>Yes</x:v>
      </x:c>
      <x:c r="D12" s="3" t="str">
        <x:f>IF(Master!E327="","",Master!E327)</x:f>
        <x:v>Yes</x:v>
      </x:c>
      <x:c r="E12" s="3" t="str">
        <x:f>IF(Master!F327="","",Master!F327)</x:f>
        <x:v>No</x:v>
      </x:c>
      <x:c r="F12" s="3" t="str">
        <x:f>IF(Master!G327="","",Master!G327)</x:f>
        <x:v>No</x:v>
      </x:c>
      <x:c r="G12" s="3" t="str">
        <x:f>IF(Master!H327="","",Master!H327)</x:f>
        <x:v>Yes</x:v>
      </x:c>
      <x:c r="H12" s="3" t="str">
        <x:f>IF(Master!I327="","",Master!I327)</x:f>
        <x:v>Yes</x:v>
      </x:c>
      <x:c r="I12" s="3" t="str">
        <x:f>IF(Master!J327="","",Master!J327)</x:f>
        <x:v>Yes</x:v>
      </x:c>
      <x:c r="J12" s="3" t="str">
        <x:f>IF(Master!K327="","",Master!K327)</x:f>
        <x:v>Yes</x:v>
      </x:c>
      <x:c r="K12" s="3" t="str">
        <x:f>IF(Master!L327="","",Master!L327)</x:f>
        <x:v>Yes</x:v>
      </x:c>
      <x:c r="L12" s="3" t="str">
        <x:f>IF(Master!M327="","",Master!M327)</x:f>
        <x:v>No</x:v>
      </x:c>
      <x:c r="M12" s="3" t="str">
        <x:f>IF(Master!N327="","",Master!N327)</x:f>
        <x:v>Yes</x:v>
      </x:c>
      <x:c r="N12" s="3" t="str">
        <x:f>IF(Master!O327="","",Master!O327)</x:f>
        <x:v>Yes</x:v>
      </x:c>
      <x:c r="O12" s="3" t="str">
        <x:f>IF(Master!P327="","",Master!P327)</x:f>
        <x:v>Yes</x:v>
      </x:c>
      <x:c r="P12" s="3" t="str">
        <x:f>IF(Master!Q327="","",Master!Q327)</x:f>
      </x:c>
      <x:c r="Q12" s="3" t="str">
        <x:f>IF(Master!R327="","",Master!R327)</x:f>
        <x:v>Yes</x:v>
      </x:c>
      <x:c r="R12" s="3" t="str">
        <x:f>IF(Master!S327="","",Master!S327)</x:f>
        <x:v>Possible independent deployments</x:v>
      </x:c>
      <x:c r="S12" s="3" t="str">
        <x:f>IF(Master!T327="","",Master!T327)</x:f>
        <x:v>No</x:v>
      </x:c>
      <x:c r="T12" s="3" t="str">
        <x:f>IF(Master!U327="","",Master!U327)</x:f>
        <x:v>Yes</x:v>
      </x:c>
      <x:c r="U12" s="3" t="str">
        <x:f>IF(Master!V327="","",Master!V327)</x:f>
        <x:v>No</x:v>
      </x:c>
      <x:c r="V12" s="3" t="str">
        <x:f>IF(Master!W327="","",Master!W327)</x:f>
        <x:v>Yes</x:v>
      </x:c>
      <x:c r="W12" s="3" t="str">
        <x:f>IF(Master!X327="","",Master!X327)</x:f>
        <x:v>Yes/distributed data ownership model</x:v>
      </x:c>
      <x:c r="X12" s="3" t="str">
        <x:f>IF(Master!Y327="","",Master!Y327)</x:f>
        <x:v>No</x:v>
      </x:c>
      <x:c r="Y12" s="3" t="str">
        <x:f>IF(Master!Z327="","",Master!Z327)</x:f>
        <x:v>Yes</x:v>
      </x:c>
      <x:c r="Z12" s="3" t="str">
        <x:f>IF(Master!AA327="","",Master!AA327)</x:f>
        <x:v>Yes</x:v>
      </x:c>
      <x:c r="AA12" s="6" t="str">
        <x:f>IF(Master!AB327="","",Master!AB327)</x:f>
        <x:v>Yes</x:v>
      </x:c>
      <x:c r="AB12" s="3" t="str">
        <x:f>IF(Master!AC327="","",Master!AC327)</x:f>
        <x:v>Yes</x:v>
      </x:c>
      <x:c r="AC12" s="3" t="str">
        <x:f>IF(Master!AD327="","",Master!AD327)</x:f>
        <x:v>In development</x:v>
      </x:c>
      <x:c r="AD12" s="3" t="str">
        <x:f>IF(Master!AE327="","",Master!AE327)</x:f>
        <x:v>No</x:v>
      </x:c>
      <x:c r="AE12" s="3" t="str">
        <x:f>IF(Master!AF327="","",Master!AF327)</x:f>
        <x:v>Yes</x:v>
      </x:c>
      <x:c r="AF12" s="8" t="str">
        <x:f>IF(Master!AG327="","",Master!AG327)</x:f>
        <x:v>Yes</x:v>
      </x:c>
    </x:row>
    <x:row r="13" ht="36" customHeight="1">
      <x:c r="A13" s="17" t="s">
        <x:v>116</x:v>
      </x:c>
      <x:c r="B13" s="3" t="str">
        <x:f>IF(Master!C328="","",Master!C328)</x:f>
        <x:v>No</x:v>
      </x:c>
      <x:c r="C13" s="3" t="str">
        <x:f>IF(Master!D328="","",Master!D328)</x:f>
        <x:v>Nostr relay interoperability</x:v>
      </x:c>
      <x:c r="D13" s="3" t="str">
        <x:f>IF(Master!E328="","",Master!E328)</x:f>
        <x:v>Yes for messenger/server communication features; full federation evolving</x:v>
      </x:c>
      <x:c r="E13" s="3" t="str">
        <x:f>IF(Master!F328="","",Master!F328)</x:f>
        <x:v>No</x:v>
      </x:c>
      <x:c r="F13" s="3" t="str">
        <x:f>IF(Master!G328="","",Master!G328)</x:f>
        <x:v>No</x:v>
      </x:c>
      <x:c r="G13" s="3" t="str">
        <x:f>IF(Master!H328="","",Master!H328)</x:f>
        <x:v>Not yet: on roadmap</x:v>
      </x:c>
      <x:c r="H13" s="3" t="str">
        <x:f>IF(Master!I328="","",Master!I328)</x:f>
        <x:v>No federation verified</x:v>
      </x:c>
      <x:c r="I13" s="3" t="str">
        <x:f>IF(Master!J328="","",Master!J328)</x:f>
        <x:v>Federation planned</x:v>
      </x:c>
      <x:c r="J13" s="3" t="str">
        <x:f>IF(Master!K328="","",Master!K328)</x:f>
        <x:v>Relay choice but not Matrix-style federated server state</x:v>
      </x:c>
      <x:c r="K13" s="3" t="str">
        <x:f>IF(Master!L328="","",Master!L328)</x:f>
        <x:v>Yes: kaede-fed/1</x:v>
      </x:c>
      <x:c r="L13" s="3" t="str">
        <x:f>IF(Master!M328="","",Master!M328)</x:f>
        <x:v>No</x:v>
      </x:c>
      <x:c r="M13" s="3" t="str">
        <x:f>IF(Master!N328="","",Master!N328)</x:f>
        <x:v>Federation advertised</x:v>
      </x:c>
      <x:c r="N13" s="3" t="str">
        <x:f>IF(Master!O328="","",Master!O328)</x:f>
        <x:v>Yes: core feature</x:v>
      </x:c>
      <x:c r="O13" s="3" t="str">
        <x:f>IF(Master!P328="","",Master!P328)</x:f>
        <x:v>No general federation</x:v>
      </x:c>
      <x:c r="P13" s="3" t="str">
        <x:f>IF(Master!Q328="","",Master!Q328)</x:f>
        <x:v>No federation verified</x:v>
      </x:c>
      <x:c r="Q13" s="3" t="str">
        <x:f>IF(Master!R328="","",Master!R328)</x:f>
        <x:v>No</x:v>
      </x:c>
      <x:c r="R13" s="3" t="str">
        <x:f>IF(Master!S328="","",Master!S328)</x:f>
        <x:v>No</x:v>
      </x:c>
      <x:c r="S13" s="3" t="str">
        <x:f>IF(Master!T328="","",Master!T328)</x:f>
        <x:v>No</x:v>
      </x:c>
      <x:c r="T13" s="3" t="str">
        <x:f>IF(Master!U328="","",Master!U328)</x:f>
        <x:v>No federation</x:v>
      </x:c>
      <x:c r="U13" s="3" t="str">
        <x:f>IF(Master!V328="","",Master!V328)</x:f>
        <x:v>No</x:v>
      </x:c>
      <x:c r="V13" s="3" t="str">
        <x:f>IF(Master!W328="","",Master!W328)</x:f>
        <x:v>Yes: Matrix-based federation feature set, with limitations</x:v>
      </x:c>
      <x:c r="W13" s="3" t="str">
        <x:f>IF(Master!X328="","",Master!X328)</x:f>
        <x:v>ATProto federation ecosystem</x:v>
      </x:c>
      <x:c r="X13" s="3" t="str">
        <x:f>IF(Master!Y328="","",Master!Y328)</x:f>
        <x:v>No</x:v>
      </x:c>
      <x:c r="Y13" s="3" t="str">
        <x:f>IF(Master!Z328="","",Master!Z328)</x:f>
        <x:v>No</x:v>
      </x:c>
      <x:c r="Z13" s="3" t="str">
        <x:f>IF(Master!AA328="","",Master!AA328)</x:f>
        <x:v>No</x:v>
      </x:c>
      <x:c r="AA13" s="6" t="str">
        <x:f>IF(Master!AB328="","",Master!AB328)</x:f>
        <x:v>No</x:v>
      </x:c>
      <x:c r="AB13" s="3" t="str">
        <x:f>IF(Master!AC328="","",Master!AC328)</x:f>
        <x:v>Node/federation model for migrating communities; exact cross-instance federation scope evolving</x:v>
      </x:c>
      <x:c r="AC13" s="3" t="str">
        <x:f>IF(Master!AD328="","",Master!AD328)</x:f>
        <x:v>Planned/in development</x:v>
      </x:c>
      <x:c r="AD13" s="3" t="str">
        <x:f>IF(Master!AE328="","",Master!AE328)</x:f>
        <x:v>No</x:v>
      </x:c>
      <x:c r="AE13" s="3" t="str">
        <x:f>IF(Master!AF328="","",Master!AF328)</x:f>
        <x:v>No</x:v>
      </x:c>
      <x:c r="AF13" s="8" t="str">
        <x:f>IF(Master!AG328="","",Master!AG328)</x:f>
        <x:v>No</x:v>
      </x:c>
    </x:row>
    <x:row r="14" ht="36" customHeight="1">
      <x:c r="A14" s="17" t="s">
        <x:v>585</x:v>
      </x:c>
      <x:c r="B14" s="3" t="str">
        <x:f>IF(Master!C329="","",Master!C329)</x:f>
        <x:v>No</x:v>
      </x:c>
      <x:c r="C14" s="3" t="str">
        <x:f>IF(Master!D329="","",Master!D329)</x:f>
        <x:v>Communities can use multiple relays</x:v>
      </x:c>
      <x:c r="D14" s="3" t="str">
        <x:f>IF(Master!E329="","",Master!E329)</x:f>
        <x:v>Cross-server messenger works</x:v>
      </x:c>
      <x:c r="E14" s="3" t="str">
        <x:f>IF(Master!F329="","",Master!F329)</x:f>
        <x:v>No</x:v>
      </x:c>
      <x:c r="F14" s="3" t="str">
        <x:f>IF(Master!G329="","",Master!G329)</x:f>
        <x:v>No</x:v>
      </x:c>
      <x:c r="G14" s="3" t="str">
        <x:f>IF(Master!H329="","",Master!H329)</x:f>
        <x:v>Not yet</x:v>
      </x:c>
      <x:c r="H14" s="3" t="str">
        <x:f>IF(Master!I329="","",Master!I329)</x:f>
        <x:v>No</x:v>
      </x:c>
      <x:c r="I14" s="3" t="str">
        <x:f>IF(Master!J329="","",Master!J329)</x:f>
        <x:v>Planned</x:v>
      </x:c>
      <x:c r="J14" s="3" t="str">
        <x:f>IF(Master!K329="","",Master!K329)</x:f>
        <x:v>Peers communicate across relays/home servers as designed</x:v>
      </x:c>
      <x:c r="K14" s="3" t="str">
        <x:f>IF(Master!L329="","",Master!L329)</x:f>
        <x:v>Yes: users on one home can join guilds, DM and call users/resources on other homes</x:v>
      </x:c>
      <x:c r="L14" s="3" t="str">
        <x:f>IF(Master!M329="","",Master!M329)</x:f>
        <x:v>No</x:v>
      </x:c>
      <x:c r="M14" s="3" t="str">
        <x:f>IF(Master!N329="","",Master!N329)</x:f>
        <x:v>Federated communities intended</x:v>
      </x:c>
      <x:c r="N14" s="3" t="str">
        <x:f>IF(Master!O329="","",Master!O329)</x:f>
        <x:v>Yes: rooms can span homeservers</x:v>
      </x:c>
      <x:c r="O14" s="3" t="str">
        <x:f>IF(Master!P329="","",Master!P329)</x:f>
        <x:v>No</x:v>
      </x:c>
      <x:c r="P14" s="3" t="str">
        <x:f>IF(Master!Q329="","",Master!Q329)</x:f>
        <x:v>No</x:v>
      </x:c>
      <x:c r="Q14" s="3" t="str">
        <x:f>IF(Master!R329="","",Master!R329)</x:f>
        <x:v>No</x:v>
      </x:c>
      <x:c r="R14" s="3" t="str">
        <x:f>IF(Master!S329="","",Master!S329)</x:f>
        <x:v>No</x:v>
      </x:c>
      <x:c r="S14" s="3" t="str">
        <x:f>IF(Master!T329="","",Master!T329)</x:f>
        <x:v>No</x:v>
      </x:c>
      <x:c r="T14" s="3" t="str">
        <x:f>IF(Master!U329="","",Master!U329)</x:f>
        <x:v>No</x:v>
      </x:c>
      <x:c r="U14" s="3" t="str">
        <x:f>IF(Master!V329="","",Master!V329)</x:f>
        <x:v>No</x:v>
      </x:c>
      <x:c r="V14" s="3" t="str">
        <x:f>IF(Master!W329="","",Master!W329)</x:f>
        <x:v>Yes for supported federated rooms</x:v>
      </x:c>
      <x:c r="W14" s="3" t="str">
        <x:f>IF(Master!X329="","",Master!X329)</x:f>
        <x:v>ATProto-linked spaces</x:v>
      </x:c>
      <x:c r="X14" s="3" t="str">
        <x:f>IF(Master!Y329="","",Master!Y329)</x:f>
        <x:v>No</x:v>
      </x:c>
      <x:c r="Y14" s="3" t="str">
        <x:f>IF(Master!Z329="","",Master!Z329)</x:f>
        <x:v>No</x:v>
      </x:c>
      <x:c r="Z14" s="3" t="str">
        <x:f>IF(Master!AA329="","",Master!AA329)</x:f>
        <x:v>No</x:v>
      </x:c>
      <x:c r="AA14" s="6" t="str">
        <x:f>IF(Master!AB329="","",Master!AB329)</x:f>
        <x:v>No</x:v>
      </x:c>
      <x:c r="AB14" s="3" t="str">
        <x:f>IF(Master!AC329="","",Master!AC329)</x:f>
        <x:v>Limited/evolving</x:v>
      </x:c>
      <x:c r="AC14" s="3" t="str">
        <x:f>IF(Master!AD329="","",Master!AD329)</x:f>
        <x:v>Planned</x:v>
      </x:c>
      <x:c r="AD14" s="3" t="str">
        <x:f>IF(Master!AE329="","",Master!AE329)</x:f>
        <x:v>No</x:v>
      </x:c>
      <x:c r="AE14" s="3" t="str">
        <x:f>IF(Master!AF329="","",Master!AF329)</x:f>
        <x:v>No</x:v>
      </x:c>
      <x:c r="AF14" s="8" t="str">
        <x:f>IF(Master!AG329="","",Master!AG329)</x:f>
        <x:v>No</x:v>
      </x:c>
    </x:row>
    <x:row r="15" ht="36" customHeight="1">
      <x:c r="A15" s="17" t="s">
        <x:v>586</x:v>
      </x:c>
      <x:c r="B15" s="3" t="str">
        <x:f>IF(Master!C330="","",Master!C330)</x:f>
        <x:v>No</x:v>
      </x:c>
      <x:c r="C15" s="3" t="str">
        <x:f>IF(Master!D330="","",Master!D330)</x:f>
        <x:v>Identity is portable by keypair</x:v>
      </x:c>
      <x:c r="D15" s="3" t="str">
        <x:f>IF(Master!E330="","",Master!E330)</x:f>
        <x:v>Yes: messenger global ID/key and account export</x:v>
      </x:c>
      <x:c r="E15" s="3" t="str">
        <x:f>IF(Master!F330="","",Master!F330)</x:f>
        <x:v>No</x:v>
      </x:c>
      <x:c r="F15" s="3" t="str">
        <x:f>IF(Master!G330="","",Master!G330)</x:f>
        <x:v>No</x:v>
      </x:c>
      <x:c r="G15" s="3" t="str">
        <x:f>IF(Master!H330="","",Master!H330)</x:f>
        <x:v>No current portable cross-instance identity</x:v>
      </x:c>
      <x:c r="H15" s="3" t="str">
        <x:f>IF(Master!I330="","",Master!I330)</x:f>
        <x:v>No</x:v>
      </x:c>
      <x:c r="I15" s="3" t="str">
        <x:f>IF(Master!J330="","",Master!J330)</x:f>
        <x:v>Planned</x:v>
      </x:c>
      <x:c r="J15" s="3" t="str">
        <x:f>IF(Master!K330="","",Master!K330)</x:f>
        <x:v>Yes: identity key portable</x:v>
      </x:c>
      <x:c r="K15" s="3" t="str">
        <x:f>IF(Master!L330="","",Master!L330)</x:f>
        <x:v>Federated identity works across instances; moving an account's home is not documented</x:v>
      </x:c>
      <x:c r="L15" s="3" t="str">
        <x:f>IF(Master!M330="","",Master!M330)</x:f>
        <x:v>No</x:v>
      </x:c>
      <x:c r="M15" s="3" t="str">
        <x:f>IF(Master!N330="","",Master!N330)</x:f>
      </x:c>
      <x:c r="N15" s="3" t="str">
        <x:f>IF(Master!O330="","",Master!O330)</x:f>
        <x:v>Identity is namespaced to a homeserver; clients are portable, account migration is not universally seamless</x:v>
      </x:c>
      <x:c r="O15" s="3" t="str">
        <x:f>IF(Master!P330="","",Master!P330)</x:f>
        <x:v>No</x:v>
      </x:c>
      <x:c r="P15" s="3" t="str">
        <x:f>IF(Master!Q330="","",Master!Q330)</x:f>
        <x:v>No</x:v>
      </x:c>
      <x:c r="Q15" s="3" t="str">
        <x:f>IF(Master!R330="","",Master!R330)</x:f>
        <x:v>Certificate/user identity can be reused manually; no global portable identity layer</x:v>
      </x:c>
      <x:c r="R15" s="3" t="str">
        <x:f>IF(Master!S330="","",Master!S330)</x:f>
        <x:v>No</x:v>
      </x:c>
      <x:c r="S15" s="3" t="str">
        <x:f>IF(Master!T330="","",Master!T330)</x:f>
        <x:v>No</x:v>
      </x:c>
      <x:c r="T15" s="3" t="str">
        <x:f>IF(Master!U330="","",Master!U330)</x:f>
        <x:v>No</x:v>
      </x:c>
      <x:c r="U15" s="3" t="str">
        <x:f>IF(Master!V330="","",Master!V330)</x:f>
        <x:v>No</x:v>
      </x:c>
      <x:c r="V15" s="3" t="str">
        <x:f>IF(Master!W330="","",Master!W330)</x:f>
        <x:v>Limited; not equivalent to universal account migration</x:v>
      </x:c>
      <x:c r="W15" s="3" t="str">
        <x:f>IF(Master!X330="","",Master!X330)</x:f>
        <x:v>Identity via ATProto</x:v>
      </x:c>
      <x:c r="X15" s="3" t="str">
        <x:f>IF(Master!Y330="","",Master!Y330)</x:f>
        <x:v>No</x:v>
      </x:c>
      <x:c r="Y15" s="3" t="str">
        <x:f>IF(Master!Z330="","",Master!Z330)</x:f>
        <x:v>No</x:v>
      </x:c>
      <x:c r="Z15" s="3" t="str">
        <x:f>IF(Master!AA330="","",Master!AA330)</x:f>
        <x:v>No seamless portable identity</x:v>
      </x:c>
      <x:c r="AA15" s="6" t="str">
        <x:f>IF(Master!AB330="","",Master!AB330)</x:f>
        <x:v>No global federated identity</x:v>
      </x:c>
      <x:c r="AB15" s="3" t="str">
        <x:f>IF(Master!AC330="","",Master!AC330)</x:f>
        <x:v>Account survives community node moves per documentation</x:v>
      </x:c>
      <x:c r="AC15" s="3" t="str">
        <x:f>IF(Master!AD330="","",Master!AD330)</x:f>
        <x:v>Planned</x:v>
      </x:c>
      <x:c r="AD15" s="3" t="str">
        <x:f>IF(Master!AE330="","",Master!AE330)</x:f>
        <x:v>No</x:v>
      </x:c>
      <x:c r="AE15" s="3" t="str">
        <x:f>IF(Master!AF330="","",Master!AF330)</x:f>
        <x:v>No</x:v>
      </x:c>
      <x:c r="AF15" s="8" t="str">
        <x:f>IF(Master!AG330="","",Master!AG330)</x:f>
        <x:v>No seamless cross-server identity</x:v>
      </x:c>
    </x:row>
    <x:row r="16" ht="36" customHeight="1">
      <x:c r="A16" s="17" t="s">
        <x:v>117</x:v>
      </x:c>
      <x:c r="B16" s="3" t="str">
        <x:f>IF(Master!C331="","",Master!C331)</x:f>
        <x:v>Proprietary public developer APIs, not an open protocol</x:v>
      </x:c>
      <x:c r="C16" s="3" t="str">
        <x:f>IF(Master!D331="","",Master!D331)</x:f>
        <x:v>Nostr + Concord/NIP-29</x:v>
      </x:c>
      <x:c r="D16" s="3" t="str">
        <x:f>IF(Master!E331="","",Master!E331)</x:f>
        <x:v>Custom protocol</x:v>
      </x:c>
      <x:c r="E16" s="3" t="str">
        <x:f>IF(Master!F331="","",Master!F331)</x:f>
        <x:v>Proprietary</x:v>
      </x:c>
      <x:c r="F16" s="3" t="str">
        <x:f>IF(Master!G331="","",Master!G331)</x:f>
        <x:v>No open interoperability standard</x:v>
      </x:c>
      <x:c r="G16" s="3" t="str">
        <x:f>IF(Master!H331="","",Master!H331)</x:f>
        <x:v>Public API/Gateway inspired by Discord; not a federation standard</x:v>
      </x:c>
      <x:c r="H16" s="3" t="str">
        <x:f>IF(Master!I331="","",Master!I331)</x:f>
        <x:v>Proprietary API/service</x:v>
      </x:c>
      <x:c r="I16" s="3" t="str">
        <x:f>IF(Master!J331="","",Master!J331)</x:f>
        <x:v>Discord-compatible API</x:v>
      </x:c>
      <x:c r="J16" s="3" t="str">
        <x:f>IF(Master!K331="","",Master!K331)</x:f>
        <x:v>Custom open protocol/code</x:v>
      </x:c>
      <x:c r="K16" s="3" t="str">
        <x:f>IF(Master!L331="","",Master!L331)</x:f>
        <x:v>Public project protocol: kaede-fed/1</x:v>
      </x:c>
      <x:c r="L16" s="3" t="str">
        <x:f>IF(Master!M331="","",Master!M331)</x:f>
        <x:v>Proprietary</x:v>
      </x:c>
      <x:c r="M16" s="3" t="str">
        <x:f>IF(Master!N331="","",Master!N331)</x:f>
        <x:v>Discord-compatible API + federation work</x:v>
      </x:c>
      <x:c r="N16" s="3" t="str">
        <x:f>IF(Master!O331="","",Master!O331)</x:f>
        <x:v>Open Matrix specification: Client-Server + Server-Server/Federation APIs</x:v>
      </x:c>
      <x:c r="O16" s="3" t="str">
        <x:f>IF(Master!P331="","",Master!P331)</x:f>
        <x:v>Open APIs, not a general federation standard</x:v>
      </x:c>
      <x:c r="P16" s="3" t="str">
        <x:f>IF(Master!Q331="","",Master!Q331)</x:f>
        <x:v>Custom APIs</x:v>
      </x:c>
      <x:c r="Q16" s="3" t="str">
        <x:f>IF(Master!R331="","",Master!R331)</x:f>
        <x:v>Open Mumble protocol/source</x:v>
      </x:c>
      <x:c r="R16" s="3" t="str">
        <x:f>IF(Master!S331="","",Master!S331)</x:f>
        <x:v>Public app/API code, not a federation standard</x:v>
      </x:c>
      <x:c r="S16" s="3" t="str">
        <x:f>IF(Master!T331="","",Master!T331)</x:f>
        <x:v>Proprietary service APIs</x:v>
      </x:c>
      <x:c r="T16" s="3" t="str">
        <x:f>IF(Master!U331="","",Master!U331)</x:f>
        <x:v>Session-only application API; Discord-compatible incoming webhooks; no public bot/third-party API</x:v>
      </x:c>
      <x:c r="U16" s="3" t="str">
        <x:f>IF(Master!V331="","",Master!V331)</x:f>
        <x:v>Proprietary</x:v>
      </x:c>
      <x:c r="V16" s="3" t="str">
        <x:f>IF(Master!W331="","",Master!W331)</x:f>
        <x:v>REST/realtime APIs + federation components</x:v>
      </x:c>
      <x:c r="W16" s="3" t="str">
        <x:f>IF(Master!X331="","",Master!X331)</x:f>
        <x:v>AT Protocol</x:v>
      </x:c>
      <x:c r="X16" s="3" t="str">
        <x:f>IF(Master!Y331="","",Master!Y331)</x:f>
        <x:v>Proprietary Root APIs/SDK</x:v>
      </x:c>
      <x:c r="Y16" s="3" t="str">
        <x:f>IF(Master!Z331="","",Master!Z331)</x:f>
        <x:v>Discord-compatible REST/Gateway reimplementation</x:v>
      </x:c>
      <x:c r="Z16" s="3" t="str">
        <x:f>IF(Master!AA331="","",Master!AA331)</x:f>
        <x:v>Public REST/WebSocket API, but not a federation standard</x:v>
      </x:c>
      <x:c r="AA16" s="6" t="str">
        <x:f>IF(Master!AB331="","",Master!AB331)</x:f>
        <x:v>Proprietary protocol/API</x:v>
      </x:c>
      <x:c r="AB16" s="3" t="str">
        <x:f>IF(Master!AC331="","",Master!AC331)</x:f>
        <x:v>Valour API/node protocol</x:v>
      </x:c>
      <x:c r="AC16" s="3" t="str">
        <x:f>IF(Master!AD331="","",Master!AD331)</x:f>
        <x:v>Custom open-source federation protocol</x:v>
      </x:c>
      <x:c r="AD16" s="3" t="str">
        <x:f>IF(Master!AE331="","",Master!AE331)</x:f>
        <x:v>Proprietary/application API</x:v>
      </x:c>
      <x:c r="AE16" s="3" t="str">
        <x:f>IF(Master!AF331="","",Master!AF331)</x:f>
      </x:c>
      <x:c r="AF16" s="8" t="str">
        <x:f>IF(Master!AG331="","",Master!AG331)</x:f>
        <x:v>Open REST/realtime APIs</x:v>
      </x:c>
    </x:row>
    <x:row r="17" ht="36" customHeight="1">
      <x:c r="A17" s="17" t="s">
        <x:v>587</x:v>
      </x:c>
      <x:c r="B17" s="3" t="str">
        <x:f>IF(Master!C332="","",Master!C332)</x:f>
        <x:v>No</x:v>
      </x:c>
      <x:c r="C17" s="3" t="str">
        <x:f>IF(Master!D332="","",Master!D332)</x:f>
        <x:v>No</x:v>
      </x:c>
      <x:c r="D17" s="3" t="str">
        <x:f>IF(Master!E332="","",Master!E332)</x:f>
        <x:v>No</x:v>
      </x:c>
      <x:c r="E17" s="3" t="str">
        <x:f>IF(Master!F332="","",Master!F332)</x:f>
        <x:v>No</x:v>
      </x:c>
      <x:c r="F17" s="3" t="str">
        <x:f>IF(Master!G332="","",Master!G332)</x:f>
        <x:v>No</x:v>
      </x:c>
      <x:c r="G17" s="3" t="str">
        <x:f>IF(Master!H332="","",Master!H332)</x:f>
        <x:v>Partial Discord wire/API compatibility goals</x:v>
      </x:c>
      <x:c r="H17" s="3" t="str">
        <x:f>IF(Master!I332="","",Master!I332)</x:f>
        <x:v>No</x:v>
      </x:c>
      <x:c r="I17" s="3" t="str">
        <x:f>IF(Master!J332="","",Master!J332)</x:f>
        <x:v>Yes</x:v>
      </x:c>
      <x:c r="J17" s="3" t="str">
        <x:f>IF(Master!K332="","",Master!K332)</x:f>
        <x:v>No</x:v>
      </x:c>
      <x:c r="K17" s="3" t="str">
        <x:f>IF(Master!L332="","",Master!L332)</x:f>
        <x:v>No</x:v>
      </x:c>
      <x:c r="L17" s="3" t="str">
        <x:f>IF(Master!M332="","",Master!M332)</x:f>
        <x:v>No</x:v>
      </x:c>
      <x:c r="M17" s="3" t="str">
        <x:f>IF(Master!N332="","",Master!N332)</x:f>
        <x:v>Yes: Discord-like bot compatibility</x:v>
      </x:c>
      <x:c r="N17" s="3" t="str">
        <x:f>IF(Master!O332="","",Master!O332)</x:f>
        <x:v>No</x:v>
      </x:c>
      <x:c r="O17" s="3" t="str">
        <x:f>IF(Master!P332="","",Master!P332)</x:f>
        <x:v>No</x:v>
      </x:c>
      <x:c r="P17" s="3" t="str">
        <x:f>IF(Master!Q332="","",Master!Q332)</x:f>
        <x:v>No</x:v>
      </x:c>
      <x:c r="Q17" s="3" t="str">
        <x:f>IF(Master!R332="","",Master!R332)</x:f>
        <x:v>No</x:v>
      </x:c>
      <x:c r="R17" s="3" t="str">
        <x:f>IF(Master!S332="","",Master!S332)</x:f>
        <x:v>No</x:v>
      </x:c>
      <x:c r="S17" s="3" t="str">
        <x:f>IF(Master!T332="","",Master!T332)</x:f>
        <x:v>No</x:v>
      </x:c>
      <x:c r="T17" s="3" t="str">
        <x:f>IF(Master!U332="","",Master!U332)</x:f>
        <x:v>No</x:v>
      </x:c>
      <x:c r="U17" s="3" t="str">
        <x:f>IF(Master!V332="","",Master!V332)</x:f>
        <x:v>No</x:v>
      </x:c>
      <x:c r="V17" s="3" t="str">
        <x:f>IF(Master!W332="","",Master!W332)</x:f>
        <x:v>No</x:v>
      </x:c>
      <x:c r="W17" s="3" t="str">
        <x:f>IF(Master!X332="","",Master!X332)</x:f>
        <x:v>No</x:v>
      </x:c>
      <x:c r="X17" s="3" t="str">
        <x:f>IF(Master!Y332="","",Master!Y332)</x:f>
        <x:v>No</x:v>
      </x:c>
      <x:c r="Y17" s="3" t="str">
        <x:f>IF(Master!Z332="","",Master!Z332)</x:f>
        <x:v>Yes: major design goal</x:v>
      </x:c>
      <x:c r="Z17" s="3" t="str">
        <x:f>IF(Master!AA332="","",Master!AA332)</x:f>
        <x:v>No</x:v>
      </x:c>
      <x:c r="AA17" s="6" t="str">
        <x:f>IF(Master!AB332="","",Master!AB332)</x:f>
        <x:v>No</x:v>
      </x:c>
      <x:c r="AB17" s="3" t="str">
        <x:f>IF(Master!AC332="","",Master!AC332)</x:f>
        <x:v>No</x:v>
      </x:c>
      <x:c r="AC17" s="3" t="str">
        <x:f>IF(Master!AD332="","",Master!AD332)</x:f>
        <x:v>No</x:v>
      </x:c>
      <x:c r="AD17" s="3" t="str">
        <x:f>IF(Master!AE332="","",Master!AE332)</x:f>
        <x:v>No</x:v>
      </x:c>
      <x:c r="AE17" s="3" t="str">
        <x:f>IF(Master!AF332="","",Master!AF332)</x:f>
        <x:v>No</x:v>
      </x:c>
      <x:c r="AF17" s="8" t="str">
        <x:f>IF(Master!AG332="","",Master!AG332)</x:f>
        <x:v>No</x:v>
      </x:c>
    </x:row>
    <x:row r="18" ht="36" customHeight="1">
      <x:c r="A18" s="17" t="s">
        <x:v>118</x:v>
      </x:c>
      <x:c r="B18" s="3" t="str">
        <x:f>IF(Master!C333="","",Master!C333)</x:f>
        <x:v>Closed-source core service/client</x:v>
      </x:c>
      <x:c r="C18" s="3" t="str">
        <x:f>IF(Master!D333="","",Master!D333)</x:f>
        <x:v>Open source</x:v>
      </x:c>
      <x:c r="D18" s="3" t="str">
        <x:f>IF(Master!E333="","",Master!E333)</x:f>
        <x:v>AGPL-3.0 open source</x:v>
      </x:c>
      <x:c r="E18" s="3" t="str">
        <x:f>IF(Master!F333="","",Master!F333)</x:f>
        <x:v>Closed source currently</x:v>
      </x:c>
      <x:c r="F18" s="3" t="str">
        <x:f>IF(Master!G333="","",Master!G333)</x:f>
        <x:v>Closed source during alpha; full source release planned</x:v>
      </x:c>
      <x:c r="G18" s="3" t="str">
        <x:f>IF(Master!H333="","",Master!H333)</x:f>
        <x:v>AGPL-3.0 open-source stack</x:v>
      </x:c>
      <x:c r="H18" s="3" t="str">
        <x:f>IF(Master!I333="","",Master!I333)</x:f>
        <x:v>Closed source</x:v>
      </x:c>
      <x:c r="I18" s="3" t="str">
        <x:f>IF(Master!J333="","",Master!J333)</x:f>
        <x:v>Open source</x:v>
      </x:c>
      <x:c r="J18" s="3" t="str">
        <x:f>IF(Master!K333="","",Master!K333)</x:f>
        <x:v>Open source</x:v>
      </x:c>
      <x:c r="K18" s="3" t="str">
        <x:f>IF(Master!L333="","",Master!L333)</x:f>
        <x:v>MIT original code</x:v>
      </x:c>
      <x:c r="L18" s="3" t="str">
        <x:f>IF(Master!M333="","",Master!M333)</x:f>
        <x:v>Closed source</x:v>
      </x:c>
      <x:c r="M18" s="3" t="str">
        <x:f>IF(Master!N333="","",Master!N333)</x:f>
      </x:c>
      <x:c r="N18" s="3" t="str">
        <x:f>IF(Master!O333="","",Master!O333)</x:f>
        <x:v>Protocol/spec open; implementations vary; many are FOSS</x:v>
      </x:c>
      <x:c r="O18" s="3" t="str">
        <x:f>IF(Master!P333="","",Master!P333)</x:f>
        <x:v>Open-source/community code plus commercial editions</x:v>
      </x:c>
      <x:c r="P18" s="3" t="str">
        <x:f>IF(Master!Q333="","",Master!Q333)</x:f>
        <x:v>Open-source repository</x:v>
      </x:c>
      <x:c r="Q18" s="3" t="str">
        <x:f>IF(Master!R333="","",Master!R333)</x:f>
        <x:v>BSD-style open source</x:v>
      </x:c>
      <x:c r="R18" s="3" t="str">
        <x:f>IF(Master!S333="","",Master!S333)</x:f>
        <x:v>Open-source client/server</x:v>
      </x:c>
      <x:c r="S18" s="3" t="str">
        <x:f>IF(Master!T333="","",Master!T333)</x:f>
        <x:v>Mixed/partial open source</x:v>
      </x:c>
      <x:c r="T18" s="3" t="str">
        <x:f>IF(Master!U333="","",Master!U333)</x:f>
        <x:v>AGPL-3.0</x:v>
      </x:c>
      <x:c r="U18" s="3" t="str">
        <x:f>IF(Master!V333="","",Master!V333)</x:f>
        <x:v>Closed source</x:v>
      </x:c>
      <x:c r="V18" s="3" t="str">
        <x:f>IF(Master!W333="","",Master!W333)</x:f>
        <x:v>MIT/open-source core + enterprise portions</x:v>
      </x:c>
      <x:c r="W18" s="3" t="str">
        <x:f>IF(Master!X333="","",Master!X333)</x:f>
        <x:v>MPL-2.0 open source</x:v>
      </x:c>
      <x:c r="X18" s="3" t="str">
        <x:f>IF(Master!Y333="","",Master!Y333)</x:f>
        <x:v>Closed-source core platform; developer SDK/API public</x:v>
      </x:c>
      <x:c r="Y18" s="3" t="str">
        <x:f>IF(Master!Z333="","",Master!Z333)</x:f>
        <x:v>FOSS / AGPL-3.0 project</x:v>
      </x:c>
      <x:c r="Z18" s="3" t="str">
        <x:f>IF(Master!AA333="","",Master!AA333)</x:f>
        <x:v>Backend/web/self-host stack largely FOSS (AGPL-3.0; components vary)</x:v>
      </x:c>
      <x:c r="AA18" s="6" t="str">
        <x:f>IF(Master!AB333="","",Master!AB333)</x:f>
        <x:v>Proprietary core</x:v>
      </x:c>
      <x:c r="AB18" s="3" t="str">
        <x:f>IF(Master!AC333="","",Master!AC333)</x:f>
        <x:v>AGPL-3.0 client/server</x:v>
      </x:c>
      <x:c r="AC18" s="3" t="str">
        <x:f>IF(Master!AD333="","",Master!AD333)</x:f>
        <x:v>Backend open; client planned</x:v>
      </x:c>
      <x:c r="AD18" s="3" t="str">
        <x:f>IF(Master!AE333="","",Master!AE333)</x:f>
        <x:v>Source-available</x:v>
      </x:c>
      <x:c r="AE18" s="3" t="str">
        <x:f>IF(Master!AF333="","",Master!AF333)</x:f>
      </x:c>
      <x:c r="AF18" s="8" t="str">
        <x:f>IF(Master!AG333="","",Master!AG333)</x:f>
        <x:v>Apache-2.0 open source</x:v>
      </x:c>
    </x:row>
    <x:row r="19" ht="36" customHeight="1">
      <x:c r="A19" s="17" t="s">
        <x:v>588</x:v>
      </x:c>
      <x:c r="B19" s="3" t="str">
        <x:f>IF(Master!C334="","",Master!C334)</x:f>
        <x:v>Discord Inc.</x:v>
      </x:c>
      <x:c r="C19" s="3" t="str">
        <x:f>IF(Master!D334="","",Master!D334)</x:f>
        <x:v>Soapbox/Armada contributors</x:v>
      </x:c>
      <x:c r="D19" s="3" t="str">
        <x:f>IF(Master!E334="","",Master!E334)</x:f>
        <x:v>DCTS project/maintainer</x:v>
      </x:c>
      <x:c r="E19" s="3" t="str">
        <x:f>IF(Master!F334="","",Master!F334)</x:f>
        <x:v>Small Canadian team</x:v>
      </x:c>
      <x:c r="F19" s="3" t="str">
        <x:f>IF(Master!G334="","",Master!G334)</x:f>
        <x:v>Fenrid LLC / founder-led</x:v>
      </x:c>
      <x:c r="G19" s="3" t="str">
        <x:f>IF(Master!H334="","",Master!H334)</x:f>
        <x:v>Fluxer Platform AB + OSS contributors</x:v>
      </x:c>
      <x:c r="H19" s="3" t="str">
        <x:f>IF(Master!I334="","",Master!I334)</x:f>
        <x:v>LightSpeed Gaming LLC</x:v>
      </x:c>
      <x:c r="I19" s="3" t="str">
        <x:f>IF(Master!J334="","",Master!J334)</x:f>
        <x:v>MelodyChat community</x:v>
      </x:c>
      <x:c r="J19" s="3" t="str">
        <x:f>IF(Master!K334="","",Master!K334)</x:f>
        <x:v>Solo developer</x:v>
      </x:c>
      <x:c r="K19" s="3" t="str">
        <x:f>IF(Master!L334="","",Master!L334)</x:f>
        <x:v>Solo maintainer; public MIT repository</x:v>
      </x:c>
      <x:c r="L19" s="3" t="str">
        <x:f>IF(Master!M334="","",Master!M334)</x:f>
        <x:v>Kloak team</x:v>
      </x:c>
      <x:c r="M19" s="3" t="str">
        <x:f>IF(Master!N334="","",Master!N334)</x:f>
        <x:v>Loqa project/team</x:v>
      </x:c>
      <x:c r="N19" s="3" t="str">
        <x:f>IF(Master!O334="","",Master!O334)</x:f>
        <x:v>Matrix.org Foundation + independent ecosystem</x:v>
      </x:c>
      <x:c r="O19" s="3" t="str">
        <x:f>IF(Master!P334="","",Master!P334)</x:f>
        <x:v>Mattermost, Inc. + community</x:v>
      </x:c>
      <x:c r="P19" s="3" t="str">
        <x:f>IF(Master!Q334="","",Master!Q334)</x:f>
        <x:v>Mezon team/company</x:v>
      </x:c>
      <x:c r="Q19" s="3" t="str">
        <x:f>IF(Master!R334="","",Master!R334)</x:f>
        <x:v>Mumble open-source community</x:v>
      </x:c>
      <x:c r="R19" s="3" t="str">
        <x:f>IF(Master!S334="","",Master!S334)</x:f>
        <x:v>Nerimity maintainer/community</x:v>
      </x:c>
      <x:c r="S19" s="3" t="str">
        <x:f>IF(Master!T334="","",Master!T334)</x:f>
        <x:v>Osmium team/company</x:v>
      </x:c>
      <x:c r="T19" s="3" t="str">
        <x:f>IF(Master!U334="","",Master!U334)</x:f>
        <x:v>Independently run, built in the open</x:v>
      </x:c>
      <x:c r="U19" s="3" t="str">
        <x:f>IF(Master!V334="","",Master!V334)</x:f>
        <x:v>Rift Communications LLC</x:v>
      </x:c>
      <x:c r="V19" s="3" t="str">
        <x:f>IF(Master!W334="","",Master!W334)</x:f>
        <x:v>Rocket.Chat company + community</x:v>
      </x:c>
      <x:c r="W19" s="3" t="str">
        <x:f>IF(Master!X334="","",Master!X334)</x:f>
        <x:v>Muni Town / open-source contributors</x:v>
      </x:c>
      <x:c r="X19" s="3" t="str">
        <x:f>IF(Master!Y334="","",Master!Y334)</x:f>
        <x:v>Root Communications, Inc.</x:v>
      </x:c>
      <x:c r="Y19" s="3" t="str">
        <x:f>IF(Master!Z334="","",Master!Z334)</x:f>
        <x:v>Volunteer Spacebar project</x:v>
      </x:c>
      <x:c r="Z19" s="3" t="str">
        <x:f>IF(Master!AA334="","",Master!AA334)</x:f>
        <x:v>Stoat open-source project/team</x:v>
      </x:c>
      <x:c r="AA19" s="6" t="str">
        <x:f>IF(Master!AB334="","",Master!AB334)</x:f>
        <x:v>TeamSpeak commercial company</x:v>
      </x:c>
      <x:c r="AB19" s="3" t="str">
        <x:f>IF(Master!AC334="","",Master!AC334)</x:f>
        <x:v>Valour Software LLC/volunteers</x:v>
      </x:c>
      <x:c r="AC19" s="3" t="str">
        <x:f>IF(Master!AD334="","",Master!AD334)</x:f>
        <x:v>AlpineBits/Venta team</x:v>
      </x:c>
      <x:c r="AD19" s="3" t="str">
        <x:f>IF(Master!AE334="","",Master!AE334)</x:f>
        <x:v>Solo developer</x:v>
      </x:c>
      <x:c r="AE19" s="3" t="str">
        <x:f>IF(Master!AF334="","",Master!AF334)</x:f>
        <x:v>Yapper team (Portugal)</x:v>
      </x:c>
      <x:c r="AF19" s="8" t="str">
        <x:f>IF(Master!AG334="","",Master!AG334)</x:f>
        <x:v>Kandra Labs / Zulip community</x:v>
      </x:c>
    </x:row>
    <x:row r="20" ht="36" customHeight="1">
      <x:c r="A20" s="17" t="s">
        <x:v>119</x:v>
      </x:c>
      <x:c r="B20" s="3" t="str">
        <x:f>IF(Master!C335="","",Master!C335)</x:f>
        <x:v>One vendor controls the service, accounts, official clients, and server backend.</x:v>
      </x:c>
      <x:c r="C20" s="3" t="str">
        <x:f>IF(Master!D335="","",Master!D335)</x:f>
        <x:v>Armada separates identity/content from a single platform host: keys are the account and relays are replaceable transport.</x:v>
      </x:c>
      <x:c r="D20" s="3" t="str">
        <x:f>IF(Master!E335="","",Master!E335)</x:f>
        <x:v>DCTS combines island-like community servers with a separate cross-server encrypted messenger.</x:v>
      </x:c>
      <x:c r="E20" s="3" t="str">
        <x:f>IF(Master!F335="","",Master!F335)</x:f>
        <x:v>Familiar Discord-style UX on a centralized service.</x:v>
      </x:c>
      <x:c r="F20" s="3" t="str">
        <x:f>IF(Master!G335="","",Master!G335)</x:f>
        <x:v>Privacy features are product-level, but it is currently a centralized service rather than a federated protocol.</x:v>
      </x:c>
      <x:c r="G20" s="3" t="str">
        <x:f>IF(Master!H335="","",Master!H335)</x:f>
        <x:v>Self-hosting exists now; federation is a separate roadmap item and should not be assumed.</x:v>
      </x:c>
      <x:c r="H20" s="3" t="str">
        <x:f>IF(Master!I335="","",Master!I335)</x:f>
        <x:v>Self-hosting exists, but instances are not documented as one federated network.</x:v>
      </x:c>
      <x:c r="I20" s="3" t="str">
        <x:f>IF(Master!J335="","",Master!J335)</x:f>
        <x:v>Harmony is the platform/API; Fermi is a client. This mirrors the Matrix/Element distinction conceptually, though Harmony is not Matrix.</x:v>
      </x:c>
      <x:c r="J20" s="3" t="str">
        <x:f>IF(Master!K335="","",Master!K335)</x:f>
        <x:v>There is no central account database: the user's keypair is the identity and message history lives locally.</x:v>
      </x:c>
      <x:c r="K20" s="3" t="str">
        <x:f>IF(Master!L335="","",Master!L335)</x:f>
        <x:v>Guild/conversation authority stays on its home instance; other homes replicate only permitted data</x:v>
      </x:c>
      <x:c r="L20" s="3" t="str">
        <x:f>IF(Master!M335="","",Master!M335)</x:f>
        <x:v>Privacy-minimal account design is distinct from decentralization/self-hosting.</x:v>
      </x:c>
      <x:c r="M20" s="3" t="str">
        <x:f>IF(Master!N335="","",Master!N335)</x:f>
        <x:v>Unlike a purely centralized clone, Loqa explicitly targets federation/self-hosting, but the architecture is still evolving.</x:v>
      </x:c>
      <x:c r="N20" s="3" t="str">
        <x:f>IF(Master!O335="","",Master!O335)</x:f>
        <x:v>Element is a Matrix client/vendor product. Matrix itself is the protocol and federated ecosystem.</x:v>
      </x:c>
      <x:c r="O20" s="3" t="str">
        <x:f>IF(Master!P335="","",Master!P335)</x:f>
        <x:v>Self-hosting gives data control, but separate Mattermost deployments do not form one interoperable federation.</x:v>
      </x:c>
      <x:c r="P20" s="3" t="str">
        <x:f>IF(Master!Q335="","",Master!Q335)</x:f>
        <x:v>Open source code does not by itself make Mezon a federated protocol like Matrix.</x:v>
      </x:c>
      <x:c r="Q20" s="3" t="str">
        <x:f>IF(Master!R335="","",Master!R335)</x:f>
        <x:v>A voice-first client/server system, not a Discord-style social platform.</x:v>
      </x:c>
      <x:c r="R20" s="3" t="str">
        <x:f>IF(Master!S335="","",Master!S335)</x:f>
        <x:v>Open source does not imply federation. The official project discourages self-hosting as a normal deployment model.</x:v>
      </x:c>
      <x:c r="S20" s="3" t="str">
        <x:f>IF(Master!T335="","",Master!T335)</x:f>
        <x:v>Regional distribution is not federation or self-hosting.</x:v>
      </x:c>
      <x:c r="T20" s="3" t="str">
        <x:f>IF(Master!U335="","",Master!U335)</x:f>
        <x:v>Self-hosting provides ownership, but instances are not one federated network.</x:v>
      </x:c>
      <x:c r="U20" s="3" t="str">
        <x:f>IF(Master!V335="","",Master!V335)</x:f>
        <x:v>Privacy policy choices (no email/phone/ID, EXIF stripping, no AI training) operate within a centralized service model.</x:v>
      </x:c>
      <x:c r="V20" s="3" t="str">
        <x:f>IF(Master!W335="","",Master!W335)</x:f>
        <x:v>Federation exists, but its feature set is narrower than local rooms and differs from Matrix-as-a-platform.</x:v>
      </x:c>
      <x:c r="W20" s="3" t="str">
        <x:f>IF(Master!X335="","",Master!X335)</x:f>
        <x:v>Roomy is an ATProto application, not a generic centralized Discord clone.</x:v>
      </x:c>
      <x:c r="X20" s="3" t="str">
        <x:f>IF(Master!Y335="","",Master!Y335)</x:f>
        <x:v>Apps/Bots are hosted inside Root; they extend Root but do not make it self-hosted/federated.</x:v>
      </x:c>
      <x:c r="Y20" s="3" t="str">
        <x:f>IF(Master!Z335="","",Master!Z335)</x:f>
        <x:v>Spacebar reproduces Discord's client-server API model; it is not a federated network.</x:v>
      </x:c>
      <x:c r="Z20" s="3" t="str">
        <x:f>IF(Master!AA335="","",Master!AA335)</x:f>
        <x:v>Self-hostable does not mean federated. Separate Stoat instances do not automatically interoperate.</x:v>
      </x:c>
      <x:c r="AA20" s="6" t="str">
        <x:f>IF(Master!AB335="","",Master!AB335)</x:f>
        <x:v>Server ownership can be independent, but TeamSpeak servers do not federate into one network.</x:v>
      </x:c>
      <x:c r="AB20" s="3" t="str">
        <x:f>IF(Master!AC335="","",Master!AC335)</x:f>
        <x:v>Valour is one open-source platform/client-server stack, not a general protocol ecosystem like Matrix.</x:v>
      </x:c>
      <x:c r="AC20" s="3" t="str">
        <x:f>IF(Master!AD335="","",Master!AD335)</x:f>
        <x:v>Current and planned architecture differ; mark federation/self-hosting as in progress, not complete.</x:v>
      </x:c>
      <x:c r="AD20" s="3" t="str">
        <x:f>IF(Master!AE335="","",Master!AE335)</x:f>
        <x:v>Weered intentionally uses game lobbies/rooms rather than cloning Discord's server/channel information architecture.</x:v>
      </x:c>
      <x:c r="AE20" s="3" t="str">
        <x:f>IF(Master!AF335="","",Master!AF335)</x:f>
        <x:v>Like TeamSpeak, operator owns the server; unlike Matrix, servers are not documented as federated.</x:v>
      </x:c>
      <x:c r="AF20" s="8" t="str">
        <x:f>IF(Master!AG335="","",Master!AG335)</x:f>
        <x:v>Multiple deployments are independent. Zulip is an application, not a federated protocol.</x:v>
      </x:c>
    </x:row>
    <x:row r="21" ht="23.100000381469727" customHeight="1">
      <x:c r="A21" s="17" t="s">
        <x:v>589</x:v>
      </x:c>
      <x:c r="B21" s="4" t="str">
        <x:f>IF(Master!C336="","",Master!C336)</x:f>
      </x:c>
      <x:c r="C21" s="4" t="str">
        <x:f>IF(Master!D336="","",Master!D336)</x:f>
      </x:c>
      <x:c r="D21" s="4" t="str">
        <x:f>IF(Master!E336="","",Master!E336)</x:f>
      </x:c>
      <x:c r="E21" s="4" t="str">
        <x:f>IF(Master!F336="","",Master!F336)</x:f>
      </x:c>
      <x:c r="F21" s="4" t="str">
        <x:f>IF(Master!G336="","",Master!G336)</x:f>
      </x:c>
      <x:c r="G21" s="4" t="str">
        <x:f>IF(Master!H336="","",Master!H336)</x:f>
      </x:c>
      <x:c r="H21" s="4" t="str">
        <x:f>IF(Master!I336="","",Master!I336)</x:f>
      </x:c>
      <x:c r="I21" s="4" t="str">
        <x:f>IF(Master!J336="","",Master!J336)</x:f>
      </x:c>
      <x:c r="J21" s="4" t="str">
        <x:f>IF(Master!K336="","",Master!K336)</x:f>
      </x:c>
      <x:c r="K21" s="4" t="str">
        <x:f>IF(Master!L336="","",Master!L336)</x:f>
        <x:v>One account on one home can access federated guilds/DMs across other instances</x:v>
      </x:c>
      <x:c r="L21" s="4" t="str">
        <x:f>IF(Master!M336="","",Master!M336)</x:f>
      </x:c>
      <x:c r="M21" s="4" t="str">
        <x:f>IF(Master!N336="","",Master!N336)</x:f>
      </x:c>
      <x:c r="N21" s="4" t="str">
        <x:f>IF(Master!O336="","",Master!O336)</x:f>
      </x:c>
      <x:c r="O21" s="4" t="str">
        <x:f>IF(Master!P336="","",Master!P336)</x:f>
      </x:c>
      <x:c r="P21" s="4" t="str">
        <x:f>IF(Master!Q336="","",Master!Q336)</x:f>
      </x:c>
      <x:c r="Q21" s="4" t="str">
        <x:f>IF(Master!R336="","",Master!R336)</x:f>
      </x:c>
      <x:c r="R21" s="4" t="str">
        <x:f>IF(Master!S336="","",Master!S336)</x:f>
      </x:c>
      <x:c r="S21" s="4" t="str">
        <x:f>IF(Master!T336="","",Master!T336)</x:f>
      </x:c>
      <x:c r="T21" s="4" t="str">
        <x:f>IF(Master!U336="","",Master!U336)</x:f>
      </x:c>
      <x:c r="U21" s="4" t="str">
        <x:f>IF(Master!V336="","",Master!V336)</x:f>
      </x:c>
      <x:c r="V21" s="4" t="str">
        <x:f>IF(Master!W336="","",Master!W336)</x:f>
      </x:c>
      <x:c r="W21" s="4" t="str">
        <x:f>IF(Master!X336="","",Master!X336)</x:f>
      </x:c>
      <x:c r="X21" s="4" t="str">
        <x:f>IF(Master!Y336="","",Master!Y336)</x:f>
      </x:c>
      <x:c r="Y21" s="4" t="str">
        <x:f>IF(Master!Z336="","",Master!Z336)</x:f>
      </x:c>
      <x:c r="Z21" s="4" t="str">
        <x:f>IF(Master!AA336="","",Master!AA336)</x:f>
      </x:c>
      <x:c r="AA21" s="5" t="str">
        <x:f>IF(Master!AB336="","",Master!AB336)</x:f>
      </x:c>
      <x:c r="AB21" s="4" t="str">
        <x:f>IF(Master!AC336="","",Master!AC336)</x:f>
      </x:c>
      <x:c r="AC21" s="4" t="str">
        <x:f>IF(Master!AD336="","",Master!AD336)</x:f>
      </x:c>
      <x:c r="AD21" s="4" t="str">
        <x:f>IF(Master!AE336="","",Master!AE336)</x:f>
      </x:c>
      <x:c r="AE21" s="4" t="str">
        <x:f>IF(Master!AF336="","",Master!AF336)</x:f>
      </x:c>
      <x:c r="AF21" s="8" t="str">
        <x:f>IF(Master!AG336="","",Master!AG336)</x:f>
      </x:c>
    </x:row>
    <x:row r="22" ht="36" customHeight="1">
      <x:c r="A22" s="17" t="s">
        <x:v>590</x:v>
      </x:c>
      <x:c r="B22" s="3" t="str">
        <x:f>IF(Master!C337="","",Master!C337)</x:f>
        <x:v>Yes</x:v>
      </x:c>
      <x:c r="C22" s="3" t="str">
        <x:f>IF(Master!D337="","",Master!D337)</x:f>
      </x:c>
      <x:c r="D22" s="3" t="str">
        <x:f>IF(Master!E337="","",Master!E337)</x:f>
      </x:c>
      <x:c r="E22" s="3" t="str">
        <x:f>IF(Master!F337="","",Master!F337)</x:f>
      </x:c>
      <x:c r="F22" s="3" t="str">
        <x:f>IF(Master!G337="","",Master!G337)</x:f>
      </x:c>
      <x:c r="G22" s="3" t="str">
        <x:f>IF(Master!H337="","",Master!H337)</x:f>
      </x:c>
      <x:c r="H22" s="3" t="str">
        <x:f>IF(Master!I337="","",Master!I337)</x:f>
      </x:c>
      <x:c r="I22" s="3" t="str">
        <x:f>IF(Master!J337="","",Master!J337)</x:f>
      </x:c>
      <x:c r="J22" s="3" t="str">
        <x:f>IF(Master!K337="","",Master!K337)</x:f>
      </x:c>
      <x:c r="K22" s="3" t="str">
        <x:f>IF(Master!L337="","",Master!L337)</x:f>
        <x:v>No central Kaede-wide account; an account on a chosen home is required</x:v>
      </x:c>
      <x:c r="L22" s="3" t="str">
        <x:f>IF(Master!M337="","",Master!M337)</x:f>
      </x:c>
      <x:c r="M22" s="3" t="str">
        <x:f>IF(Master!N337="","",Master!N337)</x:f>
      </x:c>
      <x:c r="N22" s="3" t="str">
        <x:f>IF(Master!O337="","",Master!O337)</x:f>
        <x:v>Provider/homeserver account</x:v>
      </x:c>
      <x:c r="O22" s="3" t="str">
        <x:f>IF(Master!P337="","",Master!P337)</x:f>
      </x:c>
      <x:c r="P22" s="3" t="str">
        <x:f>IF(Master!Q337="","",Master!Q337)</x:f>
      </x:c>
      <x:c r="Q22" s="3" t="str">
        <x:f>IF(Master!R337="","",Master!R337)</x:f>
      </x:c>
      <x:c r="R22" s="3" t="str">
        <x:f>IF(Master!S337="","",Master!S337)</x:f>
      </x:c>
      <x:c r="S22" s="3" t="str">
        <x:f>IF(Master!T337="","",Master!T337)</x:f>
      </x:c>
      <x:c r="T22" s="3" t="str">
        <x:f>IF(Master!U337="","",Master!U337)</x:f>
      </x:c>
      <x:c r="U22" s="3" t="str">
        <x:f>IF(Master!V337="","",Master!V337)</x:f>
        <x:v>Yes</x:v>
      </x:c>
      <x:c r="V22" s="3" t="str">
        <x:f>IF(Master!W337="","",Master!W337)</x:f>
      </x:c>
      <x:c r="W22" s="3" t="str">
        <x:f>IF(Master!X337="","",Master!X337)</x:f>
      </x:c>
      <x:c r="X22" s="3" t="str">
        <x:f>IF(Master!Y337="","",Master!Y337)</x:f>
      </x:c>
      <x:c r="Y22" s="3" t="str">
        <x:f>IF(Master!Z337="","",Master!Z337)</x:f>
      </x:c>
      <x:c r="Z22" s="3" t="str">
        <x:f>IF(Master!AA337="","",Master!AA337)</x:f>
        <x:v>Hosted account or self-host operator</x:v>
      </x:c>
      <x:c r="AA22" s="6" t="str">
        <x:f>IF(Master!AB337="","",Master!AB337)</x:f>
      </x:c>
      <x:c r="AB22" s="3" t="str">
        <x:f>IF(Master!AC337="","",Master!AC337)</x:f>
      </x:c>
      <x:c r="AC22" s="3" t="str">
        <x:f>IF(Master!AD337="","",Master!AD337)</x:f>
      </x:c>
      <x:c r="AD22" s="3" t="str">
        <x:f>IF(Master!AE337="","",Master!AE337)</x:f>
      </x:c>
      <x:c r="AE22" s="3" t="str">
        <x:f>IF(Master!AF337="","",Master!AF337)</x:f>
      </x:c>
      <x:c r="AF22" s="8" t="str">
        <x:f>IF(Master!AG337="","",Master!AG337)</x:f>
      </x:c>
    </x:row>
    <x:row r="23" ht="36" customHeight="1">
      <x:c r="A23" s="17" t="s">
        <x:v>591</x:v>
      </x:c>
      <x:c r="B23" s="3" t="str">
        <x:f>IF(Master!C338="","",Master!C338)</x:f>
        <x:v>No</x:v>
      </x:c>
      <x:c r="C23" s="3" t="str">
        <x:f>IF(Master!D338="","",Master!D338)</x:f>
      </x:c>
      <x:c r="D23" s="3" t="str">
        <x:f>IF(Master!E338="","",Master!E338)</x:f>
      </x:c>
      <x:c r="E23" s="3" t="str">
        <x:f>IF(Master!F338="","",Master!F338)</x:f>
      </x:c>
      <x:c r="F23" s="3" t="str">
        <x:f>IF(Master!G338="","",Master!G338)</x:f>
      </x:c>
      <x:c r="G23" s="3" t="str">
        <x:f>IF(Master!H338="","",Master!H338)</x:f>
      </x:c>
      <x:c r="H23" s="3" t="str">
        <x:f>IF(Master!I338="","",Master!I338)</x:f>
      </x:c>
      <x:c r="I23" s="3" t="str">
        <x:f>IF(Master!J338="","",Master!J338)</x:f>
      </x:c>
      <x:c r="J23" s="3" t="str">
        <x:f>IF(Master!K338="","",Master!K338)</x:f>
      </x:c>
      <x:c r="K23" s="3" t="str">
        <x:f>IF(Master!L338="","",Master!L338)</x:f>
        <x:v>Yes: self-host on a custom domain; handles are username@domain</x:v>
      </x:c>
      <x:c r="L23" s="3" t="str">
        <x:f>IF(Master!M338="","",Master!M338)</x:f>
      </x:c>
      <x:c r="M23" s="3" t="str">
        <x:f>IF(Master!N338="","",Master!N338)</x:f>
      </x:c>
      <x:c r="N23" s="3" t="str">
        <x:f>IF(Master!O338="","",Master!O338)</x:f>
      </x:c>
      <x:c r="O23" s="3" t="str">
        <x:f>IF(Master!P338="","",Master!P338)</x:f>
        <x:v>Yes: self-hosted</x:v>
      </x:c>
      <x:c r="P23" s="3" t="str">
        <x:f>IF(Master!Q338="","",Master!Q338)</x:f>
      </x:c>
      <x:c r="Q23" s="3" t="str">
        <x:f>IF(Master!R338="","",Master!R338)</x:f>
      </x:c>
      <x:c r="R23" s="3" t="str">
        <x:f>IF(Master!S338="","",Master!S338)</x:f>
      </x:c>
      <x:c r="S23" s="3" t="str">
        <x:f>IF(Master!T338="","",Master!T338)</x:f>
      </x:c>
      <x:c r="T23" s="3" t="str">
        <x:f>IF(Master!U338="","",Master!U338)</x:f>
      </x:c>
      <x:c r="U23" s="3" t="str">
        <x:f>IF(Master!V338="","",Master!V338)</x:f>
        <x:v>No public self-hosting</x:v>
      </x:c>
      <x:c r="V23" s="3" t="str">
        <x:f>IF(Master!W338="","",Master!W338)</x:f>
        <x:v>Yes: self-managed</x:v>
      </x:c>
      <x:c r="W23" s="3" t="str">
        <x:f>IF(Master!X338="","",Master!X338)</x:f>
      </x:c>
      <x:c r="X23" s="3" t="str">
        <x:f>IF(Master!Y338="","",Master!Y338)</x:f>
      </x:c>
      <x:c r="Y23" s="3" t="str">
        <x:f>IF(Master!Z338="","",Master!Z338)</x:f>
      </x:c>
      <x:c r="Z23" s="3" t="str">
        <x:f>IF(Master!AA338="","",Master!AA338)</x:f>
      </x:c>
      <x:c r="AA23" s="6" t="str">
        <x:f>IF(Master!AB338="","",Master!AB338)</x:f>
      </x:c>
      <x:c r="AB23" s="3" t="str">
        <x:f>IF(Master!AC338="","",Master!AC338)</x:f>
      </x:c>
      <x:c r="AC23" s="3" t="str">
        <x:f>IF(Master!AD338="","",Master!AD338)</x:f>
      </x:c>
      <x:c r="AD23" s="3" t="str">
        <x:f>IF(Master!AE338="","",Master!AE338)</x:f>
      </x:c>
      <x:c r="AE23" s="3" t="str">
        <x:f>IF(Master!AF338="","",Master!AF338)</x:f>
      </x:c>
      <x:c r="AF23" s="8" t="str">
        <x:f>IF(Master!AG338="","",Master!AG338)</x:f>
        <x:v>Yes: self-hosted</x:v>
      </x:c>
    </x:row>
    <x:row r="24" ht="36" customHeight="1">
      <x:c r="A24" s="17" t="s">
        <x:v>592</x:v>
      </x:c>
      <x:c r="B24" s="3" t="str">
        <x:f>IF(Master!C339="","",Master!C339)</x:f>
        <x:v>Third-party</x:v>
      </x:c>
      <x:c r="C24" s="3" t="str">
        <x:f>IF(Master!D339="","",Master!D339)</x:f>
      </x:c>
      <x:c r="D24" s="3" t="str">
        <x:f>IF(Master!E339="","",Master!E339)</x:f>
      </x:c>
      <x:c r="E24" s="3" t="str">
        <x:f>IF(Master!F339="","",Master!F339)</x:f>
      </x:c>
      <x:c r="F24" s="3" t="str">
        <x:f>IF(Master!G339="","",Master!G339)</x:f>
      </x:c>
      <x:c r="G24" s="3" t="str">
        <x:f>IF(Master!H339="","",Master!H339)</x:f>
      </x:c>
      <x:c r="H24" s="3" t="str">
        <x:f>IF(Master!I339="","",Master!I339)</x:f>
      </x:c>
      <x:c r="I24" s="3" t="str">
        <x:f>IF(Master!J339="","",Master!J339)</x:f>
      </x:c>
      <x:c r="J24" s="3" t="str">
        <x:f>IF(Master!K339="","",Master!K339)</x:f>
      </x:c>
      <x:c r="K24" s="3" t="str">
        <x:f>IF(Master!L339="","",Master!L339)</x:f>
        <x:v>Yes: official Discord↔Kaede bridge bot; broader bridge ecosystem is still early</x:v>
      </x:c>
      <x:c r="L24" s="3" t="str">
        <x:f>IF(Master!M339="","",Master!M339)</x:f>
      </x:c>
      <x:c r="M24" s="3" t="str">
        <x:f>IF(Master!N339="","",Master!N339)</x:f>
      </x:c>
      <x:c r="N24" s="3" t="str">
        <x:f>IF(Master!O339="","",Master!O339)</x:f>
        <x:v>Extensive bridge ecosystem</x:v>
      </x:c>
      <x:c r="O24" s="3" t="str">
        <x:f>IF(Master!P339="","",Master!P339)</x:f>
        <x:v>Integrations/plugins</x:v>
      </x:c>
      <x:c r="P24" s="3" t="str">
        <x:f>IF(Master!Q339="","",Master!Q339)</x:f>
      </x:c>
      <x:c r="Q24" s="3" t="str">
        <x:f>IF(Master!R339="","",Master!R339)</x:f>
      </x:c>
      <x:c r="R24" s="3" t="str">
        <x:f>IF(Master!S339="","",Master!S339)</x:f>
      </x:c>
      <x:c r="S24" s="3" t="str">
        <x:f>IF(Master!T339="","",Master!T339)</x:f>
      </x:c>
      <x:c r="T24" s="3" t="str">
        <x:f>IF(Master!U339="","",Master!U339)</x:f>
      </x:c>
      <x:c r="U24" s="3" t="str">
        <x:f>IF(Master!V339="","",Master!V339)</x:f>
      </x:c>
      <x:c r="V24" s="3" t="str">
        <x:f>IF(Master!W339="","",Master!W339)</x:f>
      </x:c>
      <x:c r="W24" s="3" t="str">
        <x:f>IF(Master!X339="","",Master!X339)</x:f>
      </x:c>
      <x:c r="X24" s="3" t="str">
        <x:f>IF(Master!Y339="","",Master!Y339)</x:f>
      </x:c>
      <x:c r="Y24" s="3" t="str">
        <x:f>IF(Master!Z339="","",Master!Z339)</x:f>
      </x:c>
      <x:c r="Z24" s="3" t="str">
        <x:f>IF(Master!AA339="","",Master!AA339)</x:f>
      </x:c>
      <x:c r="AA24" s="6" t="str">
        <x:f>IF(Master!AB339="","",Master!AB339)</x:f>
      </x:c>
      <x:c r="AB24" s="3" t="str">
        <x:f>IF(Master!AC339="","",Master!AC339)</x:f>
      </x:c>
      <x:c r="AC24" s="3" t="str">
        <x:f>IF(Master!AD339="","",Master!AD339)</x:f>
      </x:c>
      <x:c r="AD24" s="3" t="str">
        <x:f>IF(Master!AE339="","",Master!AE339)</x:f>
      </x:c>
      <x:c r="AE24" s="3" t="str">
        <x:f>IF(Master!AF339="","",Master!AF339)</x:f>
      </x:c>
      <x:c r="AF24" s="8" t="str">
        <x:f>IF(Master!AG339="","",Master!AG339)</x:f>
        <x:v>IRC/Jabber mirrors/integrations</x:v>
      </x:c>
    </x:row>
  </x:sheetData>
  <x:mergeCells>
    <x:mergeCell ref="A1:A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Directory'!A1","Architecture &amp; Licensing"),"Architecture &amp; Licensing")</x:f>
        <x:v>Architecture &amp; Licensing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593</x:v>
      </x:c>
      <x:c r="B3" s="3" t="str">
        <x:f>IF(Master!C340="","",Master!C340)</x:f>
        <x:v>Centralized cloud service</x:v>
      </x:c>
      <x:c r="C3" s="3" t="str">
        <x:f>IF(Master!D340="","",Master!D340)</x:f>
        <x:v>Decentralized Nostr-based communities; hosted app available; client, relay and LiveKit voice are self-hostable</x:v>
      </x:c>
      <x:c r="D3" s="3" t="str">
        <x:f>IF(Master!E340="","",Master!E340)</x:f>
        <x:v>Self-hosted only; decentralized home-server messenger</x:v>
      </x:c>
      <x:c r="E3" s="3" t="str">
        <x:f>IF(Master!F340="","",Master!F340)</x:f>
        <x:v>Centralized hosted service</x:v>
      </x:c>
      <x:c r="F3" s="3" t="str">
        <x:f>IF(Master!G340="","",Master!G340)</x:f>
        <x:v>Centralized hosted-first service</x:v>
      </x:c>
      <x:c r="G3" s="3" t="str">
        <x:f>IF(Master!H340="","",Master!H340)</x:f>
        <x:v>Hosted service + self-hostable independent instances</x:v>
      </x:c>
      <x:c r="H3" s="3" t="str">
        <x:f>IF(Master!I340="","",Master!I340)</x:f>
        <x:v>Hosted + self-hosted</x:v>
      </x:c>
      <x:c r="I3" s="3" t="str">
        <x:f>IF(Master!J340="","",Master!J340)</x:f>
        <x:v>Hosted service + self-hostable open-source deployment</x:v>
      </x:c>
      <x:c r="J3" s="3" t="str">
        <x:f>IF(Master!K340="","",Master!K340)</x:f>
        <x:v>Distributed local-first relay-based; self-hostable relay</x:v>
      </x:c>
      <x:c r="K3" s="3" t="str">
        <x:f>IF(Master!L340="","",Master!L340)</x:f>
        <x:v>Federated + self-hosted; official kaede.chat home instance also exists</x:v>
      </x:c>
      <x:c r="L3" s="3" t="str">
        <x:f>IF(Master!M340="","",Master!M340)</x:f>
        <x:v>Centralized hosted service</x:v>
      </x:c>
      <x:c r="M3" s="3" t="str">
        <x:f>IF(Master!N340="","",Master!N340)</x:f>
        <x:v>Hosted + self-hosting option; federation-oriented</x:v>
      </x:c>
      <x:c r="N3" s="3" t="str">
        <x:f>IF(Master!O340="","",Master!O340)</x:f>
        <x:v>Federated protocol/ecosystem; self-hosted or hosted homeservers</x:v>
      </x:c>
      <x:c r="O3" s="3" t="str">
        <x:f>IF(Master!P340="","",Master!P340)</x:f>
        <x:v>Cloud + self-hosted/on-prem standalone workspaces</x:v>
      </x:c>
      <x:c r="P3" s="3" t="str">
        <x:f>IF(Master!Q340="","",Master!Q340)</x:f>
      </x:c>
      <x:c r="Q3" s="3" t="str">
        <x:f>IF(Master!R340="","",Master!R340)</x:f>
        <x:v>Self-hosted client-server; third-party hosted servers available</x:v>
      </x:c>
      <x:c r="R3" s="3" t="str">
        <x:f>IF(Master!S340="","",Master!S340)</x:f>
        <x:v>Centralized hosted service; technically self-hostable but not intended/supported</x:v>
      </x:c>
      <x:c r="S3" s="3" t="str">
        <x:f>IF(Master!T340="","",Master!T340)</x:f>
        <x:v>Centralized globally distributed/regional service</x:v>
      </x:c>
      <x:c r="T3" s="3" t="str">
        <x:f>IF(Master!U340="","",Master!U340)</x:f>
        <x:v>Centralized hosted (Fly.io API in São Paulo + Cloudflare Pages SPA) + self-hostable</x:v>
      </x:c>
      <x:c r="U3" s="3" t="str">
        <x:f>IF(Master!V340="","",Master!V340)</x:f>
        <x:v>Centralized hosted service</x:v>
      </x:c>
      <x:c r="V3" s="3" t="str">
        <x:f>IF(Master!W340="","",Master!W340)</x:f>
        <x:v>Cloud + self-hosted/on-prem; optional federation</x:v>
      </x:c>
      <x:c r="W3" s="3" t="str">
        <x:f>IF(Master!X340="","",Master!X340)</x:f>
        <x:v>ATProto/Bluesky-connected distributed application</x:v>
      </x:c>
      <x:c r="X3" s="3" t="str">
        <x:f>IF(Master!Y340="","",Master!Y340)</x:f>
        <x:v>Centralized hosted service</x:v>
      </x:c>
      <x:c r="Y3" s="3" t="str">
        <x:f>IF(Master!Z340="","",Master!Z340)</x:f>
        <x:v>Self-hosted independent Discord-compatible service</x:v>
      </x:c>
      <x:c r="Z3" s="3" t="str">
        <x:f>IF(Master!AA340="","",Master!AA340)</x:f>
        <x:v>Hosted service + self-hostable independent instances</x:v>
      </x:c>
      <x:c r="AA3" s="6" t="str">
        <x:f>IF(Master!AB340="","",Master!AB340)</x:f>
        <x:v>Self-hosted/hosted client-server</x:v>
      </x:c>
      <x:c r="AB3" s="3" t="str">
        <x:f>IF(Master!AC340="","",Master!AC340)</x:f>
        <x:v>Hosted + self-hostable node-based platform</x:v>
      </x:c>
      <x:c r="AC3" s="3" t="str">
        <x:f>IF(Master!AD340="","",Master!AD340)</x:f>
        <x:v>Hosted now; self-hosting/federation being built</x:v>
      </x:c>
      <x:c r="AD3" s="3" t="str">
        <x:f>IF(Master!AE340="","",Master!AE340)</x:f>
        <x:v>Centralized hosted platform</x:v>
      </x:c>
      <x:c r="AE3" s="3" t="str">
        <x:f>IF(Master!AF340="","",Master!AF340)</x:f>
        <x:v>Self-hosted first + optional managed hosting</x:v>
      </x:c>
      <x:c r="AF3" s="8" t="str">
        <x:f>IF(Master!AG340="","",Master!AG340)</x:f>
        <x:v>Hosted cloud + self-hosted standalone servers</x:v>
      </x:c>
    </x:row>
    <x:row r="4" ht="36" customHeight="1">
      <x:c r="A4" s="17" t="s">
        <x:v>594</x:v>
      </x:c>
      <x:c r="B4" s="3" t="str">
        <x:f>IF(Master!C341="","",Master!C341)</x:f>
        <x:v>No federation; centralized proprietary service (public HTTP/Gateway APIs for apps)</x:v>
      </x:c>
      <x:c r="C4" s="3" t="str">
        <x:f>IF(Master!D341="","",Master!D341)</x:f>
        <x:v>Nostr + Concord + NIP-29 relay groups</x:v>
      </x:c>
      <x:c r="D4" s="3" t="str">
        <x:f>IF(Master!E341="","",Master!E341)</x:f>
        <x:v>Custom server protocol/WebSockets; federation/decentralization features</x:v>
      </x:c>
      <x:c r="E4" s="3" t="str">
        <x:f>IF(Master!F341="","",Master!F341)</x:f>
        <x:v>No federation</x:v>
      </x:c>
      <x:c r="F4" s="3" t="str">
        <x:f>IF(Master!G341="","",Master!G341)</x:f>
        <x:v>No federation; custom platform APIs</x:v>
      </x:c>
      <x:c r="G4" s="3" t="str">
        <x:f>IF(Master!H341="","",Master!H341)</x:f>
        <x:v>No federation yet; federation on roadmap; Discord-inspired REST/Gateway</x:v>
      </x:c>
      <x:c r="H4" s="3" t="str">
        <x:f>IF(Master!I341="","",Master!I341)</x:f>
        <x:v>Centralized/independent servers; no federation verified</x:v>
      </x:c>
      <x:c r="I4" s="3" t="str">
        <x:f>IF(Master!J341="","",Master!J341)</x:f>
        <x:v>Discord-like API; federation planned</x:v>
      </x:c>
      <x:c r="J4" s="3" t="str">
        <x:f>IF(Master!K341="","",Master!K341)</x:f>
        <x:v>Custom relay protocol + CRDT sync; no central account server</x:v>
      </x:c>
      <x:c r="K4" s="3" t="str">
        <x:f>IF(Master!L341="","",Master!L341)</x:f>
        <x:v>kaede-fed/1 signed HTTP/event protocol plus pooled signed WebSocket federation</x:v>
      </x:c>
      <x:c r="L4" s="3" t="str">
        <x:f>IF(Master!M341="","",Master!M341)</x:f>
        <x:v>No federation verified</x:v>
      </x:c>
      <x:c r="M4" s="3" t="str">
        <x:f>IF(Master!N341="","",Master!N341)</x:f>
        <x:v>Federated infrastructure planned/implemented in evolving form</x:v>
      </x:c>
      <x:c r="N4" s="3" t="str">
        <x:f>IF(Master!O341="","",Master!O341)</x:f>
        <x:v>Matrix Client-Server API + Server-Server/Federation API; MatrixRTC for realtime calling</x:v>
      </x:c>
      <x:c r="O4" s="3" t="str">
        <x:f>IF(Master!P341="","",Master!P341)</x:f>
        <x:v>Mattermost APIs/WebSocket; no general cross-server federation</x:v>
      </x:c>
      <x:c r="P4" s="3" t="str">
        <x:f>IF(Master!Q341="","",Master!Q341)</x:f>
      </x:c>
      <x:c r="Q4" s="3" t="str">
        <x:f>IF(Master!R341="","",Master!R341)</x:f>
        <x:v>Mumble protocol over TLS/UDP; no federation</x:v>
      </x:c>
      <x:c r="R4" s="3" t="str">
        <x:f>IF(Master!S341="","",Master!S341)</x:f>
        <x:v>No federation</x:v>
      </x:c>
      <x:c r="S4" s="3" t="str">
        <x:f>IF(Master!T341="","",Master!T341)</x:f>
        <x:v>No federation verified</x:v>
      </x:c>
      <x:c r="T4" s="3" t="str">
        <x:f>IF(Master!U341="","",Master!U341)</x:f>
        <x:v>No federation; independent self-host copies</x:v>
      </x:c>
      <x:c r="U4" s="3" t="str">
        <x:f>IF(Master!V341="","",Master!V341)</x:f>
        <x:v>No federation</x:v>
      </x:c>
      <x:c r="V4" s="3" t="str">
        <x:f>IF(Master!W341="","",Master!W341)</x:f>
        <x:v>REST/WebSocket/DDP + Matrix-based federation capabilities</x:v>
      </x:c>
      <x:c r="W4" s="3" t="str">
        <x:f>IF(Master!X341="","",Master!X341)</x:f>
        <x:v>ATProto-based data model; not a Matrix-style chat federation</x:v>
      </x:c>
      <x:c r="X4" s="3" t="str">
        <x:f>IF(Master!Y341="","",Master!Y341)</x:f>
        <x:v>No federation; proprietary Root APIs</x:v>
      </x:c>
      <x:c r="Y4" s="3" t="str">
        <x:f>IF(Master!Z341="","",Master!Z341)</x:f>
        <x:v>Discord-compatible REST API + Gateway/WebSocket; no federation</x:v>
      </x:c>
      <x:c r="Z4" s="3" t="str">
        <x:f>IF(Master!AA341="","",Master!AA341)</x:f>
        <x:v>No inter-instance federation; custom REST/WebSocket API</x:v>
      </x:c>
      <x:c r="AA4" s="6" t="str">
        <x:f>IF(Master!AB341="","",Master!AB341)</x:f>
        <x:v>Proprietary TeamSpeak protocol; no federation</x:v>
      </x:c>
      <x:c r="AB4" s="3" t="str">
        <x:f>IF(Master!AC341="","",Master!AC341)</x:f>
        <x:v>Independent instances/nodes; federation/migration features</x:v>
      </x:c>
      <x:c r="AC4" s="3" t="str">
        <x:f>IF(Master!AD341="","",Master!AD341)</x:f>
        <x:v>Custom federation protocol in development</x:v>
      </x:c>
      <x:c r="AD4" s="3" t="str">
        <x:f>IF(Master!AE341="","",Master!AE341)</x:f>
        <x:v>No federation</x:v>
      </x:c>
      <x:c r="AE4" s="3" t="str">
        <x:f>IF(Master!AF341="","",Master!AF341)</x:f>
        <x:v>Independent servers; no federation verified</x:v>
      </x:c>
      <x:c r="AF4" s="8" t="str">
        <x:f>IF(Master!AG341="","",Master!AG341)</x:f>
        <x:v>Zulip REST/realtime event API; no cross-server federation</x:v>
      </x:c>
    </x:row>
    <x:row r="5" ht="36" customHeight="1">
      <x:c r="A5" s="17" t="s">
        <x:v>595</x:v>
      </x:c>
      <x:c r="B5" s="3" t="str">
        <x:f>IF(Master!C342="","",Master!C342)</x:f>
        <x:v>Proprietary</x:v>
      </x:c>
      <x:c r="C5" s="3" t="str">
        <x:f>IF(Master!D342="","",Master!D342)</x:f>
        <x:v>FOSS: AGPL-3.0</x:v>
      </x:c>
      <x:c r="D5" s="3" t="str">
        <x:f>IF(Master!E342="","",Master!E342)</x:f>
        <x:v>FOSS AGPL-3.0</x:v>
      </x:c>
      <x:c r="E5" s="3" t="str">
        <x:f>IF(Master!F342="","",Master!F342)</x:f>
        <x:v>Proprietary</x:v>
      </x:c>
      <x:c r="F5" s="3" t="str">
        <x:f>IF(Master!G342="","",Master!G342)</x:f>
        <x:v>Proprietary during alpha; open-source release planned</x:v>
      </x:c>
      <x:c r="G5" s="3" t="str">
        <x:f>IF(Master!H342="","",Master!H342)</x:f>
        <x:v>FOSS (AGPL-3.0)</x:v>
      </x:c>
      <x:c r="H5" s="3" t="str">
        <x:f>IF(Master!I342="","",Master!I342)</x:f>
        <x:v>Proprietary</x:v>
      </x:c>
      <x:c r="I5" s="3" t="str">
        <x:f>IF(Master!J342="","",Master!J342)</x:f>
        <x:v>FOSS: AGPL-3.0</x:v>
      </x:c>
      <x:c r="J5" s="3" t="str">
        <x:f>IF(Master!K342="","",Master!K342)</x:f>
        <x:v>Open source</x:v>
      </x:c>
      <x:c r="K5" s="3" t="str">
        <x:f>IF(Master!L342="","",Master!L342)</x:f>
        <x:v>MIT</x:v>
      </x:c>
      <x:c r="L5" s="3" t="str">
        <x:f>IF(Master!M342="","",Master!M342)</x:f>
        <x:v>Proprietary</x:v>
      </x:c>
      <x:c r="M5" s="3" t="str">
        <x:f>IF(Master!N342="","",Master!N342)</x:f>
      </x:c>
      <x:c r="N5" s="3" t="str">
        <x:f>IF(Master!O342="","",Master!O342)</x:f>
        <x:v>Varies by client; many FOSS (e.g., Element, Element X, Cinny)</x:v>
      </x:c>
      <x:c r="O5" s="3" t="str">
        <x:f>IF(Master!P342="","",Master!P342)</x:f>
        <x:v>FOSS/open-source clients; exact repository license varies</x:v>
      </x:c>
      <x:c r="P5" s="3" t="str">
        <x:f>IF(Master!Q342="","",Master!Q342)</x:f>
        <x:v>Open-source client code</x:v>
      </x:c>
      <x:c r="Q5" s="3" t="str">
        <x:f>IF(Master!R342="","",Master!R342)</x:f>
        <x:v>FOSS (BSD-style / BSD-3-Clause)</x:v>
      </x:c>
      <x:c r="R5" s="3" t="str">
        <x:f>IF(Master!S342="","",Master!S342)</x:f>
        <x:v>FOSS GPL-family components</x:v>
      </x:c>
      <x:c r="S5" s="3" t="str">
        <x:f>IF(Master!T342="","",Master!T342)</x:f>
        <x:v>Proprietary client / source status mixed</x:v>
      </x:c>
      <x:c r="T5" s="3" t="str">
        <x:f>IF(Master!U342="","",Master!U342)</x:f>
        <x:v>FOSS: AGPL-3.0</x:v>
      </x:c>
      <x:c r="U5" s="3" t="str">
        <x:f>IF(Master!V342="","",Master!V342)</x:f>
        <x:v>Proprietary</x:v>
      </x:c>
      <x:c r="V5" s="3" t="str">
        <x:f>IF(Master!W342="","",Master!W342)</x:f>
        <x:v>FOSS core client; MIT components / enterprise extensions</x:v>
      </x:c>
      <x:c r="W5" s="3" t="str">
        <x:f>IF(Master!X342="","",Master!X342)</x:f>
        <x:v>MPL-2.0 project</x:v>
      </x:c>
      <x:c r="X5" s="3" t="str">
        <x:f>IF(Master!Y342="","",Master!Y342)</x:f>
        <x:v>Proprietary</x:v>
      </x:c>
      <x:c r="Y5" s="3" t="str">
        <x:f>IF(Master!Z342="","",Master!Z342)</x:f>
        <x:v>FOSS (AGPL-3.0 project components)</x:v>
      </x:c>
      <x:c r="Z5" s="3" t="str">
        <x:f>IF(Master!AA342="","",Master!AA342)</x:f>
        <x:v>FOSS (web client AGPL-3.0; clients vary)</x:v>
      </x:c>
      <x:c r="AA5" s="6" t="str">
        <x:f>IF(Master!AB342="","",Master!AB342)</x:f>
        <x:v>Proprietary</x:v>
      </x:c>
      <x:c r="AB5" s="3" t="str">
        <x:f>IF(Master!AC342="","",Master!AC342)</x:f>
        <x:v>AGPL-3.0</x:v>
      </x:c>
      <x:c r="AC5" s="3" t="str">
        <x:f>IF(Master!AD342="","",Master!AD342)</x:f>
        <x:v>Client source planned; not yet fully public</x:v>
      </x:c>
      <x:c r="AD5" s="3" t="str">
        <x:f>IF(Master!AE342="","",Master!AE342)</x:f>
      </x:c>
      <x:c r="AE5" s="3" t="str">
        <x:f>IF(Master!AF342="","",Master!AF342)</x:f>
      </x:c>
      <x:c r="AF5" s="8" t="str">
        <x:f>IF(Master!AG342="","",Master!AG342)</x:f>
        <x:v>FOSS (Apache-2.0)</x:v>
      </x:c>
    </x:row>
    <x:row r="6" ht="36" customHeight="1">
      <x:c r="A6" s="17" t="s">
        <x:v>596</x:v>
      </x:c>
      <x:c r="B6" s="3" t="str">
        <x:f>IF(Master!C343="","",Master!C343)</x:f>
        <x:v>Proprietary</x:v>
      </x:c>
      <x:c r="C6" s="3" t="str">
        <x:f>IF(Master!D343="","",Master!D343)</x:f>
        <x:v>FOSS/open-source relay, bridge and voice components</x:v>
      </x:c>
      <x:c r="D6" s="3" t="str">
        <x:f>IF(Master!E343="","",Master!E343)</x:f>
        <x:v>FOSS AGPL-3.0</x:v>
      </x:c>
      <x:c r="E6" s="3" t="str">
        <x:f>IF(Master!F343="","",Master!F343)</x:f>
        <x:v>Proprietary Rust backend</x:v>
      </x:c>
      <x:c r="F6" s="3" t="str">
        <x:f>IF(Master!G343="","",Master!G343)</x:f>
        <x:v>Proprietary during alpha; open-source release planned</x:v>
      </x:c>
      <x:c r="G6" s="3" t="str">
        <x:f>IF(Master!H343="","",Master!H343)</x:f>
        <x:v>FOSS (AGPL-3.0)</x:v>
      </x:c>
      <x:c r="H6" s="3" t="str">
        <x:f>IF(Master!I343="","",Master!I343)</x:f>
        <x:v>Proprietary</x:v>
      </x:c>
      <x:c r="I6" s="3" t="str">
        <x:f>IF(Master!J343="","",Master!J343)</x:f>
        <x:v>FOSS: AGPL-3.0</x:v>
      </x:c>
      <x:c r="J6" s="3" t="str">
        <x:f>IF(Master!K343="","",Master!K343)</x:f>
        <x:v>Open source relay/server</x:v>
      </x:c>
      <x:c r="K6" s="3" t="str">
        <x:f>IF(Master!L343="","",Master!L343)</x:f>
        <x:v>MIT</x:v>
      </x:c>
      <x:c r="L6" s="3" t="str">
        <x:f>IF(Master!M343="","",Master!M343)</x:f>
        <x:v>Proprietary</x:v>
      </x:c>
      <x:c r="M6" s="3" t="str">
        <x:f>IF(Master!N343="","",Master!N343)</x:f>
      </x:c>
      <x:c r="N6" s="3" t="str">
        <x:f>IF(Master!O343="","",Master!O343)</x:f>
        <x:v>Varies by homeserver; Synapse is AGPLv3/commercial dual model</x:v>
      </x:c>
      <x:c r="O6" s="3" t="str">
        <x:f>IF(Master!P343="","",Master!P343)</x:f>
        <x:v>Open source Team Edition / AGPL-source plus commercial Enterprise editions</x:v>
      </x:c>
      <x:c r="P6" s="3" t="str">
        <x:f>IF(Master!Q343="","",Master!Q343)</x:f>
        <x:v>Open-source server stack/components</x:v>
      </x:c>
      <x:c r="Q6" s="3" t="str">
        <x:f>IF(Master!R343="","",Master!R343)</x:f>
        <x:v>FOSS (BSD-style / BSD-3-Clause)</x:v>
      </x:c>
      <x:c r="R6" s="3" t="str">
        <x:f>IF(Master!S343="","",Master!S343)</x:f>
        <x:v>FOSS GPL-3.0 server/web components</x:v>
      </x:c>
      <x:c r="S6" s="3" t="str">
        <x:f>IF(Master!T343="","",Master!T343)</x:f>
      </x:c>
      <x:c r="T6" s="3" t="str">
        <x:f>IF(Master!U343="","",Master!U343)</x:f>
        <x:v>FOSS: AGPL-3.0</x:v>
      </x:c>
      <x:c r="U6" s="3" t="str">
        <x:f>IF(Master!V343="","",Master!V343)</x:f>
        <x:v>Proprietary</x:v>
      </x:c>
      <x:c r="V6" s="3" t="str">
        <x:f>IF(Master!W343="","",Master!W343)</x:f>
        <x:v>FOSS core (MIT) + enterprise-licensed portions</x:v>
      </x:c>
      <x:c r="W6" s="3" t="str">
        <x:f>IF(Master!X343="","",Master!X343)</x:f>
        <x:v>MPL-2.0 project/server components</x:v>
      </x:c>
      <x:c r="X6" s="3" t="str">
        <x:f>IF(Master!Y343="","",Master!Y343)</x:f>
        <x:v>Proprietary</x:v>
      </x:c>
      <x:c r="Y6" s="3" t="str">
        <x:f>IF(Master!Z343="","",Master!Z343)</x:f>
        <x:v>FOSS (AGPL-3.0)</x:v>
      </x:c>
      <x:c r="Z6" s="3" t="str">
        <x:f>IF(Master!AA343="","",Master!AA343)</x:f>
        <x:v>FOSS (backend generally AGPL-3.0)</x:v>
      </x:c>
      <x:c r="AA6" s="6" t="str">
        <x:f>IF(Master!AB343="","",Master!AB343)</x:f>
        <x:v>Proprietary</x:v>
      </x:c>
      <x:c r="AB6" s="3" t="str">
        <x:f>IF(Master!AC343="","",Master!AC343)</x:f>
        <x:v>AGPL-3.0</x:v>
      </x:c>
      <x:c r="AC6" s="3" t="str">
        <x:f>IF(Master!AD343="","",Master!AD343)</x:f>
        <x:v>Backend source public</x:v>
      </x:c>
      <x:c r="AD6" s="3" t="str">
        <x:f>IF(Master!AE343="","",Master!AE343)</x:f>
        <x:v>Source-available</x:v>
      </x:c>
      <x:c r="AE6" s="3" t="str">
        <x:f>IF(Master!AF343="","",Master!AF343)</x:f>
      </x:c>
      <x:c r="AF6" s="8" t="str">
        <x:f>IF(Master!AG343="","",Master!AG343)</x:f>
        <x:v>FOSS (Apache-2.0 server/web app)</x:v>
      </x:c>
    </x:row>
    <x:row r="7" ht="36" customHeight="1">
      <x:c r="A7" s="17" t="str">
        <x:v>Client Repository URL</x:v>
      </x:c>
      <x:c r="B7" s="3" t="str">
        <x:f>IF(Master!C344="","",Master!C344)</x:f>
        <x:v>N/A: no public core client source repository</x:v>
      </x:c>
      <x:c r="C7" s="3" t="str">
        <x:f>IF(Master!D344="","",Master!D344)</x:f>
        <x:v>https://github.com/soapbox-pub/armada</x:v>
      </x:c>
      <x:c r="D7" s="3" t="str">
        <x:f>IF(Master!E344="","",Master!E344)</x:f>
        <x:v>https://github.com/hackthedev/dcts-shipping</x:v>
      </x:c>
      <x:c r="E7" s="3" t="str">
        <x:f>IF(Master!F344="","",Master!F344)</x:f>
        <x:v>N/A</x:v>
      </x:c>
      <x:c r="F7" s="3" t="str">
        <x:f>IF(Master!G344="","",Master!G344)</x:f>
        <x:v>N/A: not public yet</x:v>
      </x:c>
      <x:c r="G7" s="3" t="str">
        <x:f>IF(Master!H344="","",Master!H344)</x:f>
        <x:v>https://github.com/fluxerapp/fluxer</x:v>
      </x:c>
      <x:c r="H7" s="3" t="str">
        <x:f>IF(Master!I344="","",Master!I344)</x:f>
        <x:v>N/A</x:v>
      </x:c>
      <x:c r="I7" s="3" t="str">
        <x:f>IF(Master!J344="","",Master!J344)</x:f>
        <x:v>https://codeberg.org/MelodyChat/Fermi</x:v>
      </x:c>
      <x:c r="J7" s="3" t="str">
        <x:f>IF(Master!K344="","",Master!K344)</x:f>
        <x:v>https://github.com/VitalikPro13/HOLLOW</x:v>
      </x:c>
      <x:c r="K7" s="3" t="str">
        <x:f>IF(Master!L344="","",Master!L344)</x:f>
        <x:v>https://github.com/CookieNom/KaedeChat</x:v>
      </x:c>
      <x:c r="L7" s="3" t="str">
        <x:f>IF(Master!M344="","",Master!M344)</x:f>
        <x:v>N/A</x:v>
      </x:c>
      <x:c r="M7" s="3" t="str">
        <x:f>IF(Master!N344="","",Master!N344)</x:f>
      </x:c>
      <x:c r="N7" s="3" t="str">
        <x:f>IF(Master!O344="","",Master!O344)</x:f>
        <x:v>No single client repository: clients are separate implementations</x:v>
      </x:c>
      <x:c r="O7" s="3" t="str">
        <x:f>IF(Master!P344="","",Master!P344)</x:f>
        <x:v>https://github.com/mattermost/mattermost-desktop</x:v>
      </x:c>
      <x:c r="P7" s="3" t="str">
        <x:f>IF(Master!Q344="","",Master!Q344)</x:f>
        <x:v>https://github.com/mezonai/mezon</x:v>
      </x:c>
      <x:c r="Q7" s="3" t="str">
        <x:f>IF(Master!R344="","",Master!R344)</x:f>
        <x:v>https://github.com/mumble-voip/mumble</x:v>
      </x:c>
      <x:c r="R7" s="3" t="str">
        <x:f>IF(Master!S344="","",Master!S344)</x:f>
        <x:v>https://github.com/Nerimity/nerimity-web</x:v>
      </x:c>
      <x:c r="S7" s="3" t="str">
        <x:f>IF(Master!T344="","",Master!T344)</x:f>
      </x:c>
      <x:c r="T7" s="3" t="str">
        <x:f>IF(Master!U344="","",Master!U344)</x:f>
        <x:v>https://github.com/rafaelcg/pqp</x:v>
      </x:c>
      <x:c r="U7" s="3" t="str">
        <x:f>IF(Master!V344="","",Master!V344)</x:f>
        <x:v>N/A</x:v>
      </x:c>
      <x:c r="V7" s="3" t="str">
        <x:f>IF(Master!W344="","",Master!W344)</x:f>
        <x:v>https://github.com/RocketChat/Rocket.Chat.Electron</x:v>
      </x:c>
      <x:c r="W7" s="3" t="str">
        <x:f>IF(Master!X344="","",Master!X344)</x:f>
        <x:v>https://github.com/muni-town/roomy</x:v>
      </x:c>
      <x:c r="X7" s="3" t="str">
        <x:f>IF(Master!Y344="","",Master!Y344)</x:f>
        <x:v>N/A</x:v>
      </x:c>
      <x:c r="Y7" s="3" t="str">
        <x:f>IF(Master!Z344="","",Master!Z344)</x:f>
        <x:v>https://github.com/spacebarchat/client</x:v>
      </x:c>
      <x:c r="Z7" s="3" t="str">
        <x:f>IF(Master!AA344="","",Master!AA344)</x:f>
        <x:v>https://github.com/stoatchat/for-web</x:v>
      </x:c>
      <x:c r="AA7" s="6" t="str">
        <x:f>IF(Master!AB344="","",Master!AB344)</x:f>
        <x:v>N/A</x:v>
      </x:c>
      <x:c r="AB7" s="3" t="str">
        <x:f>IF(Master!AC344="","",Master!AC344)</x:f>
        <x:v>https://github.com/Valour-Software/Valour</x:v>
      </x:c>
      <x:c r="AC7" s="3" t="str">
        <x:f>IF(Master!AD344="","",Master!AD344)</x:f>
      </x:c>
      <x:c r="AD7" s="3" t="str">
        <x:f>IF(Master!AE344="","",Master!AE344)</x:f>
        <x:v>https://github.com/Weeredjs/Weered</x:v>
      </x:c>
      <x:c r="AE7" s="3" t="str">
        <x:f>IF(Master!AF344="","",Master!AF344)</x:f>
      </x:c>
      <x:c r="AF7" s="8" t="str">
        <x:f>IF(Master!AG344="","",Master!AG344)</x:f>
        <x:v>https://github.com/zulip/zulip-desktop</x:v>
      </x:c>
    </x:row>
    <x:row r="8" ht="36" customHeight="1">
      <x:c r="A8" s="17" t="str">
        <x:v>Server Repository URL</x:v>
      </x:c>
      <x:c r="B8" s="3" t="str">
        <x:f>IF(Master!C345="","",Master!C345)</x:f>
        <x:v>N/A: no public core server source repository</x:v>
      </x:c>
      <x:c r="C8" s="3" t="str">
        <x:f>IF(Master!D345="","",Master!D345)</x:f>
        <x:v>https://github.com/soapbox-pub/armada</x:v>
      </x:c>
      <x:c r="D8" s="3" t="str">
        <x:f>IF(Master!E345="","",Master!E345)</x:f>
        <x:v>https://github.com/hackthedev/dcts-shipping</x:v>
      </x:c>
      <x:c r="E8" s="3" t="str">
        <x:f>IF(Master!F345="","",Master!F345)</x:f>
        <x:v>N/A</x:v>
      </x:c>
      <x:c r="F8" s="3" t="str">
        <x:f>IF(Master!G345="","",Master!G345)</x:f>
        <x:v>N/A: not public yet</x:v>
      </x:c>
      <x:c r="G8" s="3" t="str">
        <x:f>IF(Master!H345="","",Master!H345)</x:f>
        <x:v>https://github.com/fluxerapp/fluxer</x:v>
      </x:c>
      <x:c r="H8" s="3" t="str">
        <x:f>IF(Master!I345="","",Master!I345)</x:f>
        <x:v>N/A</x:v>
      </x:c>
      <x:c r="I8" s="3" t="str">
        <x:f>IF(Master!J345="","",Master!J345)</x:f>
        <x:v>https://codeberg.org/MelodyChat/Harmony</x:v>
      </x:c>
      <x:c r="J8" s="3" t="str">
        <x:f>IF(Master!K345="","",Master!K345)</x:f>
        <x:v>https://github.com/VitalikPro13/HOLLOW</x:v>
      </x:c>
      <x:c r="K8" s="3" t="str">
        <x:f>IF(Master!L345="","",Master!L345)</x:f>
        <x:v>https://github.com/CookieNom/KaedeChat</x:v>
      </x:c>
      <x:c r="L8" s="3" t="str">
        <x:f>IF(Master!M345="","",Master!M345)</x:f>
        <x:v>N/A</x:v>
      </x:c>
      <x:c r="M8" s="3" t="str">
        <x:f>IF(Master!N345="","",Master!N345)</x:f>
      </x:c>
      <x:c r="N8" s="3" t="str">
        <x:f>IF(Master!O345="","",Master!O345)</x:f>
        <x:v>No single server repository: Synapse, Dendrite/others implement Matrix</x:v>
      </x:c>
      <x:c r="O8" s="3" t="str">
        <x:f>IF(Master!P345="","",Master!P345)</x:f>
        <x:v>https://github.com/mattermost/mattermost</x:v>
      </x:c>
      <x:c r="P8" s="3" t="str">
        <x:f>IF(Master!Q345="","",Master!Q345)</x:f>
        <x:v>https://github.com/mezonai/mezon</x:v>
      </x:c>
      <x:c r="Q8" s="3" t="str">
        <x:f>IF(Master!R345="","",Master!R345)</x:f>
        <x:v>https://github.com/mumble-voip/mumble</x:v>
      </x:c>
      <x:c r="R8" s="3" t="str">
        <x:f>IF(Master!S345="","",Master!S345)</x:f>
        <x:v>https://github.com/Nerimity/nerimity-server</x:v>
      </x:c>
      <x:c r="S8" s="3" t="str">
        <x:f>IF(Master!T345="","",Master!T345)</x:f>
      </x:c>
      <x:c r="T8" s="3" t="str">
        <x:f>IF(Master!U345="","",Master!U345)</x:f>
        <x:v>https://github.com/rafaelcg/pqp</x:v>
      </x:c>
      <x:c r="U8" s="3" t="str">
        <x:f>IF(Master!V345="","",Master!V345)</x:f>
        <x:v>N/A</x:v>
      </x:c>
      <x:c r="V8" s="3" t="str">
        <x:f>IF(Master!W345="","",Master!W345)</x:f>
        <x:v>https://github.com/RocketChat/Rocket.Chat</x:v>
      </x:c>
      <x:c r="W8" s="3" t="str">
        <x:f>IF(Master!X345="","",Master!X345)</x:f>
        <x:v>https://github.com/muni-town/roomy</x:v>
      </x:c>
      <x:c r="X8" s="3" t="str">
        <x:f>IF(Master!Y345="","",Master!Y345)</x:f>
        <x:v>N/A</x:v>
      </x:c>
      <x:c r="Y8" s="3" t="str">
        <x:f>IF(Master!Z345="","",Master!Z345)</x:f>
        <x:v>https://github.com/spacebarchat/server</x:v>
      </x:c>
      <x:c r="Z8" s="3" t="str">
        <x:f>IF(Master!AA345="","",Master!AA345)</x:f>
        <x:v>https://github.com/stoatchat/stoatchat</x:v>
      </x:c>
      <x:c r="AA8" s="6" t="str">
        <x:f>IF(Master!AB345="","",Master!AB345)</x:f>
        <x:v>N/A</x:v>
      </x:c>
      <x:c r="AB8" s="3" t="str">
        <x:f>IF(Master!AC345="","",Master!AC345)</x:f>
        <x:v>https://github.com/Valour-Software/Valour</x:v>
      </x:c>
      <x:c r="AC8" s="3" t="str">
        <x:f>IF(Master!AD345="","",Master!AD345)</x:f>
        <x:v>https://github.com/AlpineBits-ch/AlpineBackend</x:v>
      </x:c>
      <x:c r="AD8" s="3" t="str">
        <x:f>IF(Master!AE345="","",Master!AE345)</x:f>
        <x:v>https://github.com/Weeredjs/Weered</x:v>
      </x:c>
      <x:c r="AE8" s="3" t="str">
        <x:f>IF(Master!AF345="","",Master!AF345)</x:f>
      </x:c>
      <x:c r="AF8" s="8" t="str">
        <x:f>IF(Master!AG345="","",Master!AG345)</x:f>
        <x:v>https://github.com/zulip/zulip</x:v>
      </x:c>
    </x:row>
    <x:row r="9" ht="36" customHeight="1">
      <x:c r="A9" s="17" t="str">
        <x:v>Self-Hosting Setup Difficulty (1 to 5)</x:v>
      </x:c>
      <x:c r="B9" s="3" t="str">
        <x:f>IF(Master!C346="","",Master!C346)</x:f>
        <x:v>N/A: official self-hosting unsupported</x:v>
      </x:c>
      <x:c r="C9" s="3" t="str">
        <x:f>IF(Master!D346="","",Master!D346)</x:f>
        <x:v>3/5 for using hosted relays; self-host relay more complex</x:v>
      </x:c>
      <x:c r="D9" s="3" t="str">
        <x:f>IF(Master!E346="","",Master!E346)</x:f>
        <x:v>3/5</x:v>
      </x:c>
      <x:c r="E9" s="3" t="str">
        <x:f>IF(Master!F346="","",Master!F346)</x:f>
        <x:v>N/A</x:v>
      </x:c>
      <x:c r="F9" s="3" t="str">
        <x:f>IF(Master!G346="","",Master!G346)</x:f>
        <x:v>N/A: self-hosting not currently offered</x:v>
      </x:c>
      <x:c r="G9" s="3" t="str">
        <x:f>IF(Master!H346="","",Master!H346)</x:f>
        <x:v>3/5</x:v>
      </x:c>
      <x:c r="H9" s="3" t="str">
        <x:f>IF(Master!I346="","",Master!I346)</x:f>
        <x:v>2/5</x:v>
      </x:c>
      <x:c r="I9" s="3" t="str">
        <x:f>IF(Master!J346="","",Master!J346)</x:f>
        <x:v>4/5</x:v>
      </x:c>
      <x:c r="J9" s="3" t="str">
        <x:f>IF(Master!K346="","",Master!K346)</x:f>
        <x:v>3/5</x:v>
      </x:c>
      <x:c r="K9" s="3" t="str">
        <x:f>IF(Master!L346="","",Master!L346)</x:f>
        <x:v>2/5: interactive make setup wizard + Docker Compose; still requires DNS/TLS/reverse proxy</x:v>
      </x:c>
      <x:c r="L9" s="3" t="str">
        <x:f>IF(Master!M346="","",Master!M346)</x:f>
        <x:v>N/A</x:v>
      </x:c>
      <x:c r="M9" s="3" t="str">
        <x:f>IF(Master!N346="","",Master!N346)</x:f>
        <x:v>3/5</x:v>
      </x:c>
      <x:c r="N9" s="3" t="str">
        <x:f>IF(Master!O346="","",Master!O346)</x:f>
        <x:v>4/5 (implementation-dependent)</x:v>
      </x:c>
      <x:c r="O9" s="3" t="str">
        <x:f>IF(Master!P346="","",Master!P346)</x:f>
        <x:v>3/5</x:v>
      </x:c>
      <x:c r="P9" s="3" t="str">
        <x:f>IF(Master!Q346="","",Master!Q346)</x:f>
      </x:c>
      <x:c r="Q9" s="3" t="str">
        <x:f>IF(Master!R346="","",Master!R346)</x:f>
        <x:v>2/5</x:v>
      </x:c>
      <x:c r="R9" s="3" t="str">
        <x:f>IF(Master!S346="","",Master!S346)</x:f>
        <x:v>4/5 (unsupported)</x:v>
      </x:c>
      <x:c r="S9" s="3" t="str">
        <x:f>IF(Master!T346="","",Master!T346)</x:f>
        <x:v>N/A</x:v>
      </x:c>
      <x:c r="T9" s="3" t="str">
        <x:f>IF(Master!U346="","",Master!U346)</x:f>
        <x:v>3/5</x:v>
      </x:c>
      <x:c r="U9" s="3" t="str">
        <x:f>IF(Master!V346="","",Master!V346)</x:f>
        <x:v>N/A</x:v>
      </x:c>
      <x:c r="V9" s="3" t="str">
        <x:f>IF(Master!W346="","",Master!W346)</x:f>
        <x:v>3/5</x:v>
      </x:c>
      <x:c r="W9" s="3" t="str">
        <x:f>IF(Master!X346="","",Master!X346)</x:f>
        <x:v>4/5</x:v>
      </x:c>
      <x:c r="X9" s="3" t="str">
        <x:f>IF(Master!Y346="","",Master!Y346)</x:f>
        <x:v>N/A: no self-hosting</x:v>
      </x:c>
      <x:c r="Y9" s="3" t="str">
        <x:f>IF(Master!Z346="","",Master!Z346)</x:f>
        <x:v>4/5</x:v>
      </x:c>
      <x:c r="Z9" s="3" t="str">
        <x:f>IF(Master!AA346="","",Master!AA346)</x:f>
        <x:v>4/5</x:v>
      </x:c>
      <x:c r="AA9" s="6" t="str">
        <x:f>IF(Master!AB346="","",Master!AB346)</x:f>
        <x:v>2/5</x:v>
      </x:c>
      <x:c r="AB9" s="3" t="str">
        <x:f>IF(Master!AC346="","",Master!AC346)</x:f>
        <x:v>2/5: docker compose</x:v>
      </x:c>
      <x:c r="AC9" s="3" t="str">
        <x:f>IF(Master!AD346="","",Master!AD346)</x:f>
        <x:v>4/5 / evolving</x:v>
      </x:c>
      <x:c r="AD9" s="3" t="str">
        <x:f>IF(Master!AE346="","",Master!AE346)</x:f>
        <x:v>N/A</x:v>
      </x:c>
      <x:c r="AE9" s="3" t="str">
        <x:f>IF(Master!AF346="","",Master!AF346)</x:f>
        <x:v>2/5</x:v>
      </x:c>
      <x:c r="AF9" s="8" t="str">
        <x:f>IF(Master!AG346="","",Master!AG346)</x:f>
        <x:v>3/5</x:v>
      </x:c>
    </x:row>
    <x:row r="10" ht="36" customHeight="1">
      <x:c r="A10" s="17" t="s">
        <x:v>597</x:v>
      </x:c>
      <x:c r="B10" s="3" t="str">
        <x:f>IF(Master!C347="","",Master!C347)</x:f>
        <x:v>N/A: official self-hosting unsupported</x:v>
      </x:c>
      <x:c r="C10" s="3" t="str">
        <x:f>IF(Master!D347="","",Master!D347)</x:f>
        <x:v>Relay/self-host options</x:v>
      </x:c>
      <x:c r="D10" s="3" t="str">
        <x:f>IF(Master!E347="","",Master!E347)</x:f>
        <x:v>Yes: Docker</x:v>
      </x:c>
      <x:c r="E10" s="3" t="str">
        <x:f>IF(Master!F347="","",Master!F347)</x:f>
        <x:v>No self-hosting verified</x:v>
      </x:c>
      <x:c r="F10" s="3" t="str">
        <x:f>IF(Master!G347="","",Master!G347)</x:f>
        <x:v>No</x:v>
      </x:c>
      <x:c r="G10" s="3" t="str">
        <x:f>IF(Master!H347="","",Master!H347)</x:f>
        <x:v>Yes: self-host tooling/Docker</x:v>
      </x:c>
      <x:c r="H10" s="3" t="str">
        <x:f>IF(Master!I347="","",Master!I347)</x:f>
      </x:c>
      <x:c r="I10" s="3" t="str">
        <x:f>IF(Master!J347="","",Master!J347)</x:f>
      </x:c>
      <x:c r="J10" s="3" t="str">
        <x:f>IF(Master!K347="","",Master!K347)</x:f>
      </x:c>
      <x:c r="K10" s="3" t="str">
        <x:f>IF(Master!L347="","",Master!L347)</x:f>
        <x:v>Yes: Docker Compose</x:v>
      </x:c>
      <x:c r="L10" s="3" t="str">
        <x:f>IF(Master!M347="","",Master!M347)</x:f>
        <x:v>No self-hosting verified</x:v>
      </x:c>
      <x:c r="M10" s="3" t="str">
        <x:f>IF(Master!N347="","",Master!N347)</x:f>
        <x:v>Self-hosting advertised</x:v>
      </x:c>
      <x:c r="N10" s="3" t="str">
        <x:f>IF(Master!O347="","",Master!O347)</x:f>
        <x:v>Yes: implementation-dependent</x:v>
      </x:c>
      <x:c r="O10" s="3" t="str">
        <x:f>IF(Master!P347="","",Master!P347)</x:f>
        <x:v>Yes: container/Kubernetes deployment supported</x:v>
      </x:c>
      <x:c r="P10" s="3" t="str">
        <x:f>IF(Master!Q347="","",Master!Q347)</x:f>
      </x:c>
      <x:c r="Q10" s="3" t="str">
        <x:f>IF(Master!R347="","",Master!R347)</x:f>
        <x:v>Yes: official Docker image available</x:v>
      </x:c>
      <x:c r="R10" s="3" t="str">
        <x:f>IF(Master!S347="","",Master!S347)</x:f>
      </x:c>
      <x:c r="S10" s="3" t="str">
        <x:f>IF(Master!T347="","",Master!T347)</x:f>
        <x:v>No official self-hosting verified</x:v>
      </x:c>
      <x:c r="T10" s="3" t="str">
        <x:f>IF(Master!U347="","",Master!U347)</x:f>
      </x:c>
      <x:c r="U10" s="3" t="str">
        <x:f>IF(Master!V347="","",Master!V347)</x:f>
        <x:v>No</x:v>
      </x:c>
      <x:c r="V10" s="3" t="str">
        <x:f>IF(Master!W347="","",Master!W347)</x:f>
        <x:v>Yes: Docker/Kubernetes supported</x:v>
      </x:c>
      <x:c r="W10" s="3" t="str">
        <x:f>IF(Master!X347="","",Master!X347)</x:f>
      </x:c>
      <x:c r="X10" s="3" t="str">
        <x:f>IF(Master!Y347="","",Master!Y347)</x:f>
        <x:v>No</x:v>
      </x:c>
      <x:c r="Y10" s="3" t="str">
        <x:f>IF(Master!Z347="","",Master!Z347)</x:f>
        <x:v>Yes: Docker supported</x:v>
      </x:c>
      <x:c r="Z10" s="3" t="str">
        <x:f>IF(Master!AA347="","",Master!AA347)</x:f>
        <x:v>Yes: official Docker Compose self-host stack</x:v>
      </x:c>
      <x:c r="AA10" s="6" t="str">
        <x:f>IF(Master!AB347="","",Master!AB347)</x:f>
        <x:v>Yes: TS6 server Docker/self-host guidance</x:v>
      </x:c>
      <x:c r="AB10" s="3" t="str">
        <x:f>IF(Master!AC347="","",Master!AC347)</x:f>
        <x:v>Yes: docker compose</x:v>
      </x:c>
      <x:c r="AC10" s="3" t="str">
        <x:f>IF(Master!AD347="","",Master!AD347)</x:f>
      </x:c>
      <x:c r="AD10" s="3" t="str">
        <x:f>IF(Master!AE347="","",Master!AE347)</x:f>
        <x:v>No self-hosting advertised</x:v>
      </x:c>
      <x:c r="AE10" s="3" t="str">
        <x:f>IF(Master!AF347="","",Master!AF347)</x:f>
      </x:c>
      <x:c r="AF10" s="8" t="str">
        <x:f>IF(Master!AG347="","",Master!AG347)</x:f>
        <x:v>Yes: Docker/community deployment options</x:v>
      </x:c>
    </x:row>
    <x:row r="11" ht="23.100000381469727" customHeight="1">
      <x:c r="A11" s="17" t="s">
        <x:v>598</x:v>
      </x:c>
      <x:c r="B11" s="4" t="str">
        <x:f>IF(Master!C348="","",Master!C348)</x:f>
      </x:c>
      <x:c r="C11" s="4" t="str">
        <x:f>IF(Master!D348="","",Master!D348)</x:f>
      </x:c>
      <x:c r="D11" s="4" t="str">
        <x:f>IF(Master!E348="","",Master!E348)</x:f>
      </x:c>
      <x:c r="E11" s="4" t="str">
        <x:f>IF(Master!F348="","",Master!F348)</x:f>
      </x:c>
      <x:c r="F11" s="4" t="str">
        <x:f>IF(Master!G348="","",Master!G348)</x:f>
      </x:c>
      <x:c r="G11" s="4" t="str">
        <x:f>IF(Master!H348="","",Master!H348)</x:f>
      </x:c>
      <x:c r="H11" s="4" t="str">
        <x:f>IF(Master!I348="","",Master!I348)</x:f>
      </x:c>
      <x:c r="I11" s="4" t="str">
        <x:f>IF(Master!J348="","",Master!J348)</x:f>
        <x:v>Hosted option plus self-host; Rust/Axum single binary with PostgreSQL; LiveKit for voice</x:v>
      </x:c>
      <x:c r="J11" s="4" t="str">
        <x:f>IF(Master!K348="","",Master!K348)</x:f>
      </x:c>
      <x:c r="K11" s="4" t="str">
        <x:f>IF(Master!L348="","",Master!L348)</x:f>
        <x:v>FastAPI REST/federation + separate WebSocket Gateway; PostgreSQL durable state; Dragonfly ephemeral/tasks; S3-compatible media; LiveKit media</x:v>
      </x:c>
      <x:c r="L11" s="4" t="str">
        <x:f>IF(Master!M348="","",Master!M348)</x:f>
      </x:c>
      <x:c r="M11" s="4" t="str">
        <x:f>IF(Master!N348="","",Master!N348)</x:f>
      </x:c>
      <x:c r="N11" s="4" t="str">
        <x:f>IF(Master!O348="","",Master!O348)</x:f>
      </x:c>
      <x:c r="O11" s="4" t="str">
        <x:f>IF(Master!P348="","",Master!P348)</x:f>
      </x:c>
      <x:c r="P11" s="4" t="str">
        <x:f>IF(Master!Q348="","",Master!Q348)</x:f>
      </x:c>
      <x:c r="Q11" s="4" t="str">
        <x:f>IF(Master!R348="","",Master!R348)</x:f>
      </x:c>
      <x:c r="R11" s="4" t="str">
        <x:f>IF(Master!S348="","",Master!S348)</x:f>
      </x:c>
      <x:c r="S11" s="4" t="str">
        <x:f>IF(Master!T348="","",Master!T348)</x:f>
      </x:c>
      <x:c r="T11" s="4" t="str">
        <x:f>IF(Master!U348="","",Master!U348)</x:f>
        <x:v>Hosted API on Fly.io (São Paulo), SPA on Cloudflare Pages; small/DM media may be P2P; larger/listed hosted rooms use LiveKit; self-host documentation in repository</x:v>
      </x:c>
      <x:c r="U11" s="4" t="str">
        <x:f>IF(Master!V348="","",Master!V348)</x:f>
      </x:c>
      <x:c r="V11" s="4" t="str">
        <x:f>IF(Master!W348="","",Master!W348)</x:f>
      </x:c>
      <x:c r="W11" s="4" t="str">
        <x:f>IF(Master!X348="","",Master!X348)</x:f>
      </x:c>
      <x:c r="X11" s="4" t="str">
        <x:f>IF(Master!Y348="","",Master!Y348)</x:f>
      </x:c>
      <x:c r="Y11" s="4" t="str">
        <x:f>IF(Master!Z348="","",Master!Z348)</x:f>
      </x:c>
      <x:c r="Z11" s="4" t="str">
        <x:f>IF(Master!AA348="","",Master!AA348)</x:f>
      </x:c>
      <x:c r="AA11" s="5" t="str">
        <x:f>IF(Master!AB348="","",Master!AB348)</x:f>
      </x:c>
      <x:c r="AB11" s="4" t="str">
        <x:f>IF(Master!AC348="","",Master!AC348)</x:f>
      </x:c>
      <x:c r="AC11" s="4" t="str">
        <x:f>IF(Master!AD348="","",Master!AD348)</x:f>
      </x:c>
      <x:c r="AD11" s="4" t="str">
        <x:f>IF(Master!AE348="","",Master!AE348)</x:f>
      </x:c>
      <x:c r="AE11" s="4" t="str">
        <x:f>IF(Master!AF348="","",Master!AF348)</x:f>
      </x:c>
      <x:c r="AF11" s="8" t="str">
        <x:f>IF(Master!AG348="","",Master!AG348)</x:f>
      </x:c>
    </x:row>
    <x:row r="12" ht="23.100000381469727" customHeight="1">
      <x:c r="A12" s="17" t="s">
        <x:v>599</x:v>
      </x:c>
      <x:c r="B12" s="4" t="str">
        <x:f>IF(Master!C350="","",Master!C350)</x:f>
      </x:c>
      <x:c r="C12" s="4" t="str">
        <x:f>IF(Master!D350="","",Master!D350)</x:f>
      </x:c>
      <x:c r="D12" s="4" t="str">
        <x:f>IF(Master!E350="","",Master!E350)</x:f>
      </x:c>
      <x:c r="E12" s="4" t="str">
        <x:f>IF(Master!F350="","",Master!F350)</x:f>
      </x:c>
      <x:c r="F12" s="4" t="str">
        <x:f>IF(Master!G350="","",Master!G350)</x:f>
      </x:c>
      <x:c r="G12" s="4" t="str">
        <x:f>IF(Master!H350="","",Master!H350)</x:f>
      </x:c>
      <x:c r="H12" s="4" t="str">
        <x:f>IF(Master!I350="","",Master!I350)</x:f>
      </x:c>
      <x:c r="I12" s="4" t="str">
        <x:f>IF(Master!J350="","",Master!J350)</x:f>
        <x:v>Yes: optional; self-hosting is also supported</x:v>
      </x:c>
      <x:c r="J12" s="4" t="str">
        <x:f>IF(Master!K350="","",Master!K350)</x:f>
      </x:c>
      <x:c r="K12" s="4" t="str">
        <x:f>IF(Master!L350="","",Master!L350)</x:f>
        <x:v>Yes: kaede.chat</x:v>
      </x:c>
      <x:c r="L12" s="4" t="str">
        <x:f>IF(Master!M350="","",Master!M350)</x:f>
      </x:c>
      <x:c r="M12" s="4" t="str">
        <x:f>IF(Master!N350="","",Master!N350)</x:f>
      </x:c>
      <x:c r="N12" s="4" t="str">
        <x:f>IF(Master!O350="","",Master!O350)</x:f>
      </x:c>
      <x:c r="O12" s="4" t="str">
        <x:f>IF(Master!P350="","",Master!P350)</x:f>
      </x:c>
      <x:c r="P12" s="4" t="str">
        <x:f>IF(Master!Q350="","",Master!Q350)</x:f>
      </x:c>
      <x:c r="Q12" s="4" t="str">
        <x:f>IF(Master!R350="","",Master!R350)</x:f>
      </x:c>
      <x:c r="R12" s="4" t="str">
        <x:f>IF(Master!S350="","",Master!S350)</x:f>
      </x:c>
      <x:c r="S12" s="4" t="str">
        <x:f>IF(Master!T350="","",Master!T350)</x:f>
      </x:c>
      <x:c r="T12" s="4" t="str">
        <x:f>IF(Master!U350="","",Master!U350)</x:f>
        <x:v>Yes: Fly.io API in São Paulo + Cloudflare Pages SPA</x:v>
      </x:c>
      <x:c r="U12" s="4" t="str">
        <x:f>IF(Master!V350="","",Master!V350)</x:f>
        <x:v>Yes</x:v>
      </x:c>
      <x:c r="V12" s="4" t="str">
        <x:f>IF(Master!W350="","",Master!W350)</x:f>
      </x:c>
      <x:c r="W12" s="4" t="str">
        <x:f>IF(Master!X350="","",Master!X350)</x:f>
      </x:c>
      <x:c r="X12" s="4" t="str">
        <x:f>IF(Master!Y350="","",Master!Y350)</x:f>
      </x:c>
      <x:c r="Y12" s="4" t="str">
        <x:f>IF(Master!Z350="","",Master!Z350)</x:f>
      </x:c>
      <x:c r="Z12" s="4" t="str">
        <x:f>IF(Master!AA350="","",Master!AA350)</x:f>
      </x:c>
      <x:c r="AA12" s="5" t="str">
        <x:f>IF(Master!AB350="","",Master!AB350)</x:f>
      </x:c>
      <x:c r="AB12" s="4" t="str">
        <x:f>IF(Master!AC350="","",Master!AC350)</x:f>
      </x:c>
      <x:c r="AC12" s="4" t="str">
        <x:f>IF(Master!AD350="","",Master!AD350)</x:f>
      </x:c>
      <x:c r="AD12" s="4" t="str">
        <x:f>IF(Master!AE350="","",Master!AE350)</x:f>
      </x:c>
      <x:c r="AE12" s="4" t="str">
        <x:f>IF(Master!AF350="","",Master!AF350)</x:f>
      </x:c>
      <x:c r="AF12" s="8" t="str">
        <x:f>IF(Master!AG350="","",Master!AG350)</x:f>
      </x:c>
    </x:row>
    <x:row r="13" ht="36" customHeight="1">
      <x:c r="A13" s="17" t="s">
        <x:v>600</x:v>
      </x:c>
      <x:c r="B13" s="3" t="str">
        <x:f>IF(Master!C326="","",Master!C326)</x:f>
        <x:v>No</x:v>
      </x:c>
      <x:c r="C13" s="3" t="str">
        <x:f>IF(Master!D326="","",Master!D326)</x:f>
        <x:v>Yes: relays/self-host</x:v>
      </x:c>
      <x:c r="D13" s="3" t="str">
        <x:f>IF(Master!E326="","",Master!E326)</x:f>
        <x:v>Yes</x:v>
      </x:c>
      <x:c r="E13" s="3" t="str">
        <x:f>IF(Master!F326="","",Master!F326)</x:f>
        <x:v>No</x:v>
      </x:c>
      <x:c r="F13" s="3" t="str">
        <x:f>IF(Master!G326="","",Master!G326)</x:f>
        <x:v>No currently</x:v>
      </x:c>
      <x:c r="G13" s="3" t="str">
        <x:f>IF(Master!H326="","",Master!H326)</x:f>
        <x:v>Yes</x:v>
      </x:c>
      <x:c r="H13" s="3" t="str">
        <x:f>IF(Master!I326="","",Master!I326)</x:f>
        <x:v>Yes</x:v>
      </x:c>
      <x:c r="I13" s="3" t="str">
        <x:f>IF(Master!J326="","",Master!J326)</x:f>
        <x:v>Yes</x:v>
      </x:c>
      <x:c r="J13" s="3" t="str">
        <x:f>IF(Master!K326="","",Master!K326)</x:f>
        <x:v>Yes</x:v>
      </x:c>
      <x:c r="K13" s="3" t="str">
        <x:f>IF(Master!L326="","",Master!L326)</x:f>
        <x:v>Yes</x:v>
      </x:c>
      <x:c r="L13" s="3" t="str">
        <x:f>IF(Master!M326="","",Master!M326)</x:f>
        <x:v>No</x:v>
      </x:c>
      <x:c r="M13" s="3" t="str">
        <x:f>IF(Master!N326="","",Master!N326)</x:f>
        <x:v>Yes</x:v>
      </x:c>
      <x:c r="N13" s="3" t="str">
        <x:f>IF(Master!O326="","",Master!O326)</x:f>
        <x:v>Yes</x:v>
      </x:c>
      <x:c r="O13" s="3" t="str">
        <x:f>IF(Master!P326="","",Master!P326)</x:f>
        <x:v>Yes</x:v>
      </x:c>
      <x:c r="P13" s="3" t="str">
        <x:f>IF(Master!Q326="","",Master!Q326)</x:f>
      </x:c>
      <x:c r="Q13" s="3" t="str">
        <x:f>IF(Master!R326="","",Master!R326)</x:f>
        <x:v>Yes</x:v>
      </x:c>
      <x:c r="R13" s="3" t="str">
        <x:f>IF(Master!S326="","",Master!S326)</x:f>
        <x:v>Technically possible but explicitly not intended/supported</x:v>
      </x:c>
      <x:c r="S13" s="3" t="str">
        <x:f>IF(Master!T326="","",Master!T326)</x:f>
        <x:v>No</x:v>
      </x:c>
      <x:c r="T13" s="3" t="str">
        <x:f>IF(Master!U326="","",Master!U326)</x:f>
        <x:v>Yes: AGPL-3.0; documentation in repository</x:v>
      </x:c>
      <x:c r="U13" s="3" t="str">
        <x:f>IF(Master!V326="","",Master!V326)</x:f>
        <x:v>No</x:v>
      </x:c>
      <x:c r="V13" s="3" t="str">
        <x:f>IF(Master!W326="","",Master!W326)</x:f>
        <x:v>Yes</x:v>
      </x:c>
      <x:c r="W13" s="3" t="str">
        <x:f>IF(Master!X326="","",Master!X326)</x:f>
        <x:v>Partially via ATProto/PDS model</x:v>
      </x:c>
      <x:c r="X13" s="3" t="str">
        <x:f>IF(Master!Y326="","",Master!Y326)</x:f>
        <x:v>No</x:v>
      </x:c>
      <x:c r="Y13" s="3" t="str">
        <x:f>IF(Master!Z326="","",Master!Z326)</x:f>
        <x:v>Yes</x:v>
      </x:c>
      <x:c r="Z13" s="3" t="str">
        <x:f>IF(Master!AA326="","",Master!AA326)</x:f>
        <x:v>Yes</x:v>
      </x:c>
      <x:c r="AA13" s="6" t="str">
        <x:f>IF(Master!AB326="","",Master!AB326)</x:f>
        <x:v>Yes</x:v>
      </x:c>
      <x:c r="AB13" s="3" t="str">
        <x:f>IF(Master!AC326="","",Master!AC326)</x:f>
        <x:v>Yes</x:v>
      </x:c>
      <x:c r="AC13" s="3" t="str">
        <x:f>IF(Master!AD326="","",Master!AD326)</x:f>
        <x:v>In development</x:v>
      </x:c>
      <x:c r="AD13" s="3" t="str">
        <x:f>IF(Master!AE326="","",Master!AE326)</x:f>
        <x:v>No</x:v>
      </x:c>
      <x:c r="AE13" s="3" t="str">
        <x:f>IF(Master!AF326="","",Master!AF326)</x:f>
        <x:v>Yes</x:v>
      </x:c>
      <x:c r="AF13" s="8" t="str">
        <x:f>IF(Master!AG326="","",Master!AG326)</x:f>
        <x:v>Yes</x:v>
      </x:c>
    </x:row>
    <x:row r="14" ht="36" customHeight="1">
      <x:c r="A14" s="17" t="s">
        <x:v>125</x:v>
      </x:c>
      <x:c r="B14" s="3" t="str">
        <x:f>IF(Master!C351="","",Master!C351)</x:f>
        <x:v>No</x:v>
      </x:c>
      <x:c r="C14" s="3" t="str">
        <x:f>IF(Master!D351="","",Master!D351)</x:f>
        <x:v>Nostr relay interoperability</x:v>
      </x:c>
      <x:c r="D14" s="3" t="str">
        <x:f>IF(Master!E351="","",Master!E351)</x:f>
        <x:v>Yes for messenger/server communication features; full federation evolving</x:v>
      </x:c>
      <x:c r="E14" s="3" t="str">
        <x:f>IF(Master!F351="","",Master!F351)</x:f>
        <x:v>No</x:v>
      </x:c>
      <x:c r="F14" s="3" t="str">
        <x:f>IF(Master!G351="","",Master!G351)</x:f>
        <x:v>No</x:v>
      </x:c>
      <x:c r="G14" s="3" t="str">
        <x:f>IF(Master!H351="","",Master!H351)</x:f>
        <x:v>Not yet: on roadmap</x:v>
      </x:c>
      <x:c r="H14" s="3" t="str">
        <x:f>IF(Master!I351="","",Master!I351)</x:f>
        <x:v>No federation verified</x:v>
      </x:c>
      <x:c r="I14" s="3" t="str">
        <x:f>IF(Master!J351="","",Master!J351)</x:f>
        <x:v>Federation planned</x:v>
      </x:c>
      <x:c r="J14" s="3" t="str">
        <x:f>IF(Master!K351="","",Master!K351)</x:f>
        <x:v>Relay choice but not Matrix-style federated server state</x:v>
      </x:c>
      <x:c r="K14" s="3" t="str">
        <x:f>IF(Master!L351="","",Master!L351)</x:f>
        <x:v>Yes</x:v>
      </x:c>
      <x:c r="L14" s="3" t="str">
        <x:f>IF(Master!M351="","",Master!M351)</x:f>
        <x:v>No</x:v>
      </x:c>
      <x:c r="M14" s="3" t="str">
        <x:f>IF(Master!N351="","",Master!N351)</x:f>
        <x:v>Federation advertised</x:v>
      </x:c>
      <x:c r="N14" s="3" t="str">
        <x:f>IF(Master!O351="","",Master!O351)</x:f>
        <x:v>Yes: core feature</x:v>
      </x:c>
      <x:c r="O14" s="3" t="str">
        <x:f>IF(Master!P351="","",Master!P351)</x:f>
        <x:v>No general federation</x:v>
      </x:c>
      <x:c r="P14" s="3" t="str">
        <x:f>IF(Master!Q351="","",Master!Q351)</x:f>
        <x:v>No federation verified</x:v>
      </x:c>
      <x:c r="Q14" s="3" t="str">
        <x:f>IF(Master!R351="","",Master!R351)</x:f>
        <x:v>No</x:v>
      </x:c>
      <x:c r="R14" s="3" t="str">
        <x:f>IF(Master!S351="","",Master!S351)</x:f>
        <x:v>No</x:v>
      </x:c>
      <x:c r="S14" s="3" t="str">
        <x:f>IF(Master!T351="","",Master!T351)</x:f>
        <x:v>No</x:v>
      </x:c>
      <x:c r="T14" s="3" t="str">
        <x:f>IF(Master!U351="","",Master!U351)</x:f>
        <x:v>No federation</x:v>
      </x:c>
      <x:c r="U14" s="3" t="str">
        <x:f>IF(Master!V351="","",Master!V351)</x:f>
        <x:v>No</x:v>
      </x:c>
      <x:c r="V14" s="3" t="str">
        <x:f>IF(Master!W351="","",Master!W351)</x:f>
        <x:v>Yes: Matrix-based federation feature set, with limitations</x:v>
      </x:c>
      <x:c r="W14" s="3" t="str">
        <x:f>IF(Master!X351="","",Master!X351)</x:f>
        <x:v>ATProto federation ecosystem</x:v>
      </x:c>
      <x:c r="X14" s="3" t="str">
        <x:f>IF(Master!Y351="","",Master!Y351)</x:f>
        <x:v>No</x:v>
      </x:c>
      <x:c r="Y14" s="3" t="str">
        <x:f>IF(Master!Z351="","",Master!Z351)</x:f>
        <x:v>No</x:v>
      </x:c>
      <x:c r="Z14" s="3" t="str">
        <x:f>IF(Master!AA351="","",Master!AA351)</x:f>
        <x:v>No</x:v>
      </x:c>
      <x:c r="AA14" s="6" t="str">
        <x:f>IF(Master!AB351="","",Master!AB351)</x:f>
        <x:v>No</x:v>
      </x:c>
      <x:c r="AB14" s="3" t="str">
        <x:f>IF(Master!AC351="","",Master!AC351)</x:f>
        <x:v>Node/federation model for migrating communities; exact cross-instance federation scope evolving</x:v>
      </x:c>
      <x:c r="AC14" s="3" t="str">
        <x:f>IF(Master!AD351="","",Master!AD351)</x:f>
        <x:v>Planned/in development</x:v>
      </x:c>
      <x:c r="AD14" s="3" t="str">
        <x:f>IF(Master!AE351="","",Master!AE351)</x:f>
        <x:v>No</x:v>
      </x:c>
      <x:c r="AE14" s="3" t="str">
        <x:f>IF(Master!AF351="","",Master!AF351)</x:f>
        <x:v>No</x:v>
      </x:c>
      <x:c r="AF14" s="8" t="str">
        <x:f>IF(Master!AG351="","",Master!AG351)</x:f>
        <x:v>No</x:v>
      </x:c>
    </x:row>
    <x:row r="15" ht="36" customHeight="1">
      <x:c r="A15" s="17" t="s">
        <x:v>601</x:v>
      </x:c>
      <x:c r="B15" s="3" t="str">
        <x:f>IF(Master!C352="","",Master!C352)</x:f>
      </x:c>
      <x:c r="C15" s="3" t="str">
        <x:f>IF(Master!D352="","",Master!D352)</x:f>
        <x:v>Yes</x:v>
      </x:c>
      <x:c r="D15" s="3" t="str">
        <x:f>IF(Master!E352="","",Master!E352)</x:f>
      </x:c>
      <x:c r="E15" s="3" t="str">
        <x:f>IF(Master!F352="","",Master!F352)</x:f>
      </x:c>
      <x:c r="F15" s="3" t="str">
        <x:f>IF(Master!G352="","",Master!G352)</x:f>
      </x:c>
      <x:c r="G15" s="3" t="str">
        <x:f>IF(Master!H352="","",Master!H352)</x:f>
      </x:c>
      <x:c r="H15" s="3" t="str">
        <x:f>IF(Master!I352="","",Master!I352)</x:f>
      </x:c>
      <x:c r="I15" s="3" t="str">
        <x:f>IF(Master!J352="","",Master!J352)</x:f>
      </x:c>
      <x:c r="J15" s="3" t="str">
        <x:f>IF(Master!K352="","",Master!K352)</x:f>
        <x:v>Yes</x:v>
      </x:c>
      <x:c r="K15" s="3" t="str">
        <x:f>IF(Master!L352="","",Master!L352)</x:f>
      </x:c>
      <x:c r="L15" s="3" t="str">
        <x:f>IF(Master!M352="","",Master!M352)</x:f>
      </x:c>
      <x:c r="M15" s="3" t="str">
        <x:f>IF(Master!N352="","",Master!N352)</x:f>
      </x:c>
      <x:c r="N15" s="3" t="str">
        <x:f>IF(Master!O352="","",Master!O352)</x:f>
      </x:c>
      <x:c r="O15" s="3" t="str">
        <x:f>IF(Master!P352="","",Master!P352)</x:f>
      </x:c>
      <x:c r="P15" s="3" t="str">
        <x:f>IF(Master!Q352="","",Master!Q352)</x:f>
      </x:c>
      <x:c r="Q15" s="3" t="str">
        <x:f>IF(Master!R352="","",Master!R352)</x:f>
      </x:c>
      <x:c r="R15" s="3" t="str">
        <x:f>IF(Master!S352="","",Master!S352)</x:f>
      </x:c>
      <x:c r="S15" s="3" t="str">
        <x:f>IF(Master!T352="","",Master!T352)</x:f>
      </x:c>
      <x:c r="T15" s="3" t="str">
        <x:f>IF(Master!U352="","",Master!U352)</x:f>
        <x:v>Media only for small rooms and DM calls; hosted application remains centralized</x:v>
      </x:c>
      <x:c r="U15" s="3" t="str">
        <x:f>IF(Master!V352="","",Master!V352)</x:f>
        <x:v>Ni</x:v>
      </x:c>
      <x:c r="V15" s="3" t="str">
        <x:f>IF(Master!W352="","",Master!W352)</x:f>
      </x:c>
      <x:c r="W15" s="3" t="str">
        <x:f>IF(Master!X352="","",Master!X352)</x:f>
      </x:c>
      <x:c r="X15" s="3" t="str">
        <x:f>IF(Master!Y352="","",Master!Y352)</x:f>
      </x:c>
      <x:c r="Y15" s="3" t="str">
        <x:f>IF(Master!Z352="","",Master!Z352)</x:f>
      </x:c>
      <x:c r="Z15" s="3" t="str">
        <x:f>IF(Master!AA352="","",Master!AA352)</x:f>
      </x:c>
      <x:c r="AA15" s="6" t="str">
        <x:f>IF(Master!AB352="","",Master!AB352)</x:f>
      </x:c>
      <x:c r="AB15" s="3" t="str">
        <x:f>IF(Master!AC352="","",Master!AC352)</x:f>
      </x:c>
      <x:c r="AC15" s="3" t="str">
        <x:f>IF(Master!AD352="","",Master!AD352)</x:f>
      </x:c>
      <x:c r="AD15" s="3" t="str">
        <x:f>IF(Master!AE352="","",Master!AE352)</x:f>
      </x:c>
      <x:c r="AE15" s="3" t="str">
        <x:f>IF(Master!AF352="","",Master!AF352)</x:f>
      </x:c>
      <x:c r="AF15" s="8" t="str">
        <x:f>IF(Master!AG352="","",Master!AG352)</x:f>
      </x:c>
    </x:row>
    <x:row r="16" ht="36" customHeight="1">
      <x:c r="A16" s="17" t="s">
        <x:v>602</x:v>
      </x:c>
      <x:c r="B16" s="3" t="str">
        <x:f>IF(Master!C356="","",Master!C356)</x:f>
        <x:v>Proprietary public developer APIs, not an open protocol</x:v>
      </x:c>
      <x:c r="C16" s="3" t="str">
        <x:f>IF(Master!D356="","",Master!D356)</x:f>
        <x:v>Nostr + Concord/NIP-29</x:v>
      </x:c>
      <x:c r="D16" s="3" t="str">
        <x:f>IF(Master!E356="","",Master!E356)</x:f>
        <x:v>Custom protocol</x:v>
      </x:c>
      <x:c r="E16" s="3" t="str">
        <x:f>IF(Master!F356="","",Master!F356)</x:f>
        <x:v>Proprietary</x:v>
      </x:c>
      <x:c r="F16" s="3" t="str">
        <x:f>IF(Master!G356="","",Master!G356)</x:f>
        <x:v>No open interoperability standard</x:v>
      </x:c>
      <x:c r="G16" s="3" t="str">
        <x:f>IF(Master!H356="","",Master!H356)</x:f>
        <x:v>Public API/Gateway inspired by Discord; not a federation standard</x:v>
      </x:c>
      <x:c r="H16" s="3" t="str">
        <x:f>IF(Master!I356="","",Master!I356)</x:f>
        <x:v>Proprietary API/service</x:v>
      </x:c>
      <x:c r="I16" s="3" t="str">
        <x:f>IF(Master!J356="","",Master!J356)</x:f>
        <x:v>Discord-compatible API</x:v>
      </x:c>
      <x:c r="J16" s="3" t="str">
        <x:f>IF(Master!K356="","",Master!K356)</x:f>
        <x:v>Custom open protocol/code</x:v>
      </x:c>
      <x:c r="K16" s="3" t="str">
        <x:f>IF(Master!L356="","",Master!L356)</x:f>
        <x:v>Yes: kaede-fed/1 is publicly documented; project-specific protocol, not an external standard</x:v>
      </x:c>
      <x:c r="L16" s="3" t="str">
        <x:f>IF(Master!M356="","",Master!M356)</x:f>
        <x:v>Proprietary</x:v>
      </x:c>
      <x:c r="M16" s="3" t="str">
        <x:f>IF(Master!N356="","",Master!N356)</x:f>
        <x:v>Discord-compatible API + federation work</x:v>
      </x:c>
      <x:c r="N16" s="3" t="str">
        <x:f>IF(Master!O356="","",Master!O356)</x:f>
        <x:v>Open Matrix specification: Client-Server + Server-Server/Federation APIs</x:v>
      </x:c>
      <x:c r="O16" s="3" t="str">
        <x:f>IF(Master!P356="","",Master!P356)</x:f>
        <x:v>Open APIs, not a general federation standard</x:v>
      </x:c>
      <x:c r="P16" s="3" t="str">
        <x:f>IF(Master!Q356="","",Master!Q356)</x:f>
        <x:v>Custom APIs</x:v>
      </x:c>
      <x:c r="Q16" s="3" t="str">
        <x:f>IF(Master!R356="","",Master!R356)</x:f>
        <x:v>Open Mumble protocol/source</x:v>
      </x:c>
      <x:c r="R16" s="3" t="str">
        <x:f>IF(Master!S356="","",Master!S356)</x:f>
        <x:v>Public app/API code, not a federation standard</x:v>
      </x:c>
      <x:c r="S16" s="3" t="str">
        <x:f>IF(Master!T356="","",Master!T356)</x:f>
        <x:v>Proprietary service APIs</x:v>
      </x:c>
      <x:c r="T16" s="3" t="str">
        <x:f>IF(Master!U356="","",Master!U356)</x:f>
        <x:v>Application API/webhooks</x:v>
      </x:c>
      <x:c r="U16" s="3" t="str">
        <x:f>IF(Master!V356="","",Master!V356)</x:f>
        <x:v>N/A</x:v>
      </x:c>
      <x:c r="V16" s="3" t="str">
        <x:f>IF(Master!W356="","",Master!W356)</x:f>
        <x:v>REST/realtime APIs + federation components</x:v>
      </x:c>
      <x:c r="W16" s="3" t="str">
        <x:f>IF(Master!X356="","",Master!X356)</x:f>
        <x:v>AT Protocol</x:v>
      </x:c>
      <x:c r="X16" s="3" t="str">
        <x:f>IF(Master!Y356="","",Master!Y356)</x:f>
        <x:v>Proprietary Root APIs/SDK</x:v>
      </x:c>
      <x:c r="Y16" s="3" t="str">
        <x:f>IF(Master!Z356="","",Master!Z356)</x:f>
        <x:v>Discord-compatible REST/Gateway reimplementation</x:v>
      </x:c>
      <x:c r="Z16" s="3" t="str">
        <x:f>IF(Master!AA356="","",Master!AA356)</x:f>
        <x:v>Public REST/WebSocket API, but not a federation standard</x:v>
      </x:c>
      <x:c r="AA16" s="6" t="str">
        <x:f>IF(Master!AB356="","",Master!AB356)</x:f>
        <x:v>Proprietary protocol/API</x:v>
      </x:c>
      <x:c r="AB16" s="3" t="str">
        <x:f>IF(Master!AC356="","",Master!AC356)</x:f>
        <x:v>Valour API/node protocol</x:v>
      </x:c>
      <x:c r="AC16" s="3" t="str">
        <x:f>IF(Master!AD356="","",Master!AD356)</x:f>
        <x:v>Custom open-source federation protocol</x:v>
      </x:c>
      <x:c r="AD16" s="3" t="str">
        <x:f>IF(Master!AE356="","",Master!AE356)</x:f>
        <x:v>Proprietary/application API</x:v>
      </x:c>
      <x:c r="AE16" s="3" t="str">
        <x:f>IF(Master!AF356="","",Master!AF356)</x:f>
      </x:c>
      <x:c r="AF16" s="8" t="str">
        <x:f>IF(Master!AG356="","",Master!AG356)</x:f>
        <x:v>Open REST/realtime APIs</x:v>
      </x:c>
    </x:row>
    <x:row r="17" ht="36" customHeight="1">
      <x:c r="A17" s="17" t="s">
        <x:v>603</x:v>
      </x:c>
      <x:c r="B17" s="3" t="str">
        <x:f>IF(Master!C365="","",Master!C365)</x:f>
        <x:v>No</x:v>
      </x:c>
      <x:c r="C17" s="3" t="str">
        <x:f>IF(Master!D365="","",Master!D365)</x:f>
      </x:c>
      <x:c r="D17" s="3" t="str">
        <x:f>IF(Master!E365="","",Master!E365)</x:f>
      </x:c>
      <x:c r="E17" s="3" t="str">
        <x:f>IF(Master!F365="","",Master!F365)</x:f>
      </x:c>
      <x:c r="F17" s="3" t="str">
        <x:f>IF(Master!G365="","",Master!G365)</x:f>
      </x:c>
      <x:c r="G17" s="3" t="str">
        <x:f>IF(Master!H365="","",Master!H365)</x:f>
      </x:c>
      <x:c r="H17" s="3" t="str">
        <x:f>IF(Master!I365="","",Master!I365)</x:f>
      </x:c>
      <x:c r="I17" s="3" t="str">
        <x:f>IF(Master!J365="","",Master!J365)</x:f>
      </x:c>
      <x:c r="J17" s="3" t="str">
        <x:f>IF(Master!K365="","",Master!K365)</x:f>
      </x:c>
      <x:c r="K17" s="3" t="str">
        <x:f>IF(Master!L365="","",Master!L365)</x:f>
        <x:v>No registry image documented; production Compose builds Kaede from the checkout</x:v>
      </x:c>
      <x:c r="L17" s="3" t="str">
        <x:f>IF(Master!M365="","",Master!M365)</x:f>
      </x:c>
      <x:c r="M17" s="3" t="str">
        <x:f>IF(Master!N365="","",Master!N365)</x:f>
      </x:c>
      <x:c r="N17" s="3" t="str">
        <x:f>IF(Master!O365="","",Master!O365)</x:f>
      </x:c>
      <x:c r="O17" s="3" t="str">
        <x:f>IF(Master!P365="","",Master!P365)</x:f>
        <x:v>Yes</x:v>
      </x:c>
      <x:c r="P17" s="3" t="str">
        <x:f>IF(Master!Q365="","",Master!Q365)</x:f>
      </x:c>
      <x:c r="Q17" s="3" t="str">
        <x:f>IF(Master!R365="","",Master!R365)</x:f>
        <x:v>Yes</x:v>
      </x:c>
      <x:c r="R17" s="3" t="str">
        <x:f>IF(Master!S365="","",Master!S365)</x:f>
      </x:c>
      <x:c r="S17" s="3" t="str">
        <x:f>IF(Master!T365="","",Master!T365)</x:f>
      </x:c>
      <x:c r="T17" s="3" t="str">
        <x:f>IF(Master!U365="","",Master!U365)</x:f>
      </x:c>
      <x:c r="U17" s="3" t="str">
        <x:f>IF(Master!V365="","",Master!V365)</x:f>
        <x:v>N/A</x:v>
      </x:c>
      <x:c r="V17" s="3" t="str">
        <x:f>IF(Master!W365="","",Master!W365)</x:f>
        <x:v>Yes</x:v>
      </x:c>
      <x:c r="W17" s="3" t="str">
        <x:f>IF(Master!X365="","",Master!X365)</x:f>
      </x:c>
      <x:c r="X17" s="3" t="str">
        <x:f>IF(Master!Y365="","",Master!Y365)</x:f>
      </x:c>
      <x:c r="Y17" s="3" t="str">
        <x:f>IF(Master!Z365="","",Master!Z365)</x:f>
      </x:c>
      <x:c r="Z17" s="3" t="str">
        <x:f>IF(Master!AA365="","",Master!AA365)</x:f>
      </x:c>
      <x:c r="AA17" s="6" t="str">
        <x:f>IF(Master!AB365="","",Master!AB365)</x:f>
        <x:v>Yes</x:v>
      </x:c>
      <x:c r="AB17" s="3" t="str">
        <x:f>IF(Master!AC365="","",Master!AC365)</x:f>
      </x:c>
      <x:c r="AC17" s="3" t="str">
        <x:f>IF(Master!AD365="","",Master!AD365)</x:f>
      </x:c>
      <x:c r="AD17" s="3" t="str">
        <x:f>IF(Master!AE365="","",Master!AE365)</x:f>
      </x:c>
      <x:c r="AE17" s="3" t="str">
        <x:f>IF(Master!AF365="","",Master!AF365)</x:f>
      </x:c>
      <x:c r="AF17" s="8" t="str">
        <x:f>IF(Master!AG365="","",Master!AG365)</x:f>
      </x:c>
    </x:row>
  </x:sheetData>
  <x:mergeCells>
    <x:mergeCell ref="A1:AF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Directory'!A1","Architecture, Federation &amp; Deployment: Granular"),"Architecture, Federation &amp; Deployment: Granular")</x:f>
        <x:v>Architecture, Federation &amp; Deployment: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604</x:v>
      </x:c>
      <x:c r="B3" s="4" t="str">
        <x:f>IF(Master!C349="","",Master!C349)</x:f>
      </x:c>
      <x:c r="C3" s="4" t="str">
        <x:f>IF(Master!D349="","",Master!D349)</x:f>
      </x:c>
      <x:c r="D3" s="4" t="str">
        <x:f>IF(Master!E349="","",Master!E349)</x:f>
      </x:c>
      <x:c r="E3" s="4" t="str">
        <x:f>IF(Master!F349="","",Master!F349)</x:f>
      </x:c>
      <x:c r="F3" s="4" t="str">
        <x:f>IF(Master!G349="","",Master!G349)</x:f>
      </x:c>
      <x:c r="G3" s="4" t="str">
        <x:f>IF(Master!H349="","",Master!H349)</x:f>
      </x:c>
      <x:c r="H3" s="4" t="str">
        <x:f>IF(Master!I349="","",Master!I349)</x:f>
      </x:c>
      <x:c r="I3" s="4" t="str">
        <x:f>IF(Master!J349="","",Master!J349)</x:f>
      </x:c>
      <x:c r="J3" s="4" t="str">
        <x:f>IF(Master!K349="","",Master!K349)</x:f>
      </x:c>
      <x:c r="K3" s="4" t="str">
        <x:f>IF(Master!L349="","",Master!L349)</x:f>
        <x:v>Federated + self-hosted; official kaede.chat home instance also exists</x:v>
      </x:c>
      <x:c r="L3" s="4" t="str">
        <x:f>IF(Master!M349="","",Master!M349)</x:f>
      </x:c>
      <x:c r="M3" s="4" t="str">
        <x:f>IF(Master!N349="","",Master!N349)</x:f>
      </x:c>
      <x:c r="N3" s="4" t="str">
        <x:f>IF(Master!O349="","",Master!O349)</x:f>
      </x:c>
      <x:c r="O3" s="4" t="str">
        <x:f>IF(Master!P349="","",Master!P349)</x:f>
      </x:c>
      <x:c r="P3" s="4" t="str">
        <x:f>IF(Master!Q349="","",Master!Q349)</x:f>
      </x:c>
      <x:c r="Q3" s="4" t="str">
        <x:f>IF(Master!R349="","",Master!R349)</x:f>
      </x:c>
      <x:c r="R3" s="4" t="str">
        <x:f>IF(Master!S349="","",Master!S349)</x:f>
      </x:c>
      <x:c r="S3" s="4" t="str">
        <x:f>IF(Master!T349="","",Master!T349)</x:f>
      </x:c>
      <x:c r="T3" s="4" t="str">
        <x:f>IF(Master!U349="","",Master!U349)</x:f>
      </x:c>
      <x:c r="U3" s="4" t="str">
        <x:f>IF(Master!V349="","",Master!V349)</x:f>
      </x:c>
      <x:c r="V3" s="4" t="str">
        <x:f>IF(Master!W349="","",Master!W349)</x:f>
      </x:c>
      <x:c r="W3" s="4" t="str">
        <x:f>IF(Master!X349="","",Master!X349)</x:f>
      </x:c>
      <x:c r="X3" s="4" t="str">
        <x:f>IF(Master!Y349="","",Master!Y349)</x:f>
      </x:c>
      <x:c r="Y3" s="4" t="str">
        <x:f>IF(Master!Z349="","",Master!Z349)</x:f>
      </x:c>
      <x:c r="Z3" s="4" t="str">
        <x:f>IF(Master!AA349="","",Master!AA349)</x:f>
      </x:c>
      <x:c r="AA3" s="5" t="str">
        <x:f>IF(Master!AB349="","",Master!AB349)</x:f>
      </x:c>
      <x:c r="AB3" s="4" t="str">
        <x:f>IF(Master!AC349="","",Master!AC349)</x:f>
      </x:c>
      <x:c r="AC3" s="4" t="str">
        <x:f>IF(Master!AD349="","",Master!AD349)</x:f>
      </x:c>
      <x:c r="AD3" s="4" t="str">
        <x:f>IF(Master!AE349="","",Master!AE349)</x:f>
      </x:c>
      <x:c r="AE3" s="4" t="str">
        <x:f>IF(Master!AF349="","",Master!AF349)</x:f>
      </x:c>
      <x:c r="AF3" s="8" t="str">
        <x:f>IF(Master!AG349="","",Master!AG349)</x:f>
      </x:c>
    </x:row>
    <x:row r="4" ht="23.100000381469727" customHeight="1">
      <x:c r="A4" s="17" t="s">
        <x:v>599</x:v>
      </x:c>
      <x:c r="B4" s="4" t="str">
        <x:f>IF(Master!C350="","",Master!C350)</x:f>
      </x:c>
      <x:c r="C4" s="4" t="str">
        <x:f>IF(Master!D350="","",Master!D350)</x:f>
      </x:c>
      <x:c r="D4" s="4" t="str">
        <x:f>IF(Master!E350="","",Master!E350)</x:f>
      </x:c>
      <x:c r="E4" s="4" t="str">
        <x:f>IF(Master!F350="","",Master!F350)</x:f>
      </x:c>
      <x:c r="F4" s="4" t="str">
        <x:f>IF(Master!G350="","",Master!G350)</x:f>
      </x:c>
      <x:c r="G4" s="4" t="str">
        <x:f>IF(Master!H350="","",Master!H350)</x:f>
      </x:c>
      <x:c r="H4" s="4" t="str">
        <x:f>IF(Master!I350="","",Master!I350)</x:f>
      </x:c>
      <x:c r="I4" s="4" t="str">
        <x:f>IF(Master!J350="","",Master!J350)</x:f>
        <x:v>Yes: optional; self-hosting is also supported</x:v>
      </x:c>
      <x:c r="J4" s="4" t="str">
        <x:f>IF(Master!K350="","",Master!K350)</x:f>
      </x:c>
      <x:c r="K4" s="4" t="str">
        <x:f>IF(Master!L350="","",Master!L350)</x:f>
        <x:v>Yes: kaede.chat</x:v>
      </x:c>
      <x:c r="L4" s="4" t="str">
        <x:f>IF(Master!M350="","",Master!M350)</x:f>
      </x:c>
      <x:c r="M4" s="4" t="str">
        <x:f>IF(Master!N350="","",Master!N350)</x:f>
      </x:c>
      <x:c r="N4" s="4" t="str">
        <x:f>IF(Master!O350="","",Master!O350)</x:f>
      </x:c>
      <x:c r="O4" s="4" t="str">
        <x:f>IF(Master!P350="","",Master!P350)</x:f>
      </x:c>
      <x:c r="P4" s="4" t="str">
        <x:f>IF(Master!Q350="","",Master!Q350)</x:f>
      </x:c>
      <x:c r="Q4" s="4" t="str">
        <x:f>IF(Master!R350="","",Master!R350)</x:f>
      </x:c>
      <x:c r="R4" s="4" t="str">
        <x:f>IF(Master!S350="","",Master!S350)</x:f>
      </x:c>
      <x:c r="S4" s="4" t="str">
        <x:f>IF(Master!T350="","",Master!T350)</x:f>
      </x:c>
      <x:c r="T4" s="4" t="str">
        <x:f>IF(Master!U350="","",Master!U350)</x:f>
        <x:v>Yes: Fly.io API in São Paulo + Cloudflare Pages SPA</x:v>
      </x:c>
      <x:c r="U4" s="4" t="str">
        <x:f>IF(Master!V350="","",Master!V350)</x:f>
        <x:v>Yes</x:v>
      </x:c>
      <x:c r="V4" s="4" t="str">
        <x:f>IF(Master!W350="","",Master!W350)</x:f>
      </x:c>
      <x:c r="W4" s="4" t="str">
        <x:f>IF(Master!X350="","",Master!X350)</x:f>
      </x:c>
      <x:c r="X4" s="4" t="str">
        <x:f>IF(Master!Y350="","",Master!Y350)</x:f>
      </x:c>
      <x:c r="Y4" s="4" t="str">
        <x:f>IF(Master!Z350="","",Master!Z350)</x:f>
      </x:c>
      <x:c r="Z4" s="4" t="str">
        <x:f>IF(Master!AA350="","",Master!AA350)</x:f>
      </x:c>
      <x:c r="AA4" s="5" t="str">
        <x:f>IF(Master!AB350="","",Master!AB350)</x:f>
      </x:c>
      <x:c r="AB4" s="4" t="str">
        <x:f>IF(Master!AC350="","",Master!AC350)</x:f>
      </x:c>
      <x:c r="AC4" s="4" t="str">
        <x:f>IF(Master!AD350="","",Master!AD350)</x:f>
      </x:c>
      <x:c r="AD4" s="4" t="str">
        <x:f>IF(Master!AE350="","",Master!AE350)</x:f>
      </x:c>
      <x:c r="AE4" s="4" t="str">
        <x:f>IF(Master!AF350="","",Master!AF350)</x:f>
      </x:c>
      <x:c r="AF4" s="8" t="str">
        <x:f>IF(Master!AG350="","",Master!AG350)</x:f>
      </x:c>
    </x:row>
    <x:row r="5" ht="36" customHeight="1">
      <x:c r="A5" s="17" t="s">
        <x:v>600</x:v>
      </x:c>
      <x:c r="B5" s="3" t="str">
        <x:f>IF(Master!C326="","",Master!C326)</x:f>
        <x:v>No</x:v>
      </x:c>
      <x:c r="C5" s="3" t="str">
        <x:f>IF(Master!D326="","",Master!D326)</x:f>
        <x:v>Yes: relays/self-host</x:v>
      </x:c>
      <x:c r="D5" s="3" t="str">
        <x:f>IF(Master!E326="","",Master!E326)</x:f>
        <x:v>Yes</x:v>
      </x:c>
      <x:c r="E5" s="3" t="str">
        <x:f>IF(Master!F326="","",Master!F326)</x:f>
        <x:v>No</x:v>
      </x:c>
      <x:c r="F5" s="3" t="str">
        <x:f>IF(Master!G326="","",Master!G326)</x:f>
        <x:v>No currently</x:v>
      </x:c>
      <x:c r="G5" s="3" t="str">
        <x:f>IF(Master!H326="","",Master!H326)</x:f>
        <x:v>Yes</x:v>
      </x:c>
      <x:c r="H5" s="3" t="str">
        <x:f>IF(Master!I326="","",Master!I326)</x:f>
        <x:v>Yes</x:v>
      </x:c>
      <x:c r="I5" s="3" t="str">
        <x:f>IF(Master!J326="","",Master!J326)</x:f>
        <x:v>Yes</x:v>
      </x:c>
      <x:c r="J5" s="3" t="str">
        <x:f>IF(Master!K326="","",Master!K326)</x:f>
        <x:v>Yes</x:v>
      </x:c>
      <x:c r="K5" s="3" t="str">
        <x:f>IF(Master!L326="","",Master!L326)</x:f>
        <x:v>Yes</x:v>
      </x:c>
      <x:c r="L5" s="3" t="str">
        <x:f>IF(Master!M326="","",Master!M326)</x:f>
        <x:v>No</x:v>
      </x:c>
      <x:c r="M5" s="3" t="str">
        <x:f>IF(Master!N326="","",Master!N326)</x:f>
        <x:v>Yes</x:v>
      </x:c>
      <x:c r="N5" s="3" t="str">
        <x:f>IF(Master!O326="","",Master!O326)</x:f>
        <x:v>Yes</x:v>
      </x:c>
      <x:c r="O5" s="3" t="str">
        <x:f>IF(Master!P326="","",Master!P326)</x:f>
        <x:v>Yes</x:v>
      </x:c>
      <x:c r="P5" s="3" t="str">
        <x:f>IF(Master!Q326="","",Master!Q326)</x:f>
      </x:c>
      <x:c r="Q5" s="3" t="str">
        <x:f>IF(Master!R326="","",Master!R326)</x:f>
        <x:v>Yes</x:v>
      </x:c>
      <x:c r="R5" s="3" t="str">
        <x:f>IF(Master!S326="","",Master!S326)</x:f>
        <x:v>Technically possible but explicitly not intended/supported</x:v>
      </x:c>
      <x:c r="S5" s="3" t="str">
        <x:f>IF(Master!T326="","",Master!T326)</x:f>
        <x:v>No</x:v>
      </x:c>
      <x:c r="T5" s="3" t="str">
        <x:f>IF(Master!U326="","",Master!U326)</x:f>
        <x:v>Yes: AGPL-3.0; documentation in repository</x:v>
      </x:c>
      <x:c r="U5" s="3" t="str">
        <x:f>IF(Master!V326="","",Master!V326)</x:f>
        <x:v>No</x:v>
      </x:c>
      <x:c r="V5" s="3" t="str">
        <x:f>IF(Master!W326="","",Master!W326)</x:f>
        <x:v>Yes</x:v>
      </x:c>
      <x:c r="W5" s="3" t="str">
        <x:f>IF(Master!X326="","",Master!X326)</x:f>
        <x:v>Partially via ATProto/PDS model</x:v>
      </x:c>
      <x:c r="X5" s="3" t="str">
        <x:f>IF(Master!Y326="","",Master!Y326)</x:f>
        <x:v>No</x:v>
      </x:c>
      <x:c r="Y5" s="3" t="str">
        <x:f>IF(Master!Z326="","",Master!Z326)</x:f>
        <x:v>Yes</x:v>
      </x:c>
      <x:c r="Z5" s="3" t="str">
        <x:f>IF(Master!AA326="","",Master!AA326)</x:f>
        <x:v>Yes</x:v>
      </x:c>
      <x:c r="AA5" s="6" t="str">
        <x:f>IF(Master!AB326="","",Master!AB326)</x:f>
        <x:v>Yes</x:v>
      </x:c>
      <x:c r="AB5" s="3" t="str">
        <x:f>IF(Master!AC326="","",Master!AC326)</x:f>
        <x:v>Yes</x:v>
      </x:c>
      <x:c r="AC5" s="3" t="str">
        <x:f>IF(Master!AD326="","",Master!AD326)</x:f>
        <x:v>In development</x:v>
      </x:c>
      <x:c r="AD5" s="3" t="str">
        <x:f>IF(Master!AE326="","",Master!AE326)</x:f>
        <x:v>No</x:v>
      </x:c>
      <x:c r="AE5" s="3" t="str">
        <x:f>IF(Master!AF326="","",Master!AF326)</x:f>
        <x:v>Yes</x:v>
      </x:c>
      <x:c r="AF5" s="8" t="str">
        <x:f>IF(Master!AG326="","",Master!AG326)</x:f>
        <x:v>Yes</x:v>
      </x:c>
    </x:row>
    <x:row r="6" ht="36" customHeight="1">
      <x:c r="A6" s="17" t="s">
        <x:v>125</x:v>
      </x:c>
      <x:c r="B6" s="3" t="str">
        <x:f>IF(Master!C351="","",Master!C351)</x:f>
        <x:v>No</x:v>
      </x:c>
      <x:c r="C6" s="3" t="str">
        <x:f>IF(Master!D351="","",Master!D351)</x:f>
        <x:v>Nostr relay interoperability</x:v>
      </x:c>
      <x:c r="D6" s="3" t="str">
        <x:f>IF(Master!E351="","",Master!E351)</x:f>
        <x:v>Yes for messenger/server communication features; full federation evolving</x:v>
      </x:c>
      <x:c r="E6" s="3" t="str">
        <x:f>IF(Master!F351="","",Master!F351)</x:f>
        <x:v>No</x:v>
      </x:c>
      <x:c r="F6" s="3" t="str">
        <x:f>IF(Master!G351="","",Master!G351)</x:f>
        <x:v>No</x:v>
      </x:c>
      <x:c r="G6" s="3" t="str">
        <x:f>IF(Master!H351="","",Master!H351)</x:f>
        <x:v>Not yet: on roadmap</x:v>
      </x:c>
      <x:c r="H6" s="3" t="str">
        <x:f>IF(Master!I351="","",Master!I351)</x:f>
        <x:v>No federation verified</x:v>
      </x:c>
      <x:c r="I6" s="3" t="str">
        <x:f>IF(Master!J351="","",Master!J351)</x:f>
        <x:v>Federation planned</x:v>
      </x:c>
      <x:c r="J6" s="3" t="str">
        <x:f>IF(Master!K351="","",Master!K351)</x:f>
        <x:v>Relay choice but not Matrix-style federated server state</x:v>
      </x:c>
      <x:c r="K6" s="3" t="str">
        <x:f>IF(Master!L351="","",Master!L351)</x:f>
        <x:v>Yes</x:v>
      </x:c>
      <x:c r="L6" s="3" t="str">
        <x:f>IF(Master!M351="","",Master!M351)</x:f>
        <x:v>No</x:v>
      </x:c>
      <x:c r="M6" s="3" t="str">
        <x:f>IF(Master!N351="","",Master!N351)</x:f>
        <x:v>Federation advertised</x:v>
      </x:c>
      <x:c r="N6" s="3" t="str">
        <x:f>IF(Master!O351="","",Master!O351)</x:f>
        <x:v>Yes: core feature</x:v>
      </x:c>
      <x:c r="O6" s="3" t="str">
        <x:f>IF(Master!P351="","",Master!P351)</x:f>
        <x:v>No general federation</x:v>
      </x:c>
      <x:c r="P6" s="3" t="str">
        <x:f>IF(Master!Q351="","",Master!Q351)</x:f>
        <x:v>No federation verified</x:v>
      </x:c>
      <x:c r="Q6" s="3" t="str">
        <x:f>IF(Master!R351="","",Master!R351)</x:f>
        <x:v>No</x:v>
      </x:c>
      <x:c r="R6" s="3" t="str">
        <x:f>IF(Master!S351="","",Master!S351)</x:f>
        <x:v>No</x:v>
      </x:c>
      <x:c r="S6" s="3" t="str">
        <x:f>IF(Master!T351="","",Master!T351)</x:f>
        <x:v>No</x:v>
      </x:c>
      <x:c r="T6" s="3" t="str">
        <x:f>IF(Master!U351="","",Master!U351)</x:f>
        <x:v>No federation</x:v>
      </x:c>
      <x:c r="U6" s="3" t="str">
        <x:f>IF(Master!V351="","",Master!V351)</x:f>
        <x:v>No</x:v>
      </x:c>
      <x:c r="V6" s="3" t="str">
        <x:f>IF(Master!W351="","",Master!W351)</x:f>
        <x:v>Yes: Matrix-based federation feature set, with limitations</x:v>
      </x:c>
      <x:c r="W6" s="3" t="str">
        <x:f>IF(Master!X351="","",Master!X351)</x:f>
        <x:v>ATProto federation ecosystem</x:v>
      </x:c>
      <x:c r="X6" s="3" t="str">
        <x:f>IF(Master!Y351="","",Master!Y351)</x:f>
        <x:v>No</x:v>
      </x:c>
      <x:c r="Y6" s="3" t="str">
        <x:f>IF(Master!Z351="","",Master!Z351)</x:f>
        <x:v>No</x:v>
      </x:c>
      <x:c r="Z6" s="3" t="str">
        <x:f>IF(Master!AA351="","",Master!AA351)</x:f>
        <x:v>No</x:v>
      </x:c>
      <x:c r="AA6" s="6" t="str">
        <x:f>IF(Master!AB351="","",Master!AB351)</x:f>
        <x:v>No</x:v>
      </x:c>
      <x:c r="AB6" s="3" t="str">
        <x:f>IF(Master!AC351="","",Master!AC351)</x:f>
        <x:v>Node/federation model for migrating communities; exact cross-instance federation scope evolving</x:v>
      </x:c>
      <x:c r="AC6" s="3" t="str">
        <x:f>IF(Master!AD351="","",Master!AD351)</x:f>
        <x:v>Planned/in development</x:v>
      </x:c>
      <x:c r="AD6" s="3" t="str">
        <x:f>IF(Master!AE351="","",Master!AE351)</x:f>
        <x:v>No</x:v>
      </x:c>
      <x:c r="AE6" s="3" t="str">
        <x:f>IF(Master!AF351="","",Master!AF351)</x:f>
        <x:v>No</x:v>
      </x:c>
      <x:c r="AF6" s="8" t="str">
        <x:f>IF(Master!AG351="","",Master!AG351)</x:f>
        <x:v>No</x:v>
      </x:c>
    </x:row>
    <x:row r="7" ht="36" customHeight="1">
      <x:c r="A7" s="17" t="s">
        <x:v>601</x:v>
      </x:c>
      <x:c r="B7" s="3" t="str">
        <x:f>IF(Master!C352="","",Master!C352)</x:f>
      </x:c>
      <x:c r="C7" s="3" t="str">
        <x:f>IF(Master!D352="","",Master!D352)</x:f>
        <x:v>Yes</x:v>
      </x:c>
      <x:c r="D7" s="3" t="str">
        <x:f>IF(Master!E352="","",Master!E352)</x:f>
      </x:c>
      <x:c r="E7" s="3" t="str">
        <x:f>IF(Master!F352="","",Master!F352)</x:f>
      </x:c>
      <x:c r="F7" s="3" t="str">
        <x:f>IF(Master!G352="","",Master!G352)</x:f>
      </x:c>
      <x:c r="G7" s="3" t="str">
        <x:f>IF(Master!H352="","",Master!H352)</x:f>
      </x:c>
      <x:c r="H7" s="3" t="str">
        <x:f>IF(Master!I352="","",Master!I352)</x:f>
      </x:c>
      <x:c r="I7" s="3" t="str">
        <x:f>IF(Master!J352="","",Master!J352)</x:f>
      </x:c>
      <x:c r="J7" s="3" t="str">
        <x:f>IF(Master!K352="","",Master!K352)</x:f>
        <x:v>Yes</x:v>
      </x:c>
      <x:c r="K7" s="3" t="str">
        <x:f>IF(Master!L352="","",Master!L352)</x:f>
      </x:c>
      <x:c r="L7" s="3" t="str">
        <x:f>IF(Master!M352="","",Master!M352)</x:f>
      </x:c>
      <x:c r="M7" s="3" t="str">
        <x:f>IF(Master!N352="","",Master!N352)</x:f>
      </x:c>
      <x:c r="N7" s="3" t="str">
        <x:f>IF(Master!O352="","",Master!O352)</x:f>
      </x:c>
      <x:c r="O7" s="3" t="str">
        <x:f>IF(Master!P352="","",Master!P352)</x:f>
      </x:c>
      <x:c r="P7" s="3" t="str">
        <x:f>IF(Master!Q352="","",Master!Q352)</x:f>
      </x:c>
      <x:c r="Q7" s="3" t="str">
        <x:f>IF(Master!R352="","",Master!R352)</x:f>
      </x:c>
      <x:c r="R7" s="3" t="str">
        <x:f>IF(Master!S352="","",Master!S352)</x:f>
      </x:c>
      <x:c r="S7" s="3" t="str">
        <x:f>IF(Master!T352="","",Master!T352)</x:f>
      </x:c>
      <x:c r="T7" s="3" t="str">
        <x:f>IF(Master!U352="","",Master!U352)</x:f>
        <x:v>Media only for small rooms and DM calls; hosted application remains centralized</x:v>
      </x:c>
      <x:c r="U7" s="3" t="str">
        <x:f>IF(Master!V352="","",Master!V352)</x:f>
        <x:v>Ni</x:v>
      </x:c>
      <x:c r="V7" s="3" t="str">
        <x:f>IF(Master!W352="","",Master!W352)</x:f>
      </x:c>
      <x:c r="W7" s="3" t="str">
        <x:f>IF(Master!X352="","",Master!X352)</x:f>
      </x:c>
      <x:c r="X7" s="3" t="str">
        <x:f>IF(Master!Y352="","",Master!Y352)</x:f>
      </x:c>
      <x:c r="Y7" s="3" t="str">
        <x:f>IF(Master!Z352="","",Master!Z352)</x:f>
      </x:c>
      <x:c r="Z7" s="3" t="str">
        <x:f>IF(Master!AA352="","",Master!AA352)</x:f>
      </x:c>
      <x:c r="AA7" s="6" t="str">
        <x:f>IF(Master!AB352="","",Master!AB352)</x:f>
      </x:c>
      <x:c r="AB7" s="3" t="str">
        <x:f>IF(Master!AC352="","",Master!AC352)</x:f>
      </x:c>
      <x:c r="AC7" s="3" t="str">
        <x:f>IF(Master!AD352="","",Master!AD352)</x:f>
      </x:c>
      <x:c r="AD7" s="3" t="str">
        <x:f>IF(Master!AE352="","",Master!AE352)</x:f>
      </x:c>
      <x:c r="AE7" s="3" t="str">
        <x:f>IF(Master!AF352="","",Master!AF352)</x:f>
      </x:c>
      <x:c r="AF7" s="8" t="str">
        <x:f>IF(Master!AG352="","",Master!AG352)</x:f>
      </x:c>
    </x:row>
    <x:row r="8" ht="36" customHeight="1">
      <x:c r="A8" s="17" t="s">
        <x:v>605</x:v>
      </x:c>
      <x:c r="B8" s="3" t="str">
        <x:f>IF(Master!C327="","",Master!C327)</x:f>
        <x:v>No</x:v>
      </x:c>
      <x:c r="C8" s="3" t="str">
        <x:f>IF(Master!D327="","",Master!D327)</x:f>
        <x:v>Yes</x:v>
      </x:c>
      <x:c r="D8" s="3" t="str">
        <x:f>IF(Master!E327="","",Master!E327)</x:f>
        <x:v>Yes</x:v>
      </x:c>
      <x:c r="E8" s="3" t="str">
        <x:f>IF(Master!F327="","",Master!F327)</x:f>
        <x:v>No</x:v>
      </x:c>
      <x:c r="F8" s="3" t="str">
        <x:f>IF(Master!G327="","",Master!G327)</x:f>
        <x:v>No</x:v>
      </x:c>
      <x:c r="G8" s="3" t="str">
        <x:f>IF(Master!H327="","",Master!H327)</x:f>
        <x:v>Yes</x:v>
      </x:c>
      <x:c r="H8" s="3" t="str">
        <x:f>IF(Master!I327="","",Master!I327)</x:f>
        <x:v>Yes</x:v>
      </x:c>
      <x:c r="I8" s="3" t="str">
        <x:f>IF(Master!J327="","",Master!J327)</x:f>
        <x:v>Yes</x:v>
      </x:c>
      <x:c r="J8" s="3" t="str">
        <x:f>IF(Master!K327="","",Master!K327)</x:f>
        <x:v>Yes</x:v>
      </x:c>
      <x:c r="K8" s="3" t="str">
        <x:f>IF(Master!L327="","",Master!L327)</x:f>
        <x:v>Yes</x:v>
      </x:c>
      <x:c r="L8" s="3" t="str">
        <x:f>IF(Master!M327="","",Master!M327)</x:f>
        <x:v>No</x:v>
      </x:c>
      <x:c r="M8" s="3" t="str">
        <x:f>IF(Master!N327="","",Master!N327)</x:f>
        <x:v>Yes</x:v>
      </x:c>
      <x:c r="N8" s="3" t="str">
        <x:f>IF(Master!O327="","",Master!O327)</x:f>
        <x:v>Yes</x:v>
      </x:c>
      <x:c r="O8" s="3" t="str">
        <x:f>IF(Master!P327="","",Master!P327)</x:f>
        <x:v>Yes</x:v>
      </x:c>
      <x:c r="P8" s="3" t="str">
        <x:f>IF(Master!Q327="","",Master!Q327)</x:f>
      </x:c>
      <x:c r="Q8" s="3" t="str">
        <x:f>IF(Master!R327="","",Master!R327)</x:f>
        <x:v>Yes</x:v>
      </x:c>
      <x:c r="R8" s="3" t="str">
        <x:f>IF(Master!S327="","",Master!S327)</x:f>
        <x:v>Possible independent deployments</x:v>
      </x:c>
      <x:c r="S8" s="3" t="str">
        <x:f>IF(Master!T327="","",Master!T327)</x:f>
        <x:v>No</x:v>
      </x:c>
      <x:c r="T8" s="3" t="str">
        <x:f>IF(Master!U327="","",Master!U327)</x:f>
        <x:v>Yes</x:v>
      </x:c>
      <x:c r="U8" s="3" t="str">
        <x:f>IF(Master!V327="","",Master!V327)</x:f>
        <x:v>No</x:v>
      </x:c>
      <x:c r="V8" s="3" t="str">
        <x:f>IF(Master!W327="","",Master!W327)</x:f>
        <x:v>Yes</x:v>
      </x:c>
      <x:c r="W8" s="3" t="str">
        <x:f>IF(Master!X327="","",Master!X327)</x:f>
        <x:v>Yes/distributed data ownership model</x:v>
      </x:c>
      <x:c r="X8" s="3" t="str">
        <x:f>IF(Master!Y327="","",Master!Y327)</x:f>
        <x:v>No</x:v>
      </x:c>
      <x:c r="Y8" s="3" t="str">
        <x:f>IF(Master!Z327="","",Master!Z327)</x:f>
        <x:v>Yes</x:v>
      </x:c>
      <x:c r="Z8" s="3" t="str">
        <x:f>IF(Master!AA327="","",Master!AA327)</x:f>
        <x:v>Yes</x:v>
      </x:c>
      <x:c r="AA8" s="6" t="str">
        <x:f>IF(Master!AB327="","",Master!AB327)</x:f>
        <x:v>Yes</x:v>
      </x:c>
      <x:c r="AB8" s="3" t="str">
        <x:f>IF(Master!AC327="","",Master!AC327)</x:f>
        <x:v>Yes</x:v>
      </x:c>
      <x:c r="AC8" s="3" t="str">
        <x:f>IF(Master!AD327="","",Master!AD327)</x:f>
        <x:v>In development</x:v>
      </x:c>
      <x:c r="AD8" s="3" t="str">
        <x:f>IF(Master!AE327="","",Master!AE327)</x:f>
        <x:v>No</x:v>
      </x:c>
      <x:c r="AE8" s="3" t="str">
        <x:f>IF(Master!AF327="","",Master!AF327)</x:f>
        <x:v>Yes</x:v>
      </x:c>
      <x:c r="AF8" s="8" t="str">
        <x:f>IF(Master!AG327="","",Master!AG327)</x:f>
        <x:v>Yes</x:v>
      </x:c>
    </x:row>
    <x:row r="9" ht="36" customHeight="1">
      <x:c r="A9" s="17" t="s">
        <x:v>606</x:v>
      </x:c>
      <x:c r="B9" s="3" t="str">
        <x:f>IF(Master!C329="","",Master!C329)</x:f>
        <x:v>No</x:v>
      </x:c>
      <x:c r="C9" s="3" t="str">
        <x:f>IF(Master!D329="","",Master!D329)</x:f>
        <x:v>Communities can use multiple relays</x:v>
      </x:c>
      <x:c r="D9" s="3" t="str">
        <x:f>IF(Master!E329="","",Master!E329)</x:f>
        <x:v>Cross-server messenger works</x:v>
      </x:c>
      <x:c r="E9" s="3" t="str">
        <x:f>IF(Master!F329="","",Master!F329)</x:f>
        <x:v>No</x:v>
      </x:c>
      <x:c r="F9" s="3" t="str">
        <x:f>IF(Master!G329="","",Master!G329)</x:f>
        <x:v>No</x:v>
      </x:c>
      <x:c r="G9" s="3" t="str">
        <x:f>IF(Master!H329="","",Master!H329)</x:f>
        <x:v>Not yet</x:v>
      </x:c>
      <x:c r="H9" s="3" t="str">
        <x:f>IF(Master!I329="","",Master!I329)</x:f>
        <x:v>No</x:v>
      </x:c>
      <x:c r="I9" s="3" t="str">
        <x:f>IF(Master!J329="","",Master!J329)</x:f>
        <x:v>Planned</x:v>
      </x:c>
      <x:c r="J9" s="3" t="str">
        <x:f>IF(Master!K329="","",Master!K329)</x:f>
        <x:v>Peers communicate across relays/home servers as designed</x:v>
      </x:c>
      <x:c r="K9" s="3" t="str">
        <x:f>IF(Master!L329="","",Master!L329)</x:f>
        <x:v>Yes: users on one home can join guilds, DM and call users/resources on other homes</x:v>
      </x:c>
      <x:c r="L9" s="3" t="str">
        <x:f>IF(Master!M329="","",Master!M329)</x:f>
        <x:v>No</x:v>
      </x:c>
      <x:c r="M9" s="3" t="str">
        <x:f>IF(Master!N329="","",Master!N329)</x:f>
        <x:v>Federated communities intended</x:v>
      </x:c>
      <x:c r="N9" s="3" t="str">
        <x:f>IF(Master!O329="","",Master!O329)</x:f>
        <x:v>Yes: rooms can span homeservers</x:v>
      </x:c>
      <x:c r="O9" s="3" t="str">
        <x:f>IF(Master!P329="","",Master!P329)</x:f>
        <x:v>No</x:v>
      </x:c>
      <x:c r="P9" s="3" t="str">
        <x:f>IF(Master!Q329="","",Master!Q329)</x:f>
        <x:v>No</x:v>
      </x:c>
      <x:c r="Q9" s="3" t="str">
        <x:f>IF(Master!R329="","",Master!R329)</x:f>
        <x:v>No</x:v>
      </x:c>
      <x:c r="R9" s="3" t="str">
        <x:f>IF(Master!S329="","",Master!S329)</x:f>
        <x:v>No</x:v>
      </x:c>
      <x:c r="S9" s="3" t="str">
        <x:f>IF(Master!T329="","",Master!T329)</x:f>
        <x:v>No</x:v>
      </x:c>
      <x:c r="T9" s="3" t="str">
        <x:f>IF(Master!U329="","",Master!U329)</x:f>
        <x:v>No</x:v>
      </x:c>
      <x:c r="U9" s="3" t="str">
        <x:f>IF(Master!V329="","",Master!V329)</x:f>
        <x:v>No</x:v>
      </x:c>
      <x:c r="V9" s="3" t="str">
        <x:f>IF(Master!W329="","",Master!W329)</x:f>
        <x:v>Yes for supported federated rooms</x:v>
      </x:c>
      <x:c r="W9" s="3" t="str">
        <x:f>IF(Master!X329="","",Master!X329)</x:f>
        <x:v>ATProto-linked spaces</x:v>
      </x:c>
      <x:c r="X9" s="3" t="str">
        <x:f>IF(Master!Y329="","",Master!Y329)</x:f>
        <x:v>No</x:v>
      </x:c>
      <x:c r="Y9" s="3" t="str">
        <x:f>IF(Master!Z329="","",Master!Z329)</x:f>
        <x:v>No</x:v>
      </x:c>
      <x:c r="Z9" s="3" t="str">
        <x:f>IF(Master!AA329="","",Master!AA329)</x:f>
        <x:v>No</x:v>
      </x:c>
      <x:c r="AA9" s="6" t="str">
        <x:f>IF(Master!AB329="","",Master!AB329)</x:f>
        <x:v>No</x:v>
      </x:c>
      <x:c r="AB9" s="3" t="str">
        <x:f>IF(Master!AC329="","",Master!AC329)</x:f>
        <x:v>Limited/evolving</x:v>
      </x:c>
      <x:c r="AC9" s="3" t="str">
        <x:f>IF(Master!AD329="","",Master!AD329)</x:f>
        <x:v>Planned</x:v>
      </x:c>
      <x:c r="AD9" s="3" t="str">
        <x:f>IF(Master!AE329="","",Master!AE329)</x:f>
        <x:v>No</x:v>
      </x:c>
      <x:c r="AE9" s="3" t="str">
        <x:f>IF(Master!AF329="","",Master!AF329)</x:f>
        <x:v>No</x:v>
      </x:c>
      <x:c r="AF9" s="8" t="str">
        <x:f>IF(Master!AG329="","",Master!AG329)</x:f>
        <x:v>No</x:v>
      </x:c>
    </x:row>
    <x:row r="10" ht="36" customHeight="1">
      <x:c r="A10" s="17" t="s">
        <x:v>607</x:v>
      </x:c>
      <x:c r="B10" s="3" t="str">
        <x:f>IF(Master!C353="","",Master!C353)</x:f>
        <x:v>No</x:v>
      </x:c>
      <x:c r="C10" s="3" t="str">
        <x:f>IF(Master!D353="","",Master!D353)</x:f>
        <x:v>Yes</x:v>
      </x:c>
      <x:c r="D10" s="3" t="str">
        <x:f>IF(Master!E353="","",Master!E353)</x:f>
        <x:v>Yes</x:v>
      </x:c>
      <x:c r="E10" s="3" t="str">
        <x:f>IF(Master!F353="","",Master!F353)</x:f>
      </x:c>
      <x:c r="F10" s="3" t="str">
        <x:f>IF(Master!G353="","",Master!G353)</x:f>
        <x:v>No</x:v>
      </x:c>
      <x:c r="G10" s="3" t="str">
        <x:f>IF(Master!H353="","",Master!H353)</x:f>
      </x:c>
      <x:c r="H10" s="3" t="str">
        <x:f>IF(Master!I353="","",Master!I353)</x:f>
      </x:c>
      <x:c r="I10" s="3" t="str">
        <x:f>IF(Master!J353="","",Master!J353)</x:f>
      </x:c>
      <x:c r="J10" s="3" t="str">
        <x:f>IF(Master!K353="","",Master!K353)</x:f>
        <x:v>Yes</x:v>
      </x:c>
      <x:c r="K10" s="3" t="str">
        <x:f>IF(Master!L353="","",Master!L353)</x:f>
        <x:v>Yes: users on one home can join guilds, DM and call users/resources on other homes</x:v>
      </x:c>
      <x:c r="L10" s="3" t="str">
        <x:f>IF(Master!M353="","",Master!M353)</x:f>
      </x:c>
      <x:c r="M10" s="3" t="str">
        <x:f>IF(Master!N353="","",Master!N353)</x:f>
      </x:c>
      <x:c r="N10" s="3" t="str">
        <x:f>IF(Master!O353="","",Master!O353)</x:f>
        <x:v>Yes</x:v>
      </x:c>
      <x:c r="O10" s="3" t="str">
        <x:f>IF(Master!P353="","",Master!P353)</x:f>
        <x:v>No</x:v>
      </x:c>
      <x:c r="P10" s="3" t="str">
        <x:f>IF(Master!Q353="","",Master!Q353)</x:f>
      </x:c>
      <x:c r="Q10" s="3" t="str">
        <x:f>IF(Master!R353="","",Master!R353)</x:f>
        <x:v>No</x:v>
      </x:c>
      <x:c r="R10" s="3" t="str">
        <x:f>IF(Master!S353="","",Master!S353)</x:f>
      </x:c>
      <x:c r="S10" s="3" t="str">
        <x:f>IF(Master!T353="","",Master!T353)</x:f>
      </x:c>
      <x:c r="T10" s="3" t="str">
        <x:f>IF(Master!U353="","",Master!U353)</x:f>
      </x:c>
      <x:c r="U10" s="3" t="str">
        <x:f>IF(Master!V353="","",Master!V353)</x:f>
        <x:v>N/A</x:v>
      </x:c>
      <x:c r="V10" s="3" t="str">
        <x:f>IF(Master!W353="","",Master!W353)</x:f>
      </x:c>
      <x:c r="W10" s="3" t="str">
        <x:f>IF(Master!X353="","",Master!X353)</x:f>
      </x:c>
      <x:c r="X10" s="3" t="str">
        <x:f>IF(Master!Y353="","",Master!Y353)</x:f>
        <x:v>No</x:v>
      </x:c>
      <x:c r="Y10" s="3" t="str">
        <x:f>IF(Master!Z353="","",Master!Z353)</x:f>
      </x:c>
      <x:c r="Z10" s="3" t="str">
        <x:f>IF(Master!AA353="","",Master!AA353)</x:f>
      </x:c>
      <x:c r="AA10" s="6" t="str">
        <x:f>IF(Master!AB353="","",Master!AB353)</x:f>
        <x:v>No</x:v>
      </x:c>
      <x:c r="AB10" s="3" t="str">
        <x:f>IF(Master!AC353="","",Master!AC353)</x:f>
      </x:c>
      <x:c r="AC10" s="3" t="str">
        <x:f>IF(Master!AD353="","",Master!AD353)</x:f>
      </x:c>
      <x:c r="AD10" s="3" t="str">
        <x:f>IF(Master!AE353="","",Master!AE353)</x:f>
      </x:c>
      <x:c r="AE10" s="3" t="str">
        <x:f>IF(Master!AF353="","",Master!AF353)</x:f>
      </x:c>
      <x:c r="AF10" s="8" t="str">
        <x:f>IF(Master!AG353="","",Master!AG353)</x:f>
        <x:v>No</x:v>
      </x:c>
    </x:row>
    <x:row r="11" ht="36" customHeight="1">
      <x:c r="A11" s="17" t="s">
        <x:v>608</x:v>
      </x:c>
      <x:c r="B11" s="3" t="str">
        <x:f>IF(Master!C354="","",Master!C354)</x:f>
        <x:v>No</x:v>
      </x:c>
      <x:c r="C11" s="3" t="str">
        <x:f>IF(Master!D354="","",Master!D354)</x:f>
        <x:v>Identity is portable by keypair</x:v>
      </x:c>
      <x:c r="D11" s="3" t="str">
        <x:f>IF(Master!E354="","",Master!E354)</x:f>
        <x:v>Yes: messenger global ID/key and account export</x:v>
      </x:c>
      <x:c r="E11" s="3" t="str">
        <x:f>IF(Master!F354="","",Master!F354)</x:f>
        <x:v>No</x:v>
      </x:c>
      <x:c r="F11" s="3" t="str">
        <x:f>IF(Master!G354="","",Master!G354)</x:f>
        <x:v>No</x:v>
      </x:c>
      <x:c r="G11" s="3" t="str">
        <x:f>IF(Master!H354="","",Master!H354)</x:f>
        <x:v>No current portable cross-instance identity</x:v>
      </x:c>
      <x:c r="H11" s="3" t="str">
        <x:f>IF(Master!I354="","",Master!I354)</x:f>
        <x:v>No</x:v>
      </x:c>
      <x:c r="I11" s="3" t="str">
        <x:f>IF(Master!J354="","",Master!J354)</x:f>
        <x:v>Planned</x:v>
      </x:c>
      <x:c r="J11" s="3" t="str">
        <x:f>IF(Master!K354="","",Master!K354)</x:f>
        <x:v>Yes: identity key portable</x:v>
      </x:c>
      <x:c r="K11" s="3" t="str">
        <x:f>IF(Master!L354="","",Master!L354)</x:f>
        <x:v>Federated identity works across instances; moving an account's home is not documented</x:v>
      </x:c>
      <x:c r="L11" s="3" t="str">
        <x:f>IF(Master!M354="","",Master!M354)</x:f>
        <x:v>No</x:v>
      </x:c>
      <x:c r="M11" s="3" t="str">
        <x:f>IF(Master!N354="","",Master!N354)</x:f>
      </x:c>
      <x:c r="N11" s="3" t="str">
        <x:f>IF(Master!O354="","",Master!O354)</x:f>
        <x:v>Identity is namespaced to a homeserver; clients are portable, account migration is not universally seamless</x:v>
      </x:c>
      <x:c r="O11" s="3" t="str">
        <x:f>IF(Master!P354="","",Master!P354)</x:f>
        <x:v>No</x:v>
      </x:c>
      <x:c r="P11" s="3" t="str">
        <x:f>IF(Master!Q354="","",Master!Q354)</x:f>
        <x:v>No</x:v>
      </x:c>
      <x:c r="Q11" s="3" t="str">
        <x:f>IF(Master!R354="","",Master!R354)</x:f>
        <x:v>Certificate/user identity can be reused manually; no global portable identity layer</x:v>
      </x:c>
      <x:c r="R11" s="3" t="str">
        <x:f>IF(Master!S354="","",Master!S354)</x:f>
        <x:v>No</x:v>
      </x:c>
      <x:c r="S11" s="3" t="str">
        <x:f>IF(Master!T354="","",Master!T354)</x:f>
        <x:v>No</x:v>
      </x:c>
      <x:c r="T11" s="3" t="str">
        <x:f>IF(Master!U354="","",Master!U354)</x:f>
        <x:v>No</x:v>
      </x:c>
      <x:c r="U11" s="3" t="str">
        <x:f>IF(Master!V354="","",Master!V354)</x:f>
        <x:v>N/A</x:v>
      </x:c>
      <x:c r="V11" s="3" t="str">
        <x:f>IF(Master!W354="","",Master!W354)</x:f>
        <x:v>Limited; not equivalent to universal account migration</x:v>
      </x:c>
      <x:c r="W11" s="3" t="str">
        <x:f>IF(Master!X354="","",Master!X354)</x:f>
        <x:v>Identity via ATProto</x:v>
      </x:c>
      <x:c r="X11" s="3" t="str">
        <x:f>IF(Master!Y354="","",Master!Y354)</x:f>
        <x:v>No</x:v>
      </x:c>
      <x:c r="Y11" s="3" t="str">
        <x:f>IF(Master!Z354="","",Master!Z354)</x:f>
        <x:v>No</x:v>
      </x:c>
      <x:c r="Z11" s="3" t="str">
        <x:f>IF(Master!AA354="","",Master!AA354)</x:f>
        <x:v>No seamless portable identity</x:v>
      </x:c>
      <x:c r="AA11" s="6" t="str">
        <x:f>IF(Master!AB354="","",Master!AB354)</x:f>
        <x:v>No global federated identity</x:v>
      </x:c>
      <x:c r="AB11" s="3" t="str">
        <x:f>IF(Master!AC354="","",Master!AC354)</x:f>
        <x:v>Account survives community node moves per documentation</x:v>
      </x:c>
      <x:c r="AC11" s="3" t="str">
        <x:f>IF(Master!AD354="","",Master!AD354)</x:f>
        <x:v>Planned</x:v>
      </x:c>
      <x:c r="AD11" s="3" t="str">
        <x:f>IF(Master!AE354="","",Master!AE354)</x:f>
        <x:v>No</x:v>
      </x:c>
      <x:c r="AE11" s="3" t="str">
        <x:f>IF(Master!AF354="","",Master!AF354)</x:f>
        <x:v>No</x:v>
      </x:c>
      <x:c r="AF11" s="8" t="str">
        <x:f>IF(Master!AG354="","",Master!AG354)</x:f>
        <x:v>No seamless cross-server identity</x:v>
      </x:c>
    </x:row>
    <x:row r="12" ht="21.950000762939453" customHeight="1">
      <x:c r="A12" s="18" t="s">
        <x:v>609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610</x:v>
      </x:c>
      <x:c r="B13" s="3" t="str">
        <x:f>IF(Master!C355="","",Master!C355)</x:f>
        <x:v>No federation; centralized proprietary service (public HTTP/Gateway APIs for apps)</x:v>
      </x:c>
      <x:c r="C13" s="3" t="str">
        <x:f>IF(Master!D355="","",Master!D355)</x:f>
        <x:v>Nostr + Concord + NIP-29 relay groups</x:v>
      </x:c>
      <x:c r="D13" s="3" t="str">
        <x:f>IF(Master!E355="","",Master!E355)</x:f>
        <x:v>Custom server protocol/WebSockets; federation/decentralization features</x:v>
      </x:c>
      <x:c r="E13" s="3" t="str">
        <x:f>IF(Master!F355="","",Master!F355)</x:f>
        <x:v>No federation</x:v>
      </x:c>
      <x:c r="F13" s="3" t="str">
        <x:f>IF(Master!G355="","",Master!G355)</x:f>
        <x:v>No federation; custom platform APIs</x:v>
      </x:c>
      <x:c r="G13" s="3" t="str">
        <x:f>IF(Master!H355="","",Master!H355)</x:f>
        <x:v>No federation yet; federation on roadmap; Discord-inspired REST/Gateway</x:v>
      </x:c>
      <x:c r="H13" s="3" t="str">
        <x:f>IF(Master!I355="","",Master!I355)</x:f>
        <x:v>Centralized/independent servers; no federation verified</x:v>
      </x:c>
      <x:c r="I13" s="3" t="str">
        <x:f>IF(Master!J355="","",Master!J355)</x:f>
        <x:v>Discord-like API; federation planned</x:v>
      </x:c>
      <x:c r="J13" s="3" t="str">
        <x:f>IF(Master!K355="","",Master!K355)</x:f>
        <x:v>Custom relay protocol + CRDT sync; no central account server</x:v>
      </x:c>
      <x:c r="K13" s="3" t="str">
        <x:f>IF(Master!L355="","",Master!L355)</x:f>
        <x:v>Yes: kaede-fed/1 is publicly documented; project-specific protocol, not an external standard</x:v>
      </x:c>
      <x:c r="L13" s="3" t="str">
        <x:f>IF(Master!M355="","",Master!M355)</x:f>
        <x:v>No federation verified</x:v>
      </x:c>
      <x:c r="M13" s="3" t="str">
        <x:f>IF(Master!N355="","",Master!N355)</x:f>
        <x:v>Federated infrastructure planned/implemented in evolving form</x:v>
      </x:c>
      <x:c r="N13" s="3" t="str">
        <x:f>IF(Master!O355="","",Master!O355)</x:f>
        <x:v>Matrix Client-Server API + Server-Server/Federation API; MatrixRTC for realtime calling</x:v>
      </x:c>
      <x:c r="O13" s="3" t="str">
        <x:f>IF(Master!P355="","",Master!P355)</x:f>
        <x:v>Mattermost APIs/WebSocket; no general cross-server federation</x:v>
      </x:c>
      <x:c r="P13" s="3" t="str">
        <x:f>IF(Master!Q355="","",Master!Q355)</x:f>
      </x:c>
      <x:c r="Q13" s="3" t="str">
        <x:f>IF(Master!R355="","",Master!R355)</x:f>
        <x:v>Mumble protocol over TLS/UDP; no federation</x:v>
      </x:c>
      <x:c r="R13" s="3" t="str">
        <x:f>IF(Master!S355="","",Master!S355)</x:f>
        <x:v>No federation</x:v>
      </x:c>
      <x:c r="S13" s="3" t="str">
        <x:f>IF(Master!T355="","",Master!T355)</x:f>
        <x:v>No federation verified</x:v>
      </x:c>
      <x:c r="T13" s="3" t="str">
        <x:f>IF(Master!U355="","",Master!U355)</x:f>
        <x:v>No federation; independent self-host copies</x:v>
      </x:c>
      <x:c r="U13" s="3" t="str">
        <x:f>IF(Master!V355="","",Master!V355)</x:f>
        <x:v>N/A</x:v>
      </x:c>
      <x:c r="V13" s="3" t="str">
        <x:f>IF(Master!W355="","",Master!W355)</x:f>
        <x:v>REST/WebSocket/DDP + Matrix-based federation capabilities</x:v>
      </x:c>
      <x:c r="W13" s="3" t="str">
        <x:f>IF(Master!X355="","",Master!X355)</x:f>
        <x:v>ATProto-based data model; not a Matrix-style chat federation</x:v>
      </x:c>
      <x:c r="X13" s="3" t="str">
        <x:f>IF(Master!Y355="","",Master!Y355)</x:f>
        <x:v>No federation; proprietary Root APIs</x:v>
      </x:c>
      <x:c r="Y13" s="3" t="str">
        <x:f>IF(Master!Z355="","",Master!Z355)</x:f>
        <x:v>Discord-compatible REST API + Gateway/WebSocket; no federation</x:v>
      </x:c>
      <x:c r="Z13" s="3" t="str">
        <x:f>IF(Master!AA355="","",Master!AA355)</x:f>
        <x:v>No inter-instance federation; custom REST/WebSocket API</x:v>
      </x:c>
      <x:c r="AA13" s="6" t="str">
        <x:f>IF(Master!AB355="","",Master!AB355)</x:f>
        <x:v>Proprietary TeamSpeak protocol; no federation</x:v>
      </x:c>
      <x:c r="AB13" s="3" t="str">
        <x:f>IF(Master!AC355="","",Master!AC355)</x:f>
        <x:v>Independent instances/nodes; federation/migration features</x:v>
      </x:c>
      <x:c r="AC13" s="3" t="str">
        <x:f>IF(Master!AD355="","",Master!AD355)</x:f>
        <x:v>Custom federation protocol in development</x:v>
      </x:c>
      <x:c r="AD13" s="3" t="str">
        <x:f>IF(Master!AE355="","",Master!AE355)</x:f>
        <x:v>No federation</x:v>
      </x:c>
      <x:c r="AE13" s="3" t="str">
        <x:f>IF(Master!AF355="","",Master!AF355)</x:f>
        <x:v>Independent servers; no federation verified</x:v>
      </x:c>
      <x:c r="AF13" s="8" t="str">
        <x:f>IF(Master!AG355="","",Master!AG355)</x:f>
        <x:v>Zulip REST/realtime event API; no cross-server federation</x:v>
      </x:c>
    </x:row>
    <x:row r="14" ht="36" customHeight="1">
      <x:c r="A14" s="17" t="s">
        <x:v>602</x:v>
      </x:c>
      <x:c r="B14" s="3" t="str">
        <x:f>IF(Master!C356="","",Master!C356)</x:f>
        <x:v>Proprietary public developer APIs, not an open protocol</x:v>
      </x:c>
      <x:c r="C14" s="3" t="str">
        <x:f>IF(Master!D356="","",Master!D356)</x:f>
        <x:v>Nostr + Concord/NIP-29</x:v>
      </x:c>
      <x:c r="D14" s="3" t="str">
        <x:f>IF(Master!E356="","",Master!E356)</x:f>
        <x:v>Custom protocol</x:v>
      </x:c>
      <x:c r="E14" s="3" t="str">
        <x:f>IF(Master!F356="","",Master!F356)</x:f>
        <x:v>Proprietary</x:v>
      </x:c>
      <x:c r="F14" s="3" t="str">
        <x:f>IF(Master!G356="","",Master!G356)</x:f>
        <x:v>No open interoperability standard</x:v>
      </x:c>
      <x:c r="G14" s="3" t="str">
        <x:f>IF(Master!H356="","",Master!H356)</x:f>
        <x:v>Public API/Gateway inspired by Discord; not a federation standard</x:v>
      </x:c>
      <x:c r="H14" s="3" t="str">
        <x:f>IF(Master!I356="","",Master!I356)</x:f>
        <x:v>Proprietary API/service</x:v>
      </x:c>
      <x:c r="I14" s="3" t="str">
        <x:f>IF(Master!J356="","",Master!J356)</x:f>
        <x:v>Discord-compatible API</x:v>
      </x:c>
      <x:c r="J14" s="3" t="str">
        <x:f>IF(Master!K356="","",Master!K356)</x:f>
        <x:v>Custom open protocol/code</x:v>
      </x:c>
      <x:c r="K14" s="3" t="str">
        <x:f>IF(Master!L356="","",Master!L356)</x:f>
        <x:v>Yes: kaede-fed/1 is publicly documented; project-specific protocol, not an external standard</x:v>
      </x:c>
      <x:c r="L14" s="3" t="str">
        <x:f>IF(Master!M356="","",Master!M356)</x:f>
        <x:v>Proprietary</x:v>
      </x:c>
      <x:c r="M14" s="3" t="str">
        <x:f>IF(Master!N356="","",Master!N356)</x:f>
        <x:v>Discord-compatible API + federation work</x:v>
      </x:c>
      <x:c r="N14" s="3" t="str">
        <x:f>IF(Master!O356="","",Master!O356)</x:f>
        <x:v>Open Matrix specification: Client-Server + Server-Server/Federation APIs</x:v>
      </x:c>
      <x:c r="O14" s="3" t="str">
        <x:f>IF(Master!P356="","",Master!P356)</x:f>
        <x:v>Open APIs, not a general federation standard</x:v>
      </x:c>
      <x:c r="P14" s="3" t="str">
        <x:f>IF(Master!Q356="","",Master!Q356)</x:f>
        <x:v>Custom APIs</x:v>
      </x:c>
      <x:c r="Q14" s="3" t="str">
        <x:f>IF(Master!R356="","",Master!R356)</x:f>
        <x:v>Open Mumble protocol/source</x:v>
      </x:c>
      <x:c r="R14" s="3" t="str">
        <x:f>IF(Master!S356="","",Master!S356)</x:f>
        <x:v>Public app/API code, not a federation standard</x:v>
      </x:c>
      <x:c r="S14" s="3" t="str">
        <x:f>IF(Master!T356="","",Master!T356)</x:f>
        <x:v>Proprietary service APIs</x:v>
      </x:c>
      <x:c r="T14" s="3" t="str">
        <x:f>IF(Master!U356="","",Master!U356)</x:f>
        <x:v>Application API/webhooks</x:v>
      </x:c>
      <x:c r="U14" s="3" t="str">
        <x:f>IF(Master!V356="","",Master!V356)</x:f>
        <x:v>N/A</x:v>
      </x:c>
      <x:c r="V14" s="3" t="str">
        <x:f>IF(Master!W356="","",Master!W356)</x:f>
        <x:v>REST/realtime APIs + federation components</x:v>
      </x:c>
      <x:c r="W14" s="3" t="str">
        <x:f>IF(Master!X356="","",Master!X356)</x:f>
        <x:v>AT Protocol</x:v>
      </x:c>
      <x:c r="X14" s="3" t="str">
        <x:f>IF(Master!Y356="","",Master!Y356)</x:f>
        <x:v>Proprietary Root APIs/SDK</x:v>
      </x:c>
      <x:c r="Y14" s="3" t="str">
        <x:f>IF(Master!Z356="","",Master!Z356)</x:f>
        <x:v>Discord-compatible REST/Gateway reimplementation</x:v>
      </x:c>
      <x:c r="Z14" s="3" t="str">
        <x:f>IF(Master!AA356="","",Master!AA356)</x:f>
        <x:v>Public REST/WebSocket API, but not a federation standard</x:v>
      </x:c>
      <x:c r="AA14" s="6" t="str">
        <x:f>IF(Master!AB356="","",Master!AB356)</x:f>
        <x:v>Proprietary protocol/API</x:v>
      </x:c>
      <x:c r="AB14" s="3" t="str">
        <x:f>IF(Master!AC356="","",Master!AC356)</x:f>
        <x:v>Valour API/node protocol</x:v>
      </x:c>
      <x:c r="AC14" s="3" t="str">
        <x:f>IF(Master!AD356="","",Master!AD356)</x:f>
        <x:v>Custom open-source federation protocol</x:v>
      </x:c>
      <x:c r="AD14" s="3" t="str">
        <x:f>IF(Master!AE356="","",Master!AE356)</x:f>
        <x:v>Proprietary/application API</x:v>
      </x:c>
      <x:c r="AE14" s="3" t="str">
        <x:f>IF(Master!AF356="","",Master!AF356)</x:f>
      </x:c>
      <x:c r="AF14" s="8" t="str">
        <x:f>IF(Master!AG356="","",Master!AG356)</x:f>
        <x:v>Open REST/realtime APIs</x:v>
      </x:c>
    </x:row>
    <x:row r="15" ht="36" customHeight="1">
      <x:c r="A15" s="17" t="s">
        <x:v>611</x:v>
      </x:c>
      <x:c r="B15" s="3" t="str">
        <x:f>IF(Master!C357="","",Master!C357)</x:f>
        <x:v>No</x:v>
      </x:c>
      <x:c r="C15" s="3" t="str">
        <x:f>IF(Master!D357="","",Master!D357)</x:f>
        <x:v>No</x:v>
      </x:c>
      <x:c r="D15" s="3" t="str">
        <x:f>IF(Master!E357="","",Master!E357)</x:f>
        <x:v>No</x:v>
      </x:c>
      <x:c r="E15" s="3" t="str">
        <x:f>IF(Master!F357="","",Master!F357)</x:f>
        <x:v>No</x:v>
      </x:c>
      <x:c r="F15" s="3" t="str">
        <x:f>IF(Master!G357="","",Master!G357)</x:f>
        <x:v>No</x:v>
      </x:c>
      <x:c r="G15" s="3" t="str">
        <x:f>IF(Master!H357="","",Master!H357)</x:f>
        <x:v>Partial Discord wire/API compatibility goals</x:v>
      </x:c>
      <x:c r="H15" s="3" t="str">
        <x:f>IF(Master!I357="","",Master!I357)</x:f>
        <x:v>No</x:v>
      </x:c>
      <x:c r="I15" s="3" t="str">
        <x:f>IF(Master!J357="","",Master!J357)</x:f>
        <x:v>Yes</x:v>
      </x:c>
      <x:c r="J15" s="3" t="str">
        <x:f>IF(Master!K357="","",Master!K357)</x:f>
        <x:v>No</x:v>
      </x:c>
      <x:c r="K15" s="3" t="str">
        <x:f>IF(Master!L357="","",Master!L357)</x:f>
        <x:v>No</x:v>
      </x:c>
      <x:c r="L15" s="3" t="str">
        <x:f>IF(Master!M357="","",Master!M357)</x:f>
        <x:v>No</x:v>
      </x:c>
      <x:c r="M15" s="3" t="str">
        <x:f>IF(Master!N357="","",Master!N357)</x:f>
        <x:v>Yes: Discord-like bot compatibility</x:v>
      </x:c>
      <x:c r="N15" s="3" t="str">
        <x:f>IF(Master!O357="","",Master!O357)</x:f>
        <x:v>No</x:v>
      </x:c>
      <x:c r="O15" s="3" t="str">
        <x:f>IF(Master!P357="","",Master!P357)</x:f>
        <x:v>No</x:v>
      </x:c>
      <x:c r="P15" s="3" t="str">
        <x:f>IF(Master!Q357="","",Master!Q357)</x:f>
        <x:v>No</x:v>
      </x:c>
      <x:c r="Q15" s="3" t="str">
        <x:f>IF(Master!R357="","",Master!R357)</x:f>
        <x:v>No</x:v>
      </x:c>
      <x:c r="R15" s="3" t="str">
        <x:f>IF(Master!S357="","",Master!S357)</x:f>
        <x:v>No</x:v>
      </x:c>
      <x:c r="S15" s="3" t="str">
        <x:f>IF(Master!T357="","",Master!T357)</x:f>
        <x:v>No</x:v>
      </x:c>
      <x:c r="T15" s="3" t="str">
        <x:f>IF(Master!U357="","",Master!U357)</x:f>
        <x:v>No</x:v>
      </x:c>
      <x:c r="U15" s="3" t="str">
        <x:f>IF(Master!V357="","",Master!V357)</x:f>
        <x:v>N/A</x:v>
      </x:c>
      <x:c r="V15" s="3" t="str">
        <x:f>IF(Master!W357="","",Master!W357)</x:f>
        <x:v>No</x:v>
      </x:c>
      <x:c r="W15" s="3" t="str">
        <x:f>IF(Master!X357="","",Master!X357)</x:f>
        <x:v>No</x:v>
      </x:c>
      <x:c r="X15" s="3" t="str">
        <x:f>IF(Master!Y357="","",Master!Y357)</x:f>
        <x:v>No</x:v>
      </x:c>
      <x:c r="Y15" s="3" t="str">
        <x:f>IF(Master!Z357="","",Master!Z357)</x:f>
        <x:v>Yes: major design goal</x:v>
      </x:c>
      <x:c r="Z15" s="3" t="str">
        <x:f>IF(Master!AA357="","",Master!AA357)</x:f>
        <x:v>No</x:v>
      </x:c>
      <x:c r="AA15" s="6" t="str">
        <x:f>IF(Master!AB357="","",Master!AB357)</x:f>
        <x:v>No</x:v>
      </x:c>
      <x:c r="AB15" s="3" t="str">
        <x:f>IF(Master!AC357="","",Master!AC357)</x:f>
        <x:v>No</x:v>
      </x:c>
      <x:c r="AC15" s="3" t="str">
        <x:f>IF(Master!AD357="","",Master!AD357)</x:f>
        <x:v>No</x:v>
      </x:c>
      <x:c r="AD15" s="3" t="str">
        <x:f>IF(Master!AE357="","",Master!AE357)</x:f>
        <x:v>No</x:v>
      </x:c>
      <x:c r="AE15" s="3" t="str">
        <x:f>IF(Master!AF357="","",Master!AF357)</x:f>
        <x:v>No</x:v>
      </x:c>
      <x:c r="AF15" s="8" t="str">
        <x:f>IF(Master!AG357="","",Master!AG357)</x:f>
        <x:v>No</x:v>
      </x:c>
    </x:row>
    <x:row r="16" ht="21.950000762939453" customHeight="1">
      <x:c r="A16" s="18" t="s">
        <x:v>612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613</x:v>
      </x:c>
      <x:c r="B17" s="3" t="str">
        <x:f>IF(Master!C358="","",Master!C358)</x:f>
        <x:v>No</x:v>
      </x:c>
      <x:c r="C17" s="3" t="str">
        <x:f>IF(Master!D358="","",Master!D358)</x:f>
        <x:v>Yes</x:v>
      </x:c>
      <x:c r="D17" s="3" t="str">
        <x:f>IF(Master!E358="","",Master!E358)</x:f>
        <x:v>Yes</x:v>
      </x:c>
      <x:c r="E17" s="3" t="str">
        <x:f>IF(Master!F358="","",Master!F358)</x:f>
        <x:v>No</x:v>
      </x:c>
      <x:c r="F17" s="3" t="str">
        <x:f>IF(Master!G358="","",Master!G358)</x:f>
        <x:v>No</x:v>
      </x:c>
      <x:c r="G17" s="3" t="str">
        <x:f>IF(Master!H358="","",Master!H358)</x:f>
        <x:v>Yes</x:v>
      </x:c>
      <x:c r="H17" s="3" t="str">
        <x:f>IF(Master!I358="","",Master!I358)</x:f>
        <x:v>No</x:v>
      </x:c>
      <x:c r="I17" s="3" t="str">
        <x:f>IF(Master!J358="","",Master!J358)</x:f>
        <x:v>Yes</x:v>
      </x:c>
      <x:c r="J17" s="3" t="str">
        <x:f>IF(Master!K358="","",Master!K358)</x:f>
        <x:v>Yes</x:v>
      </x:c>
      <x:c r="K17" s="3" t="str">
        <x:f>IF(Master!L358="","",Master!L358)</x:f>
      </x:c>
      <x:c r="L17" s="3" t="str">
        <x:f>IF(Master!M358="","",Master!M358)</x:f>
        <x:v>No</x:v>
      </x:c>
      <x:c r="M17" s="3" t="str">
        <x:f>IF(Master!N358="","",Master!N358)</x:f>
      </x:c>
      <x:c r="N17" s="3" t="str">
        <x:f>IF(Master!O358="","",Master!O358)</x:f>
      </x:c>
      <x:c r="O17" s="3" t="str">
        <x:f>IF(Master!P358="","",Master!P358)</x:f>
        <x:v>Yes</x:v>
      </x:c>
      <x:c r="P17" s="3" t="str">
        <x:f>IF(Master!Q358="","",Master!Q358)</x:f>
        <x:v>Yes</x:v>
      </x:c>
      <x:c r="Q17" s="3" t="str">
        <x:f>IF(Master!R358="","",Master!R358)</x:f>
        <x:v>Yes</x:v>
      </x:c>
      <x:c r="R17" s="3" t="str">
        <x:f>IF(Master!S358="","",Master!S358)</x:f>
        <x:v>Yes</x:v>
      </x:c>
      <x:c r="S17" s="3" t="str">
        <x:f>IF(Master!T358="","",Master!T358)</x:f>
        <x:v>No</x:v>
      </x:c>
      <x:c r="T17" s="3" t="str">
        <x:f>IF(Master!U358="","",Master!U358)</x:f>
        <x:v>Yes</x:v>
      </x:c>
      <x:c r="U17" s="3" t="str">
        <x:f>IF(Master!V358="","",Master!V358)</x:f>
        <x:v>No</x:v>
      </x:c>
      <x:c r="V17" s="3" t="str">
        <x:f>IF(Master!W358="","",Master!W358)</x:f>
        <x:v>Yes</x:v>
      </x:c>
      <x:c r="W17" s="3" t="str">
        <x:f>IF(Master!X358="","",Master!X358)</x:f>
        <x:v>Yes</x:v>
      </x:c>
      <x:c r="X17" s="3" t="str">
        <x:f>IF(Master!Y358="","",Master!Y358)</x:f>
        <x:v>No</x:v>
      </x:c>
      <x:c r="Y17" s="3" t="str">
        <x:f>IF(Master!Z358="","",Master!Z358)</x:f>
        <x:v>Yes</x:v>
      </x:c>
      <x:c r="Z17" s="3" t="str">
        <x:f>IF(Master!AA358="","",Master!AA358)</x:f>
        <x:v>Yes</x:v>
      </x:c>
      <x:c r="AA17" s="6" t="str">
        <x:f>IF(Master!AB358="","",Master!AB358)</x:f>
        <x:v>No</x:v>
      </x:c>
      <x:c r="AB17" s="3" t="str">
        <x:f>IF(Master!AC358="","",Master!AC358)</x:f>
        <x:v>Yes</x:v>
      </x:c>
      <x:c r="AC17" s="3" t="str">
        <x:f>IF(Master!AD358="","",Master!AD358)</x:f>
      </x:c>
      <x:c r="AD17" s="3" t="str">
        <x:f>IF(Master!AE358="","",Master!AE358)</x:f>
        <x:v>Yes</x:v>
      </x:c>
      <x:c r="AE17" s="3" t="str">
        <x:f>IF(Master!AF358="","",Master!AF358)</x:f>
        <x:v>No</x:v>
      </x:c>
      <x:c r="AF17" s="8" t="str">
        <x:f>IF(Master!AG358="","",Master!AG358)</x:f>
        <x:v>Yes</x:v>
      </x:c>
    </x:row>
    <x:row r="18" ht="36" customHeight="1">
      <x:c r="A18" s="17" t="s">
        <x:v>614</x:v>
      </x:c>
      <x:c r="B18" s="3" t="str">
        <x:f>IF(Master!C359="","",Master!C359)</x:f>
        <x:v>Proprietary</x:v>
      </x:c>
      <x:c r="C18" s="3" t="str">
        <x:f>IF(Master!D359="","",Master!D359)</x:f>
        <x:v>Open source</x:v>
      </x:c>
      <x:c r="D18" s="3" t="str">
        <x:f>IF(Master!E359="","",Master!E359)</x:f>
        <x:v>FOSS AGPL-3.0</x:v>
      </x:c>
      <x:c r="E18" s="3" t="str">
        <x:f>IF(Master!F359="","",Master!F359)</x:f>
        <x:v>Proprietary</x:v>
      </x:c>
      <x:c r="F18" s="3" t="str">
        <x:f>IF(Master!G359="","",Master!G359)</x:f>
        <x:v>Proprietary during alpha; open-source release planned</x:v>
      </x:c>
      <x:c r="G18" s="3" t="str">
        <x:f>IF(Master!H359="","",Master!H359)</x:f>
        <x:v>FOSS (AGPL-3.0)</x:v>
      </x:c>
      <x:c r="H18" s="3" t="str">
        <x:f>IF(Master!I359="","",Master!I359)</x:f>
        <x:v>Proprietary</x:v>
      </x:c>
      <x:c r="I18" s="3" t="str">
        <x:f>IF(Master!J359="","",Master!J359)</x:f>
        <x:v>Fermi client AGPL-3.0</x:v>
      </x:c>
      <x:c r="J18" s="3" t="str">
        <x:f>IF(Master!K359="","",Master!K359)</x:f>
        <x:v>Open source</x:v>
      </x:c>
      <x:c r="K18" s="3" t="str">
        <x:f>IF(Master!L359="","",Master!L359)</x:f>
        <x:v>MIT</x:v>
      </x:c>
      <x:c r="L18" s="3" t="str">
        <x:f>IF(Master!M359="","",Master!M359)</x:f>
        <x:v>Proprietary</x:v>
      </x:c>
      <x:c r="M18" s="3" t="str">
        <x:f>IF(Master!N359="","",Master!N359)</x:f>
      </x:c>
      <x:c r="N18" s="3" t="str">
        <x:f>IF(Master!O359="","",Master!O359)</x:f>
        <x:v>Varies by client; many FOSS (e.g., Element, Element X, Cinny)</x:v>
      </x:c>
      <x:c r="O18" s="3" t="str">
        <x:f>IF(Master!P359="","",Master!P359)</x:f>
        <x:v>FOSS/open-source clients; exact repository license varies</x:v>
      </x:c>
      <x:c r="P18" s="3" t="str">
        <x:f>IF(Master!Q359="","",Master!Q359)</x:f>
        <x:v>Open-source client code</x:v>
      </x:c>
      <x:c r="Q18" s="3" t="str">
        <x:f>IF(Master!R359="","",Master!R359)</x:f>
        <x:v>FOSS (BSD-style / BSD-3-Clause)</x:v>
      </x:c>
      <x:c r="R18" s="3" t="str">
        <x:f>IF(Master!S359="","",Master!S359)</x:f>
        <x:v>FOSS GPL-family components</x:v>
      </x:c>
      <x:c r="S18" s="3" t="str">
        <x:f>IF(Master!T359="","",Master!T359)</x:f>
        <x:v>Proprietary client / source status mixed</x:v>
      </x:c>
      <x:c r="T18" s="3" t="str">
        <x:f>IF(Master!U359="","",Master!U359)</x:f>
        <x:v>AGPL-3.0</x:v>
      </x:c>
      <x:c r="U18" s="3" t="str">
        <x:f>IF(Master!V359="","",Master!V359)</x:f>
        <x:v>Proprietary</x:v>
      </x:c>
      <x:c r="V18" s="3" t="str">
        <x:f>IF(Master!W359="","",Master!W359)</x:f>
        <x:v>FOSS core client; MIT components / enterprise extensions</x:v>
      </x:c>
      <x:c r="W18" s="3" t="str">
        <x:f>IF(Master!X359="","",Master!X359)</x:f>
        <x:v>MPL-2.0 project</x:v>
      </x:c>
      <x:c r="X18" s="3" t="str">
        <x:f>IF(Master!Y359="","",Master!Y359)</x:f>
        <x:v>Proprietary</x:v>
      </x:c>
      <x:c r="Y18" s="3" t="str">
        <x:f>IF(Master!Z359="","",Master!Z359)</x:f>
        <x:v>FOSS (AGPL-3.0 project components)</x:v>
      </x:c>
      <x:c r="Z18" s="3" t="str">
        <x:f>IF(Master!AA359="","",Master!AA359)</x:f>
        <x:v>FOSS (web client AGPL-3.0; clients vary)</x:v>
      </x:c>
      <x:c r="AA18" s="6" t="str">
        <x:f>IF(Master!AB359="","",Master!AB359)</x:f>
        <x:v>Proprietary</x:v>
      </x:c>
      <x:c r="AB18" s="3" t="str">
        <x:f>IF(Master!AC359="","",Master!AC359)</x:f>
        <x:v>AGPL-3.0</x:v>
      </x:c>
      <x:c r="AC18" s="3" t="str">
        <x:f>IF(Master!AD359="","",Master!AD359)</x:f>
        <x:v>Client source planned; not yet fully public</x:v>
      </x:c>
      <x:c r="AD18" s="3" t="str">
        <x:f>IF(Master!AE359="","",Master!AE359)</x:f>
      </x:c>
      <x:c r="AE18" s="3" t="str">
        <x:f>IF(Master!AF359="","",Master!AF359)</x:f>
      </x:c>
      <x:c r="AF18" s="8" t="str">
        <x:f>IF(Master!AG359="","",Master!AG359)</x:f>
        <x:v>FOSS (Apache-2.0)</x:v>
      </x:c>
    </x:row>
    <x:row r="19" ht="36" customHeight="1">
      <x:c r="A19" s="17" t="s">
        <x:v>615</x:v>
      </x:c>
      <x:c r="B19" s="3" t="str">
        <x:f>IF(Master!C360="","",Master!C360)</x:f>
        <x:v>No</x:v>
      </x:c>
      <x:c r="C19" s="3" t="str">
        <x:f>IF(Master!D360="","",Master!D360)</x:f>
        <x:v>Yes</x:v>
      </x:c>
      <x:c r="D19" s="3" t="str">
        <x:f>IF(Master!E360="","",Master!E360)</x:f>
        <x:v>Yes</x:v>
      </x:c>
      <x:c r="E19" s="3" t="str">
        <x:f>IF(Master!F360="","",Master!F360)</x:f>
        <x:v>No</x:v>
      </x:c>
      <x:c r="F19" s="3" t="str">
        <x:f>IF(Master!G360="","",Master!G360)</x:f>
        <x:v>No</x:v>
      </x:c>
      <x:c r="G19" s="3" t="str">
        <x:f>IF(Master!H360="","",Master!H360)</x:f>
        <x:v>Yes</x:v>
      </x:c>
      <x:c r="H19" s="3" t="str">
        <x:f>IF(Master!I360="","",Master!I360)</x:f>
        <x:v>No</x:v>
      </x:c>
      <x:c r="I19" s="3" t="str">
        <x:f>IF(Master!J360="","",Master!J360)</x:f>
        <x:v>Yes</x:v>
      </x:c>
      <x:c r="J19" s="3" t="str">
        <x:f>IF(Master!K360="","",Master!K360)</x:f>
        <x:v>Yes</x:v>
      </x:c>
      <x:c r="K19" s="3" t="str">
        <x:f>IF(Master!L360="","",Master!L360)</x:f>
      </x:c>
      <x:c r="L19" s="3" t="str">
        <x:f>IF(Master!M360="","",Master!M360)</x:f>
        <x:v>No</x:v>
      </x:c>
      <x:c r="M19" s="3" t="str">
        <x:f>IF(Master!N360="","",Master!N360)</x:f>
      </x:c>
      <x:c r="N19" s="3" t="str">
        <x:f>IF(Master!O360="","",Master!O360)</x:f>
      </x:c>
      <x:c r="O19" s="3" t="str">
        <x:f>IF(Master!P360="","",Master!P360)</x:f>
        <x:v>Yes</x:v>
      </x:c>
      <x:c r="P19" s="3" t="str">
        <x:f>IF(Master!Q360="","",Master!Q360)</x:f>
        <x:v>Yes</x:v>
      </x:c>
      <x:c r="Q19" s="3" t="str">
        <x:f>IF(Master!R360="","",Master!R360)</x:f>
        <x:v>Yes</x:v>
      </x:c>
      <x:c r="R19" s="3" t="str">
        <x:f>IF(Master!S360="","",Master!S360)</x:f>
        <x:v>Yes</x:v>
      </x:c>
      <x:c r="S19" s="3" t="str">
        <x:f>IF(Master!T360="","",Master!T360)</x:f>
      </x:c>
      <x:c r="T19" s="3" t="str">
        <x:f>IF(Master!U360="","",Master!U360)</x:f>
        <x:v>Yes</x:v>
      </x:c>
      <x:c r="U19" s="3" t="str">
        <x:f>IF(Master!V360="","",Master!V360)</x:f>
        <x:v>No</x:v>
      </x:c>
      <x:c r="V19" s="3" t="str">
        <x:f>IF(Master!W360="","",Master!W360)</x:f>
        <x:v>Yes</x:v>
      </x:c>
      <x:c r="W19" s="3" t="str">
        <x:f>IF(Master!X360="","",Master!X360)</x:f>
        <x:v>Yes</x:v>
      </x:c>
      <x:c r="X19" s="3" t="str">
        <x:f>IF(Master!Y360="","",Master!Y360)</x:f>
        <x:v>No</x:v>
      </x:c>
      <x:c r="Y19" s="3" t="str">
        <x:f>IF(Master!Z360="","",Master!Z360)</x:f>
        <x:v>Yes</x:v>
      </x:c>
      <x:c r="Z19" s="3" t="str">
        <x:f>IF(Master!AA360="","",Master!AA360)</x:f>
        <x:v>Yes</x:v>
      </x:c>
      <x:c r="AA19" s="6" t="str">
        <x:f>IF(Master!AB360="","",Master!AB360)</x:f>
        <x:v>No</x:v>
      </x:c>
      <x:c r="AB19" s="3" t="str">
        <x:f>IF(Master!AC360="","",Master!AC360)</x:f>
        <x:v>Yes</x:v>
      </x:c>
      <x:c r="AC19" s="3" t="str">
        <x:f>IF(Master!AD360="","",Master!AD360)</x:f>
        <x:v>Yes</x:v>
      </x:c>
      <x:c r="AD19" s="3" t="str">
        <x:f>IF(Master!AE360="","",Master!AE360)</x:f>
        <x:v>Yes</x:v>
      </x:c>
      <x:c r="AE19" s="3" t="str">
        <x:f>IF(Master!AF360="","",Master!AF360)</x:f>
        <x:v>No</x:v>
      </x:c>
      <x:c r="AF19" s="8" t="str">
        <x:f>IF(Master!AG360="","",Master!AG360)</x:f>
        <x:v>Yes</x:v>
      </x:c>
    </x:row>
    <x:row r="20" ht="36" customHeight="1">
      <x:c r="A20" s="17" t="s">
        <x:v>616</x:v>
      </x:c>
      <x:c r="B20" s="3" t="str">
        <x:f>IF(Master!C361="","",Master!C361)</x:f>
        <x:v>Proprietary</x:v>
      </x:c>
      <x:c r="C20" s="3" t="str">
        <x:f>IF(Master!D361="","",Master!D361)</x:f>
        <x:v>Open source/protocol components</x:v>
      </x:c>
      <x:c r="D20" s="3" t="str">
        <x:f>IF(Master!E361="","",Master!E361)</x:f>
        <x:v>FOSS AGPL-3.0</x:v>
      </x:c>
      <x:c r="E20" s="3" t="str">
        <x:f>IF(Master!F361="","",Master!F361)</x:f>
        <x:v>Proprietary Rust backend</x:v>
      </x:c>
      <x:c r="F20" s="3" t="str">
        <x:f>IF(Master!G361="","",Master!G361)</x:f>
        <x:v>Proprietary during alpha; open-source release planned</x:v>
      </x:c>
      <x:c r="G20" s="3" t="str">
        <x:f>IF(Master!H361="","",Master!H361)</x:f>
        <x:v>FOSS (AGPL-3.0)</x:v>
      </x:c>
      <x:c r="H20" s="3" t="str">
        <x:f>IF(Master!I361="","",Master!I361)</x:f>
        <x:v>Proprietary</x:v>
      </x:c>
      <x:c r="I20" s="3" t="str">
        <x:f>IF(Master!J361="","",Master!J361)</x:f>
      </x:c>
      <x:c r="J20" s="3" t="str">
        <x:f>IF(Master!K361="","",Master!K361)</x:f>
        <x:v>Open source relay/server</x:v>
      </x:c>
      <x:c r="K20" s="3" t="str">
        <x:f>IF(Master!L361="","",Master!L361)</x:f>
        <x:v>MIT</x:v>
      </x:c>
      <x:c r="L20" s="3" t="str">
        <x:f>IF(Master!M361="","",Master!M361)</x:f>
        <x:v>Proprietary</x:v>
      </x:c>
      <x:c r="M20" s="3" t="str">
        <x:f>IF(Master!N361="","",Master!N361)</x:f>
      </x:c>
      <x:c r="N20" s="3" t="str">
        <x:f>IF(Master!O361="","",Master!O361)</x:f>
        <x:v>Varies by homeserver; Synapse is AGPLv3/commercial dual model</x:v>
      </x:c>
      <x:c r="O20" s="3" t="str">
        <x:f>IF(Master!P361="","",Master!P361)</x:f>
        <x:v>Open source Team Edition / AGPL-source plus commercial Enterprise editions</x:v>
      </x:c>
      <x:c r="P20" s="3" t="str">
        <x:f>IF(Master!Q361="","",Master!Q361)</x:f>
        <x:v>Open-source server stack/components</x:v>
      </x:c>
      <x:c r="Q20" s="3" t="str">
        <x:f>IF(Master!R361="","",Master!R361)</x:f>
        <x:v>FOSS (BSD-style / BSD-3-Clause)</x:v>
      </x:c>
      <x:c r="R20" s="3" t="str">
        <x:f>IF(Master!S361="","",Master!S361)</x:f>
        <x:v>FOSS GPL-3.0 server/web components</x:v>
      </x:c>
      <x:c r="S20" s="3" t="str">
        <x:f>IF(Master!T361="","",Master!T361)</x:f>
      </x:c>
      <x:c r="T20" s="3" t="str">
        <x:f>IF(Master!U361="","",Master!U361)</x:f>
        <x:v>AGPL-3.0</x:v>
      </x:c>
      <x:c r="U20" s="3" t="str">
        <x:f>IF(Master!V361="","",Master!V361)</x:f>
        <x:v>Proprietary</x:v>
      </x:c>
      <x:c r="V20" s="3" t="str">
        <x:f>IF(Master!W361="","",Master!W361)</x:f>
        <x:v>FOSS core (MIT) + enterprise-licensed portions</x:v>
      </x:c>
      <x:c r="W20" s="3" t="str">
        <x:f>IF(Master!X361="","",Master!X361)</x:f>
        <x:v>MPL-2.0 project/server components</x:v>
      </x:c>
      <x:c r="X20" s="3" t="str">
        <x:f>IF(Master!Y361="","",Master!Y361)</x:f>
        <x:v>Proprietary</x:v>
      </x:c>
      <x:c r="Y20" s="3" t="str">
        <x:f>IF(Master!Z361="","",Master!Z361)</x:f>
        <x:v>FOSS (AGPL-3.0)</x:v>
      </x:c>
      <x:c r="Z20" s="3" t="str">
        <x:f>IF(Master!AA361="","",Master!AA361)</x:f>
        <x:v>FOSS (backend generally AGPL-3.0)</x:v>
      </x:c>
      <x:c r="AA20" s="6" t="str">
        <x:f>IF(Master!AB361="","",Master!AB361)</x:f>
        <x:v>Proprietary</x:v>
      </x:c>
      <x:c r="AB20" s="3" t="str">
        <x:f>IF(Master!AC361="","",Master!AC361)</x:f>
        <x:v>AGPL-3.0</x:v>
      </x:c>
      <x:c r="AC20" s="3" t="str">
        <x:f>IF(Master!AD361="","",Master!AD361)</x:f>
        <x:v>Backend source public</x:v>
      </x:c>
      <x:c r="AD20" s="3" t="str">
        <x:f>IF(Master!AE361="","",Master!AE361)</x:f>
        <x:v>Source-available</x:v>
      </x:c>
      <x:c r="AE20" s="3" t="str">
        <x:f>IF(Master!AF361="","",Master!AF361)</x:f>
      </x:c>
      <x:c r="AF20" s="8" t="str">
        <x:f>IF(Master!AG361="","",Master!AG361)</x:f>
        <x:v>FOSS (Apache-2.0 server/web app)</x:v>
      </x:c>
    </x:row>
    <x:row r="21" ht="36" customHeight="1">
      <x:c r="A21" s="17" t="str">
        <x:v>Reference Client Repository</x:v>
      </x:c>
      <x:c r="B21" s="3" t="str">
        <x:f>IF(Master!C362="","",Master!C362)</x:f>
        <x:v>N/A: no public core client source repository</x:v>
      </x:c>
      <x:c r="C21" s="3" t="str">
        <x:f>IF(Master!D362="","",Master!D362)</x:f>
        <x:v>https://github.com/soapbox-pub/armada</x:v>
      </x:c>
      <x:c r="D21" s="3" t="str">
        <x:f>IF(Master!E362="","",Master!E362)</x:f>
        <x:v>https://github.com/hackthedev/dcts-shipping</x:v>
      </x:c>
      <x:c r="E21" s="3" t="str">
        <x:f>IF(Master!F362="","",Master!F362)</x:f>
        <x:v>N/A</x:v>
      </x:c>
      <x:c r="F21" s="3" t="str">
        <x:f>IF(Master!G362="","",Master!G362)</x:f>
        <x:v>N/A: not public yet</x:v>
      </x:c>
      <x:c r="G21" s="3" t="str">
        <x:f>IF(Master!H362="","",Master!H362)</x:f>
        <x:v>https://github.com/fluxerapp/fluxer</x:v>
      </x:c>
      <x:c r="H21" s="3" t="str">
        <x:f>IF(Master!I362="","",Master!I362)</x:f>
        <x:v>N/A</x:v>
      </x:c>
      <x:c r="I21" s="3" t="str">
        <x:f>IF(Master!J362="","",Master!J362)</x:f>
        <x:v>https://codeberg.org/MelodyChat/Fermi</x:v>
      </x:c>
      <x:c r="J21" s="3" t="str">
        <x:f>IF(Master!K362="","",Master!K362)</x:f>
        <x:v>https://github.com/VitalikPro13/HOLLOW</x:v>
      </x:c>
      <x:c r="K21" s="3" t="str">
        <x:f>IF(Master!L362="","",Master!L362)</x:f>
        <x:v>https://github.com/CookieNom/KaedeChat</x:v>
      </x:c>
      <x:c r="L21" s="3" t="str">
        <x:f>IF(Master!M362="","",Master!M362)</x:f>
        <x:v>N/A</x:v>
      </x:c>
      <x:c r="M21" s="3" t="str">
        <x:f>IF(Master!N362="","",Master!N362)</x:f>
      </x:c>
      <x:c r="N21" s="3" t="str">
        <x:f>IF(Master!O362="","",Master!O362)</x:f>
        <x:v>No single client repository: clients are separate implementations</x:v>
      </x:c>
      <x:c r="O21" s="3" t="str">
        <x:f>IF(Master!P362="","",Master!P362)</x:f>
        <x:v>https://github.com/mattermost/mattermost-desktop</x:v>
      </x:c>
      <x:c r="P21" s="3" t="str">
        <x:f>IF(Master!Q362="","",Master!Q362)</x:f>
        <x:v>https://github.com/mezonai/mezon</x:v>
      </x:c>
      <x:c r="Q21" s="3" t="str">
        <x:f>IF(Master!R362="","",Master!R362)</x:f>
        <x:v>https://github.com/mumble-voip/mumble</x:v>
      </x:c>
      <x:c r="R21" s="3" t="str">
        <x:f>IF(Master!S362="","",Master!S362)</x:f>
        <x:v>https://github.com/Nerimity/nerimity-web</x:v>
      </x:c>
      <x:c r="S21" s="3" t="str">
        <x:f>IF(Master!T362="","",Master!T362)</x:f>
      </x:c>
      <x:c r="T21" s="3" t="str">
        <x:f>IF(Master!U362="","",Master!U362)</x:f>
        <x:v>https://github.com/rafaelcg/pqp</x:v>
      </x:c>
      <x:c r="U21" s="3" t="str">
        <x:f>IF(Master!V362="","",Master!V362)</x:f>
        <x:v>N/A</x:v>
      </x:c>
      <x:c r="V21" s="3" t="str">
        <x:f>IF(Master!W362="","",Master!W362)</x:f>
        <x:v>https://github.com/RocketChat/Rocket.Chat.Electron</x:v>
      </x:c>
      <x:c r="W21" s="3" t="str">
        <x:f>IF(Master!X362="","",Master!X362)</x:f>
        <x:v>https://github.com/muni-town/roomy</x:v>
      </x:c>
      <x:c r="X21" s="3" t="str">
        <x:f>IF(Master!Y362="","",Master!Y362)</x:f>
        <x:v>N/A</x:v>
      </x:c>
      <x:c r="Y21" s="3" t="str">
        <x:f>IF(Master!Z362="","",Master!Z362)</x:f>
        <x:v>https://github.com/spacebarchat/client</x:v>
      </x:c>
      <x:c r="Z21" s="3" t="str">
        <x:f>IF(Master!AA362="","",Master!AA362)</x:f>
        <x:v>https://github.com/stoatchat/for-web</x:v>
      </x:c>
      <x:c r="AA21" s="6" t="str">
        <x:f>IF(Master!AB362="","",Master!AB362)</x:f>
        <x:v>N/A</x:v>
      </x:c>
      <x:c r="AB21" s="3" t="str">
        <x:f>IF(Master!AC362="","",Master!AC362)</x:f>
        <x:v>https://github.com/Valour-Software/Valour</x:v>
      </x:c>
      <x:c r="AC21" s="3" t="str">
        <x:f>IF(Master!AD362="","",Master!AD362)</x:f>
      </x:c>
      <x:c r="AD21" s="3" t="str">
        <x:f>IF(Master!AE362="","",Master!AE362)</x:f>
        <x:v>https://github.com/Weeredjs/Weered</x:v>
      </x:c>
      <x:c r="AE21" s="3" t="str">
        <x:f>IF(Master!AF362="","",Master!AF362)</x:f>
      </x:c>
      <x:c r="AF21" s="8" t="str">
        <x:f>IF(Master!AG362="","",Master!AG362)</x:f>
        <x:v>https://github.com/zulip/zulip-desktop</x:v>
      </x:c>
    </x:row>
    <x:row r="22" ht="36" customHeight="1">
      <x:c r="A22" s="17" t="str">
        <x:v>Reference Server Repository</x:v>
      </x:c>
      <x:c r="B22" s="3" t="str">
        <x:f>IF(Master!C363="","",Master!C363)</x:f>
        <x:v>N/A: no public core server source repository</x:v>
      </x:c>
      <x:c r="C22" s="3" t="str">
        <x:f>IF(Master!D363="","",Master!D363)</x:f>
        <x:v>https://github.com/soapbox-pub/armada</x:v>
      </x:c>
      <x:c r="D22" s="3" t="str">
        <x:f>IF(Master!E363="","",Master!E363)</x:f>
        <x:v>https://github.com/hackthedev/dcts-shipping</x:v>
      </x:c>
      <x:c r="E22" s="3" t="str">
        <x:f>IF(Master!F363="","",Master!F363)</x:f>
        <x:v>N/A</x:v>
      </x:c>
      <x:c r="F22" s="3" t="str">
        <x:f>IF(Master!G363="","",Master!G363)</x:f>
        <x:v>N/A: not public yet</x:v>
      </x:c>
      <x:c r="G22" s="3" t="str">
        <x:f>IF(Master!H363="","",Master!H363)</x:f>
        <x:v>https://github.com/fluxerapp/fluxer</x:v>
      </x:c>
      <x:c r="H22" s="3" t="str">
        <x:f>IF(Master!I363="","",Master!I363)</x:f>
        <x:v>N/A</x:v>
      </x:c>
      <x:c r="I22" s="3" t="str">
        <x:f>IF(Master!J363="","",Master!J363)</x:f>
        <x:v>https://codeberg.org/MelodyChat/Harmony</x:v>
      </x:c>
      <x:c r="J22" s="3" t="str">
        <x:f>IF(Master!K363="","",Master!K363)</x:f>
        <x:v>https://github.com/VitalikPro13/HOLLOW</x:v>
      </x:c>
      <x:c r="K22" s="3" t="str">
        <x:f>IF(Master!L363="","",Master!L363)</x:f>
        <x:v>https://github.com/CookieNom/KaedeChat</x:v>
      </x:c>
      <x:c r="L22" s="3" t="str">
        <x:f>IF(Master!M363="","",Master!M363)</x:f>
        <x:v>N/A</x:v>
      </x:c>
      <x:c r="M22" s="3" t="str">
        <x:f>IF(Master!N363="","",Master!N363)</x:f>
      </x:c>
      <x:c r="N22" s="3" t="str">
        <x:f>IF(Master!O363="","",Master!O363)</x:f>
        <x:v>No single server repository: Synapse, Dendrite/others implement Matrix</x:v>
      </x:c>
      <x:c r="O22" s="3" t="str">
        <x:f>IF(Master!P363="","",Master!P363)</x:f>
        <x:v>https://github.com/mattermost/mattermost</x:v>
      </x:c>
      <x:c r="P22" s="3" t="str">
        <x:f>IF(Master!Q363="","",Master!Q363)</x:f>
        <x:v>https://github.com/mezonai/mezon</x:v>
      </x:c>
      <x:c r="Q22" s="3" t="str">
        <x:f>IF(Master!R363="","",Master!R363)</x:f>
        <x:v>https://github.com/mumble-voip/mumble</x:v>
      </x:c>
      <x:c r="R22" s="3" t="str">
        <x:f>IF(Master!S363="","",Master!S363)</x:f>
        <x:v>https://github.com/Nerimity/nerimity-server</x:v>
      </x:c>
      <x:c r="S22" s="3" t="str">
        <x:f>IF(Master!T363="","",Master!T363)</x:f>
      </x:c>
      <x:c r="T22" s="3" t="str">
        <x:f>IF(Master!U363="","",Master!U363)</x:f>
        <x:v>https://github.com/rafaelcg/pqp</x:v>
      </x:c>
      <x:c r="U22" s="3" t="str">
        <x:f>IF(Master!V363="","",Master!V363)</x:f>
        <x:v>N/A</x:v>
      </x:c>
      <x:c r="V22" s="3" t="str">
        <x:f>IF(Master!W363="","",Master!W363)</x:f>
        <x:v>https://github.com/RocketChat/Rocket.Chat</x:v>
      </x:c>
      <x:c r="W22" s="3" t="str">
        <x:f>IF(Master!X363="","",Master!X363)</x:f>
        <x:v>https://github.com/muni-town/roomy</x:v>
      </x:c>
      <x:c r="X22" s="3" t="str">
        <x:f>IF(Master!Y363="","",Master!Y363)</x:f>
        <x:v>N/A</x:v>
      </x:c>
      <x:c r="Y22" s="3" t="str">
        <x:f>IF(Master!Z363="","",Master!Z363)</x:f>
        <x:v>https://github.com/spacebarchat/server</x:v>
      </x:c>
      <x:c r="Z22" s="3" t="str">
        <x:f>IF(Master!AA363="","",Master!AA363)</x:f>
        <x:v>https://github.com/stoatchat/stoatchat</x:v>
      </x:c>
      <x:c r="AA22" s="6" t="str">
        <x:f>IF(Master!AB363="","",Master!AB363)</x:f>
        <x:v>N/A</x:v>
      </x:c>
      <x:c r="AB22" s="3" t="str">
        <x:f>IF(Master!AC363="","",Master!AC363)</x:f>
        <x:v>https://github.com/Valour-Software/Valour</x:v>
      </x:c>
      <x:c r="AC22" s="3" t="str">
        <x:f>IF(Master!AD363="","",Master!AD363)</x:f>
        <x:v>https://github.com/AlpineBits-ch/AlpineBackend</x:v>
      </x:c>
      <x:c r="AD22" s="3" t="str">
        <x:f>IF(Master!AE363="","",Master!AE363)</x:f>
        <x:v>https://github.com/Weeredjs/Weered</x:v>
      </x:c>
      <x:c r="AE22" s="3" t="str">
        <x:f>IF(Master!AF363="","",Master!AF363)</x:f>
      </x:c>
      <x:c r="AF22" s="8" t="str">
        <x:f>IF(Master!AG363="","",Master!AG363)</x:f>
        <x:v>https://github.com/zulip/zulip</x:v>
      </x:c>
    </x:row>
    <x:row r="23" ht="21.950000762939453" customHeight="1">
      <x:c r="A23" s="18" t="s">
        <x:v>617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618</x:v>
      </x:c>
      <x:c r="B24" s="3" t="str">
        <x:f>IF(Master!C364="","",Master!C364)</x:f>
        <x:v>N/A</x:v>
      </x:c>
      <x:c r="C24" s="3" t="str">
        <x:f>IF(Master!D364="","",Master!D364)</x:f>
        <x:v>Relay/self-host options</x:v>
      </x:c>
      <x:c r="D24" s="3" t="str">
        <x:f>IF(Master!E364="","",Master!E364)</x:f>
        <x:v>Yes</x:v>
      </x:c>
      <x:c r="E24" s="3" t="str">
        <x:f>IF(Master!F364="","",Master!F364)</x:f>
        <x:v>No</x:v>
      </x:c>
      <x:c r="F24" s="3" t="str">
        <x:f>IF(Master!G364="","",Master!G364)</x:f>
        <x:v>No</x:v>
      </x:c>
      <x:c r="G24" s="3" t="str">
        <x:f>IF(Master!H364="","",Master!H364)</x:f>
        <x:v>Yes</x:v>
      </x:c>
      <x:c r="H24" s="3" t="str">
        <x:f>IF(Master!I364="","",Master!I364)</x:f>
      </x:c>
      <x:c r="I24" s="3" t="str">
        <x:f>IF(Master!J364="","",Master!J364)</x:f>
      </x:c>
      <x:c r="J24" s="3" t="str">
        <x:f>IF(Master!K364="","",Master!K364)</x:f>
      </x:c>
      <x:c r="K24" s="3" t="str">
        <x:f>IF(Master!L364="","",Master!L364)</x:f>
        <x:v>Yes: Docker Compose</x:v>
      </x:c>
      <x:c r="L24" s="3" t="str">
        <x:f>IF(Master!M364="","",Master!M364)</x:f>
        <x:v>No</x:v>
      </x:c>
      <x:c r="M24" s="3" t="str">
        <x:f>IF(Master!N364="","",Master!N364)</x:f>
        <x:v>Self-hosting advertised</x:v>
      </x:c>
      <x:c r="N24" s="3" t="str">
        <x:f>IF(Master!O364="","",Master!O364)</x:f>
        <x:v>Yes</x:v>
      </x:c>
      <x:c r="O24" s="3" t="str">
        <x:f>IF(Master!P364="","",Master!P364)</x:f>
        <x:v>Yes</x:v>
      </x:c>
      <x:c r="P24" s="3" t="str">
        <x:f>IF(Master!Q364="","",Master!Q364)</x:f>
      </x:c>
      <x:c r="Q24" s="3" t="str">
        <x:f>IF(Master!R364="","",Master!R364)</x:f>
        <x:v>Yes</x:v>
      </x:c>
      <x:c r="R24" s="3" t="str">
        <x:f>IF(Master!S364="","",Master!S364)</x:f>
      </x:c>
      <x:c r="S24" s="3" t="str">
        <x:f>IF(Master!T364="","",Master!T364)</x:f>
        <x:v>No</x:v>
      </x:c>
      <x:c r="T24" s="3" t="str">
        <x:f>IF(Master!U364="","",Master!U364)</x:f>
      </x:c>
      <x:c r="U24" s="3" t="str">
        <x:f>IF(Master!V364="","",Master!V364)</x:f>
        <x:v>N/A</x:v>
      </x:c>
      <x:c r="V24" s="3" t="str">
        <x:f>IF(Master!W364="","",Master!W364)</x:f>
        <x:v>Yes</x:v>
      </x:c>
      <x:c r="W24" s="3" t="str">
        <x:f>IF(Master!X364="","",Master!X364)</x:f>
      </x:c>
      <x:c r="X24" s="3" t="str">
        <x:f>IF(Master!Y364="","",Master!Y364)</x:f>
        <x:v>No</x:v>
      </x:c>
      <x:c r="Y24" s="3" t="str">
        <x:f>IF(Master!Z364="","",Master!Z364)</x:f>
        <x:v>Yes</x:v>
      </x:c>
      <x:c r="Z24" s="3" t="str">
        <x:f>IF(Master!AA364="","",Master!AA364)</x:f>
        <x:v>Yes</x:v>
      </x:c>
      <x:c r="AA24" s="6" t="str">
        <x:f>IF(Master!AB364="","",Master!AB364)</x:f>
        <x:v>Yes</x:v>
      </x:c>
      <x:c r="AB24" s="3" t="str">
        <x:f>IF(Master!AC364="","",Master!AC364)</x:f>
        <x:v>Yes</x:v>
      </x:c>
      <x:c r="AC24" s="3" t="str">
        <x:f>IF(Master!AD364="","",Master!AD364)</x:f>
      </x:c>
      <x:c r="AD24" s="3" t="str">
        <x:f>IF(Master!AE364="","",Master!AE364)</x:f>
        <x:v>No</x:v>
      </x:c>
      <x:c r="AE24" s="3" t="str">
        <x:f>IF(Master!AF364="","",Master!AF364)</x:f>
      </x:c>
      <x:c r="AF24" s="8" t="str">
        <x:f>IF(Master!AG364="","",Master!AG364)</x:f>
        <x:v>Yes</x:v>
      </x:c>
    </x:row>
    <x:row r="25" ht="36" customHeight="1">
      <x:c r="A25" s="17" t="s">
        <x:v>603</x:v>
      </x:c>
      <x:c r="B25" s="3" t="str">
        <x:f>IF(Master!C365="","",Master!C365)</x:f>
        <x:v>No</x:v>
      </x:c>
      <x:c r="C25" s="3" t="str">
        <x:f>IF(Master!D365="","",Master!D365)</x:f>
      </x:c>
      <x:c r="D25" s="3" t="str">
        <x:f>IF(Master!E365="","",Master!E365)</x:f>
      </x:c>
      <x:c r="E25" s="3" t="str">
        <x:f>IF(Master!F365="","",Master!F365)</x:f>
      </x:c>
      <x:c r="F25" s="3" t="str">
        <x:f>IF(Master!G365="","",Master!G365)</x:f>
      </x:c>
      <x:c r="G25" s="3" t="str">
        <x:f>IF(Master!H365="","",Master!H365)</x:f>
      </x:c>
      <x:c r="H25" s="3" t="str">
        <x:f>IF(Master!I365="","",Master!I365)</x:f>
      </x:c>
      <x:c r="I25" s="3" t="str">
        <x:f>IF(Master!J365="","",Master!J365)</x:f>
      </x:c>
      <x:c r="J25" s="3" t="str">
        <x:f>IF(Master!K365="","",Master!K365)</x:f>
      </x:c>
      <x:c r="K25" s="3" t="str">
        <x:f>IF(Master!L365="","",Master!L365)</x:f>
        <x:v>No registry image documented; production Compose builds Kaede from the checkout</x:v>
      </x:c>
      <x:c r="L25" s="3" t="str">
        <x:f>IF(Master!M365="","",Master!M365)</x:f>
      </x:c>
      <x:c r="M25" s="3" t="str">
        <x:f>IF(Master!N365="","",Master!N365)</x:f>
      </x:c>
      <x:c r="N25" s="3" t="str">
        <x:f>IF(Master!O365="","",Master!O365)</x:f>
      </x:c>
      <x:c r="O25" s="3" t="str">
        <x:f>IF(Master!P365="","",Master!P365)</x:f>
        <x:v>Yes</x:v>
      </x:c>
      <x:c r="P25" s="3" t="str">
        <x:f>IF(Master!Q365="","",Master!Q365)</x:f>
      </x:c>
      <x:c r="Q25" s="3" t="str">
        <x:f>IF(Master!R365="","",Master!R365)</x:f>
        <x:v>Yes</x:v>
      </x:c>
      <x:c r="R25" s="3" t="str">
        <x:f>IF(Master!S365="","",Master!S365)</x:f>
      </x:c>
      <x:c r="S25" s="3" t="str">
        <x:f>IF(Master!T365="","",Master!T365)</x:f>
      </x:c>
      <x:c r="T25" s="3" t="str">
        <x:f>IF(Master!U365="","",Master!U365)</x:f>
      </x:c>
      <x:c r="U25" s="3" t="str">
        <x:f>IF(Master!V365="","",Master!V365)</x:f>
        <x:v>N/A</x:v>
      </x:c>
      <x:c r="V25" s="3" t="str">
        <x:f>IF(Master!W365="","",Master!W365)</x:f>
        <x:v>Yes</x:v>
      </x:c>
      <x:c r="W25" s="3" t="str">
        <x:f>IF(Master!X365="","",Master!X365)</x:f>
      </x:c>
      <x:c r="X25" s="3" t="str">
        <x:f>IF(Master!Y365="","",Master!Y365)</x:f>
      </x:c>
      <x:c r="Y25" s="3" t="str">
        <x:f>IF(Master!Z365="","",Master!Z365)</x:f>
      </x:c>
      <x:c r="Z25" s="3" t="str">
        <x:f>IF(Master!AA365="","",Master!AA365)</x:f>
      </x:c>
      <x:c r="AA25" s="6" t="str">
        <x:f>IF(Master!AB365="","",Master!AB365)</x:f>
        <x:v>Yes</x:v>
      </x:c>
      <x:c r="AB25" s="3" t="str">
        <x:f>IF(Master!AC365="","",Master!AC365)</x:f>
      </x:c>
      <x:c r="AC25" s="3" t="str">
        <x:f>IF(Master!AD365="","",Master!AD365)</x:f>
      </x:c>
      <x:c r="AD25" s="3" t="str">
        <x:f>IF(Master!AE365="","",Master!AE365)</x:f>
      </x:c>
      <x:c r="AE25" s="3" t="str">
        <x:f>IF(Master!AF365="","",Master!AF365)</x:f>
      </x:c>
      <x:c r="AF25" s="8" t="str">
        <x:f>IF(Master!AG365="","",Master!AG365)</x:f>
      </x:c>
    </x:row>
    <x:row r="26" ht="36" customHeight="1">
      <x:c r="A26" s="17" t="s">
        <x:v>619</x:v>
      </x:c>
      <x:c r="B26" s="3" t="str">
        <x:f>IF(Master!C366="","",Master!C366)</x:f>
      </x:c>
      <x:c r="C26" s="3" t="str">
        <x:f>IF(Master!D366="","",Master!D366)</x:f>
      </x:c>
      <x:c r="D26" s="3" t="str">
        <x:f>IF(Master!E366="","",Master!E366)</x:f>
      </x:c>
      <x:c r="E26" s="3" t="str">
        <x:f>IF(Master!F366="","",Master!F366)</x:f>
      </x:c>
      <x:c r="F26" s="3" t="str">
        <x:f>IF(Master!G366="","",Master!G366)</x:f>
      </x:c>
      <x:c r="G26" s="3" t="str">
        <x:f>IF(Master!H366="","",Master!H366)</x:f>
      </x:c>
      <x:c r="H26" s="3" t="str">
        <x:f>IF(Master!I366="","",Master!I366)</x:f>
      </x:c>
      <x:c r="I26" s="3" t="str">
        <x:f>IF(Master!J366="","",Master!J366)</x:f>
      </x:c>
      <x:c r="J26" s="3" t="str">
        <x:f>IF(Master!K366="","",Master!K366)</x:f>
      </x:c>
      <x:c r="K26" s="3" t="str">
        <x:f>IF(Master!L366="","",Master!L366)</x:f>
        <x:v>No: no Kubernetes deployment guide located</x:v>
      </x:c>
      <x:c r="L26" s="3" t="str">
        <x:f>IF(Master!M366="","",Master!M366)</x:f>
      </x:c>
      <x:c r="M26" s="3" t="str">
        <x:f>IF(Master!N366="","",Master!N366)</x:f>
      </x:c>
      <x:c r="N26" s="3" t="str">
        <x:f>IF(Master!O366="","",Master!O366)</x:f>
      </x:c>
      <x:c r="O26" s="3" t="str">
        <x:f>IF(Master!P366="","",Master!P366)</x:f>
        <x:v>Yes</x:v>
      </x:c>
      <x:c r="P26" s="3" t="str">
        <x:f>IF(Master!Q366="","",Master!Q366)</x:f>
      </x:c>
      <x:c r="Q26" s="3" t="str">
        <x:f>IF(Master!R366="","",Master!R366)</x:f>
      </x:c>
      <x:c r="R26" s="3" t="str">
        <x:f>IF(Master!S366="","",Master!S366)</x:f>
      </x:c>
      <x:c r="S26" s="3" t="str">
        <x:f>IF(Master!T366="","",Master!T366)</x:f>
      </x:c>
      <x:c r="T26" s="3" t="str">
        <x:f>IF(Master!U366="","",Master!U366)</x:f>
      </x:c>
      <x:c r="U26" s="3" t="str">
        <x:f>IF(Master!V366="","",Master!V366)</x:f>
        <x:v>N/A</x:v>
      </x:c>
      <x:c r="V26" s="3" t="str">
        <x:f>IF(Master!W366="","",Master!W366)</x:f>
        <x:v>Yes</x:v>
      </x:c>
      <x:c r="W26" s="3" t="str">
        <x:f>IF(Master!X366="","",Master!X366)</x:f>
      </x:c>
      <x:c r="X26" s="3" t="str">
        <x:f>IF(Master!Y366="","",Master!Y366)</x:f>
      </x:c>
      <x:c r="Y26" s="3" t="str">
        <x:f>IF(Master!Z366="","",Master!Z366)</x:f>
      </x:c>
      <x:c r="Z26" s="3" t="str">
        <x:f>IF(Master!AA366="","",Master!AA366)</x:f>
      </x:c>
      <x:c r="AA26" s="6" t="str">
        <x:f>IF(Master!AB366="","",Master!AB366)</x:f>
      </x:c>
      <x:c r="AB26" s="3" t="str">
        <x:f>IF(Master!AC366="","",Master!AC366)</x:f>
      </x:c>
      <x:c r="AC26" s="3" t="str">
        <x:f>IF(Master!AD366="","",Master!AD366)</x:f>
      </x:c>
      <x:c r="AD26" s="3" t="str">
        <x:f>IF(Master!AE366="","",Master!AE366)</x:f>
      </x:c>
      <x:c r="AE26" s="3" t="str">
        <x:f>IF(Master!AF366="","",Master!AF366)</x:f>
      </x:c>
      <x:c r="AF26" s="8" t="str">
        <x:f>IF(Master!AG366="","",Master!AG366)</x:f>
      </x:c>
    </x:row>
    <x:row r="27" ht="36" customHeight="1">
      <x:c r="A27" s="17" t="s">
        <x:v>620</x:v>
      </x:c>
      <x:c r="B27" s="3" t="str">
        <x:f>IF(Master!C367="","",Master!C367)</x:f>
      </x:c>
      <x:c r="C27" s="3" t="str">
        <x:f>IF(Master!D367="","",Master!D367)</x:f>
      </x:c>
      <x:c r="D27" s="3" t="str">
        <x:f>IF(Master!E367="","",Master!E367)</x:f>
      </x:c>
      <x:c r="E27" s="3" t="str">
        <x:f>IF(Master!F367="","",Master!F367)</x:f>
      </x:c>
      <x:c r="F27" s="3" t="str">
        <x:f>IF(Master!G367="","",Master!G367)</x:f>
      </x:c>
      <x:c r="G27" s="3" t="str">
        <x:f>IF(Master!H367="","",Master!H367)</x:f>
        <x:v>Yes</x:v>
      </x:c>
      <x:c r="H27" s="3" t="str">
        <x:f>IF(Master!I367="","",Master!I367)</x:f>
        <x:v>No</x:v>
      </x:c>
      <x:c r="I27" s="3" t="str">
        <x:f>IF(Master!J367="","",Master!J367)</x:f>
      </x:c>
      <x:c r="J27" s="3" t="str">
        <x:f>IF(Master!K367="","",Master!K367)</x:f>
      </x:c>
      <x:c r="K27" s="3" t="str">
        <x:f>IF(Master!L367="","",Master!L367)</x:f>
        <x:v>Yes: PostgreSQL</x:v>
      </x:c>
      <x:c r="L27" s="3" t="str">
        <x:f>IF(Master!M367="","",Master!M367)</x:f>
      </x:c>
      <x:c r="M27" s="3" t="str">
        <x:f>IF(Master!N367="","",Master!N367)</x:f>
      </x:c>
      <x:c r="N27" s="3" t="str">
        <x:f>IF(Master!O367="","",Master!O367)</x:f>
        <x:v>Yes</x:v>
      </x:c>
      <x:c r="O27" s="3" t="str">
        <x:f>IF(Master!P367="","",Master!P367)</x:f>
        <x:v>Yes</x:v>
      </x:c>
      <x:c r="P27" s="3" t="str">
        <x:f>IF(Master!Q367="","",Master!Q367)</x:f>
      </x:c>
      <x:c r="Q27" s="3" t="str">
        <x:f>IF(Master!R367="","",Master!R367)</x:f>
        <x:v>No</x:v>
      </x:c>
      <x:c r="R27" s="3" t="str">
        <x:f>IF(Master!S367="","",Master!S367)</x:f>
      </x:c>
      <x:c r="S27" s="3" t="str">
        <x:f>IF(Master!T367="","",Master!T367)</x:f>
      </x:c>
      <x:c r="T27" s="3" t="str">
        <x:f>IF(Master!U367="","",Master!U367)</x:f>
        <x:v>PostgreSQL is part of the documented self-host stack</x:v>
      </x:c>
      <x:c r="U27" s="3" t="str">
        <x:f>IF(Master!V367="","",Master!V367)</x:f>
        <x:v>N/A</x:v>
      </x:c>
      <x:c r="V27" s="3" t="str">
        <x:f>IF(Master!W367="","",Master!W367)</x:f>
        <x:v>Yes</x:v>
      </x:c>
      <x:c r="W27" s="3" t="str">
        <x:f>IF(Master!X367="","",Master!X367)</x:f>
      </x:c>
      <x:c r="X27" s="3" t="str">
        <x:f>IF(Master!Y367="","",Master!Y367)</x:f>
      </x:c>
      <x:c r="Y27" s="3" t="str">
        <x:f>IF(Master!Z367="","",Master!Z367)</x:f>
      </x:c>
      <x:c r="Z27" s="3" t="str">
        <x:f>IF(Master!AA367="","",Master!AA367)</x:f>
        <x:v>Yes</x:v>
      </x:c>
      <x:c r="AA27" s="6" t="str">
        <x:f>IF(Master!AB367="","",Master!AB367)</x:f>
      </x:c>
      <x:c r="AB27" s="3" t="str">
        <x:f>IF(Master!AC367="","",Master!AC367)</x:f>
      </x:c>
      <x:c r="AC27" s="3" t="str">
        <x:f>IF(Master!AD367="","",Master!AD367)</x:f>
      </x:c>
      <x:c r="AD27" s="3" t="str">
        <x:f>IF(Master!AE367="","",Master!AE367)</x:f>
      </x:c>
      <x:c r="AE27" s="3" t="str">
        <x:f>IF(Master!AF367="","",Master!AF367)</x:f>
      </x:c>
      <x:c r="AF27" s="8" t="str">
        <x:f>IF(Master!AG367="","",Master!AG367)</x:f>
        <x:v>Yes</x:v>
      </x:c>
    </x:row>
    <x:row r="28" ht="36" customHeight="1">
      <x:c r="A28" s="17" t="s">
        <x:v>621</x:v>
      </x:c>
      <x:c r="B28" s="3" t="str">
        <x:f>IF(Master!C368="","",Master!C368)</x:f>
      </x:c>
      <x:c r="C28" s="3" t="str">
        <x:f>IF(Master!D368="","",Master!D368)</x:f>
      </x:c>
      <x:c r="D28" s="3" t="str">
        <x:f>IF(Master!E368="","",Master!E368)</x:f>
      </x:c>
      <x:c r="E28" s="3" t="str">
        <x:f>IF(Master!F368="","",Master!F368)</x:f>
      </x:c>
      <x:c r="F28" s="3" t="str">
        <x:f>IF(Master!G368="","",Master!G368)</x:f>
      </x:c>
      <x:c r="G28" s="3" t="str">
        <x:f>IF(Master!H368="","",Master!H368)</x:f>
        <x:v>Yes</x:v>
      </x:c>
      <x:c r="H28" s="3" t="str">
        <x:f>IF(Master!I368="","",Master!I368)</x:f>
      </x:c>
      <x:c r="I28" s="3" t="str">
        <x:f>IF(Master!J368="","",Master!J368)</x:f>
      </x:c>
      <x:c r="J28" s="3" t="str">
        <x:f>IF(Master!K368="","",Master!K368)</x:f>
      </x:c>
      <x:c r="K28" s="3" t="str">
        <x:f>IF(Master!L368="","",Master!L368)</x:f>
        <x:v>Yes: Dragonfly for ephemeral/cache/task state</x:v>
      </x:c>
      <x:c r="L28" s="3" t="str">
        <x:f>IF(Master!M368="","",Master!M368)</x:f>
      </x:c>
      <x:c r="M28" s="3" t="str">
        <x:f>IF(Master!N368="","",Master!N368)</x:f>
      </x:c>
      <x:c r="N28" s="3" t="str">
        <x:f>IF(Master!O368="","",Master!O368)</x:f>
      </x:c>
      <x:c r="O28" s="3" t="str">
        <x:f>IF(Master!P368="","",Master!P368)</x:f>
        <x:v>Yes</x:v>
      </x:c>
      <x:c r="P28" s="3" t="str">
        <x:f>IF(Master!Q368="","",Master!Q368)</x:f>
      </x:c>
      <x:c r="Q28" s="3" t="str">
        <x:f>IF(Master!R368="","",Master!R368)</x:f>
      </x:c>
      <x:c r="R28" s="3" t="str">
        <x:f>IF(Master!S368="","",Master!S368)</x:f>
      </x:c>
      <x:c r="S28" s="3" t="str">
        <x:f>IF(Master!T368="","",Master!T368)</x:f>
      </x:c>
      <x:c r="T28" s="3" t="str">
        <x:f>IF(Master!U368="","",Master!U368)</x:f>
      </x:c>
      <x:c r="U28" s="3" t="str">
        <x:f>IF(Master!V368="","",Master!V368)</x:f>
        <x:v>N/A</x:v>
      </x:c>
      <x:c r="V28" s="3" t="str">
        <x:f>IF(Master!W368="","",Master!W368)</x:f>
        <x:v>Yes</x:v>
      </x:c>
      <x:c r="W28" s="3" t="str">
        <x:f>IF(Master!X368="","",Master!X368)</x:f>
      </x:c>
      <x:c r="X28" s="3" t="str">
        <x:f>IF(Master!Y368="","",Master!Y368)</x:f>
      </x:c>
      <x:c r="Y28" s="3" t="str">
        <x:f>IF(Master!Z368="","",Master!Z368)</x:f>
      </x:c>
      <x:c r="Z28" s="3" t="str">
        <x:f>IF(Master!AA368="","",Master!AA368)</x:f>
        <x:v>Yes</x:v>
      </x:c>
      <x:c r="AA28" s="6" t="str">
        <x:f>IF(Master!AB368="","",Master!AB368)</x:f>
      </x:c>
      <x:c r="AB28" s="3" t="str">
        <x:f>IF(Master!AC368="","",Master!AC368)</x:f>
      </x:c>
      <x:c r="AC28" s="3" t="str">
        <x:f>IF(Master!AD368="","",Master!AD368)</x:f>
      </x:c>
      <x:c r="AD28" s="3" t="str">
        <x:f>IF(Master!AE368="","",Master!AE368)</x:f>
      </x:c>
      <x:c r="AE28" s="3" t="str">
        <x:f>IF(Master!AF368="","",Master!AF368)</x:f>
      </x:c>
      <x:c r="AF28" s="8" t="str">
        <x:f>IF(Master!AG368="","",Master!AG368)</x:f>
      </x:c>
    </x:row>
    <x:row r="29" ht="36" customHeight="1">
      <x:c r="A29" s="17" t="s">
        <x:v>622</x:v>
      </x:c>
      <x:c r="B29" s="3" t="str">
        <x:f>IF(Master!C369="","",Master!C369)</x:f>
      </x:c>
      <x:c r="C29" s="3" t="str">
        <x:f>IF(Master!D369="","",Master!D369)</x:f>
      </x:c>
      <x:c r="D29" s="3" t="str">
        <x:f>IF(Master!E369="","",Master!E369)</x:f>
      </x:c>
      <x:c r="E29" s="3" t="str">
        <x:f>IF(Master!F369="","",Master!F369)</x:f>
      </x:c>
      <x:c r="F29" s="3" t="str">
        <x:f>IF(Master!G369="","",Master!G369)</x:f>
      </x:c>
      <x:c r="G29" s="3" t="str">
        <x:f>IF(Master!H369="","",Master!H369)</x:f>
        <x:v>Yes / recommended</x:v>
      </x:c>
      <x:c r="H29" s="3" t="str">
        <x:f>IF(Master!I369="","",Master!I369)</x:f>
      </x:c>
      <x:c r="I29" s="3" t="str">
        <x:f>IF(Master!J369="","",Master!J369)</x:f>
      </x:c>
      <x:c r="J29" s="3" t="str">
        <x:f>IF(Master!K369="","",Master!K369)</x:f>
      </x:c>
      <x:c r="K29" s="3" t="str">
        <x:f>IF(Master!L369="","",Master!L369)</x:f>
        <x:v>Yes: S3-compatible object storage; Garage is bundled default</x:v>
      </x:c>
      <x:c r="L29" s="3" t="str">
        <x:f>IF(Master!M369="","",Master!M369)</x:f>
      </x:c>
      <x:c r="M29" s="3" t="str">
        <x:f>IF(Master!N369="","",Master!N369)</x:f>
      </x:c>
      <x:c r="N29" s="3" t="str">
        <x:f>IF(Master!O369="","",Master!O369)</x:f>
      </x:c>
      <x:c r="O29" s="3" t="str">
        <x:f>IF(Master!P369="","",Master!P369)</x:f>
        <x:v>Yes / recommended</x:v>
      </x:c>
      <x:c r="P29" s="3" t="str">
        <x:f>IF(Master!Q369="","",Master!Q369)</x:f>
      </x:c>
      <x:c r="Q29" s="3" t="str">
        <x:f>IF(Master!R369="","",Master!R369)</x:f>
      </x:c>
      <x:c r="R29" s="3" t="str">
        <x:f>IF(Master!S369="","",Master!S369)</x:f>
      </x:c>
      <x:c r="S29" s="3" t="str">
        <x:f>IF(Master!T369="","",Master!T369)</x:f>
      </x:c>
      <x:c r="T29" s="3" t="str">
        <x:f>IF(Master!U369="","",Master!U369)</x:f>
      </x:c>
      <x:c r="U29" s="3" t="str">
        <x:f>IF(Master!V369="","",Master!V369)</x:f>
        <x:v>N/A</x:v>
      </x:c>
      <x:c r="V29" s="3" t="str">
        <x:f>IF(Master!W369="","",Master!W369)</x:f>
        <x:v>Yes / recommended</x:v>
      </x:c>
      <x:c r="W29" s="3" t="str">
        <x:f>IF(Master!X369="","",Master!X369)</x:f>
      </x:c>
      <x:c r="X29" s="3" t="str">
        <x:f>IF(Master!Y369="","",Master!Y369)</x:f>
      </x:c>
      <x:c r="Y29" s="3" t="str">
        <x:f>IF(Master!Z369="","",Master!Z369)</x:f>
      </x:c>
      <x:c r="Z29" s="3" t="str">
        <x:f>IF(Master!AA369="","",Master!AA369)</x:f>
        <x:v>Yes / recommended</x:v>
      </x:c>
      <x:c r="AA29" s="6" t="str">
        <x:f>IF(Master!AB369="","",Master!AB369)</x:f>
      </x:c>
      <x:c r="AB29" s="3" t="str">
        <x:f>IF(Master!AC369="","",Master!AC369)</x:f>
      </x:c>
      <x:c r="AC29" s="3" t="str">
        <x:f>IF(Master!AD369="","",Master!AD369)</x:f>
      </x:c>
      <x:c r="AD29" s="3" t="str">
        <x:f>IF(Master!AE369="","",Master!AE369)</x:f>
      </x:c>
      <x:c r="AE29" s="3" t="str">
        <x:f>IF(Master!AF369="","",Master!AF369)</x:f>
      </x:c>
      <x:c r="AF29" s="8" t="str">
        <x:f>IF(Master!AG369="","",Master!AG369)</x:f>
      </x:c>
    </x:row>
    <x:row r="30" ht="36" customHeight="1">
      <x:c r="A30" s="17" t="s">
        <x:v>623</x:v>
      </x:c>
      <x:c r="B30" s="3" t="str">
        <x:f>IF(Master!C370="","",Master!C370)</x:f>
        <x:v>N/A: official self-hosting unsupported</x:v>
      </x:c>
      <x:c r="C30" s="3" t="str">
        <x:f>IF(Master!D370="","",Master!D370)</x:f>
        <x:v>3/5 for using hosted relays; self-host relay more complex</x:v>
      </x:c>
      <x:c r="D30" s="3" t="str">
        <x:f>IF(Master!E370="","",Master!E370)</x:f>
        <x:v>3/5</x:v>
      </x:c>
      <x:c r="E30" s="3" t="str">
        <x:f>IF(Master!F370="","",Master!F370)</x:f>
        <x:v>N/A</x:v>
      </x:c>
      <x:c r="F30" s="3" t="str">
        <x:f>IF(Master!G370="","",Master!G370)</x:f>
        <x:v>N/A: self-hosting not currently offered</x:v>
      </x:c>
      <x:c r="G30" s="3" t="str">
        <x:f>IF(Master!H370="","",Master!H370)</x:f>
        <x:v>3/5</x:v>
      </x:c>
      <x:c r="H30" s="3" t="str">
        <x:f>IF(Master!I370="","",Master!I370)</x:f>
        <x:v>2/5</x:v>
      </x:c>
      <x:c r="I30" s="3" t="str">
        <x:f>IF(Master!J370="","",Master!J370)</x:f>
        <x:v>4/5</x:v>
      </x:c>
      <x:c r="J30" s="3" t="str">
        <x:f>IF(Master!K370="","",Master!K370)</x:f>
        <x:v>3/5</x:v>
      </x:c>
      <x:c r="K30" s="3" t="str">
        <x:f>IF(Master!L370="","",Master!L370)</x:f>
        <x:v>2/5: interactive make setup wizard + Docker Compose; still requires DNS/TLS/reverse proxy</x:v>
      </x:c>
      <x:c r="L30" s="3" t="str">
        <x:f>IF(Master!M370="","",Master!M370)</x:f>
        <x:v>N/A</x:v>
      </x:c>
      <x:c r="M30" s="3" t="str">
        <x:f>IF(Master!N370="","",Master!N370)</x:f>
        <x:v>3/5</x:v>
      </x:c>
      <x:c r="N30" s="3" t="str">
        <x:f>IF(Master!O370="","",Master!O370)</x:f>
        <x:v>4/5 (implementation-dependent)</x:v>
      </x:c>
      <x:c r="O30" s="3" t="str">
        <x:f>IF(Master!P370="","",Master!P370)</x:f>
        <x:v>3/5</x:v>
      </x:c>
      <x:c r="P30" s="3" t="str">
        <x:f>IF(Master!Q370="","",Master!Q370)</x:f>
      </x:c>
      <x:c r="Q30" s="3" t="str">
        <x:f>IF(Master!R370="","",Master!R370)</x:f>
        <x:v>2/5</x:v>
      </x:c>
      <x:c r="R30" s="3" t="str">
        <x:f>IF(Master!S370="","",Master!S370)</x:f>
        <x:v>4/5 (unsupported)</x:v>
      </x:c>
      <x:c r="S30" s="3" t="str">
        <x:f>IF(Master!T370="","",Master!T370)</x:f>
        <x:v>N/A</x:v>
      </x:c>
      <x:c r="T30" s="3" t="str">
        <x:f>IF(Master!U370="","",Master!U370)</x:f>
        <x:v>3/5</x:v>
      </x:c>
      <x:c r="U30" s="3" t="str">
        <x:f>IF(Master!V370="","",Master!V370)</x:f>
        <x:v>N/A</x:v>
      </x:c>
      <x:c r="V30" s="3" t="str">
        <x:f>IF(Master!W370="","",Master!W370)</x:f>
        <x:v>3/5</x:v>
      </x:c>
      <x:c r="W30" s="3" t="str">
        <x:f>IF(Master!X370="","",Master!X370)</x:f>
        <x:v>4/5</x:v>
      </x:c>
      <x:c r="X30" s="3" t="str">
        <x:f>IF(Master!Y370="","",Master!Y370)</x:f>
        <x:v>N/A: no self-hosting</x:v>
      </x:c>
      <x:c r="Y30" s="3" t="str">
        <x:f>IF(Master!Z370="","",Master!Z370)</x:f>
        <x:v>4/5</x:v>
      </x:c>
      <x:c r="Z30" s="3" t="str">
        <x:f>IF(Master!AA370="","",Master!AA370)</x:f>
        <x:v>4/5</x:v>
      </x:c>
      <x:c r="AA30" s="6" t="str">
        <x:f>IF(Master!AB370="","",Master!AB370)</x:f>
        <x:v>2/5</x:v>
      </x:c>
      <x:c r="AB30" s="3" t="str">
        <x:f>IF(Master!AC370="","",Master!AC370)</x:f>
        <x:v>2/5: docker compose</x:v>
      </x:c>
      <x:c r="AC30" s="3" t="str">
        <x:f>IF(Master!AD370="","",Master!AD370)</x:f>
        <x:v>4/5 / evolving</x:v>
      </x:c>
      <x:c r="AD30" s="3" t="str">
        <x:f>IF(Master!AE370="","",Master!AE370)</x:f>
        <x:v>N/A</x:v>
      </x:c>
      <x:c r="AE30" s="3" t="str">
        <x:f>IF(Master!AF370="","",Master!AF370)</x:f>
        <x:v>2/5</x:v>
      </x:c>
      <x:c r="AF30" s="8" t="str">
        <x:f>IF(Master!AG370="","",Master!AG370)</x:f>
        <x:v>3/5</x:v>
      </x:c>
    </x:row>
    <x:row r="31" ht="21.950000762939453" customHeight="1">
      <x:c r="A31" s="18" t="s">
        <x:v>413</x:v>
      </x:c>
      <x:c r="B31" s="18" t="str">
        <x:f t="shared" ref="B31:AF31" si="3">IF(""="","","")</x:f>
      </x:c>
      <x:c r="C31" s="18" t="str">
        <x:f t="shared" si="3"/>
      </x:c>
      <x:c r="D31" s="18" t="str">
        <x:f t="shared" si="3"/>
      </x:c>
      <x:c r="E31" s="18" t="str">
        <x:f t="shared" si="3"/>
      </x:c>
      <x:c r="F31" s="18" t="str">
        <x:f t="shared" si="3"/>
      </x:c>
      <x:c r="G31" s="18" t="str">
        <x:f t="shared" si="3"/>
      </x:c>
      <x:c r="H31" s="18" t="str">
        <x:f t="shared" si="3"/>
      </x:c>
      <x:c r="I31" s="18" t="str">
        <x:f t="shared" si="3"/>
      </x:c>
      <x:c r="J31" s="18" t="str">
        <x:f t="shared" si="3"/>
      </x:c>
      <x:c r="K31" s="18" t="str">
        <x:f t="shared" si="3"/>
      </x:c>
      <x:c r="L31" s="18" t="str">
        <x:f t="shared" si="3"/>
      </x:c>
      <x:c r="M31" s="18" t="str">
        <x:f t="shared" si="3"/>
      </x:c>
      <x:c r="N31" s="18" t="str">
        <x:f t="shared" si="3"/>
      </x:c>
      <x:c r="O31" s="18" t="str">
        <x:f t="shared" si="3"/>
      </x:c>
      <x:c r="P31" s="18" t="str">
        <x:f t="shared" si="3"/>
      </x:c>
      <x:c r="Q31" s="18" t="str">
        <x:f t="shared" si="3"/>
      </x:c>
      <x:c r="R31" s="18" t="str">
        <x:f t="shared" si="3"/>
      </x:c>
      <x:c r="S31" s="18" t="str">
        <x:f t="shared" si="3"/>
      </x:c>
      <x:c r="T31" s="18" t="str">
        <x:f t="shared" si="3"/>
      </x:c>
      <x:c r="U31" s="18" t="str">
        <x:f t="shared" si="3"/>
      </x:c>
      <x:c r="V31" s="18" t="str">
        <x:f t="shared" si="3"/>
      </x:c>
      <x:c r="W31" s="18" t="str">
        <x:f t="shared" si="3"/>
      </x:c>
      <x:c r="X31" s="18" t="str">
        <x:f t="shared" si="3"/>
      </x:c>
      <x:c r="Y31" s="18" t="str">
        <x:f t="shared" si="3"/>
      </x:c>
      <x:c r="Z31" s="18" t="str">
        <x:f t="shared" si="3"/>
      </x:c>
      <x:c r="AA31" s="18" t="str">
        <x:f t="shared" si="3"/>
      </x:c>
      <x:c r="AB31" s="18" t="str">
        <x:f t="shared" si="3"/>
      </x:c>
      <x:c r="AC31" s="18" t="str">
        <x:f t="shared" si="3"/>
      </x:c>
      <x:c r="AD31" s="18" t="str">
        <x:f t="shared" si="3"/>
      </x:c>
      <x:c r="AE31" s="18" t="str">
        <x:f t="shared" si="3"/>
      </x:c>
      <x:c r="AF31" s="19" t="str">
        <x:f t="shared" si="3"/>
      </x:c>
    </x:row>
    <x:row r="32" ht="36" customHeight="1">
      <x:c r="A32" s="17" t="s">
        <x:v>624</x:v>
      </x:c>
      <x:c r="B32" s="3" t="str">
        <x:f>IF(Master!C371="","",Master!C371)</x:f>
        <x:v>One vendor controls the service, accounts, official clients, and server backend.</x:v>
      </x:c>
      <x:c r="C32" s="3" t="str">
        <x:f>IF(Master!D371="","",Master!D371)</x:f>
        <x:v>Armada separates identity/content from a single platform host: keys are the account and relays are replaceable transport.</x:v>
      </x:c>
      <x:c r="D32" s="3" t="str">
        <x:f>IF(Master!E371="","",Master!E371)</x:f>
        <x:v>DCTS combines island-like community servers with a separate cross-server encrypted messenger.</x:v>
      </x:c>
      <x:c r="E32" s="3" t="str">
        <x:f>IF(Master!F371="","",Master!F371)</x:f>
        <x:v>Familiar Discord-style UX on a centralized service.</x:v>
      </x:c>
      <x:c r="F32" s="3" t="str">
        <x:f>IF(Master!G371="","",Master!G371)</x:f>
        <x:v>Privacy features are product-level, but it is currently a centralized service rather than a federated protocol.</x:v>
      </x:c>
      <x:c r="G32" s="3" t="str">
        <x:f>IF(Master!H371="","",Master!H371)</x:f>
        <x:v>Self-hosting exists now; federation is a separate roadmap item and should not be assumed.</x:v>
      </x:c>
      <x:c r="H32" s="3" t="str">
        <x:f>IF(Master!I371="","",Master!I371)</x:f>
        <x:v>Self-hosting exists, but instances are not documented as one federated network.</x:v>
      </x:c>
      <x:c r="I32" s="3" t="str">
        <x:f>IF(Master!J371="","",Master!J371)</x:f>
        <x:v>Harmony is the platform/API; Fermi is a client. This mirrors the Matrix/Element distinction conceptually, though Harmony is not Matrix.</x:v>
      </x:c>
      <x:c r="J32" s="3" t="str">
        <x:f>IF(Master!K371="","",Master!K371)</x:f>
        <x:v>There is no central account database: the user's keypair is the identity and message history lives locally.</x:v>
      </x:c>
      <x:c r="K32" s="3" t="str">
        <x:f>IF(Master!L371="","",Master!L371)</x:f>
        <x:v>FastAPI REST/federation + separate WebSocket Gateway; PostgreSQL durable state; Dragonfly ephemeral/tasks; S3-compatible media; LiveKit media</x:v>
      </x:c>
      <x:c r="L32" s="3" t="str">
        <x:f>IF(Master!M371="","",Master!M371)</x:f>
        <x:v>Privacy-minimal account design is distinct from decentralization/self-hosting.</x:v>
      </x:c>
      <x:c r="M32" s="3" t="str">
        <x:f>IF(Master!N371="","",Master!N371)</x:f>
        <x:v>Unlike a purely centralized clone, Loqa explicitly targets federation/self-hosting, but the architecture is still evolving.</x:v>
      </x:c>
      <x:c r="N32" s="3" t="str">
        <x:f>IF(Master!O371="","",Master!O371)</x:f>
        <x:v>Element is a Matrix client/vendor product. Matrix itself is the protocol and federated ecosystem.</x:v>
      </x:c>
      <x:c r="O32" s="3" t="str">
        <x:f>IF(Master!P371="","",Master!P371)</x:f>
        <x:v>Self-hosting gives data control, but separate Mattermost deployments do not form one interoperable federation.</x:v>
      </x:c>
      <x:c r="P32" s="3" t="str">
        <x:f>IF(Master!Q371="","",Master!Q371)</x:f>
        <x:v>Open source code does not by itself make Mezon a federated protocol like Matrix.</x:v>
      </x:c>
      <x:c r="Q32" s="3" t="str">
        <x:f>IF(Master!R371="","",Master!R371)</x:f>
        <x:v>A voice-first client/server system, not a Discord-style social platform.</x:v>
      </x:c>
      <x:c r="R32" s="3" t="str">
        <x:f>IF(Master!S371="","",Master!S371)</x:f>
        <x:v>Open source does not imply federation. The official project discourages self-hosting as a normal deployment model.</x:v>
      </x:c>
      <x:c r="S32" s="3" t="str">
        <x:f>IF(Master!T371="","",Master!T371)</x:f>
        <x:v>Regional distribution is not federation or self-hosting.</x:v>
      </x:c>
      <x:c r="T32" s="3" t="str">
        <x:f>IF(Master!U371="","",Master!U371)</x:f>
        <x:v>Hosted API runs on Fly.io in São Paulo; SPA runs on Cloudflare Pages. AGPL-3.0 self-hosting is supported. Voice uses P2P for small/DM calls and LiveKit for listed or larger hosted rooms.</x:v>
      </x:c>
      <x:c r="U32" s="3" t="str">
        <x:f>IF(Master!V371="","",Master!V371)</x:f>
        <x:v>Privacy policy choices (no email/phone/ID, EXIF stripping, no AI training) operate within a centralized service model.</x:v>
      </x:c>
      <x:c r="V32" s="3" t="str">
        <x:f>IF(Master!W371="","",Master!W371)</x:f>
        <x:v>Federation exists, but its feature set is narrower than local rooms and differs from Matrix-as-a-platform.</x:v>
      </x:c>
      <x:c r="W32" s="3" t="str">
        <x:f>IF(Master!X371="","",Master!X371)</x:f>
        <x:v>Roomy is an ATProto application, not a generic centralized Discord clone.</x:v>
      </x:c>
      <x:c r="X32" s="3" t="str">
        <x:f>IF(Master!Y371="","",Master!Y371)</x:f>
        <x:v>Apps/Bots are hosted inside Root; they extend Root but do not make it self-hosted/federated.</x:v>
      </x:c>
      <x:c r="Y32" s="3" t="str">
        <x:f>IF(Master!Z371="","",Master!Z371)</x:f>
        <x:v>Spacebar reproduces Discord's client-server API model; it is not a federated network.</x:v>
      </x:c>
      <x:c r="Z32" s="3" t="str">
        <x:f>IF(Master!AA371="","",Master!AA371)</x:f>
        <x:v>Self-hostable does not mean federated. Separate Stoat instances do not automatically interoperate.</x:v>
      </x:c>
      <x:c r="AA32" s="6" t="str">
        <x:f>IF(Master!AB371="","",Master!AB371)</x:f>
        <x:v>Server ownership can be independent, but TeamSpeak servers do not federate into one network.</x:v>
      </x:c>
      <x:c r="AB32" s="3" t="str">
        <x:f>IF(Master!AC371="","",Master!AC371)</x:f>
        <x:v>Valour is one open-source platform/client-server stack, not a general protocol ecosystem like Matrix.</x:v>
      </x:c>
      <x:c r="AC32" s="3" t="str">
        <x:f>IF(Master!AD371="","",Master!AD371)</x:f>
        <x:v>Current and planned architecture differ; mark federation/self-hosting as in progress, not complete.</x:v>
      </x:c>
      <x:c r="AD32" s="3" t="str">
        <x:f>IF(Master!AE371="","",Master!AE371)</x:f>
        <x:v>Weered intentionally uses game lobbies/rooms rather than cloning Discord's server/channel information architecture.</x:v>
      </x:c>
      <x:c r="AE32" s="3" t="str">
        <x:f>IF(Master!AF371="","",Master!AF371)</x:f>
        <x:v>Like TeamSpeak, operator owns the server; unlike Matrix, servers are not documented as federated.</x:v>
      </x:c>
      <x:c r="AF32" s="8" t="str">
        <x:f>IF(Master!AG371="","",Master!AG371)</x:f>
        <x:v>Multiple deployments are independent. Zulip is an application, not a federated protocol.</x:v>
      </x:c>
    </x:row>
    <x:row r="33" ht="21.950000762939453" customHeight="1">
      <x:c r="A33" s="18" t="s">
        <x:v>625</x:v>
      </x:c>
      <x:c r="B33" s="18" t="str">
        <x:f t="shared" ref="B33:AF33" si="4">IF(""="","","")</x:f>
      </x:c>
      <x:c r="C33" s="18" t="str">
        <x:f t="shared" si="4"/>
      </x:c>
      <x:c r="D33" s="18" t="str">
        <x:f t="shared" si="4"/>
      </x:c>
      <x:c r="E33" s="18" t="str">
        <x:f t="shared" si="4"/>
      </x:c>
      <x:c r="F33" s="18" t="str">
        <x:f t="shared" si="4"/>
      </x:c>
      <x:c r="G33" s="18" t="str">
        <x:f t="shared" si="4"/>
      </x:c>
      <x:c r="H33" s="18" t="str">
        <x:f t="shared" si="4"/>
      </x:c>
      <x:c r="I33" s="18" t="str">
        <x:f t="shared" si="4"/>
      </x:c>
      <x:c r="J33" s="18" t="str">
        <x:f t="shared" si="4"/>
      </x:c>
      <x:c r="K33" s="18" t="str">
        <x:f t="shared" si="4"/>
      </x:c>
      <x:c r="L33" s="18" t="str">
        <x:f t="shared" si="4"/>
      </x:c>
      <x:c r="M33" s="18" t="str">
        <x:f t="shared" si="4"/>
      </x:c>
      <x:c r="N33" s="18" t="str">
        <x:f t="shared" si="4"/>
      </x:c>
      <x:c r="O33" s="18" t="str">
        <x:f t="shared" si="4"/>
      </x:c>
      <x:c r="P33" s="18" t="str">
        <x:f t="shared" si="4"/>
      </x:c>
      <x:c r="Q33" s="18" t="str">
        <x:f t="shared" si="4"/>
      </x:c>
      <x:c r="R33" s="18" t="str">
        <x:f t="shared" si="4"/>
      </x:c>
      <x:c r="S33" s="18" t="str">
        <x:f t="shared" si="4"/>
      </x:c>
      <x:c r="T33" s="18" t="str">
        <x:f t="shared" si="4"/>
      </x:c>
      <x:c r="U33" s="18" t="str">
        <x:f t="shared" si="4"/>
      </x:c>
      <x:c r="V33" s="18" t="str">
        <x:f t="shared" si="4"/>
      </x:c>
      <x:c r="W33" s="18" t="str">
        <x:f t="shared" si="4"/>
      </x:c>
      <x:c r="X33" s="18" t="str">
        <x:f t="shared" si="4"/>
      </x:c>
      <x:c r="Y33" s="18" t="str">
        <x:f t="shared" si="4"/>
      </x:c>
      <x:c r="Z33" s="18" t="str">
        <x:f t="shared" si="4"/>
      </x:c>
      <x:c r="AA33" s="18" t="str">
        <x:f t="shared" si="4"/>
      </x:c>
      <x:c r="AB33" s="18" t="str">
        <x:f t="shared" si="4"/>
      </x:c>
      <x:c r="AC33" s="18" t="str">
        <x:f t="shared" si="4"/>
      </x:c>
      <x:c r="AD33" s="18" t="str">
        <x:f t="shared" si="4"/>
      </x:c>
      <x:c r="AE33" s="18" t="str">
        <x:f t="shared" si="4"/>
      </x:c>
      <x:c r="AF33" s="19" t="str">
        <x:f t="shared" si="4"/>
      </x:c>
    </x:row>
    <x:row r="34" ht="36" customHeight="1">
      <x:c r="A34" s="17" t="s">
        <x:v>626</x:v>
      </x:c>
      <x:c r="B34" s="3" t="str">
        <x:f>IF(Master!C372="","",Master!C372)</x:f>
        <x:v>N/A: SaaS</x:v>
      </x:c>
      <x:c r="C34" s="3" t="str">
        <x:f>IF(Master!D372="","",Master!D372)</x:f>
      </x:c>
      <x:c r="D34" s="3" t="str">
        <x:f>IF(Master!E372="","",Master!E372)</x:f>
      </x:c>
      <x:c r="E34" s="3" t="str">
        <x:f>IF(Master!F372="","",Master!F372)</x:f>
      </x:c>
      <x:c r="F34" s="3" t="str">
        <x:f>IF(Master!G372="","",Master!G372)</x:f>
      </x:c>
      <x:c r="G34" s="3" t="str">
        <x:f>IF(Master!H372="","",Master!H372)</x:f>
      </x:c>
      <x:c r="H34" s="3" t="str">
        <x:f>IF(Master!I372="","",Master!I372)</x:f>
      </x:c>
      <x:c r="I34" s="3" t="str">
        <x:f>IF(Master!J372="","",Master!J372)</x:f>
      </x:c>
      <x:c r="J34" s="3" t="str">
        <x:f>IF(Master!K372="","",Master!K372)</x:f>
      </x:c>
      <x:c r="K34" s="3" t="str">
        <x:f>IF(Master!L372="","",Master!L372)</x:f>
        <x:v>Partial: component replication/scaling behavior is documented, but no turnkey multi-node HA deployment guide located</x:v>
      </x:c>
      <x:c r="L34" s="3" t="str">
        <x:f>IF(Master!M372="","",Master!M372)</x:f>
      </x:c>
      <x:c r="M34" s="3" t="str">
        <x:f>IF(Master!N372="","",Master!N372)</x:f>
      </x:c>
      <x:c r="N34" s="3" t="str">
        <x:f>IF(Master!O372="","",Master!O372)</x:f>
      </x:c>
      <x:c r="O34" s="3" t="str">
        <x:f>IF(Master!P372="","",Master!P372)</x:f>
        <x:v>Yes</x:v>
      </x:c>
      <x:c r="P34" s="3" t="str">
        <x:f>IF(Master!Q372="","",Master!Q372)</x:f>
      </x:c>
      <x:c r="Q34" s="3" t="str">
        <x:f>IF(Master!R372="","",Master!R372)</x:f>
      </x:c>
      <x:c r="R34" s="3" t="str">
        <x:f>IF(Master!S372="","",Master!S372)</x:f>
      </x:c>
      <x:c r="S34" s="3" t="str">
        <x:f>IF(Master!T372="","",Master!T372)</x:f>
      </x:c>
      <x:c r="T34" s="3" t="str">
        <x:f>IF(Master!U372="","",Master!U372)</x:f>
      </x:c>
      <x:c r="U34" s="3" t="str">
        <x:f>IF(Master!V372="","",Master!V372)</x:f>
        <x:v>N/A: no public self-hosting</x:v>
      </x:c>
      <x:c r="V34" s="3" t="str">
        <x:f>IF(Master!W372="","",Master!W372)</x:f>
        <x:v>Yes</x:v>
      </x:c>
      <x:c r="W34" s="3" t="str">
        <x:f>IF(Master!X372="","",Master!X372)</x:f>
      </x:c>
      <x:c r="X34" s="3" t="str">
        <x:f>IF(Master!Y372="","",Master!Y372)</x:f>
      </x:c>
      <x:c r="Y34" s="3" t="str">
        <x:f>IF(Master!Z372="","",Master!Z372)</x:f>
      </x:c>
      <x:c r="Z34" s="3" t="str">
        <x:f>IF(Master!AA372="","",Master!AA372)</x:f>
      </x:c>
      <x:c r="AA34" s="6" t="str">
        <x:f>IF(Master!AB372="","",Master!AB372)</x:f>
      </x:c>
      <x:c r="AB34" s="3" t="str">
        <x:f>IF(Master!AC372="","",Master!AC372)</x:f>
      </x:c>
      <x:c r="AC34" s="3" t="str">
        <x:f>IF(Master!AD372="","",Master!AD372)</x:f>
      </x:c>
      <x:c r="AD34" s="3" t="str">
        <x:f>IF(Master!AE372="","",Master!AE372)</x:f>
      </x:c>
      <x:c r="AE34" s="3" t="str">
        <x:f>IF(Master!AF372="","",Master!AF372)</x:f>
      </x:c>
      <x:c r="AF34" s="8" t="str">
        <x:f>IF(Master!AG372="","",Master!AG372)</x:f>
      </x:c>
    </x:row>
    <x:row r="35" ht="36" customHeight="1">
      <x:c r="A35" s="17" t="s">
        <x:v>627</x:v>
      </x:c>
      <x:c r="B35" s="3" t="str">
        <x:f>IF(Master!C373="","",Master!C373)</x:f>
        <x:v>N/A: SaaS</x:v>
      </x:c>
      <x:c r="C35" s="3" t="str">
        <x:f>IF(Master!D373="","",Master!D373)</x:f>
      </x:c>
      <x:c r="D35" s="3" t="str">
        <x:f>IF(Master!E373="","",Master!E373)</x:f>
      </x:c>
      <x:c r="E35" s="3" t="str">
        <x:f>IF(Master!F373="","",Master!F373)</x:f>
      </x:c>
      <x:c r="F35" s="3" t="str">
        <x:f>IF(Master!G373="","",Master!G373)</x:f>
      </x:c>
      <x:c r="G35" s="3" t="str">
        <x:f>IF(Master!H373="","",Master!H373)</x:f>
      </x:c>
      <x:c r="H35" s="3" t="str">
        <x:f>IF(Master!I373="","",Master!I373)</x:f>
      </x:c>
      <x:c r="I35" s="3" t="str">
        <x:f>IF(Master!J373="","",Master!J373)</x:f>
      </x:c>
      <x:c r="J35" s="3" t="str">
        <x:f>IF(Master!K373="","",Master!K373)</x:f>
      </x:c>
      <x:c r="K35" s="3" t="str">
        <x:f>IF(Master!L373="","",Master!L373)</x:f>
        <x:v>Partial: component replication/scaling behavior is documented, but no turnkey multi-node HA deployment guide located</x:v>
      </x:c>
      <x:c r="L35" s="3" t="str">
        <x:f>IF(Master!M373="","",Master!M373)</x:f>
      </x:c>
      <x:c r="M35" s="3" t="str">
        <x:f>IF(Master!N373="","",Master!N373)</x:f>
      </x:c>
      <x:c r="N35" s="3" t="str">
        <x:f>IF(Master!O373="","",Master!O373)</x:f>
      </x:c>
      <x:c r="O35" s="3" t="str">
        <x:f>IF(Master!P373="","",Master!P373)</x:f>
        <x:v>Yes</x:v>
      </x:c>
      <x:c r="P35" s="3" t="str">
        <x:f>IF(Master!Q373="","",Master!Q373)</x:f>
      </x:c>
      <x:c r="Q35" s="3" t="str">
        <x:f>IF(Master!R373="","",Master!R373)</x:f>
      </x:c>
      <x:c r="R35" s="3" t="str">
        <x:f>IF(Master!S373="","",Master!S373)</x:f>
      </x:c>
      <x:c r="S35" s="3" t="str">
        <x:f>IF(Master!T373="","",Master!T373)</x:f>
      </x:c>
      <x:c r="T35" s="3" t="str">
        <x:f>IF(Master!U373="","",Master!U373)</x:f>
      </x:c>
      <x:c r="U35" s="3" t="str">
        <x:f>IF(Master!V373="","",Master!V373)</x:f>
        <x:v>N/A</x:v>
      </x:c>
      <x:c r="V35" s="3" t="str">
        <x:f>IF(Master!W373="","",Master!W373)</x:f>
        <x:v>Yes</x:v>
      </x:c>
      <x:c r="W35" s="3" t="str">
        <x:f>IF(Master!X373="","",Master!X373)</x:f>
      </x:c>
      <x:c r="X35" s="3" t="str">
        <x:f>IF(Master!Y373="","",Master!Y373)</x:f>
      </x:c>
      <x:c r="Y35" s="3" t="str">
        <x:f>IF(Master!Z373="","",Master!Z373)</x:f>
      </x:c>
      <x:c r="Z35" s="3" t="str">
        <x:f>IF(Master!AA373="","",Master!AA373)</x:f>
      </x:c>
      <x:c r="AA35" s="6" t="str">
        <x:f>IF(Master!AB373="","",Master!AB373)</x:f>
      </x:c>
      <x:c r="AB35" s="3" t="str">
        <x:f>IF(Master!AC373="","",Master!AC373)</x:f>
      </x:c>
      <x:c r="AC35" s="3" t="str">
        <x:f>IF(Master!AD373="","",Master!AD373)</x:f>
      </x:c>
      <x:c r="AD35" s="3" t="str">
        <x:f>IF(Master!AE373="","",Master!AE373)</x:f>
      </x:c>
      <x:c r="AE35" s="3" t="str">
        <x:f>IF(Master!AF373="","",Master!AF373)</x:f>
      </x:c>
      <x:c r="AF35" s="8" t="str">
        <x:f>IF(Master!AG373="","",Master!AG373)</x:f>
      </x:c>
    </x:row>
    <x:row r="36" ht="36" customHeight="1">
      <x:c r="A36" s="17" t="s">
        <x:v>628</x:v>
      </x:c>
      <x:c r="B36" s="3" t="str">
        <x:f>IF(Master!C374="","",Master!C374)</x:f>
      </x:c>
      <x:c r="C36" s="3" t="str">
        <x:f>IF(Master!D374="","",Master!D374)</x:f>
      </x:c>
      <x:c r="D36" s="3" t="str">
        <x:f>IF(Master!E374="","",Master!E374)</x:f>
      </x:c>
      <x:c r="E36" s="3" t="str">
        <x:f>IF(Master!F374="","",Master!F374)</x:f>
      </x:c>
      <x:c r="F36" s="3" t="str">
        <x:f>IF(Master!G374="","",Master!G374)</x:f>
      </x:c>
      <x:c r="G36" s="3" t="str">
        <x:f>IF(Master!H374="","",Master!H374)</x:f>
      </x:c>
      <x:c r="H36" s="3" t="str">
        <x:f>IF(Master!I374="","",Master!I374)</x:f>
      </x:c>
      <x:c r="I36" s="3" t="str">
        <x:f>IF(Master!J374="","",Master!J374)</x:f>
      </x:c>
      <x:c r="J36" s="3" t="str">
        <x:f>IF(Master!K374="","",Master!K374)</x:f>
      </x:c>
      <x:c r="K36" s="3" t="str">
        <x:f>IF(Master!L374="","",Master!L374)</x:f>
        <x:v>Yes: operator guide covers PostgreSQL/object-storage/secrets/config backups and upgrade/rollback boundaries</x:v>
      </x:c>
      <x:c r="L36" s="3" t="str">
        <x:f>IF(Master!M374="","",Master!M374)</x:f>
      </x:c>
      <x:c r="M36" s="3" t="str">
        <x:f>IF(Master!N374="","",Master!N374)</x:f>
      </x:c>
      <x:c r="N36" s="3" t="str">
        <x:f>IF(Master!O374="","",Master!O374)</x:f>
      </x:c>
      <x:c r="O36" s="3" t="str">
        <x:f>IF(Master!P374="","",Master!P374)</x:f>
        <x:v>Yes</x:v>
      </x:c>
      <x:c r="P36" s="3" t="str">
        <x:f>IF(Master!Q374="","",Master!Q374)</x:f>
      </x:c>
      <x:c r="Q36" s="3" t="str">
        <x:f>IF(Master!R374="","",Master!R374)</x:f>
      </x:c>
      <x:c r="R36" s="3" t="str">
        <x:f>IF(Master!S374="","",Master!S374)</x:f>
      </x:c>
      <x:c r="S36" s="3" t="str">
        <x:f>IF(Master!T374="","",Master!T374)</x:f>
      </x:c>
      <x:c r="T36" s="3" t="str">
        <x:f>IF(Master!U374="","",Master!U374)</x:f>
      </x:c>
      <x:c r="U36" s="3" t="str">
        <x:f>IF(Master!V374="","",Master!V374)</x:f>
        <x:v>N/A: hosted</x:v>
      </x:c>
      <x:c r="V36" s="3" t="str">
        <x:f>IF(Master!W374="","",Master!W374)</x:f>
        <x:v>Yes</x:v>
      </x:c>
      <x:c r="W36" s="3" t="str">
        <x:f>IF(Master!X374="","",Master!X374)</x:f>
      </x:c>
      <x:c r="X36" s="3" t="str">
        <x:f>IF(Master!Y374="","",Master!Y374)</x:f>
      </x:c>
      <x:c r="Y36" s="3" t="str">
        <x:f>IF(Master!Z374="","",Master!Z374)</x:f>
      </x:c>
      <x:c r="Z36" s="3" t="str">
        <x:f>IF(Master!AA374="","",Master!AA374)</x:f>
      </x:c>
      <x:c r="AA36" s="6" t="str">
        <x:f>IF(Master!AB374="","",Master!AB374)</x:f>
      </x:c>
      <x:c r="AB36" s="3" t="str">
        <x:f>IF(Master!AC374="","",Master!AC374)</x:f>
      </x:c>
      <x:c r="AC36" s="3" t="str">
        <x:f>IF(Master!AD374="","",Master!AD374)</x:f>
      </x:c>
      <x:c r="AD36" s="3" t="str">
        <x:f>IF(Master!AE374="","",Master!AE374)</x:f>
      </x:c>
      <x:c r="AE36" s="3" t="str">
        <x:f>IF(Master!AF374="","",Master!AF374)</x:f>
      </x:c>
      <x:c r="AF36" s="8" t="str">
        <x:f>IF(Master!AG374="","",Master!AG374)</x:f>
        <x:v>Yes</x:v>
      </x:c>
    </x:row>
    <x:row r="37" ht="36" customHeight="1">
      <x:c r="A37" s="17" t="s">
        <x:v>629</x:v>
      </x:c>
      <x:c r="B37" s="3" t="str">
        <x:f>IF(Master!C375="","",Master!C375)</x:f>
      </x:c>
      <x:c r="C37" s="3" t="str">
        <x:f>IF(Master!D375="","",Master!D375)</x:f>
      </x:c>
      <x:c r="D37" s="3" t="str">
        <x:f>IF(Master!E375="","",Master!E375)</x:f>
      </x:c>
      <x:c r="E37" s="3" t="str">
        <x:f>IF(Master!F375="","",Master!F375)</x:f>
      </x:c>
      <x:c r="F37" s="3" t="str">
        <x:f>IF(Master!G375="","",Master!G375)</x:f>
      </x:c>
      <x:c r="G37" s="3" t="str">
        <x:f>IF(Master!H375="","",Master!H375)</x:f>
      </x:c>
      <x:c r="H37" s="3" t="str">
        <x:f>IF(Master!I375="","",Master!I375)</x:f>
      </x:c>
      <x:c r="I37" s="3" t="str">
        <x:f>IF(Master!J375="","",Master!J375)</x:f>
      </x:c>
      <x:c r="J37" s="3" t="str">
        <x:f>IF(Master!K375="","",Master!K375)</x:f>
      </x:c>
      <x:c r="K37" s="3" t="str">
        <x:f>IF(Master!L375="","",Master!L375)</x:f>
        <x:v>Yes: internal metrics, Prometheus rules and provisioned Grafana dashboard documented</x:v>
      </x:c>
      <x:c r="L37" s="3" t="str">
        <x:f>IF(Master!M375="","",Master!M375)</x:f>
      </x:c>
      <x:c r="M37" s="3" t="str">
        <x:f>IF(Master!N375="","",Master!N375)</x:f>
      </x:c>
      <x:c r="N37" s="3" t="str">
        <x:f>IF(Master!O375="","",Master!O375)</x:f>
      </x:c>
      <x:c r="O37" s="3" t="str">
        <x:f>IF(Master!P375="","",Master!P375)</x:f>
        <x:v>Yes</x:v>
      </x:c>
      <x:c r="P37" s="3" t="str">
        <x:f>IF(Master!Q375="","",Master!Q375)</x:f>
      </x:c>
      <x:c r="Q37" s="3" t="str">
        <x:f>IF(Master!R375="","",Master!R375)</x:f>
      </x:c>
      <x:c r="R37" s="3" t="str">
        <x:f>IF(Master!S375="","",Master!S375)</x:f>
      </x:c>
      <x:c r="S37" s="3" t="str">
        <x:f>IF(Master!T375="","",Master!T375)</x:f>
      </x:c>
      <x:c r="T37" s="3" t="str">
        <x:f>IF(Master!U375="","",Master!U375)</x:f>
      </x:c>
      <x:c r="U37" s="3" t="str">
        <x:f>IF(Master!V375="","",Master!V375)</x:f>
        <x:v>N/A</x:v>
      </x:c>
      <x:c r="V37" s="3" t="str">
        <x:f>IF(Master!W375="","",Master!W375)</x:f>
      </x:c>
      <x:c r="W37" s="3" t="str">
        <x:f>IF(Master!X375="","",Master!X375)</x:f>
      </x:c>
      <x:c r="X37" s="3" t="str">
        <x:f>IF(Master!Y375="","",Master!Y375)</x:f>
      </x:c>
      <x:c r="Y37" s="3" t="str">
        <x:f>IF(Master!Z375="","",Master!Z375)</x:f>
      </x:c>
      <x:c r="Z37" s="3" t="str">
        <x:f>IF(Master!AA375="","",Master!AA375)</x:f>
      </x:c>
      <x:c r="AA37" s="6" t="str">
        <x:f>IF(Master!AB375="","",Master!AB375)</x:f>
      </x:c>
      <x:c r="AB37" s="3" t="str">
        <x:f>IF(Master!AC375="","",Master!AC375)</x:f>
      </x:c>
      <x:c r="AC37" s="3" t="str">
        <x:f>IF(Master!AD375="","",Master!AD375)</x:f>
      </x:c>
      <x:c r="AD37" s="3" t="str">
        <x:f>IF(Master!AE375="","",Master!AE375)</x:f>
      </x:c>
      <x:c r="AE37" s="3" t="str">
        <x:f>IF(Master!AF375="","",Master!AF375)</x:f>
      </x:c>
      <x:c r="AF37" s="8" t="str">
        <x:f>IF(Master!AG375="","",Master!AG375)</x:f>
      </x:c>
    </x:row>
    <x:row r="38" ht="36" customHeight="1">
      <x:c r="A38" s="17" t="s">
        <x:v>630</x:v>
      </x:c>
      <x:c r="B38" s="3" t="str">
        <x:f>IF(Master!C376="","",Master!C376)</x:f>
      </x:c>
      <x:c r="C38" s="3" t="str">
        <x:f>IF(Master!D376="","",Master!D376)</x:f>
      </x:c>
      <x:c r="D38" s="3" t="str">
        <x:f>IF(Master!E376="","",Master!E376)</x:f>
      </x:c>
      <x:c r="E38" s="3" t="str">
        <x:f>IF(Master!F376="","",Master!F376)</x:f>
      </x:c>
      <x:c r="F38" s="3" t="str">
        <x:f>IF(Master!G376="","",Master!G376)</x:f>
      </x:c>
      <x:c r="G38" s="3" t="str">
        <x:f>IF(Master!H376="","",Master!H376)</x:f>
      </x:c>
      <x:c r="H38" s="3" t="str">
        <x:f>IF(Master!I376="","",Master!I376)</x:f>
      </x:c>
      <x:c r="I38" s="3" t="str">
        <x:f>IF(Master!J376="","",Master!J376)</x:f>
      </x:c>
      <x:c r="J38" s="3" t="str">
        <x:f>IF(Master!K376="","",Master!K376)</x:f>
      </x:c>
      <x:c r="K38" s="3" t="str">
        <x:f>IF(Master!L376="","",Master!L376)</x:f>
        <x:v>Optional: email can be disabled; with email off signup uses username/password and recovery becomes operator-assisted</x:v>
      </x:c>
      <x:c r="L38" s="3" t="str">
        <x:f>IF(Master!M376="","",Master!M376)</x:f>
      </x:c>
      <x:c r="M38" s="3" t="str">
        <x:f>IF(Master!N376="","",Master!N376)</x:f>
      </x:c>
      <x:c r="N38" s="3" t="str">
        <x:f>IF(Master!O376="","",Master!O376)</x:f>
      </x:c>
      <x:c r="O38" s="3" t="str">
        <x:f>IF(Master!P376="","",Master!P376)</x:f>
        <x:v>Common/optional by config</x:v>
      </x:c>
      <x:c r="P38" s="3" t="str">
        <x:f>IF(Master!Q376="","",Master!Q376)</x:f>
      </x:c>
      <x:c r="Q38" s="3" t="str">
        <x:f>IF(Master!R376="","",Master!R376)</x:f>
      </x:c>
      <x:c r="R38" s="3" t="str">
        <x:f>IF(Master!S376="","",Master!S376)</x:f>
      </x:c>
      <x:c r="S38" s="3" t="str">
        <x:f>IF(Master!T376="","",Master!T376)</x:f>
      </x:c>
      <x:c r="T38" s="3" t="str">
        <x:f>IF(Master!U376="","",Master!U376)</x:f>
      </x:c>
      <x:c r="U38" s="3" t="str">
        <x:f>IF(Master!V376="","",Master!V376)</x:f>
        <x:v>N/A</x:v>
      </x:c>
      <x:c r="V38" s="3" t="str">
        <x:f>IF(Master!W376="","",Master!W376)</x:f>
        <x:v>Common/optional by config</x:v>
      </x:c>
      <x:c r="W38" s="3" t="str">
        <x:f>IF(Master!X376="","",Master!X376)</x:f>
      </x:c>
      <x:c r="X38" s="3" t="str">
        <x:f>IF(Master!Y376="","",Master!Y376)</x:f>
      </x:c>
      <x:c r="Y38" s="3" t="str">
        <x:f>IF(Master!Z376="","",Master!Z376)</x:f>
      </x:c>
      <x:c r="Z38" s="3" t="str">
        <x:f>IF(Master!AA376="","",Master!AA376)</x:f>
      </x:c>
      <x:c r="AA38" s="6" t="str">
        <x:f>IF(Master!AB376="","",Master!AB376)</x:f>
      </x:c>
      <x:c r="AB38" s="3" t="str">
        <x:f>IF(Master!AC376="","",Master!AC376)</x:f>
      </x:c>
      <x:c r="AC38" s="3" t="str">
        <x:f>IF(Master!AD376="","",Master!AD376)</x:f>
      </x:c>
      <x:c r="AD38" s="3" t="str">
        <x:f>IF(Master!AE376="","",Master!AE376)</x:f>
      </x:c>
      <x:c r="AE38" s="3" t="str">
        <x:f>IF(Master!AF376="","",Master!AF376)</x:f>
      </x:c>
      <x:c r="AF38" s="8" t="str">
        <x:f>IF(Master!AG376="","",Master!AG376)</x:f>
        <x:v>Yes for full email flows</x:v>
      </x:c>
    </x:row>
  </x:sheetData>
  <x:mergeCells>
    <x:mergeCell ref="A1:AF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Directory'!A1","Client &amp; Distribution"),"Client &amp; Distribution")</x:f>
        <x:v>Client &amp; Distribution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631</x:v>
      </x:c>
      <x:c r="B3" s="3" t="str">
        <x:f>IF(Master!C377="","",Master!C377)</x:f>
        <x:v>Yes</x:v>
      </x:c>
      <x:c r="C3" s="3" t="str">
        <x:f>IF(Master!D377="","",Master!D377)</x:f>
        <x:v>Yes</x:v>
      </x:c>
      <x:c r="D3" s="3" t="str">
        <x:f>IF(Master!E377="","",Master!E377)</x:f>
        <x:v>Yes</x:v>
      </x:c>
      <x:c r="E3" s="3" t="str">
        <x:f>IF(Master!F377="","",Master!F377)</x:f>
        <x:v>Yes</x:v>
      </x:c>
      <x:c r="F3" s="3" t="str">
        <x:f>IF(Master!G377="","",Master!G377)</x:f>
        <x:v>Yes</x:v>
      </x:c>
      <x:c r="G3" s="3" t="str">
        <x:f>IF(Master!H377="","",Master!H377)</x:f>
        <x:v>Yes</x:v>
      </x:c>
      <x:c r="H3" s="3" t="str">
        <x:f>IF(Master!I377="","",Master!I377)</x:f>
        <x:v>Yes</x:v>
      </x:c>
      <x:c r="I3" s="3" t="str">
        <x:f>IF(Master!J377="","",Master!J377)</x:f>
        <x:v>Yes</x:v>
      </x:c>
      <x:c r="J3" s="3" t="str">
        <x:f>IF(Master!K377="","",Master!K377)</x:f>
        <x:v>No web-first; native clients</x:v>
      </x:c>
      <x:c r="K3" s="3" t="str">
        <x:f>IF(Master!L377="","",Master!L377)</x:f>
        <x:v>Yes</x:v>
      </x:c>
      <x:c r="L3" s="3" t="str">
        <x:f>IF(Master!M377="","",Master!M377)</x:f>
        <x:v>Yes</x:v>
      </x:c>
      <x:c r="M3" s="3" t="str">
        <x:f>IF(Master!N377="","",Master!N377)</x:f>
        <x:v>Yes</x:v>
      </x:c>
      <x:c r="N3" s="3" t="str">
        <x:f>IF(Master!O377="","",Master!O377)</x:f>
        <x:v>Yes: depends on chosen client</x:v>
      </x:c>
      <x:c r="O3" s="3" t="str">
        <x:f>IF(Master!P377="","",Master!P377)</x:f>
        <x:v>Yes</x:v>
      </x:c>
      <x:c r="P3" s="3" t="str">
        <x:f>IF(Master!Q377="","",Master!Q377)</x:f>
        <x:v>Yes</x:v>
      </x:c>
      <x:c r="Q3" s="3" t="str">
        <x:f>IF(Master!R377="","",Master!R377)</x:f>
        <x:v>No official web client core</x:v>
      </x:c>
      <x:c r="R3" s="3" t="str">
        <x:f>IF(Master!S377="","",Master!S377)</x:f>
        <x:v>Yes</x:v>
      </x:c>
      <x:c r="S3" s="3" t="str">
        <x:f>IF(Master!T377="","",Master!T377)</x:f>
        <x:v>Yes</x:v>
      </x:c>
      <x:c r="T3" s="3" t="str">
        <x:f>IF(Master!U377="","",Master!U377)</x:f>
        <x:v>Yes: React/Vite</x:v>
      </x:c>
      <x:c r="U3" s="3" t="str">
        <x:f>IF(Master!V377="","",Master!V377)</x:f>
        <x:v>Yes</x:v>
      </x:c>
      <x:c r="V3" s="3" t="str">
        <x:f>IF(Master!W377="","",Master!W377)</x:f>
        <x:v>Yes</x:v>
      </x:c>
      <x:c r="W3" s="3" t="str">
        <x:f>IF(Master!X377="","",Master!X377)</x:f>
        <x:v>Yes</x:v>
      </x:c>
      <x:c r="X3" s="3" t="str">
        <x:f>IF(Master!Y377="","",Master!Y377)</x:f>
        <x:v>Yes/desktop service surface</x:v>
      </x:c>
      <x:c r="Y3" s="3" t="str">
        <x:f>IF(Master!Z377="","",Master!Z377)</x:f>
        <x:v>Spacebar client/web options</x:v>
      </x:c>
      <x:c r="Z3" s="3" t="str">
        <x:f>IF(Master!AA377="","",Master!AA377)</x:f>
        <x:v>Yes: Solid.js PWA</x:v>
      </x:c>
      <x:c r="AA3" s="6" t="str">
        <x:f>IF(Master!AB377="","",Master!AB377)</x:f>
        <x:v>Web support/product-generation dependent</x:v>
      </x:c>
      <x:c r="AB3" s="3" t="str">
        <x:f>IF(Master!AC377="","",Master!AC377)</x:f>
        <x:v>Yes</x:v>
      </x:c>
      <x:c r="AC3" s="3" t="str">
        <x:f>IF(Master!AD377="","",Master!AD377)</x:f>
      </x:c>
      <x:c r="AD3" s="3" t="str">
        <x:f>IF(Master!AE377="","",Master!AE377)</x:f>
        <x:v>Yes</x:v>
      </x:c>
      <x:c r="AE3" s="3" t="str">
        <x:f>IF(Master!AF377="","",Master!AF377)</x:f>
        <x:v>Yes</x:v>
      </x:c>
      <x:c r="AF3" s="8" t="str">
        <x:f>IF(Master!AG377="","",Master!AG377)</x:f>
        <x:v>Yes</x:v>
      </x:c>
    </x:row>
    <x:row r="4" ht="36" customHeight="1">
      <x:c r="A4" s="17" t="s">
        <x:v>632</x:v>
      </x:c>
      <x:c r="B4" s="3" t="str">
        <x:f>IF(Master!C378="","",Master!C378)</x:f>
        <x:v>Yes</x:v>
      </x:c>
      <x:c r="C4" s="3" t="str">
        <x:f>IF(Master!D378="","",Master!D378)</x:f>
      </x:c>
      <x:c r="D4" s="3" t="str">
        <x:f>IF(Master!E378="","",Master!E378)</x:f>
        <x:v>Yes</x:v>
      </x:c>
      <x:c r="E4" s="3" t="str">
        <x:f>IF(Master!F378="","",Master!F378)</x:f>
        <x:v>Yes</x:v>
      </x:c>
      <x:c r="F4" s="3" t="str">
        <x:f>IF(Master!G378="","",Master!G378)</x:f>
        <x:v>PWA/web-first</x:v>
      </x:c>
      <x:c r="G4" s="3" t="str">
        <x:f>IF(Master!H378="","",Master!H378)</x:f>
        <x:v>Yes</x:v>
      </x:c>
      <x:c r="H4" s="3" t="str">
        <x:f>IF(Master!I378="","",Master!I378)</x:f>
        <x:v>Yes</x:v>
      </x:c>
      <x:c r="I4" s="3" t="str">
        <x:f>IF(Master!J378="","",Master!J378)</x:f>
        <x:v>Yes: Tauri</x:v>
      </x:c>
      <x:c r="J4" s="3" t="str">
        <x:f>IF(Master!K378="","",Master!K378)</x:f>
        <x:v>Yes</x:v>
      </x:c>
      <x:c r="K4" s="3" t="str">
        <x:f>IF(Master!L378="","",Master!L378)</x:f>
        <x:v>Yes</x:v>
      </x:c>
      <x:c r="L4" s="3" t="str">
        <x:f>IF(Master!M378="","",Master!M378)</x:f>
      </x:c>
      <x:c r="M4" s="3" t="str">
        <x:f>IF(Master!N378="","",Master!N378)</x:f>
      </x:c>
      <x:c r="N4" s="3" t="str">
        <x:f>IF(Master!O378="","",Master!O378)</x:f>
        <x:v>Yes: depends on chosen client</x:v>
      </x:c>
      <x:c r="O4" s="3" t="str">
        <x:f>IF(Master!P378="","",Master!P378)</x:f>
        <x:v>Yes</x:v>
      </x:c>
      <x:c r="P4" s="3" t="str">
        <x:f>IF(Master!Q378="","",Master!Q378)</x:f>
        <x:v>Yes</x:v>
      </x:c>
      <x:c r="Q4" s="3" t="str">
        <x:f>IF(Master!R378="","",Master!R378)</x:f>
        <x:v>Yes</x:v>
      </x:c>
      <x:c r="R4" s="3" t="str">
        <x:f>IF(Master!S378="","",Master!S378)</x:f>
        <x:v>Yes</x:v>
      </x:c>
      <x:c r="S4" s="3" t="str">
        <x:f>IF(Master!T378="","",Master!T378)</x:f>
        <x:v>Yes</x:v>
      </x:c>
      <x:c r="T4" s="3" t="str">
        <x:f>IF(Master!U378="","",Master!U378)</x:f>
        <x:v>Yes: Electron</x:v>
      </x:c>
      <x:c r="U4" s="3" t="str">
        <x:f>IF(Master!V378="","",Master!V378)</x:f>
        <x:v>Yes - Windows, Mac &amp; Linux</x:v>
      </x:c>
      <x:c r="V4" s="3" t="str">
        <x:f>IF(Master!W378="","",Master!W378)</x:f>
        <x:v>Yes</x:v>
      </x:c>
      <x:c r="W4" s="3" t="str">
        <x:f>IF(Master!X378="","",Master!X378)</x:f>
      </x:c>
      <x:c r="X4" s="3" t="str">
        <x:f>IF(Master!Y378="","",Master!Y378)</x:f>
        <x:v>Yes</x:v>
      </x:c>
      <x:c r="Y4" s="3" t="str">
        <x:f>IF(Master!Z378="","",Master!Z378)</x:f>
        <x:v>Project client exists</x:v>
      </x:c>
      <x:c r="Z4" s="3" t="str">
        <x:f>IF(Master!AA378="","",Master!AA378)</x:f>
        <x:v>Yes: Electron wrapper</x:v>
      </x:c>
      <x:c r="AA4" s="6" t="str">
        <x:f>IF(Master!AB378="","",Master!AB378)</x:f>
        <x:v>Yes</x:v>
      </x:c>
      <x:c r="AB4" s="3" t="str">
        <x:f>IF(Master!AC378="","",Master!AC378)</x:f>
        <x:v>Yes: Windows</x:v>
      </x:c>
      <x:c r="AC4" s="3" t="str">
        <x:f>IF(Master!AD378="","",Master!AD378)</x:f>
        <x:v>Yes</x:v>
      </x:c>
      <x:c r="AD4" s="3" t="str">
        <x:f>IF(Master!AE378="","",Master!AE378)</x:f>
        <x:v>Yes</x:v>
      </x:c>
      <x:c r="AE4" s="3" t="str">
        <x:f>IF(Master!AF378="","",Master!AF378)</x:f>
      </x:c>
      <x:c r="AF4" s="8" t="str">
        <x:f>IF(Master!AG378="","",Master!AG378)</x:f>
        <x:v>Yes</x:v>
      </x:c>
    </x:row>
    <x:row r="5" ht="36" customHeight="1">
      <x:c r="A5" s="17" t="s">
        <x:v>633</x:v>
      </x:c>
      <x:c r="B5" s="3" t="str">
        <x:f>IF(Master!C379="","",Master!C379)</x:f>
        <x:v>Electron</x:v>
      </x:c>
      <x:c r="C5" s="3" t="str">
        <x:f>IF(Master!D379="","",Master!D379)</x:f>
      </x:c>
      <x:c r="D5" s="3" t="str">
        <x:f>IF(Master!E379="","",Master!E379)</x:f>
      </x:c>
      <x:c r="E5" s="3" t="str">
        <x:f>IF(Master!F379="","",Master!F379)</x:f>
      </x:c>
      <x:c r="F5" s="3" t="str">
        <x:f>IF(Master!G379="","",Master!G379)</x:f>
        <x:v>Next.js/TypeScript web stack</x:v>
      </x:c>
      <x:c r="G5" s="3" t="str">
        <x:f>IF(Master!H379="","",Master!H379)</x:f>
        <x:v>Electron</x:v>
      </x:c>
      <x:c r="H5" s="3" t="str">
        <x:f>IF(Master!I379="","",Master!I379)</x:f>
        <x:v>Wails v3 native desktop</x:v>
      </x:c>
      <x:c r="I5" s="3" t="str">
        <x:f>IF(Master!J379="","",Master!J379)</x:f>
        <x:v>Tauri</x:v>
      </x:c>
      <x:c r="J5" s="3" t="str">
        <x:f>IF(Master!K379="","",Master!K379)</x:f>
        <x:v>Flutter + Rust</x:v>
      </x:c>
      <x:c r="K5" s="3" t="str">
        <x:f>IF(Master!L379="","",Master!L379)</x:f>
        <x:v>Tauri + SvelteKit; Rust owns native audio/video/capture/device work</x:v>
      </x:c>
      <x:c r="L5" s="3" t="str">
        <x:f>IF(Master!M379="","",Master!M379)</x:f>
      </x:c>
      <x:c r="M5" s="3" t="str">
        <x:f>IF(Master!N379="","",Master!N379)</x:f>
      </x:c>
      <x:c r="N5" s="3" t="str">
        <x:f>IF(Master!O379="","",Master!O379)</x:f>
        <x:v>Varies: Electron/native/GTK/etc.</x:v>
      </x:c>
      <x:c r="O5" s="3" t="str">
        <x:f>IF(Master!P379="","",Master!P379)</x:f>
        <x:v>Electron</x:v>
      </x:c>
      <x:c r="P5" s="3" t="str">
        <x:f>IF(Master!Q379="","",Master!Q379)</x:f>
        <x:v>Rust native desktop</x:v>
      </x:c>
      <x:c r="Q5" s="3" t="str">
        <x:f>IF(Master!R379="","",Master!R379)</x:f>
        <x:v>Native Qt</x:v>
      </x:c>
      <x:c r="R5" s="3" t="str">
        <x:f>IF(Master!S379="","",Master!S379)</x:f>
        <x:v>Electron</x:v>
      </x:c>
      <x:c r="S5" s="3" t="str">
        <x:f>IF(Master!T379="","",Master!T379)</x:f>
      </x:c>
      <x:c r="T5" s="3" t="str">
        <x:f>IF(Master!U379="","",Master!U379)</x:f>
        <x:v>Electron</x:v>
      </x:c>
      <x:c r="U5" s="3" t="str">
        <x:f>IF(Master!V379="","",Master!V379)</x:f>
        <x:v>Rust</x:v>
      </x:c>
      <x:c r="V5" s="3" t="str">
        <x:f>IF(Master!W379="","",Master!W379)</x:f>
        <x:v>Electron</x:v>
      </x:c>
      <x:c r="W5" s="3" t="str">
        <x:f>IF(Master!X379="","",Master!X379)</x:f>
        <x:v>Web app</x:v>
      </x:c>
      <x:c r="X5" s="3" t="str">
        <x:f>IF(Master!Y379="","",Master!Y379)</x:f>
      </x:c>
      <x:c r="Y5" s="3" t="str">
        <x:f>IF(Master!Z379="","",Master!Z379)</x:f>
      </x:c>
      <x:c r="Z5" s="3" t="str">
        <x:f>IF(Master!AA379="","",Master!AA379)</x:f>
        <x:v>Electron + web stack</x:v>
      </x:c>
      <x:c r="AA5" s="6" t="str">
        <x:f>IF(Master!AB379="","",Master!AB379)</x:f>
        <x:v>Proprietary/native</x:v>
      </x:c>
      <x:c r="AB5" s="3" t="str">
        <x:f>IF(Master!AC379="","",Master!AC379)</x:f>
        <x:v>Blazor/WebAssembly + launcher</x:v>
      </x:c>
      <x:c r="AC5" s="3" t="str">
        <x:f>IF(Master!AD379="","",Master!AD379)</x:f>
      </x:c>
      <x:c r="AD5" s="3" t="str">
        <x:f>IF(Master!AE379="","",Master!AE379)</x:f>
        <x:v>Tauri</x:v>
      </x:c>
      <x:c r="AE5" s="3" t="str">
        <x:f>IF(Master!AF379="","",Master!AF379)</x:f>
        <x:v>Browser-first</x:v>
      </x:c>
      <x:c r="AF5" s="8" t="str">
        <x:f>IF(Master!AG379="","",Master!AG379)</x:f>
        <x:v>Electron</x:v>
      </x:c>
    </x:row>
    <x:row r="6" ht="36" customHeight="1">
      <x:c r="A6" s="17" t="s">
        <x:v>634</x:v>
      </x:c>
      <x:c r="B6" s="3" t="str">
        <x:f>IF(Master!C380="","",Master!C380)</x:f>
        <x:v>Yes: x64 and ARM64</x:v>
      </x:c>
      <x:c r="C6" s="3" t="str">
        <x:f>IF(Master!D380="","",Master!D380)</x:f>
        <x:v>Web</x:v>
      </x:c>
      <x:c r="D6" s="3" t="str">
        <x:f>IF(Master!E380="","",Master!E380)</x:f>
        <x:v>Yes</x:v>
      </x:c>
      <x:c r="E6" s="3" t="str">
        <x:f>IF(Master!F380="","",Master!F380)</x:f>
        <x:v>Yes</x:v>
      </x:c>
      <x:c r="F6" s="3" t="str">
        <x:f>IF(Master!G380="","",Master!G380)</x:f>
        <x:v>Yes via web/PWA</x:v>
      </x:c>
      <x:c r="G6" s="3" t="str">
        <x:f>IF(Master!H380="","",Master!H380)</x:f>
        <x:v>Yes</x:v>
      </x:c>
      <x:c r="H6" s="3" t="str">
        <x:f>IF(Master!I380="","",Master!I380)</x:f>
        <x:v>Yes</x:v>
      </x:c>
      <x:c r="I6" s="3" t="str">
        <x:f>IF(Master!J380="","",Master!J380)</x:f>
        <x:v>Web TS/HTML/CSS</x:v>
      </x:c>
      <x:c r="J6" s="3" t="str">
        <x:f>IF(Master!K380="","",Master!K380)</x:f>
        <x:v>Flutter/Rust native</x:v>
      </x:c>
      <x:c r="K6" s="3" t="str">
        <x:f>IF(Master!L380="","",Master!L380)</x:f>
        <x:v>Yes</x:v>
      </x:c>
      <x:c r="L6" s="3" t="str">
        <x:f>IF(Master!M380="","",Master!M380)</x:f>
      </x:c>
      <x:c r="M6" s="3" t="str">
        <x:f>IF(Master!N380="","",Master!N380)</x:f>
        <x:v>Web</x:v>
      </x:c>
      <x:c r="N6" s="3" t="str">
        <x:f>IF(Master!O380="","",Master!O380)</x:f>
        <x:v>Yes: many clients</x:v>
      </x:c>
      <x:c r="O6" s="3" t="str">
        <x:f>IF(Master!P380="","",Master!P380)</x:f>
        <x:v>Yes</x:v>
      </x:c>
      <x:c r="P6" s="3" t="str">
        <x:f>IF(Master!Q380="","",Master!Q380)</x:f>
        <x:v>Yes</x:v>
      </x:c>
      <x:c r="Q6" s="3" t="str">
        <x:f>IF(Master!R380="","",Master!R380)</x:f>
        <x:v>Yes</x:v>
      </x:c>
      <x:c r="R6" s="3" t="str">
        <x:f>IF(Master!S380="","",Master!S380)</x:f>
        <x:v>Yes</x:v>
      </x:c>
      <x:c r="S6" s="3" t="str">
        <x:f>IF(Master!T380="","",Master!T380)</x:f>
        <x:v>Yes</x:v>
      </x:c>
      <x:c r="T6" s="3" t="str">
        <x:f>IF(Master!U380="","",Master!U380)</x:f>
        <x:v>Yes</x:v>
      </x:c>
      <x:c r="U6" s="3" t="str">
        <x:f>IF(Master!V380="","",Master!V380)</x:f>
        <x:v>Yes</x:v>
      </x:c>
      <x:c r="V6" s="3" t="str">
        <x:f>IF(Master!W380="","",Master!W380)</x:f>
        <x:v>Yes</x:v>
      </x:c>
      <x:c r="W6" s="3" t="str">
        <x:f>IF(Master!X380="","",Master!X380)</x:f>
        <x:v>Web/TypeScript</x:v>
      </x:c>
      <x:c r="X6" s="3" t="str">
        <x:f>IF(Master!Y380="","",Master!Y380)</x:f>
        <x:v>Yes</x:v>
      </x:c>
      <x:c r="Y6" s="3" t="str">
        <x:f>IF(Master!Z380="","",Master!Z380)</x:f>
        <x:v>Client-dependent</x:v>
      </x:c>
      <x:c r="Z6" s="3" t="str">
        <x:f>IF(Master!AA380="","",Master!AA380)</x:f>
        <x:v>Yes</x:v>
      </x:c>
      <x:c r="AA6" s="6" t="str">
        <x:f>IF(Master!AB380="","",Master!AB380)</x:f>
        <x:v>Yes</x:v>
      </x:c>
      <x:c r="AB6" s="3" t="str">
        <x:f>IF(Master!AC380="","",Master!AC380)</x:f>
        <x:v>Blazor/WebAssembly; desktop launcher</x:v>
      </x:c>
      <x:c r="AC6" s="3" t="str">
        <x:f>IF(Master!AD380="","",Master!AD380)</x:f>
        <x:v>Yes</x:v>
      </x:c>
      <x:c r="AD6" s="3" t="str">
        <x:f>IF(Master!AE380="","",Master!AE380)</x:f>
        <x:v>Tauri</x:v>
      </x:c>
      <x:c r="AE6" s="3" t="str">
        <x:f>IF(Master!AF380="","",Master!AF380)</x:f>
        <x:v>Yes browser</x:v>
      </x:c>
      <x:c r="AF6" s="8" t="str">
        <x:f>IF(Master!AG380="","",Master!AG380)</x:f>
        <x:v>Yes</x:v>
      </x:c>
    </x:row>
    <x:row r="7" ht="36" customHeight="1">
      <x:c r="A7" s="17" t="s">
        <x:v>635</x:v>
      </x:c>
      <x:c r="B7" s="3" t="str">
        <x:f>IF(Master!C381="","",Master!C381)</x:f>
        <x:v>Yes</x:v>
      </x:c>
      <x:c r="C7" s="3" t="str">
        <x:f>IF(Master!D381="","",Master!D381)</x:f>
        <x:v>Web</x:v>
      </x:c>
      <x:c r="D7" s="3" t="str">
        <x:f>IF(Master!E381="","",Master!E381)</x:f>
        <x:v>Yes</x:v>
      </x:c>
      <x:c r="E7" s="3" t="str">
        <x:f>IF(Master!F381="","",Master!F381)</x:f>
        <x:v>Yes</x:v>
      </x:c>
      <x:c r="F7" s="3" t="str">
        <x:f>IF(Master!G381="","",Master!G381)</x:f>
        <x:v>Yes via web/PWA</x:v>
      </x:c>
      <x:c r="G7" s="3" t="str">
        <x:f>IF(Master!H381="","",Master!H381)</x:f>
        <x:v>Yes</x:v>
      </x:c>
      <x:c r="H7" s="3" t="str">
        <x:f>IF(Master!I381="","",Master!I381)</x:f>
        <x:v>Yes</x:v>
      </x:c>
      <x:c r="I7" s="3" t="str">
        <x:f>IF(Master!J381="","",Master!J381)</x:f>
        <x:v>Web</x:v>
      </x:c>
      <x:c r="J7" s="3" t="str">
        <x:f>IF(Master!K381="","",Master!K381)</x:f>
        <x:v>Yes</x:v>
      </x:c>
      <x:c r="K7" s="3" t="str">
        <x:f>IF(Master!L381="","",Master!L381)</x:f>
        <x:v>Yes</x:v>
      </x:c>
      <x:c r="L7" s="3" t="str">
        <x:f>IF(Master!M381="","",Master!M381)</x:f>
      </x:c>
      <x:c r="M7" s="3" t="str">
        <x:f>IF(Master!N381="","",Master!N381)</x:f>
        <x:v>Web</x:v>
      </x:c>
      <x:c r="N7" s="3" t="str">
        <x:f>IF(Master!O381="","",Master!O381)</x:f>
        <x:v>Yes: many clients</x:v>
      </x:c>
      <x:c r="O7" s="3" t="str">
        <x:f>IF(Master!P381="","",Master!P381)</x:f>
        <x:v>Yes</x:v>
      </x:c>
      <x:c r="P7" s="3" t="str">
        <x:f>IF(Master!Q381="","",Master!Q381)</x:f>
        <x:v>Yes</x:v>
      </x:c>
      <x:c r="Q7" s="3" t="str">
        <x:f>IF(Master!R381="","",Master!R381)</x:f>
        <x:v>Yes</x:v>
      </x:c>
      <x:c r="R7" s="3" t="str">
        <x:f>IF(Master!S381="","",Master!S381)</x:f>
        <x:v>Yes</x:v>
      </x:c>
      <x:c r="S7" s="3" t="str">
        <x:f>IF(Master!T381="","",Master!T381)</x:f>
        <x:v>Yes</x:v>
      </x:c>
      <x:c r="T7" s="3" t="str">
        <x:f>IF(Master!U381="","",Master!U381)</x:f>
        <x:v>Yes</x:v>
      </x:c>
      <x:c r="U7" s="3" t="str">
        <x:f>IF(Master!V381="","",Master!V381)</x:f>
        <x:v>Yes</x:v>
      </x:c>
      <x:c r="V7" s="3" t="str">
        <x:f>IF(Master!W381="","",Master!W381)</x:f>
        <x:v>Yes</x:v>
      </x:c>
      <x:c r="W7" s="3" t="str">
        <x:f>IF(Master!X381="","",Master!X381)</x:f>
        <x:v>Web</x:v>
      </x:c>
      <x:c r="X7" s="3" t="str">
        <x:f>IF(Master!Y381="","",Master!Y381)</x:f>
        <x:v>Yes</x:v>
      </x:c>
      <x:c r="Y7" s="3" t="str">
        <x:f>IF(Master!Z381="","",Master!Z381)</x:f>
        <x:v>Client-dependent</x:v>
      </x:c>
      <x:c r="Z7" s="3" t="str">
        <x:f>IF(Master!AA381="","",Master!AA381)</x:f>
        <x:v>Yes</x:v>
      </x:c>
      <x:c r="AA7" s="6" t="str">
        <x:f>IF(Master!AB381="","",Master!AB381)</x:f>
        <x:v>Yes</x:v>
      </x:c>
      <x:c r="AB7" s="3" t="str">
        <x:f>IF(Master!AC381="","",Master!AC381)</x:f>
        <x:v>Web</x:v>
      </x:c>
      <x:c r="AC7" s="3" t="str">
        <x:f>IF(Master!AD381="","",Master!AD381)</x:f>
        <x:v>Yes</x:v>
      </x:c>
      <x:c r="AD7" s="3" t="str">
        <x:f>IF(Master!AE381="","",Master!AE381)</x:f>
        <x:v>Yes</x:v>
      </x:c>
      <x:c r="AE7" s="3" t="str">
        <x:f>IF(Master!AF381="","",Master!AF381)</x:f>
        <x:v>Yes browser</x:v>
      </x:c>
      <x:c r="AF7" s="8" t="str">
        <x:f>IF(Master!AG381="","",Master!AG381)</x:f>
        <x:v>Yes</x:v>
      </x:c>
    </x:row>
    <x:row r="8" ht="36" customHeight="1">
      <x:c r="A8" s="17" t="s">
        <x:v>636</x:v>
      </x:c>
      <x:c r="B8" s="3" t="str">
        <x:f>IF(Master!C382="","",Master!C382)</x:f>
        <x:v>Yes</x:v>
      </x:c>
      <x:c r="C8" s="3" t="str">
        <x:f>IF(Master!D382="","",Master!D382)</x:f>
        <x:v>Web</x:v>
      </x:c>
      <x:c r="D8" s="3" t="str">
        <x:f>IF(Master!E382="","",Master!E382)</x:f>
        <x:v>Yes</x:v>
      </x:c>
      <x:c r="E8" s="3" t="str">
        <x:f>IF(Master!F382="","",Master!F382)</x:f>
        <x:v>Yes</x:v>
      </x:c>
      <x:c r="F8" s="3" t="str">
        <x:f>IF(Master!G382="","",Master!G382)</x:f>
        <x:v>Yes via web/PWA</x:v>
      </x:c>
      <x:c r="G8" s="3" t="str">
        <x:f>IF(Master!H382="","",Master!H382)</x:f>
        <x:v>Yes: deb/rpm/AppImage/tar.gz</x:v>
      </x:c>
      <x:c r="H8" s="3" t="str">
        <x:f>IF(Master!I382="","",Master!I382)</x:f>
        <x:v>Yes</x:v>
      </x:c>
      <x:c r="I8" s="3" t="str">
        <x:f>IF(Master!J382="","",Master!J382)</x:f>
        <x:v>Web</x:v>
      </x:c>
      <x:c r="J8" s="3" t="str">
        <x:f>IF(Master!K382="","",Master!K382)</x:f>
        <x:v>Yes</x:v>
      </x:c>
      <x:c r="K8" s="3" t="str">
        <x:f>IF(Master!L382="","",Master!L382)</x:f>
        <x:v>Yes</x:v>
      </x:c>
      <x:c r="L8" s="3" t="str">
        <x:f>IF(Master!M382="","",Master!M382)</x:f>
      </x:c>
      <x:c r="M8" s="3" t="str">
        <x:f>IF(Master!N382="","",Master!N382)</x:f>
        <x:v>Web</x:v>
      </x:c>
      <x:c r="N8" s="3" t="str">
        <x:f>IF(Master!O382="","",Master!O382)</x:f>
        <x:v>Yes: many clients</x:v>
      </x:c>
      <x:c r="O8" s="3" t="str">
        <x:f>IF(Master!P382="","",Master!P382)</x:f>
        <x:v>Yes</x:v>
      </x:c>
      <x:c r="P8" s="3" t="str">
        <x:f>IF(Master!Q382="","",Master!Q382)</x:f>
        <x:v>Yes</x:v>
      </x:c>
      <x:c r="Q8" s="3" t="str">
        <x:f>IF(Master!R382="","",Master!R382)</x:f>
        <x:v>Yes</x:v>
      </x:c>
      <x:c r="R8" s="3" t="str">
        <x:f>IF(Master!S382="","",Master!S382)</x:f>
        <x:v>Yes</x:v>
      </x:c>
      <x:c r="S8" s="3" t="str">
        <x:f>IF(Master!T382="","",Master!T382)</x:f>
        <x:v>Yes</x:v>
      </x:c>
      <x:c r="T8" s="3" t="str">
        <x:f>IF(Master!U382="","",Master!U382)</x:f>
        <x:v>Yes</x:v>
      </x:c>
      <x:c r="U8" s="3" t="str">
        <x:f>IF(Master!V382="","",Master!V382)</x:f>
        <x:v>Yes: AppImage, .deb, and .rpm</x:v>
      </x:c>
      <x:c r="V8" s="3" t="str">
        <x:f>IF(Master!W382="","",Master!W382)</x:f>
        <x:v>Yes</x:v>
      </x:c>
      <x:c r="W8" s="3" t="str">
        <x:f>IF(Master!X382="","",Master!X382)</x:f>
        <x:v>Web</x:v>
      </x:c>
      <x:c r="X8" s="3" t="str">
        <x:f>IF(Master!Y382="","",Master!Y382)</x:f>
      </x:c>
      <x:c r="Y8" s="3" t="str">
        <x:f>IF(Master!Z382="","",Master!Z382)</x:f>
        <x:v>Client-dependent</x:v>
      </x:c>
      <x:c r="Z8" s="3" t="str">
        <x:f>IF(Master!AA382="","",Master!AA382)</x:f>
        <x:v>Yes</x:v>
      </x:c>
      <x:c r="AA8" s="6" t="str">
        <x:f>IF(Master!AB382="","",Master!AB382)</x:f>
        <x:v>Yes</x:v>
      </x:c>
      <x:c r="AB8" s="3" t="str">
        <x:f>IF(Master!AC382="","",Master!AC382)</x:f>
        <x:v>Web</x:v>
      </x:c>
      <x:c r="AC8" s="3" t="str">
        <x:f>IF(Master!AD382="","",Master!AD382)</x:f>
        <x:v>Linux experimental</x:v>
      </x:c>
      <x:c r="AD8" s="3" t="str">
        <x:f>IF(Master!AE382="","",Master!AE382)</x:f>
        <x:v>Yes</x:v>
      </x:c>
      <x:c r="AE8" s="3" t="str">
        <x:f>IF(Master!AF382="","",Master!AF382)</x:f>
        <x:v>Yes browser</x:v>
      </x:c>
      <x:c r="AF8" s="8" t="str">
        <x:f>IF(Master!AG382="","",Master!AG382)</x:f>
        <x:v>Yes</x:v>
      </x:c>
    </x:row>
    <x:row r="9" ht="36" customHeight="1">
      <x:c r="A9" s="17" t="s">
        <x:v>637</x:v>
      </x:c>
      <x:c r="B9" s="3" t="str">
        <x:f>IF(Master!C383="","",Master!C383)</x:f>
        <x:v>Yes: Play Store</x:v>
      </x:c>
      <x:c r="C9" s="3" t="str">
        <x:f>IF(Master!D383="","",Master!D383)</x:f>
        <x:v>Yes</x:v>
      </x:c>
      <x:c r="D9" s="3" t="str">
        <x:f>IF(Master!E383="","",Master!E383)</x:f>
        <x:v>Android</x:v>
      </x:c>
      <x:c r="E9" s="3" t="str">
        <x:f>IF(Master!F383="","",Master!F383)</x:f>
        <x:v>Android APK</x:v>
      </x:c>
      <x:c r="F9" s="3" t="str">
        <x:f>IF(Master!G383="","",Master!G383)</x:f>
      </x:c>
      <x:c r="G9" s="3" t="str">
        <x:f>IF(Master!H383="","",Master!H383)</x:f>
        <x:v>Native Flutter beta + PWA</x:v>
      </x:c>
      <x:c r="H9" s="3" t="str">
        <x:f>IF(Master!I383="","",Master!I383)</x:f>
        <x:v>Yes</x:v>
      </x:c>
      <x:c r="I9" s="3" t="str">
        <x:f>IF(Master!J383="","",Master!J383)</x:f>
        <x:v>In development</x:v>
      </x:c>
      <x:c r="J9" s="3" t="str">
        <x:f>IF(Master!K383="","",Master!K383)</x:f>
        <x:v>Mobile port usable</x:v>
      </x:c>
      <x:c r="K9" s="3" t="str">
        <x:f>IF(Master!L383="","",Master!L383)</x:f>
        <x:v>Yes</x:v>
      </x:c>
      <x:c r="L9" s="3" t="str">
        <x:f>IF(Master!M383="","",Master!M383)</x:f>
      </x:c>
      <x:c r="M9" s="3" t="str">
        <x:f>IF(Master!N383="","",Master!N383)</x:f>
        <x:v>Planned</x:v>
      </x:c>
      <x:c r="N9" s="3" t="str">
        <x:f>IF(Master!O383="","",Master!O383)</x:f>
        <x:v>Yes: many clients</x:v>
      </x:c>
      <x:c r="O9" s="3" t="str">
        <x:f>IF(Master!P383="","",Master!P383)</x:f>
        <x:v>Yes</x:v>
      </x:c>
      <x:c r="P9" s="3" t="str">
        <x:f>IF(Master!Q383="","",Master!Q383)</x:f>
        <x:v>Native</x:v>
      </x:c>
      <x:c r="Q9" s="3" t="str">
        <x:f>IF(Master!R383="","",Master!R383)</x:f>
        <x:v>Third-party clients</x:v>
      </x:c>
      <x:c r="R9" s="3" t="str">
        <x:f>IF(Master!S383="","",Master!S383)</x:f>
        <x:v>Android APK</x:v>
      </x:c>
      <x:c r="S9" s="3" t="str">
        <x:f>IF(Master!T383="","",Master!T383)</x:f>
        <x:v>Google Play</x:v>
      </x:c>
      <x:c r="T9" s="3" t="str">
        <x:f>IF(Master!U383="","",Master!U383)</x:f>
        <x:v>Native Android APK beta: https://pqp.gg/android</x:v>
      </x:c>
      <x:c r="U9" s="3" t="str">
        <x:f>IF(Master!V383="","",Master!V383)</x:f>
        <x:v>Yes - Available on playstore</x:v>
      </x:c>
      <x:c r="V9" s="3" t="str">
        <x:f>IF(Master!W383="","",Master!W383)</x:f>
        <x:v>Yes</x:v>
      </x:c>
      <x:c r="W9" s="3" t="str">
        <x:f>IF(Master!X383="","",Master!X383)</x:f>
        <x:v>Web</x:v>
      </x:c>
      <x:c r="X9" s="3" t="str">
        <x:f>IF(Master!Y383="","",Master!Y383)</x:f>
        <x:v>Yes: Google Play</x:v>
      </x:c>
      <x:c r="Y9" s="3" t="str">
        <x:f>IF(Master!Z383="","",Master!Z383)</x:f>
        <x:v>Client-dependent</x:v>
      </x:c>
      <x:c r="Z9" s="3" t="str">
        <x:f>IF(Master!AA383="","",Master!AA383)</x:f>
        <x:v>Native Android</x:v>
      </x:c>
      <x:c r="AA9" s="6" t="str">
        <x:f>IF(Master!AB383="","",Master!AB383)</x:f>
        <x:v>Yes</x:v>
      </x:c>
      <x:c r="AB9" s="3" t="str">
        <x:f>IF(Master!AC383="","",Master!AC383)</x:f>
        <x:v>Android APK</x:v>
      </x:c>
      <x:c r="AC9" s="3" t="str">
        <x:f>IF(Master!AD383="","",Master!AD383)</x:f>
      </x:c>
      <x:c r="AD9" s="3" t="str">
        <x:f>IF(Master!AE383="","",Master!AE383)</x:f>
        <x:v>In development</x:v>
      </x:c>
      <x:c r="AE9" s="3" t="str">
        <x:f>IF(Master!AF383="","",Master!AF383)</x:f>
        <x:v>Browser</x:v>
      </x:c>
      <x:c r="AF9" s="8" t="str">
        <x:f>IF(Master!AG383="","",Master!AG383)</x:f>
        <x:v>Yes</x:v>
      </x:c>
    </x:row>
    <x:row r="10" ht="36" customHeight="1">
      <x:c r="A10" s="17" t="s">
        <x:v>638</x:v>
      </x:c>
      <x:c r="B10" s="3" t="str">
        <x:f>IF(Master!C384="","",Master!C384)</x:f>
        <x:v>Yes: App Store</x:v>
      </x:c>
      <x:c r="C10" s="3" t="str">
        <x:f>IF(Master!D384="","",Master!D384)</x:f>
        <x:v>Web works; native iOS not yet</x:v>
      </x:c>
      <x:c r="D10" s="3" t="str">
        <x:f>IF(Master!E384="","",Master!E384)</x:f>
      </x:c>
      <x:c r="E10" s="3" t="str">
        <x:f>IF(Master!F384="","",Master!F384)</x:f>
        <x:v>App Store</x:v>
      </x:c>
      <x:c r="F10" s="3" t="str">
        <x:f>IF(Master!G384="","",Master!G384)</x:f>
      </x:c>
      <x:c r="G10" s="3" t="str">
        <x:f>IF(Master!H384="","",Master!H384)</x:f>
        <x:v>TestFlight beta + PWA</x:v>
      </x:c>
      <x:c r="H10" s="3" t="str">
        <x:f>IF(Master!I384="","",Master!I384)</x:f>
        <x:v>Yes</x:v>
      </x:c>
      <x:c r="I10" s="3" t="str">
        <x:f>IF(Master!J384="","",Master!J384)</x:f>
        <x:v>In development</x:v>
      </x:c>
      <x:c r="J10" s="3" t="str">
        <x:f>IF(Master!K384="","",Master!K384)</x:f>
        <x:v>TestFlight planned</x:v>
      </x:c>
      <x:c r="K10" s="3" t="str">
        <x:f>IF(Master!L384="","",Master!L384)</x:f>
        <x:v>Yes</x:v>
      </x:c>
      <x:c r="L10" s="3" t="str">
        <x:f>IF(Master!M384="","",Master!M384)</x:f>
      </x:c>
      <x:c r="M10" s="3" t="str">
        <x:f>IF(Master!N384="","",Master!N384)</x:f>
        <x:v>Planned</x:v>
      </x:c>
      <x:c r="N10" s="3" t="str">
        <x:f>IF(Master!O384="","",Master!O384)</x:f>
        <x:v>Yes: many clients</x:v>
      </x:c>
      <x:c r="O10" s="3" t="str">
        <x:f>IF(Master!P384="","",Master!P384)</x:f>
        <x:v>Yes</x:v>
      </x:c>
      <x:c r="P10" s="3" t="str">
        <x:f>IF(Master!Q384="","",Master!Q384)</x:f>
        <x:v>Native</x:v>
      </x:c>
      <x:c r="Q10" s="3" t="str">
        <x:f>IF(Master!R384="","",Master!R384)</x:f>
        <x:v>Third-party clients</x:v>
      </x:c>
      <x:c r="R10" s="3" t="str">
        <x:f>IF(Master!S384="","",Master!S384)</x:f>
        <x:v>No official iOS app</x:v>
      </x:c>
      <x:c r="S10" s="3" t="str">
        <x:f>IF(Master!T384="","",Master!T384)</x:f>
        <x:v>App Store</x:v>
      </x:c>
      <x:c r="T10" s="3" t="str">
        <x:f>IF(Master!U384="","",Master!U384)</x:f>
        <x:v>Native iOS TestFlight: https://pqp.gg/beta</x:v>
      </x:c>
      <x:c r="U10" s="3" t="str">
        <x:f>IF(Master!V384="","",Master!V384)</x:f>
        <x:v>Testflight Beta - Awaitaing Appstore approval</x:v>
      </x:c>
      <x:c r="V10" s="3" t="str">
        <x:f>IF(Master!W384="","",Master!W384)</x:f>
        <x:v>Yes</x:v>
      </x:c>
      <x:c r="W10" s="3" t="str">
        <x:f>IF(Master!X384="","",Master!X384)</x:f>
        <x:v>Web</x:v>
      </x:c>
      <x:c r="X10" s="3" t="str">
        <x:f>IF(Master!Y384="","",Master!Y384)</x:f>
        <x:v>Yes: App Store</x:v>
      </x:c>
      <x:c r="Y10" s="3" t="str">
        <x:f>IF(Master!Z384="","",Master!Z384)</x:f>
        <x:v>Client-dependent</x:v>
      </x:c>
      <x:c r="Z10" s="3" t="str">
        <x:f>IF(Master!AA384="","",Master!AA384)</x:f>
        <x:v>Yes</x:v>
      </x:c>
      <x:c r="AA10" s="6" t="str">
        <x:f>IF(Master!AB384="","",Master!AB384)</x:f>
        <x:v>Yes</x:v>
      </x:c>
      <x:c r="AB10" s="3" t="str">
        <x:f>IF(Master!AC384="","",Master!AC384)</x:f>
      </x:c>
      <x:c r="AC10" s="3" t="str">
        <x:f>IF(Master!AD384="","",Master!AD384)</x:f>
      </x:c>
      <x:c r="AD10" s="3" t="str">
        <x:f>IF(Master!AE384="","",Master!AE384)</x:f>
        <x:v>In development</x:v>
      </x:c>
      <x:c r="AE10" s="3" t="str">
        <x:f>IF(Master!AF384="","",Master!AF384)</x:f>
        <x:v>Browser</x:v>
      </x:c>
      <x:c r="AF10" s="8" t="str">
        <x:f>IF(Master!AG384="","",Master!AG384)</x:f>
        <x:v>Yes</x:v>
      </x:c>
    </x:row>
    <x:row r="11" ht="36" customHeight="1">
      <x:c r="A11" s="17" t="s">
        <x:v>639</x:v>
      </x:c>
      <x:c r="B11" s="3" t="str">
        <x:f>IF(Master!C385="","",Master!C385)</x:f>
        <x:v>Web app; installability varies</x:v>
      </x:c>
      <x:c r="C11" s="3" t="str">
        <x:f>IF(Master!D385="","",Master!D385)</x:f>
      </x:c>
      <x:c r="D11" s="3" t="str">
        <x:f>IF(Master!E385="","",Master!E385)</x:f>
        <x:v>Yes</x:v>
      </x:c>
      <x:c r="E11" s="3" t="str">
        <x:f>IF(Master!F385="","",Master!F385)</x:f>
        <x:v>Yes</x:v>
      </x:c>
      <x:c r="F11" s="3" t="str">
        <x:f>IF(Master!G385="","",Master!G385)</x:f>
        <x:v>Yes</x:v>
      </x:c>
      <x:c r="G11" s="3" t="str">
        <x:f>IF(Master!H385="","",Master!H385)</x:f>
        <x:v>Yes</x:v>
      </x:c>
      <x:c r="H11" s="3" t="str">
        <x:f>IF(Master!I385="","",Master!I385)</x:f>
        <x:v>Yes/web</x:v>
      </x:c>
      <x:c r="I11" s="3" t="str">
        <x:f>IF(Master!J385="","",Master!J385)</x:f>
        <x:v>Yes</x:v>
      </x:c>
      <x:c r="J11" s="3" t="str">
        <x:f>IF(Master!K385="","",Master!K385)</x:f>
        <x:v>No</x:v>
      </x:c>
      <x:c r="K11" s="3" t="str">
        <x:f>IF(Master!L385="","",Master!L385)</x:f>
        <x:v>Yes</x:v>
      </x:c>
      <x:c r="L11" s="3" t="str">
        <x:f>IF(Master!M385="","",Master!M385)</x:f>
        <x:v>Yes</x:v>
      </x:c>
      <x:c r="M11" s="3" t="str">
        <x:f>IF(Master!N385="","",Master!N385)</x:f>
        <x:v>Yes</x:v>
      </x:c>
      <x:c r="N11" s="3" t="str">
        <x:f>IF(Master!O385="","",Master!O385)</x:f>
        <x:v>Many clients have PWAs</x:v>
      </x:c>
      <x:c r="O11" s="3" t="str">
        <x:f>IF(Master!P385="","",Master!P385)</x:f>
        <x:v>Yes/web</x:v>
      </x:c>
      <x:c r="P11" s="3" t="str">
        <x:f>IF(Master!Q385="","",Master!Q385)</x:f>
        <x:v>Yes</x:v>
      </x:c>
      <x:c r="Q11" s="3" t="str">
        <x:f>IF(Master!R385="","",Master!R385)</x:f>
        <x:v>No</x:v>
      </x:c>
      <x:c r="R11" s="3" t="str">
        <x:f>IF(Master!S385="","",Master!S385)</x:f>
        <x:v>Web app</x:v>
      </x:c>
      <x:c r="S11" s="3" t="str">
        <x:f>IF(Master!T385="","",Master!T385)</x:f>
        <x:v>Yes</x:v>
      </x:c>
      <x:c r="T11" s="3" t="str">
        <x:f>IF(Master!U385="","",Master!U385)</x:f>
        <x:v>Yes</x:v>
      </x:c>
      <x:c r="U11" s="3" t="str">
        <x:f>IF(Master!V385="","",Master!V385)</x:f>
        <x:v>Yes</x:v>
      </x:c>
      <x:c r="V11" s="3" t="str">
        <x:f>IF(Master!W385="","",Master!W385)</x:f>
        <x:v>Yes</x:v>
      </x:c>
      <x:c r="W11" s="3" t="str">
        <x:f>IF(Master!X385="","",Master!X385)</x:f>
        <x:v>Yes</x:v>
      </x:c>
      <x:c r="X11" s="3" t="str">
        <x:f>IF(Master!Y385="","",Master!Y385)</x:f>
      </x:c>
      <x:c r="Y11" s="3" t="str">
        <x:f>IF(Master!Z385="","",Master!Z385)</x:f>
      </x:c>
      <x:c r="Z11" s="3" t="str">
        <x:f>IF(Master!AA385="","",Master!AA385)</x:f>
        <x:v>Yes</x:v>
      </x:c>
      <x:c r="AA11" s="6" t="str">
        <x:f>IF(Master!AB385="","",Master!AB385)</x:f>
      </x:c>
      <x:c r="AB11" s="3" t="str">
        <x:f>IF(Master!AC385="","",Master!AC385)</x:f>
        <x:v>Yes</x:v>
      </x:c>
      <x:c r="AC11" s="3" t="str">
        <x:f>IF(Master!AD385="","",Master!AD385)</x:f>
      </x:c>
      <x:c r="AD11" s="3" t="str">
        <x:f>IF(Master!AE385="","",Master!AE385)</x:f>
        <x:v>Yes</x:v>
      </x:c>
      <x:c r="AE11" s="3" t="str">
        <x:f>IF(Master!AF385="","",Master!AF385)</x:f>
        <x:v>Yes</x:v>
      </x:c>
      <x:c r="AF11" s="8" t="str">
        <x:f>IF(Master!AG385="","",Master!AG385)</x:f>
        <x:v>Yes</x:v>
      </x:c>
    </x:row>
    <x:row r="12" ht="36" customHeight="1">
      <x:c r="A12" s="17" t="s">
        <x:v>640</x:v>
      </x:c>
      <x:c r="B12" s="3" t="str">
        <x:f>IF(Master!C386="","",Master!C386)</x:f>
        <x:v>High</x:v>
      </x:c>
      <x:c r="C12" s="3" t="str">
        <x:f>IF(Master!D386="","",Master!D386)</x:f>
        <x:v>Early</x:v>
      </x:c>
      <x:c r="D12" s="3" t="str">
        <x:f>IF(Master!E386="","",Master!E386)</x:f>
        <x:v>High</x:v>
      </x:c>
      <x:c r="E12" s="3" t="str">
        <x:f>IF(Master!F386="","",Master!F386)</x:f>
        <x:v>High</x:v>
      </x:c>
      <x:c r="F12" s="3" t="str">
        <x:f>IF(Master!G386="","",Master!G386)</x:f>
        <x:v>Alpha</x:v>
      </x:c>
      <x:c r="G12" s="3" t="str">
        <x:f>IF(Master!H386="","",Master!H386)</x:f>
        <x:v>Partial: web has more features</x:v>
      </x:c>
      <x:c r="H12" s="3" t="str">
        <x:f>IF(Master!I386="","",Master!I386)</x:f>
        <x:v>High</x:v>
      </x:c>
      <x:c r="I12" s="3" t="str">
        <x:f>IF(Master!J386="","",Master!J386)</x:f>
        <x:v>Not yet: mobile apps are in development</x:v>
      </x:c>
      <x:c r="J12" s="3" t="str">
        <x:f>IF(Master!K386="","",Master!K386)</x:f>
        <x:v>Growing</x:v>
      </x:c>
      <x:c r="K12" s="3" t="str">
        <x:f>IF(Master!L386="","",Master!L386)</x:f>
        <x:v>High: Flutter mobile has full chat/guild administration plus native voice/video/screen share</x:v>
      </x:c>
      <x:c r="L12" s="3" t="str">
        <x:f>IF(Master!M386="","",Master!M386)</x:f>
      </x:c>
      <x:c r="M12" s="3" t="str">
        <x:f>IF(Master!N386="","",Master!N386)</x:f>
        <x:v>Partial</x:v>
      </x:c>
      <x:c r="N12" s="3" t="str">
        <x:f>IF(Master!O386="","",Master!O386)</x:f>
        <x:v>Varies widely</x:v>
      </x:c>
      <x:c r="O12" s="3" t="str">
        <x:f>IF(Master!P386="","",Master!P386)</x:f>
        <x:v>High</x:v>
      </x:c>
      <x:c r="P12" s="3" t="str">
        <x:f>IF(Master!Q386="","",Master!Q386)</x:f>
        <x:v>High</x:v>
      </x:c>
      <x:c r="Q12" s="3" t="str">
        <x:f>IF(Master!R386="","",Master!R386)</x:f>
        <x:v>No</x:v>
      </x:c>
      <x:c r="R12" s="3" t="str">
        <x:f>IF(Master!S386="","",Master!S386)</x:f>
        <x:v>Partial</x:v>
      </x:c>
      <x:c r="S12" s="3" t="str">
        <x:f>IF(Master!T386="","",Master!T386)</x:f>
        <x:v>High</x:v>
      </x:c>
      <x:c r="T12" s="3" t="str">
        <x:f>IF(Master!U386="","",Master!U386)</x:f>
        <x:v>Partial beta: iOS TestFlight and Android APK; Android currently lacks push, camera, and large-room screen-share sending</x:v>
      </x:c>
      <x:c r="U12" s="3" t="str">
        <x:f>IF(Master!V386="","",Master!V386)</x:f>
        <x:v>High</x:v>
      </x:c>
      <x:c r="V12" s="3" t="str">
        <x:f>IF(Master!W386="","",Master!W386)</x:f>
        <x:v>High</x:v>
      </x:c>
      <x:c r="W12" s="3" t="str">
        <x:f>IF(Master!X386="","",Master!X386)</x:f>
        <x:v>Early</x:v>
      </x:c>
      <x:c r="X12" s="3" t="str">
        <x:f>IF(Master!Y386="","",Master!Y386)</x:f>
        <x:v>Partial</x:v>
      </x:c>
      <x:c r="Y12" s="3" t="str">
        <x:f>IF(Master!Z386="","",Master!Z386)</x:f>
      </x:c>
      <x:c r="Z12" s="3" t="str">
        <x:f>IF(Master!AA386="","",Master!AA386)</x:f>
        <x:v>Partial</x:v>
      </x:c>
      <x:c r="AA12" s="6" t="str">
        <x:f>IF(Master!AB386="","",Master!AB386)</x:f>
        <x:v>Partial</x:v>
      </x:c>
      <x:c r="AB12" s="3" t="str">
        <x:f>IF(Master!AC386="","",Master!AC386)</x:f>
        <x:v>Partial</x:v>
      </x:c>
      <x:c r="AC12" s="3" t="str">
        <x:f>IF(Master!AD386="","",Master!AD386)</x:f>
        <x:v>Early</x:v>
      </x:c>
      <x:c r="AD12" s="3" t="str">
        <x:f>IF(Master!AE386="","",Master!AE386)</x:f>
        <x:v>Partial</x:v>
      </x:c>
      <x:c r="AE12" s="3" t="str">
        <x:f>IF(Master!AF386="","",Master!AF386)</x:f>
        <x:v>Partial</x:v>
      </x:c>
      <x:c r="AF12" s="8" t="str">
        <x:f>IF(Master!AG386="","",Master!AG386)</x:f>
        <x:v>High</x:v>
      </x:c>
    </x:row>
    <x:row r="13" ht="36" customHeight="1">
      <x:c r="A13" s="17" t="s">
        <x:v>641</x:v>
      </x:c>
      <x:c r="B13" s="3" t="str">
        <x:f>IF(Master!C387="","",Master!C387)</x:f>
        <x:v>N/A: central service</x:v>
      </x:c>
      <x:c r="C13" s="3" t="str">
        <x:f>IF(Master!D387="","",Master!D387)</x:f>
        <x:v>Relays are configurable</x:v>
      </x:c>
      <x:c r="D13" s="3" t="str">
        <x:f>IF(Master!E387="","",Master!E387)</x:f>
        <x:v>Yes</x:v>
      </x:c>
      <x:c r="E13" s="3" t="str">
        <x:f>IF(Master!F387="","",Master!F387)</x:f>
        <x:v>No</x:v>
      </x:c>
      <x:c r="F13" s="3" t="str">
        <x:f>IF(Master!G387="","",Master!G387)</x:f>
        <x:v>No: hosted only</x:v>
      </x:c>
      <x:c r="G13" s="3" t="str">
        <x:f>IF(Master!H387="","",Master!H387)</x:f>
        <x:v>Self-host support exists; client custom-instance UX still maturing</x:v>
      </x:c>
      <x:c r="H13" s="3" t="str">
        <x:f>IF(Master!I387="","",Master!I387)</x:f>
        <x:v>Self-host connection supported</x:v>
      </x:c>
      <x:c r="I13" s="3" t="str">
        <x:f>IF(Master!J387="","",Master!J387)</x:f>
        <x:v>Yes: Fermi instance picker</x:v>
      </x:c>
      <x:c r="J13" s="3" t="str">
        <x:f>IF(Master!K387="","",Master!K387)</x:f>
        <x:v>Yes: relay selection/self-host</x:v>
      </x:c>
      <x:c r="K13" s="3" t="str">
        <x:f>IF(Master!L387="","",Master!L387)</x:f>
        <x:v>Yes: official clients can sign in to any compatible Kaede home</x:v>
      </x:c>
      <x:c r="L13" s="3" t="str">
        <x:f>IF(Master!M387="","",Master!M387)</x:f>
        <x:v>No</x:v>
      </x:c>
      <x:c r="M13" s="3" t="str">
        <x:f>IF(Master!N387="","",Master!N387)</x:f>
        <x:v>Self-host/federated connection planned</x:v>
      </x:c>
      <x:c r="N13" s="3" t="str">
        <x:f>IF(Master!O387="","",Master!O387)</x:f>
        <x:v>Yes: core client discovery behavior</x:v>
      </x:c>
      <x:c r="O13" s="3" t="str">
        <x:f>IF(Master!P387="","",Master!P387)</x:f>
        <x:v>Yes: server URL</x:v>
      </x:c>
      <x:c r="P13" s="3" t="str">
        <x:f>IF(Master!Q387="","",Master!Q387)</x:f>
      </x:c>
      <x:c r="Q13" s="3" t="str">
        <x:f>IF(Master!R387="","",Master!R387)</x:f>
        <x:v>Yes: choose any server</x:v>
      </x:c>
      <x:c r="R13" s="3" t="str">
        <x:f>IF(Master!S387="","",Master!S387)</x:f>
        <x:v>Technically possible but unsupported</x:v>
      </x:c>
      <x:c r="S13" s="3" t="str">
        <x:f>IF(Master!T387="","",Master!T387)</x:f>
        <x:v>No</x:v>
      </x:c>
      <x:c r="T13" s="3" t="str">
        <x:f>IF(Master!U387="","",Master!U387)</x:f>
        <x:v>Self-host supported</x:v>
      </x:c>
      <x:c r="U13" s="3" t="str">
        <x:f>IF(Master!V387="","",Master!V387)</x:f>
        <x:v>No</x:v>
      </x:c>
      <x:c r="V13" s="3" t="str">
        <x:f>IF(Master!W387="","",Master!W387)</x:f>
        <x:v>Yes: workspace/server URL</x:v>
      </x:c>
      <x:c r="W13" s="3" t="str">
        <x:f>IF(Master!X387="","",Master!X387)</x:f>
        <x:v>ATProto identity/provider based</x:v>
      </x:c>
      <x:c r="X13" s="3" t="str">
        <x:f>IF(Master!Y387="","",Master!Y387)</x:f>
        <x:v>No</x:v>
      </x:c>
      <x:c r="Y13" s="3" t="str">
        <x:f>IF(Master!Z387="","",Master!Z387)</x:f>
        <x:v>Yes by design</x:v>
      </x:c>
      <x:c r="Z13" s="3" t="str">
        <x:f>IF(Master!AA387="","",Master!AA387)</x:f>
        <x:v>Web client works well with self-host; most official clients currently do not</x:v>
      </x:c>
      <x:c r="AA13" s="6" t="str">
        <x:f>IF(Master!AB387="","",Master!AB387)</x:f>
        <x:v>Yes: choose any server</x:v>
      </x:c>
      <x:c r="AB13" s="3" t="str">
        <x:f>IF(Master!AC387="","",Master!AC387)</x:f>
        <x:v>Yes: self-host instances</x:v>
      </x:c>
      <x:c r="AC13" s="3" t="str">
        <x:f>IF(Master!AD387="","",Master!AD387)</x:f>
        <x:v>Future custom instance/federation support</x:v>
      </x:c>
      <x:c r="AD13" s="3" t="str">
        <x:f>IF(Master!AE387="","",Master!AE387)</x:f>
        <x:v>No</x:v>
      </x:c>
      <x:c r="AE13" s="3" t="str">
        <x:f>IF(Master!AF387="","",Master!AF387)</x:f>
        <x:v>Yes: chosen server</x:v>
      </x:c>
      <x:c r="AF13" s="8" t="str">
        <x:f>IF(Master!AG387="","",Master!AG387)</x:f>
        <x:v>Yes: custom Zulip server URL</x:v>
      </x:c>
    </x:row>
    <x:row r="14" ht="36" customHeight="1">
      <x:c r="A14" s="17" t="s">
        <x:v>642</x:v>
      </x:c>
      <x:c r="B14" s="3" t="str">
        <x:f>IF(Master!C388="","",Master!C388)</x:f>
        <x:v>No supported third-party clients</x:v>
      </x:c>
      <x:c r="C14" s="3" t="str">
        <x:f>IF(Master!D388="","",Master!D388)</x:f>
        <x:v>Other clients can use Nostr but not necessarily Armada features</x:v>
      </x:c>
      <x:c r="D14" s="3" t="str">
        <x:f>IF(Master!E388="","",Master!E388)</x:f>
        <x:v>Open source/custom possible</x:v>
      </x:c>
      <x:c r="E14" s="3" t="str">
        <x:f>IF(Master!F388="","",Master!F388)</x:f>
        <x:v>No</x:v>
      </x:c>
      <x:c r="F14" s="3" t="str">
        <x:f>IF(Master!G388="","",Master!G388)</x:f>
        <x:v>No established ecosystem</x:v>
      </x:c>
      <x:c r="G14" s="3" t="str">
        <x:f>IF(Master!H388="","",Master!H388)</x:f>
      </x:c>
      <x:c r="H14" s="3" t="str">
        <x:f>IF(Master!I388="","",Master!I388)</x:f>
        <x:v>No established third-party clients</x:v>
      </x:c>
      <x:c r="I14" s="3" t="str">
        <x:f>IF(Master!J388="","",Master!J388)</x:f>
        <x:v>Yes: API permits independent clients</x:v>
      </x:c>
      <x:c r="J14" s="3" t="str">
        <x:f>IF(Master!K388="","",Master!K388)</x:f>
        <x:v>No mature third-party client ecosystem</x:v>
      </x:c>
      <x:c r="K14" s="3" t="str">
        <x:f>IF(Master!L388="","",Master!L388)</x:f>
        <x:v>No established third-party client ecosystem yet</x:v>
      </x:c>
      <x:c r="L14" s="3" t="str">
        <x:f>IF(Master!M388="","",Master!M388)</x:f>
        <x:v>No</x:v>
      </x:c>
      <x:c r="M14" s="3" t="str">
        <x:f>IF(Master!N388="","",Master!N388)</x:f>
      </x:c>
      <x:c r="N14" s="3" t="str">
        <x:f>IF(Master!O388="","",Master!O388)</x:f>
        <x:v>Yes: many interchangeable clients</x:v>
      </x:c>
      <x:c r="O14" s="3" t="str">
        <x:f>IF(Master!P388="","",Master!P388)</x:f>
        <x:v>Custom clients possible</x:v>
      </x:c>
      <x:c r="P14" s="3" t="str">
        <x:f>IF(Master!Q388="","",Master!Q388)</x:f>
        <x:v>Forks/custom possible</x:v>
      </x:c>
      <x:c r="Q14" s="3" t="str">
        <x:f>IF(Master!R388="","",Master!R388)</x:f>
        <x:v>Yes: third-party Mumble clients</x:v>
      </x:c>
      <x:c r="R14" s="3" t="str">
        <x:f>IF(Master!S388="","",Master!S388)</x:f>
        <x:v>Community/forks possible</x:v>
      </x:c>
      <x:c r="S14" s="3" t="str">
        <x:f>IF(Master!T388="","",Master!T388)</x:f>
        <x:v>No established third-party clients</x:v>
      </x:c>
      <x:c r="T14" s="3" t="str">
        <x:f>IF(Master!U388="","",Master!U388)</x:f>
        <x:v>No third-party client ecosystem claimed; official clients are open source</x:v>
      </x:c>
      <x:c r="U14" s="3" t="str">
        <x:f>IF(Master!V388="","",Master!V388)</x:f>
        <x:v>No</x:v>
      </x:c>
      <x:c r="V14" s="3" t="str">
        <x:f>IF(Master!W388="","",Master!W388)</x:f>
        <x:v>Custom clients possible</x:v>
      </x:c>
      <x:c r="W14" s="3" t="str">
        <x:f>IF(Master!X388="","",Master!X388)</x:f>
      </x:c>
      <x:c r="X14" s="3" t="str">
        <x:f>IF(Master!Y388="","",Master!Y388)</x:f>
        <x:v>No</x:v>
      </x:c>
      <x:c r="Y14" s="3" t="str">
        <x:f>IF(Master!Z388="","",Master!Z388)</x:f>
        <x:v>Potential Discord-compatible clients/community clients</x:v>
      </x:c>
      <x:c r="Z14" s="3" t="str">
        <x:f>IF(Master!AA388="","",Master!AA388)</x:f>
        <x:v>Community clients exist</x:v>
      </x:c>
      <x:c r="AA14" s="6" t="str">
        <x:f>IF(Master!AB388="","",Master!AB388)</x:f>
        <x:v>Limited</x:v>
      </x:c>
      <x:c r="AB14" s="3" t="str">
        <x:f>IF(Master!AC388="","",Master!AC388)</x:f>
        <x:v>Open API/custom possible</x:v>
      </x:c>
      <x:c r="AC14" s="3" t="str">
        <x:f>IF(Master!AD388="","",Master!AD388)</x:f>
      </x:c>
      <x:c r="AD14" s="3" t="str">
        <x:f>IF(Master!AE388="","",Master!AE388)</x:f>
        <x:v>No</x:v>
      </x:c>
      <x:c r="AE14" s="3" t="str">
        <x:f>IF(Master!AF388="","",Master!AF388)</x:f>
        <x:v>No</x:v>
      </x:c>
      <x:c r="AF14" s="8" t="str">
        <x:f>IF(Master!AG388="","",Master!AG388)</x:f>
        <x:v>Third-party/API clients possible</x:v>
      </x:c>
    </x:row>
    <x:row r="15" ht="36" customHeight="1">
      <x:c r="A15" s="17" t="s">
        <x:v>643</x:v>
      </x:c>
      <x:c r="B15" s="3" t="str">
        <x:f>IF(Master!C389="","",Master!C389)</x:f>
        <x:v>Desktop Account Switcher up to 5 accounts</x:v>
      </x:c>
      <x:c r="C15" s="3" t="str">
        <x:f>IF(Master!D389="","",Master!D389)</x:f>
        <x:v>Key-based identity</x:v>
      </x:c>
      <x:c r="D15" s="3" t="str">
        <x:f>IF(Master!E389="","",Master!E389)</x:f>
      </x:c>
      <x:c r="E15" s="3" t="str">
        <x:f>IF(Master!F389="","",Master!F389)</x:f>
      </x:c>
      <x:c r="F15" s="3" t="str">
        <x:f>IF(Master!G389="","",Master!G389)</x:f>
      </x:c>
      <x:c r="G15" s="3" t="str">
        <x:f>IF(Master!H389="","",Master!H389)</x:f>
      </x:c>
      <x:c r="H15" s="3" t="str">
        <x:f>IF(Master!I389="","",Master!I389)</x:f>
      </x:c>
      <x:c r="I15" s="3" t="str">
        <x:f>IF(Master!J389="","",Master!J389)</x:f>
      </x:c>
      <x:c r="J15" s="3" t="str">
        <x:f>IF(Master!K389="","",Master!K389)</x:f>
        <x:v>Multi-device identity sync</x:v>
      </x:c>
      <x:c r="K15" s="3" t="str">
        <x:f>IF(Master!L389="","",Master!L389)</x:f>
        <x:v>Not documented</x:v>
      </x:c>
      <x:c r="L15" s="3" t="str">
        <x:f>IF(Master!M389="","",Master!M389)</x:f>
      </x:c>
      <x:c r="M15" s="3" t="str">
        <x:f>IF(Master!N389="","",Master!N389)</x:f>
      </x:c>
      <x:c r="N15" s="3" t="str">
        <x:f>IF(Master!O389="","",Master!O389)</x:f>
        <x:v>Client-dependent; some support multiple accounts</x:v>
      </x:c>
      <x:c r="O15" s="3" t="str">
        <x:f>IF(Master!P389="","",Master!P389)</x:f>
        <x:v>Multiple servers</x:v>
      </x:c>
      <x:c r="P15" s="3" t="str">
        <x:f>IF(Master!Q389="","",Master!Q389)</x:f>
      </x:c>
      <x:c r="Q15" s="3" t="str">
        <x:f>IF(Master!R389="","",Master!R389)</x:f>
        <x:v>Server identity/bookmarks rather than cloud account switching</x:v>
      </x:c>
      <x:c r="R15" s="3" t="str">
        <x:f>IF(Master!S389="","",Master!S389)</x:f>
      </x:c>
      <x:c r="S15" s="3" t="str">
        <x:f>IF(Master!T389="","",Master!T389)</x:f>
      </x:c>
      <x:c r="T15" s="3" t="str">
        <x:f>IF(Master!U389="","",Master!U389)</x:f>
      </x:c>
      <x:c r="U15" s="3" t="str">
        <x:f>IF(Master!V389="","",Master!V389)</x:f>
        <x:v>No</x:v>
      </x:c>
      <x:c r="V15" s="3" t="str">
        <x:f>IF(Master!W389="","",Master!W389)</x:f>
        <x:v>Multiple workspaces</x:v>
      </x:c>
      <x:c r="W15" s="3" t="str">
        <x:f>IF(Master!X389="","",Master!X389)</x:f>
        <x:v>ATProto identity</x:v>
      </x:c>
      <x:c r="X15" s="3" t="str">
        <x:f>IF(Master!Y389="","",Master!Y389)</x:f>
      </x:c>
      <x:c r="Y15" s="3" t="str">
        <x:f>IF(Master!Z389="","",Master!Z389)</x:f>
      </x:c>
      <x:c r="Z15" s="3" t="str">
        <x:f>IF(Master!AA389="","",Master!AA389)</x:f>
      </x:c>
      <x:c r="AA15" s="6" t="str">
        <x:f>IF(Master!AB389="","",Master!AB389)</x:f>
      </x:c>
      <x:c r="AB15" s="3" t="str">
        <x:f>IF(Master!AC389="","",Master!AC389)</x:f>
      </x:c>
      <x:c r="AC15" s="3" t="str">
        <x:f>IF(Master!AD389="","",Master!AD389)</x:f>
      </x:c>
      <x:c r="AD15" s="3" t="str">
        <x:f>IF(Master!AE389="","",Master!AE389)</x:f>
      </x:c>
      <x:c r="AE15" s="3" t="str">
        <x:f>IF(Master!AF389="","",Master!AF389)</x:f>
      </x:c>
      <x:c r="AF15" s="8" t="str">
        <x:f>IF(Master!AG389="","",Master!AG389)</x:f>
        <x:v>Multiple accounts/orgs</x:v>
      </x:c>
    </x:row>
    <x:row r="16" ht="36" customHeight="1">
      <x:c r="A16" s="17" t="s">
        <x:v>644</x:v>
      </x:c>
      <x:c r="B16" s="3" t="str">
        <x:f>IF(Master!C390="","",Master!C390)</x:f>
        <x:v>Excellent multi-server UX</x:v>
      </x:c>
      <x:c r="C16" s="3" t="str">
        <x:f>IF(Master!D390="","",Master!D390)</x:f>
        <x:v>Relay/community UX</x:v>
      </x:c>
      <x:c r="D16" s="3" t="str">
        <x:f>IF(Master!E390="","",Master!E390)</x:f>
        <x:v>Yes: home servers/instances</x:v>
      </x:c>
      <x:c r="E16" s="3" t="str">
        <x:f>IF(Master!F390="","",Master!F390)</x:f>
        <x:v>Multi-server</x:v>
      </x:c>
      <x:c r="F16" s="3" t="str">
        <x:f>IF(Master!G390="","",Master!G390)</x:f>
        <x:v>Single hosted service</x:v>
      </x:c>
      <x:c r="G16" s="3" t="str">
        <x:f>IF(Master!H390="","",Master!H390)</x:f>
        <x:v>Self-host instances supported; federation not yet</x:v>
      </x:c>
      <x:c r="H16" s="3" t="str">
        <x:f>IF(Master!I390="","",Master!I390)</x:f>
        <x:v>Multi-server</x:v>
      </x:c>
      <x:c r="I16" s="3" t="str">
        <x:f>IF(Master!J390="","",Master!J390)</x:f>
        <x:v>Yes: instance dropdown</x:v>
      </x:c>
      <x:c r="J16" s="3" t="str">
        <x:f>IF(Master!K390="","",Master!K390)</x:f>
        <x:v>Relay selection</x:v>
      </x:c>
      <x:c r="K16" s="3" t="str">
        <x:f>IF(Master!L390="","",Master!L390)</x:f>
        <x:v>One home account reaches federated guilds/DMs across many instances</x:v>
      </x:c>
      <x:c r="L16" s="3" t="str">
        <x:f>IF(Master!M390="","",Master!M390)</x:f>
        <x:v>Single service</x:v>
      </x:c>
      <x:c r="M16" s="3" t="str">
        <x:f>IF(Master!N390="","",Master!N390)</x:f>
        <x:v>Federated instance UX planned</x:v>
      </x:c>
      <x:c r="N16" s="3" t="str">
        <x:f>IF(Master!O390="","",Master!O390)</x:f>
        <x:v>Can use multiple homeservers/servers from one client depending client</x:v>
      </x:c>
      <x:c r="O16" s="3" t="str">
        <x:f>IF(Master!P390="","",Master!P390)</x:f>
        <x:v>Good multi-server UX</x:v>
      </x:c>
      <x:c r="P16" s="3" t="str">
        <x:f>IF(Master!Q390="","",Master!Q390)</x:f>
        <x:v>Multi-clan</x:v>
      </x:c>
      <x:c r="Q16" s="3" t="str">
        <x:f>IF(Master!R390="","",Master!R390)</x:f>
        <x:v>Good server bookmark UX</x:v>
      </x:c>
      <x:c r="R16" s="3" t="str">
        <x:f>IF(Master!S390="","",Master!S390)</x:f>
        <x:v>Single primary service</x:v>
      </x:c>
      <x:c r="S16" s="3" t="str">
        <x:f>IF(Master!T390="","",Master!T390)</x:f>
        <x:v>Multi-community</x:v>
      </x:c>
      <x:c r="T16" s="3" t="str">
        <x:f>IF(Master!U390="","",Master!U390)</x:f>
      </x:c>
      <x:c r="U16" s="3" t="str">
        <x:f>IF(Master!V390="","",Master!V390)</x:f>
        <x:v>Multi-community</x:v>
      </x:c>
      <x:c r="V16" s="3" t="str">
        <x:f>IF(Master!W390="","",Master!W390)</x:f>
        <x:v>Good multi-workspace UX</x:v>
      </x:c>
      <x:c r="W16" s="3" t="str">
        <x:f>IF(Master!X390="","",Master!X390)</x:f>
        <x:v>ATProto spaces</x:v>
      </x:c>
      <x:c r="X16" s="3" t="str">
        <x:f>IF(Master!Y390="","",Master!Y390)</x:f>
        <x:v>Excellent multi-community UX</x:v>
      </x:c>
      <x:c r="Y16" s="3" t="str">
        <x:f>IF(Master!Z390="","",Master!Z390)</x:f>
        <x:v>Multiple independent instances; no federation</x:v>
      </x:c>
      <x:c r="Z16" s="3" t="str">
        <x:f>IF(Master!AA390="","",Master!AA390)</x:f>
        <x:v>Instance UX limited compared with Matrix</x:v>
      </x:c>
      <x:c r="AA16" s="6" t="str">
        <x:f>IF(Master!AB390="","",Master!AB390)</x:f>
        <x:v>Good multi-server/bookmark model</x:v>
      </x:c>
      <x:c r="AB16" s="3" t="str">
        <x:f>IF(Master!AC390="","",Master!AC390)</x:f>
        <x:v>Node/server UX</x:v>
      </x:c>
      <x:c r="AC16" s="3" t="str">
        <x:f>IF(Master!AD390="","",Master!AD390)</x:f>
        <x:v>Federation intended</x:v>
      </x:c>
      <x:c r="AD16" s="3" t="str">
        <x:f>IF(Master!AE390="","",Master!AE390)</x:f>
        <x:v>Single service</x:v>
      </x:c>
      <x:c r="AE16" s="3" t="str">
        <x:f>IF(Master!AF390="","",Master!AF390)</x:f>
        <x:v>Server UX</x:v>
      </x:c>
      <x:c r="AF16" s="8" t="str">
        <x:f>IF(Master!AG390="","",Master!AG390)</x:f>
        <x:v>Good multi-organization UX</x:v>
      </x:c>
    </x:row>
    <x:row r="17" ht="36" customHeight="1">
      <x:c r="A17" s="17" t="s">
        <x:v>645</x:v>
      </x:c>
      <x:c r="B17" s="3" t="str">
        <x:f>IF(Master!C391="","",Master!C391)</x:f>
        <x:v>No official client plugins/mods</x:v>
      </x:c>
      <x:c r="C17" s="3" t="str">
        <x:f>IF(Master!D391="","",Master!D391)</x:f>
      </x:c>
      <x:c r="D17" s="3" t="str">
        <x:f>IF(Master!E391="","",Master!E391)</x:f>
        <x:v>Plugin system</x:v>
      </x:c>
      <x:c r="E17" s="3" t="str">
        <x:f>IF(Master!F391="","",Master!F391)</x:f>
        <x:v>No</x:v>
      </x:c>
      <x:c r="F17" s="3" t="str">
        <x:f>IF(Master!G391="","",Master!G391)</x:f>
        <x:v>No</x:v>
      </x:c>
      <x:c r="G17" s="3" t="str">
        <x:f>IF(Master!H391="","",Master!H391)</x:f>
        <x:v>No official plugin/modding architecture verified</x:v>
      </x:c>
      <x:c r="H17" s="3" t="str">
        <x:f>IF(Master!I391="","",Master!I391)</x:f>
        <x:v>No official modding architecture verified</x:v>
      </x:c>
      <x:c r="I17" s="3" t="str">
        <x:f>IF(Master!J391="","",Master!J391)</x:f>
        <x:v>No official plugin model</x:v>
      </x:c>
      <x:c r="J17" s="3" t="str">
        <x:f>IF(Master!K391="","",Master!K391)</x:f>
        <x:v>No plugin architecture verified</x:v>
      </x:c>
      <x:c r="K17" s="3" t="str">
        <x:f>IF(Master!L391="","",Master!L391)</x:f>
        <x:v>Custom CSS/theme support is developer-reported; no general client-plugin architecture documented</x:v>
      </x:c>
      <x:c r="L17" s="3" t="str">
        <x:f>IF(Master!M391="","",Master!M391)</x:f>
        <x:v>No</x:v>
      </x:c>
      <x:c r="M17" s="3" t="str">
        <x:f>IF(Master!N391="","",Master!N391)</x:f>
        <x:v>No official modding architecture verified</x:v>
      </x:c>
      <x:c r="N17" s="3" t="str">
        <x:f>IF(Master!O391="","",Master!O391)</x:f>
        <x:v>Instead of one modded client, users can choose a different Matrix client</x:v>
      </x:c>
      <x:c r="O17" s="3" t="str">
        <x:f>IF(Master!P391="","",Master!P391)</x:f>
        <x:v>Server/webapp plugin architecture; not arbitrary desktop client mods</x:v>
      </x:c>
      <x:c r="P17" s="3" t="str">
        <x:f>IF(Master!Q391="","",Master!Q391)</x:f>
      </x:c>
      <x:c r="Q17" s="3" t="str">
        <x:f>IF(Master!R391="","",Master!R391)</x:f>
        <x:v>Plugin system supported</x:v>
      </x:c>
      <x:c r="R17" s="3" t="str">
        <x:f>IF(Master!S391="","",Master!S391)</x:f>
        <x:v>Themes/community modifications</x:v>
      </x:c>
      <x:c r="S17" s="3" t="str">
        <x:f>IF(Master!T391="","",Master!T391)</x:f>
      </x:c>
      <x:c r="T17" s="3" t="str">
        <x:f>IF(Master!U391="","",Master!U391)</x:f>
        <x:v>No official plugin architecture</x:v>
      </x:c>
      <x:c r="U17" s="3" t="str">
        <x:f>IF(Master!V391="","",Master!V391)</x:f>
        <x:v>No</x:v>
      </x:c>
      <x:c r="V17" s="3" t="str">
        <x:f>IF(Master!W391="","",Master!W391)</x:f>
        <x:v>Apps framework more than client modding</x:v>
      </x:c>
      <x:c r="W17" s="3" t="str">
        <x:f>IF(Master!X391="","",Master!X391)</x:f>
        <x:v>No</x:v>
      </x:c>
      <x:c r="X17" s="3" t="str">
        <x:f>IF(Master!Y391="","",Master!Y391)</x:f>
        <x:v>No client mods</x:v>
      </x:c>
      <x:c r="Y17" s="3" t="str">
        <x:f>IF(Master!Z391="","",Master!Z391)</x:f>
        <x:v>Project aims for rich theming/plugin support</x:v>
      </x:c>
      <x:c r="Z17" s="3" t="str">
        <x:f>IF(Master!AA391="","",Master!AA391)</x:f>
      </x:c>
      <x:c r="AA17" s="6" t="str">
        <x:f>IF(Master!AB391="","",Master!AB391)</x:f>
        <x:v>Add-ons/plugins ecosystem</x:v>
      </x:c>
      <x:c r="AB17" s="3" t="str">
        <x:f>IF(Master!AC391="","",Master!AC391)</x:f>
        <x:v>Themes marketplace, not arbitrary client plugins</x:v>
      </x:c>
      <x:c r="AC17" s="3" t="str">
        <x:f>IF(Master!AD391="","",Master!AD391)</x:f>
        <x:v>No official plugins verified</x:v>
      </x:c>
      <x:c r="AD17" s="3" t="str">
        <x:f>IF(Master!AE391="","",Master!AE391)</x:f>
        <x:v>No</x:v>
      </x:c>
      <x:c r="AE17" s="3" t="str">
        <x:f>IF(Master!AF391="","",Master!AF391)</x:f>
        <x:v>No</x:v>
      </x:c>
      <x:c r="AF17" s="8" t="str">
        <x:f>IF(Master!AG391="","",Master!AG391)</x:f>
        <x:v>No general client plugin architecture</x:v>
      </x:c>
    </x:row>
    <x:row r="18" ht="36" customHeight="1">
      <x:c r="A18" s="17" t="s">
        <x:v>646</x:v>
      </x:c>
      <x:c r="B18" s="3" t="str">
        <x:f>IF(Master!C392="","",Master!C392)</x:f>
        <x:v>FCM/APNs internally; exact implementation details not all public</x:v>
      </x:c>
      <x:c r="C18" s="3" t="str">
        <x:f>IF(Master!D392="","",Master!D392)</x:f>
        <x:v>Nostr relay model</x:v>
      </x:c>
      <x:c r="D18" s="3" t="str">
        <x:f>IF(Master!E392="","",Master!E392)</x:f>
      </x:c>
      <x:c r="E18" s="3" t="str">
        <x:f>IF(Master!F392="","",Master!F392)</x:f>
        <x:v>Native push on mobile</x:v>
      </x:c>
      <x:c r="F18" s="3" t="str">
        <x:f>IF(Master!G392="","",Master!G392)</x:f>
      </x:c>
      <x:c r="G18" s="3" t="str">
        <x:f>IF(Master!H392="","",Master!H392)</x:f>
      </x:c>
      <x:c r="H18" s="3" t="str">
        <x:f>IF(Master!I392="","",Master!I392)</x:f>
      </x:c>
      <x:c r="I18" s="3" t="str">
        <x:f>IF(Master!J392="","",Master!J392)</x:f>
      </x:c>
      <x:c r="J18" s="3" t="str">
        <x:f>IF(Master!K392="","",Master!K392)</x:f>
      </x:c>
      <x:c r="K18" s="3" t="str">
        <x:f>IF(Master!L392="","",Master!L392)</x:f>
        <x:v>Optional content-free signed wake relay to FCM/APNs for official store apps; self-host/custom relay and no-push builds are supported</x:v>
      </x:c>
      <x:c r="L18" s="3" t="str">
        <x:f>IF(Master!M392="","",Master!M392)</x:f>
      </x:c>
      <x:c r="M18" s="3" t="str">
        <x:f>IF(Master!N392="","",Master!N392)</x:f>
      </x:c>
      <x:c r="N18" s="3" t="str">
        <x:f>IF(Master!O392="","",Master!O392)</x:f>
        <x:v>Homeserver/client-specific (FCM/APNs/UnifiedPush/etc.)</x:v>
      </x:c>
      <x:c r="O18" s="3" t="str">
        <x:f>IF(Master!P392="","",Master!P392)</x:f>
        <x:v>FCM/APNs; enterprise push options</x:v>
      </x:c>
      <x:c r="P18" s="3" t="str">
        <x:f>IF(Master!Q392="","",Master!Q392)</x:f>
      </x:c>
      <x:c r="Q18" s="3" t="str">
        <x:f>IF(Master!R392="","",Master!R392)</x:f>
        <x:v>Mobile-client dependent</x:v>
      </x:c>
      <x:c r="R18" s="3" t="str">
        <x:f>IF(Master!S392="","",Master!S392)</x:f>
      </x:c>
      <x:c r="S18" s="3" t="str">
        <x:f>IF(Master!T392="","",Master!T392)</x:f>
      </x:c>
      <x:c r="T18" s="3" t="str">
        <x:f>IF(Master!U392="","",Master!U392)</x:f>
      </x:c>
      <x:c r="U18" s="3" t="str">
        <x:f>IF(Master!V392="","",Master!V392)</x:f>
      </x:c>
      <x:c r="V18" s="3" t="str">
        <x:f>IF(Master!W392="","",Master!W392)</x:f>
        <x:v>FCM/APNs; self-host configuration</x:v>
      </x:c>
      <x:c r="W18" s="3" t="str">
        <x:f>IF(Master!X392="","",Master!X392)</x:f>
        <x:v>ATProto/client dependent</x:v>
      </x:c>
      <x:c r="X18" s="3" t="str">
        <x:f>IF(Master!Y392="","",Master!Y392)</x:f>
      </x:c>
      <x:c r="Y18" s="3" t="str">
        <x:f>IF(Master!Z392="","",Master!Z392)</x:f>
        <x:v>Client-dependent</x:v>
      </x:c>
      <x:c r="Z18" s="3" t="str">
        <x:f>IF(Master!AA392="","",Master!AA392)</x:f>
      </x:c>
      <x:c r="AA18" s="6" t="str">
        <x:f>IF(Master!AB392="","",Master!AB392)</x:f>
      </x:c>
      <x:c r="AB18" s="3" t="str">
        <x:f>IF(Master!AC392="","",Master!AC392)</x:f>
      </x:c>
      <x:c r="AC18" s="3" t="str">
        <x:f>IF(Master!AD392="","",Master!AD392)</x:f>
      </x:c>
      <x:c r="AD18" s="3" t="str">
        <x:f>IF(Master!AE392="","",Master!AE392)</x:f>
      </x:c>
      <x:c r="AE18" s="3" t="str">
        <x:f>IF(Master!AF392="","",Master!AF392)</x:f>
      </x:c>
      <x:c r="AF18" s="8" t="str">
        <x:f>IF(Master!AG392="","",Master!AG392)</x:f>
        <x:v>FCM/APNs; exact self-host push options vary</x:v>
      </x:c>
    </x:row>
    <x:row r="19" ht="36" customHeight="1">
      <x:c r="A19" s="17" t="s">
        <x:v>647</x:v>
      </x:c>
      <x:c r="B19" s="3" t="str">
        <x:f>IF(Master!C393="","",Master!C393)</x:f>
        <x:v>One official client family controls UX.</x:v>
      </x:c>
      <x:c r="C19" s="3" t="str">
        <x:f>IF(Master!D393="","",Master!D393)</x:f>
        <x:v>Client is distinct from relays/protocol.</x:v>
      </x:c>
      <x:c r="D19" s="3" t="str">
        <x:f>IF(Master!E393="","",Master!E393)</x:f>
        <x:v>Android and desktop share advanced features.</x:v>
      </x:c>
      <x:c r="E19" s="3" t="str">
        <x:f>IF(Master!F393="","",Master!F393)</x:f>
        <x:v>Wide device support for a small team.</x:v>
      </x:c>
      <x:c r="F19" s="3" t="str">
        <x:f>IF(Master!G393="","",Master!G393)</x:f>
        <x:v>Product-first hosted alpha.</x:v>
      </x:c>
      <x:c r="G19" s="3" t="str">
        <x:f>IF(Master!H393="","",Master!H393)</x:f>
        <x:v>Native mobile is still beta as of Sep 2026.</x:v>
      </x:c>
      <x:c r="H19" s="3" t="str">
        <x:f>IF(Master!I393="","",Master!I393)</x:f>
        <x:v>Native desktop/mobile/web.</x:v>
      </x:c>
      <x:c r="I19" s="3" t="str">
        <x:f>IF(Master!J393="","",Master!J393)</x:f>
        <x:v>Web + Tauri desktop are current; mobile apps are in development.</x:v>
      </x:c>
      <x:c r="J19" s="3" t="str">
        <x:f>IF(Master!K393="","",Master!K393)</x:f>
        <x:v>Signed Windows/macOS builds plus mobile work.</x:v>
      </x:c>
      <x:c r="K19" s="3" t="str">
        <x:f>IF(Master!L393="","",Master!L393)</x:f>
        <x:v>The official relay sees home, subscription, timing, network, and platform metadata. It does not see message text, sender names, conversation IDs, attachments, or encryption keys.</x:v>
      </x:c>
      <x:c r="L19" s="3" t="str">
        <x:f>IF(Master!M393="","",Master!M393)</x:f>
        <x:v>Very new platform.</x:v>
      </x:c>
      <x:c r="M19" s="3" t="str">
        <x:f>IF(Master!N393="","",Master!N393)</x:f>
        <x:v>Open beta.</x:v>
      </x:c>
      <x:c r="N19" s="3" t="str">
        <x:f>IF(Master!O393="","",Master!O393)</x:f>
        <x:v>Element is only one option; do not treat Element's limitations as Matrix-wide limits.</x:v>
      </x:c>
      <x:c r="O19" s="3" t="str">
        <x:f>IF(Master!P393="","",Master!P393)</x:f>
        <x:v>Enterprise deployment focus.</x:v>
      </x:c>
      <x:c r="P19" s="3" t="str">
        <x:f>IF(Master!Q393="","",Master!Q393)</x:f>
        <x:v>High-performance native stack is a headline differentiator.</x:v>
      </x:c>
      <x:c r="Q19" s="3" t="str">
        <x:f>IF(Master!R393="","",Master!R393)</x:f>
        <x:v>Native desktop focus.</x:v>
      </x:c>
      <x:c r="R19" s="3" t="str">
        <x:f>IF(Master!S393="","",Master!S393)</x:f>
        <x:v>Open-source web/desktop ecosystem.</x:v>
      </x:c>
      <x:c r="S19" s="3" t="str">
        <x:f>IF(Master!T393="","",Master!T393)</x:f>
        <x:v>Wide platform coverage.</x:v>
      </x:c>
      <x:c r="T19" s="3" t="str">
        <x:f>IF(Master!U393="","",Master!U393)</x:f>
        <x:v>Web React/Vite; Electron desktop; native iOS TestFlight; native Android APK. Mobile is not yet in app stores.</x:v>
      </x:c>
      <x:c r="U19" s="3" t="str">
        <x:f>IF(Master!V393="","",Master!V393)</x:f>
        <x:v>Portal/window workspace is a distinctive UX feature.</x:v>
      </x:c>
      <x:c r="V19" s="3" t="str">
        <x:f>IF(Master!W393="","",Master!W393)</x:f>
        <x:v>Mature cross-platform collaboration client.</x:v>
      </x:c>
      <x:c r="W19" s="3" t="str">
        <x:f>IF(Master!X393="","",Master!X393)</x:f>
        <x:v>Bluesky login is a core onboarding path.</x:v>
      </x:c>
      <x:c r="X19" s="3" t="str">
        <x:f>IF(Master!Y393="","",Master!Y393)</x:f>
        <x:v>Mobile can join calls but cannot share screen.</x:v>
      </x:c>
      <x:c r="Y19" s="3" t="str">
        <x:f>IF(Master!Z393="","",Master!Z393)</x:f>
        <x:v>Compatibility is a design goal; current completeness varies.</x:v>
      </x:c>
      <x:c r="Z19" s="3" t="str">
        <x:f>IF(Master!AA393="","",Master!AA393)</x:f>
        <x:v>Self-host documentation explicitly warn most official clients do not currently support self-hosted instances.</x:v>
      </x:c>
      <x:c r="AA19" s="6" t="str">
        <x:f>IF(Master!AB393="","",Master!AB393)</x:f>
        <x:v>Proprietary client family.</x:v>
      </x:c>
      <x:c r="AB19" s="3" t="str">
        <x:f>IF(Master!AC393="","",Master!AC393)</x:f>
        <x:v>Distinctive multi-window chat UI.</x:v>
      </x:c>
      <x:c r="AC19" s="3" t="str">
        <x:f>IF(Master!AD393="","",Master!AD393)</x:f>
        <x:v>Experimental alpha/beta.</x:v>
      </x:c>
      <x:c r="AD19" s="3" t="str">
        <x:f>IF(Master!AE393="","",Master!AE393)</x:f>
        <x:v>Desktop + web now; mobile in progress.</x:v>
      </x:c>
      <x:c r="AE19" s="3" t="str">
        <x:f>IF(Master!AF393="","",Master!AF393)</x:f>
        <x:v>Browser-first self-host model.</x:v>
      </x:c>
      <x:c r="AF19" s="8" t="str">
        <x:f>IF(Master!AG393="","",Master!AG393)</x:f>
        <x:v>Team-text-first client family.</x:v>
      </x:c>
    </x:row>
    <x:row r="20" ht="21.950000762939453" customHeight="1">
      <x:c r="A20" s="18" t="s">
        <x:v>648</x:v>
      </x:c>
      <x:c r="B20" s="18" t="str">
        <x:f t="shared" ref="B20:AF20" si="0">IF(""="","","")</x:f>
      </x:c>
      <x:c r="C20" s="18" t="str">
        <x:f t="shared" si="0"/>
      </x:c>
      <x:c r="D20" s="18" t="str">
        <x:f t="shared" si="0"/>
      </x:c>
      <x:c r="E20" s="18" t="str">
        <x:f t="shared" si="0"/>
      </x:c>
      <x:c r="F20" s="18" t="str">
        <x:f t="shared" si="0"/>
      </x:c>
      <x:c r="G20" s="18" t="str">
        <x:f t="shared" si="0"/>
      </x:c>
      <x:c r="H20" s="18" t="str">
        <x:f t="shared" si="0"/>
      </x:c>
      <x:c r="I20" s="18" t="str">
        <x:f t="shared" si="0"/>
      </x:c>
      <x:c r="J20" s="18" t="str">
        <x:f t="shared" si="0"/>
      </x:c>
      <x:c r="K20" s="18" t="str">
        <x:f t="shared" si="0"/>
      </x:c>
      <x:c r="L20" s="18" t="str">
        <x:f t="shared" si="0"/>
      </x:c>
      <x:c r="M20" s="18" t="str">
        <x:f t="shared" si="0"/>
      </x:c>
      <x:c r="N20" s="18" t="str">
        <x:f t="shared" si="0"/>
      </x:c>
      <x:c r="O20" s="18" t="str">
        <x:f t="shared" si="0"/>
      </x:c>
      <x:c r="P20" s="18" t="str">
        <x:f t="shared" si="0"/>
      </x:c>
      <x:c r="Q20" s="18" t="str">
        <x:f t="shared" si="0"/>
      </x:c>
      <x:c r="R20" s="18" t="str">
        <x:f t="shared" si="0"/>
      </x:c>
      <x:c r="S20" s="18" t="str">
        <x:f t="shared" si="0"/>
      </x:c>
      <x:c r="T20" s="18" t="str">
        <x:f t="shared" si="0"/>
      </x:c>
      <x:c r="U20" s="18" t="str">
        <x:f t="shared" si="0"/>
      </x:c>
      <x:c r="V20" s="18" t="str">
        <x:f t="shared" si="0"/>
      </x:c>
      <x:c r="W20" s="18" t="str">
        <x:f t="shared" si="0"/>
      </x:c>
      <x:c r="X20" s="18" t="str">
        <x:f t="shared" si="0"/>
      </x:c>
      <x:c r="Y20" s="18" t="str">
        <x:f t="shared" si="0"/>
      </x:c>
      <x:c r="Z20" s="18" t="str">
        <x:f t="shared" si="0"/>
      </x:c>
      <x:c r="AA20" s="18" t="str">
        <x:f t="shared" si="0"/>
      </x:c>
      <x:c r="AB20" s="18" t="str">
        <x:f t="shared" si="0"/>
      </x:c>
      <x:c r="AC20" s="18" t="str">
        <x:f t="shared" si="0"/>
      </x:c>
      <x:c r="AD20" s="18" t="str">
        <x:f t="shared" si="0"/>
      </x:c>
      <x:c r="AE20" s="18" t="str">
        <x:f t="shared" si="0"/>
      </x:c>
      <x:c r="AF20" s="19" t="str">
        <x:f t="shared" si="0"/>
      </x:c>
    </x:row>
    <x:row r="21" ht="36" customHeight="1">
      <x:c r="A21" s="17" t="s">
        <x:v>649</x:v>
      </x:c>
      <x:c r="B21" s="3" t="str">
        <x:f>IF(Master!C394="","",Master!C394)</x:f>
        <x:v>No official portable build</x:v>
      </x:c>
      <x:c r="C21" s="3" t="str">
        <x:f>IF(Master!D394="","",Master!D394)</x:f>
      </x:c>
      <x:c r="D21" s="3" t="str">
        <x:f>IF(Master!E394="","",Master!E394)</x:f>
      </x:c>
      <x:c r="E21" s="3" t="str">
        <x:f>IF(Master!F394="","",Master!F394)</x:f>
      </x:c>
      <x:c r="F21" s="3" t="str">
        <x:f>IF(Master!G394="","",Master!G394)</x:f>
      </x:c>
      <x:c r="G21" s="3" t="str">
        <x:f>IF(Master!H394="","",Master!H394)</x:f>
      </x:c>
      <x:c r="H21" s="3" t="str">
        <x:f>IF(Master!I394="","",Master!I394)</x:f>
      </x:c>
      <x:c r="I21" s="3" t="str">
        <x:f>IF(Master!J394="","",Master!J394)</x:f>
      </x:c>
      <x:c r="J21" s="3" t="str">
        <x:f>IF(Master!K394="","",Master!K394)</x:f>
      </x:c>
      <x:c r="K21" s="3" t="str">
        <x:f>IF(Master!L394="","",Master!L394)</x:f>
        <x:v>Not documented</x:v>
      </x:c>
      <x:c r="L21" s="3" t="str">
        <x:f>IF(Master!M394="","",Master!M394)</x:f>
      </x:c>
      <x:c r="M21" s="3" t="str">
        <x:f>IF(Master!N394="","",Master!N394)</x:f>
      </x:c>
      <x:c r="N21" s="3" t="str">
        <x:f>IF(Master!O394="","",Master!O394)</x:f>
      </x:c>
      <x:c r="O21" s="3" t="str">
        <x:f>IF(Master!P394="","",Master!P394)</x:f>
      </x:c>
      <x:c r="P21" s="3" t="str">
        <x:f>IF(Master!Q394="","",Master!Q394)</x:f>
      </x:c>
      <x:c r="Q21" s="3" t="str">
        <x:f>IF(Master!R394="","",Master!R394)</x:f>
      </x:c>
      <x:c r="R21" s="3" t="str">
        <x:f>IF(Master!S394="","",Master!S394)</x:f>
      </x:c>
      <x:c r="S21" s="3" t="str">
        <x:f>IF(Master!T394="","",Master!T394)</x:f>
      </x:c>
      <x:c r="T21" s="3" t="str">
        <x:f>IF(Master!U394="","",Master!U394)</x:f>
      </x:c>
      <x:c r="U21" s="3" t="str">
        <x:f>IF(Master!V394="","",Master!V394)</x:f>
        <x:v>N/A</x:v>
      </x:c>
      <x:c r="V21" s="3" t="str">
        <x:f>IF(Master!W394="","",Master!W394)</x:f>
      </x:c>
      <x:c r="W21" s="3" t="str">
        <x:f>IF(Master!X394="","",Master!X394)</x:f>
      </x:c>
      <x:c r="X21" s="3" t="str">
        <x:f>IF(Master!Y394="","",Master!Y394)</x:f>
      </x:c>
      <x:c r="Y21" s="3" t="str">
        <x:f>IF(Master!Z394="","",Master!Z394)</x:f>
      </x:c>
      <x:c r="Z21" s="3" t="str">
        <x:f>IF(Master!AA394="","",Master!AA394)</x:f>
      </x:c>
      <x:c r="AA21" s="6" t="str">
        <x:f>IF(Master!AB394="","",Master!AB394)</x:f>
      </x:c>
      <x:c r="AB21" s="3" t="str">
        <x:f>IF(Master!AC394="","",Master!AC394)</x:f>
      </x:c>
      <x:c r="AC21" s="3" t="str">
        <x:f>IF(Master!AD394="","",Master!AD394)</x:f>
      </x:c>
      <x:c r="AD21" s="3" t="str">
        <x:f>IF(Master!AE394="","",Master!AE394)</x:f>
      </x:c>
      <x:c r="AE21" s="3" t="str">
        <x:f>IF(Master!AF394="","",Master!AF394)</x:f>
      </x:c>
      <x:c r="AF21" s="8" t="str">
        <x:f>IF(Master!AG394="","",Master!AG394)</x:f>
      </x:c>
    </x:row>
    <x:row r="22" ht="36" customHeight="1">
      <x:c r="A22" s="17" t="s">
        <x:v>650</x:v>
      </x:c>
      <x:c r="B22" s="3" t="str">
        <x:f>IF(Master!C395="","",Master!C395)</x:f>
        <x:v>Client/platform dependent</x:v>
      </x:c>
      <x:c r="C22" s="3" t="str">
        <x:f>IF(Master!D395="","",Master!D395)</x:f>
      </x:c>
      <x:c r="D22" s="3" t="str">
        <x:f>IF(Master!E395="","",Master!E395)</x:f>
      </x:c>
      <x:c r="E22" s="3" t="str">
        <x:f>IF(Master!F395="","",Master!F395)</x:f>
      </x:c>
      <x:c r="F22" s="3" t="str">
        <x:f>IF(Master!G395="","",Master!G395)</x:f>
      </x:c>
      <x:c r="G22" s="3" t="str">
        <x:f>IF(Master!H395="","",Master!H395)</x:f>
      </x:c>
      <x:c r="H22" s="3" t="str">
        <x:f>IF(Master!I395="","",Master!I395)</x:f>
      </x:c>
      <x:c r="I22" s="3" t="str">
        <x:f>IF(Master!J395="","",Master!J395)</x:f>
      </x:c>
      <x:c r="J22" s="3" t="str">
        <x:f>IF(Master!K395="","",Master!K395)</x:f>
      </x:c>
      <x:c r="K22" s="3" t="str">
        <x:f>IF(Master!L395="","",Master!L395)</x:f>
        <x:v>Not documented</x:v>
      </x:c>
      <x:c r="L22" s="3" t="str">
        <x:f>IF(Master!M395="","",Master!M395)</x:f>
      </x:c>
      <x:c r="M22" s="3" t="str">
        <x:f>IF(Master!N395="","",Master!N395)</x:f>
      </x:c>
      <x:c r="N22" s="3" t="str">
        <x:f>IF(Master!O395="","",Master!O395)</x:f>
        <x:v>Client-dependent</x:v>
      </x:c>
      <x:c r="O22" s="3" t="str">
        <x:f>IF(Master!P395="","",Master!P395)</x:f>
      </x:c>
      <x:c r="P22" s="3" t="str">
        <x:f>IF(Master!Q395="","",Master!Q395)</x:f>
      </x:c>
      <x:c r="Q22" s="3" t="str">
        <x:f>IF(Master!R395="","",Master!R395)</x:f>
      </x:c>
      <x:c r="R22" s="3" t="str">
        <x:f>IF(Master!S395="","",Master!S395)</x:f>
      </x:c>
      <x:c r="S22" s="3" t="str">
        <x:f>IF(Master!T395="","",Master!T395)</x:f>
      </x:c>
      <x:c r="T22" s="3" t="str">
        <x:f>IF(Master!U395="","",Master!U395)</x:f>
      </x:c>
      <x:c r="U22" s="3" t="str">
        <x:f>IF(Master!V395="","",Master!V395)</x:f>
        <x:v>N/A</x:v>
      </x:c>
      <x:c r="V22" s="3" t="str">
        <x:f>IF(Master!W395="","",Master!W395)</x:f>
      </x:c>
      <x:c r="W22" s="3" t="str">
        <x:f>IF(Master!X395="","",Master!X395)</x:f>
      </x:c>
      <x:c r="X22" s="3" t="str">
        <x:f>IF(Master!Y395="","",Master!Y395)</x:f>
      </x:c>
      <x:c r="Y22" s="3" t="str">
        <x:f>IF(Master!Z395="","",Master!Z395)</x:f>
      </x:c>
      <x:c r="Z22" s="3" t="str">
        <x:f>IF(Master!AA395="","",Master!AA395)</x:f>
      </x:c>
      <x:c r="AA22" s="6" t="str">
        <x:f>IF(Master!AB395="","",Master!AB395)</x:f>
      </x:c>
      <x:c r="AB22" s="3" t="str">
        <x:f>IF(Master!AC395="","",Master!AC395)</x:f>
      </x:c>
      <x:c r="AC22" s="3" t="str">
        <x:f>IF(Master!AD395="","",Master!AD395)</x:f>
      </x:c>
      <x:c r="AD22" s="3" t="str">
        <x:f>IF(Master!AE395="","",Master!AE395)</x:f>
      </x:c>
      <x:c r="AE22" s="3" t="str">
        <x:f>IF(Master!AF395="","",Master!AF395)</x:f>
      </x:c>
      <x:c r="AF22" s="8" t="str">
        <x:f>IF(Master!AG395="","",Master!AG395)</x:f>
      </x:c>
    </x:row>
    <x:row r="23" ht="36" customHeight="1">
      <x:c r="A23" s="17" t="s">
        <x:v>651</x:v>
      </x:c>
      <x:c r="B23" s="3" t="str">
        <x:f>IF(Master!C396="","",Master!C396)</x:f>
        <x:v>Yes</x:v>
      </x:c>
      <x:c r="C23" s="3" t="str">
        <x:f>IF(Master!D396="","",Master!D396)</x:f>
      </x:c>
      <x:c r="D23" s="3" t="str">
        <x:f>IF(Master!E396="","",Master!E396)</x:f>
      </x:c>
      <x:c r="E23" s="3" t="str">
        <x:f>IF(Master!F396="","",Master!F396)</x:f>
      </x:c>
      <x:c r="F23" s="3" t="str">
        <x:f>IF(Master!G396="","",Master!G396)</x:f>
      </x:c>
      <x:c r="G23" s="3" t="str">
        <x:f>IF(Master!H396="","",Master!H396)</x:f>
      </x:c>
      <x:c r="H23" s="3" t="str">
        <x:f>IF(Master!I396="","",Master!I396)</x:f>
      </x:c>
      <x:c r="I23" s="3" t="str">
        <x:f>IF(Master!J396="","",Master!J396)</x:f>
      </x:c>
      <x:c r="J23" s="3" t="str">
        <x:f>IF(Master!K396="","",Master!K396)</x:f>
      </x:c>
      <x:c r="K23" s="3" t="str">
        <x:f>IF(Master!L396="","",Master!L396)</x:f>
        <x:v>Server auto-updater is documented; native release tooling also exists</x:v>
      </x:c>
      <x:c r="L23" s="3" t="str">
        <x:f>IF(Master!M396="","",Master!M396)</x:f>
      </x:c>
      <x:c r="M23" s="3" t="str">
        <x:f>IF(Master!N396="","",Master!N396)</x:f>
      </x:c>
      <x:c r="N23" s="3" t="str">
        <x:f>IF(Master!O396="","",Master!O396)</x:f>
      </x:c>
      <x:c r="O23" s="3" t="str">
        <x:f>IF(Master!P396="","",Master!P396)</x:f>
      </x:c>
      <x:c r="P23" s="3" t="str">
        <x:f>IF(Master!Q396="","",Master!Q396)</x:f>
      </x:c>
      <x:c r="Q23" s="3" t="str">
        <x:f>IF(Master!R396="","",Master!R396)</x:f>
      </x:c>
      <x:c r="R23" s="3" t="str">
        <x:f>IF(Master!S396="","",Master!S396)</x:f>
      </x:c>
      <x:c r="S23" s="3" t="str">
        <x:f>IF(Master!T396="","",Master!T396)</x:f>
      </x:c>
      <x:c r="T23" s="3" t="str">
        <x:f>IF(Master!U396="","",Master!U396)</x:f>
      </x:c>
      <x:c r="U23" s="3" t="str">
        <x:f>IF(Master!V396="","",Master!V396)</x:f>
        <x:v>Optional</x:v>
      </x:c>
      <x:c r="V23" s="3" t="str">
        <x:f>IF(Master!W396="","",Master!W396)</x:f>
      </x:c>
      <x:c r="W23" s="3" t="str">
        <x:f>IF(Master!X396="","",Master!X396)</x:f>
      </x:c>
      <x:c r="X23" s="3" t="str">
        <x:f>IF(Master!Y396="","",Master!Y396)</x:f>
      </x:c>
      <x:c r="Y23" s="3" t="str">
        <x:f>IF(Master!Z396="","",Master!Z396)</x:f>
      </x:c>
      <x:c r="Z23" s="3" t="str">
        <x:f>IF(Master!AA396="","",Master!AA396)</x:f>
        <x:v>Client-dependent</x:v>
      </x:c>
      <x:c r="AA23" s="6" t="str">
        <x:f>IF(Master!AB396="","",Master!AB396)</x:f>
      </x:c>
      <x:c r="AB23" s="3" t="str">
        <x:f>IF(Master!AC396="","",Master!AC396)</x:f>
      </x:c>
      <x:c r="AC23" s="3" t="str">
        <x:f>IF(Master!AD396="","",Master!AD396)</x:f>
      </x:c>
      <x:c r="AD23" s="3" t="str">
        <x:f>IF(Master!AE396="","",Master!AE396)</x:f>
      </x:c>
      <x:c r="AE23" s="3" t="str">
        <x:f>IF(Master!AF396="","",Master!AF396)</x:f>
      </x:c>
      <x:c r="AF23" s="8" t="str">
        <x:f>IF(Master!AG396="","",Master!AG396)</x:f>
      </x:c>
    </x:row>
    <x:row r="24" ht="36" customHeight="1">
      <x:c r="A24" s="17" t="s">
        <x:v>652</x:v>
      </x:c>
      <x:c r="B24" s="3" t="str">
        <x:f>IF(Master!C397="","",Master!C397)</x:f>
        <x:v>Yes</x:v>
      </x:c>
      <x:c r="C24" s="3" t="str">
        <x:f>IF(Master!D397="","",Master!D397)</x:f>
      </x:c>
      <x:c r="D24" s="3" t="str">
        <x:f>IF(Master!E397="","",Master!E397)</x:f>
      </x:c>
      <x:c r="E24" s="3" t="str">
        <x:f>IF(Master!F397="","",Master!F397)</x:f>
      </x:c>
      <x:c r="F24" s="3" t="str">
        <x:f>IF(Master!G397="","",Master!G397)</x:f>
      </x:c>
      <x:c r="G24" s="3" t="str">
        <x:f>IF(Master!H397="","",Master!H397)</x:f>
      </x:c>
      <x:c r="H24" s="3" t="str">
        <x:f>IF(Master!I397="","",Master!I397)</x:f>
      </x:c>
      <x:c r="I24" s="3" t="str">
        <x:f>IF(Master!J397="","",Master!J397)</x:f>
      </x:c>
      <x:c r="J24" s="3" t="str">
        <x:f>IF(Master!K397="","",Master!K397)</x:f>
      </x:c>
      <x:c r="K24" s="3" t="str">
        <x:f>IF(Master!L397="","",Master!L397)</x:f>
        <x:v>Tauri desktop + native Flutter clients support background call/notification behavior</x:v>
      </x:c>
      <x:c r="L24" s="3" t="str">
        <x:f>IF(Master!M397="","",Master!M397)</x:f>
      </x:c>
      <x:c r="M24" s="3" t="str">
        <x:f>IF(Master!N397="","",Master!N397)</x:f>
      </x:c>
      <x:c r="N24" s="3" t="str">
        <x:f>IF(Master!O397="","",Master!O397)</x:f>
      </x:c>
      <x:c r="O24" s="3" t="str">
        <x:f>IF(Master!P397="","",Master!P397)</x:f>
        <x:v>Yes</x:v>
      </x:c>
      <x:c r="P24" s="3" t="str">
        <x:f>IF(Master!Q397="","",Master!Q397)</x:f>
      </x:c>
      <x:c r="Q24" s="3" t="str">
        <x:f>IF(Master!R397="","",Master!R397)</x:f>
      </x:c>
      <x:c r="R24" s="3" t="str">
        <x:f>IF(Master!S397="","",Master!S397)</x:f>
      </x:c>
      <x:c r="S24" s="3" t="str">
        <x:f>IF(Master!T397="","",Master!T397)</x:f>
      </x:c>
      <x:c r="T24" s="3" t="str">
        <x:f>IF(Master!U397="","",Master!U397)</x:f>
      </x:c>
      <x:c r="U24" s="3" t="str">
        <x:f>IF(Master!V397="","",Master!V397)</x:f>
        <x:v>Yes</x:v>
      </x:c>
      <x:c r="V24" s="3" t="str">
        <x:f>IF(Master!W397="","",Master!W397)</x:f>
      </x:c>
      <x:c r="W24" s="3" t="str">
        <x:f>IF(Master!X397="","",Master!X397)</x:f>
      </x:c>
      <x:c r="X24" s="3" t="str">
        <x:f>IF(Master!Y397="","",Master!Y397)</x:f>
      </x:c>
      <x:c r="Y24" s="3" t="str">
        <x:f>IF(Master!Z397="","",Master!Z397)</x:f>
      </x:c>
      <x:c r="Z24" s="3" t="str">
        <x:f>IF(Master!AA397="","",Master!AA397)</x:f>
      </x:c>
      <x:c r="AA24" s="6" t="str">
        <x:f>IF(Master!AB397="","",Master!AB397)</x:f>
      </x:c>
      <x:c r="AB24" s="3" t="str">
        <x:f>IF(Master!AC397="","",Master!AC397)</x:f>
      </x:c>
      <x:c r="AC24" s="3" t="str">
        <x:f>IF(Master!AD397="","",Master!AD397)</x:f>
      </x:c>
      <x:c r="AD24" s="3" t="str">
        <x:f>IF(Master!AE397="","",Master!AE397)</x:f>
      </x:c>
      <x:c r="AE24" s="3" t="str">
        <x:f>IF(Master!AF397="","",Master!AF397)</x:f>
      </x:c>
      <x:c r="AF24" s="8" t="str">
        <x:f>IF(Master!AG397="","",Master!AG397)</x:f>
        <x:v>Yes</x:v>
      </x:c>
    </x:row>
    <x:row r="25" ht="36" customHeight="1">
      <x:c r="A25" s="17" t="s">
        <x:v>329</x:v>
      </x:c>
      <x:c r="B25" s="3" t="str">
        <x:f>IF(Master!C398="","",Master!C398)</x:f>
        <x:v>Yes: game overlay</x:v>
      </x:c>
      <x:c r="C25" s="3" t="str">
        <x:f>IF(Master!D398="","",Master!D398)</x:f>
      </x:c>
      <x:c r="D25" s="3" t="str">
        <x:f>IF(Master!E398="","",Master!E398)</x:f>
      </x:c>
      <x:c r="E25" s="3" t="str">
        <x:f>IF(Master!F398="","",Master!F398)</x:f>
      </x:c>
      <x:c r="F25" s="3" t="str">
        <x:f>IF(Master!G398="","",Master!G398)</x:f>
      </x:c>
      <x:c r="G25" s="3" t="str">
        <x:f>IF(Master!H398="","",Master!H398)</x:f>
      </x:c>
      <x:c r="H25" s="3" t="str">
        <x:f>IF(Master!I398="","",Master!I398)</x:f>
      </x:c>
      <x:c r="I25" s="3" t="str">
        <x:f>IF(Master!J398="","",Master!J398)</x:f>
      </x:c>
      <x:c r="J25" s="3" t="str">
        <x:f>IF(Master!K398="","",Master!K398)</x:f>
      </x:c>
      <x:c r="K25" s="3" t="str">
        <x:f>IF(Master!L398="","",Master!L398)</x:f>
        <x:v>Not documented</x:v>
      </x:c>
      <x:c r="L25" s="3" t="str">
        <x:f>IF(Master!M398="","",Master!M398)</x:f>
      </x:c>
      <x:c r="M25" s="3" t="str">
        <x:f>IF(Master!N398="","",Master!N398)</x:f>
      </x:c>
      <x:c r="N25" s="3" t="str">
        <x:f>IF(Master!O398="","",Master!O398)</x:f>
      </x:c>
      <x:c r="O25" s="3" t="str">
        <x:f>IF(Master!P398="","",Master!P398)</x:f>
      </x:c>
      <x:c r="P25" s="3" t="str">
        <x:f>IF(Master!Q398="","",Master!Q398)</x:f>
      </x:c>
      <x:c r="Q25" s="3" t="str">
        <x:f>IF(Master!R398="","",Master!R398)</x:f>
      </x:c>
      <x:c r="R25" s="3" t="str">
        <x:f>IF(Master!S398="","",Master!S398)</x:f>
      </x:c>
      <x:c r="S25" s="3" t="str">
        <x:f>IF(Master!T398="","",Master!T398)</x:f>
      </x:c>
      <x:c r="T25" s="3" t="str">
        <x:f>IF(Master!U398="","",Master!U398)</x:f>
      </x:c>
      <x:c r="U25" s="3" t="str">
        <x:f>IF(Master!V398="","",Master!V398)</x:f>
        <x:v>Yes: always-on-top voice HUD</x:v>
      </x:c>
      <x:c r="V25" s="3" t="str">
        <x:f>IF(Master!W398="","",Master!W398)</x:f>
      </x:c>
      <x:c r="W25" s="3" t="str">
        <x:f>IF(Master!X398="","",Master!X398)</x:f>
      </x:c>
      <x:c r="X25" s="3" t="str">
        <x:f>IF(Master!Y398="","",Master!Y398)</x:f>
      </x:c>
      <x:c r="Y25" s="3" t="str">
        <x:f>IF(Master!Z398="","",Master!Z398)</x:f>
      </x:c>
      <x:c r="Z25" s="3" t="str">
        <x:f>IF(Master!AA398="","",Master!AA398)</x:f>
      </x:c>
      <x:c r="AA25" s="6" t="str">
        <x:f>IF(Master!AB398="","",Master!AB398)</x:f>
        <x:v>Client/plugin dependent</x:v>
      </x:c>
      <x:c r="AB25" s="3" t="str">
        <x:f>IF(Master!AC398="","",Master!AC398)</x:f>
      </x:c>
      <x:c r="AC25" s="3" t="str">
        <x:f>IF(Master!AD398="","",Master!AD398)</x:f>
      </x:c>
      <x:c r="AD25" s="3" t="str">
        <x:f>IF(Master!AE398="","",Master!AE398)</x:f>
      </x:c>
      <x:c r="AE25" s="3" t="str">
        <x:f>IF(Master!AF398="","",Master!AF398)</x:f>
      </x:c>
      <x:c r="AF25" s="8" t="str">
        <x:f>IF(Master!AG398="","",Master!AG398)</x:f>
      </x:c>
    </x:row>
  </x:sheetData>
  <x:mergeCells>
    <x:mergeCell ref="A1:AF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Directory'!A1","Performance &amp; Client Stack"),"Performance &amp; Client Stack")</x:f>
        <x:v>Performance &amp; Client Stack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653</x:v>
      </x:c>
      <x:c r="B3" s="3" t="str">
        <x:f>IF(Master!C399="","",Master!C399)</x:f>
        <x:v>Electron 42 desktop; React Native 0.86 mobile (2026)</x:v>
      </x:c>
      <x:c r="C3" s="3" t="str">
        <x:f>IF(Master!D399="","",Master!D399)</x:f>
      </x:c>
      <x:c r="D3" s="3" t="str">
        <x:f>IF(Master!E399="","",Master!E399)</x:f>
        <x:v>Web + desktop + Android</x:v>
      </x:c>
      <x:c r="E3" s="3" t="str">
        <x:f>IF(Master!F399="","",Master!F399)</x:f>
        <x:v>Web + Windows/Linux/macOS/iOS/Android</x:v>
      </x:c>
      <x:c r="F3" s="3" t="str">
        <x:f>IF(Master!G399="","",Master!G399)</x:f>
        <x:v>Web-first Next.js/TypeScript; PWA</x:v>
      </x:c>
      <x:c r="G3" s="3" t="str">
        <x:f>IF(Master!H399="","",Master!H399)</x:f>
        <x:v>Web/PWA + Electron desktop; Flutter native mobile beta</x:v>
      </x:c>
      <x:c r="H3" s="3" t="str">
        <x:f>IF(Master!I399="","",Master!I399)</x:f>
        <x:v>Native apps built with Wails v3; web client</x:v>
      </x:c>
      <x:c r="I3" s="3" t="str">
        <x:f>IF(Master!J399="","",Master!J399)</x:f>
        <x:v>Tauri desktop</x:v>
      </x:c>
      <x:c r="J3" s="3" t="str">
        <x:f>IF(Master!K399="","",Master!K399)</x:f>
        <x:v>Native Flutter + Rust</x:v>
      </x:c>
      <x:c r="K3" s="3" t="str">
        <x:f>IF(Master!L399="","",Master!L399)</x:f>
        <x:v>Tauri + SvelteKit; Rust owns native audio/video/capture/device work</x:v>
      </x:c>
      <x:c r="L3" s="3" t="str">
        <x:f>IF(Master!M399="","",Master!M399)</x:f>
      </x:c>
      <x:c r="M3" s="3" t="str">
        <x:f>IF(Master!N399="","",Master!N399)</x:f>
        <x:v>Web; native mobile planned</x:v>
      </x:c>
      <x:c r="N3" s="3" t="str">
        <x:f>IF(Master!O399="","",Master!O399)</x:f>
        <x:v>No single client stack: Element is one client, not Matrix; clients include Element/Element X, Cinny, FluffyChat, Nheko, etc.</x:v>
      </x:c>
      <x:c r="O3" s="3" t="str">
        <x:f>IF(Master!P399="","",Master!P399)</x:f>
        <x:v>Electron desktop; web; native mobile</x:v>
      </x:c>
      <x:c r="P3" s="3" t="str">
        <x:f>IF(Master!Q399="","",Master!Q399)</x:f>
        <x:v>Native Rust desktop; native mobile; web</x:v>
      </x:c>
      <x:c r="Q3" s="3" t="str">
        <x:f>IF(Master!R399="","",Master!R399)</x:f>
        <x:v>Native Qt desktop client</x:v>
      </x:c>
      <x:c r="R3" s="3" t="str">
        <x:f>IF(Master!S399="","",Master!S399)</x:f>
        <x:v>Web + Electron desktop</x:v>
      </x:c>
      <x:c r="S3" s="3" t="str">
        <x:f>IF(Master!T399="","",Master!T399)</x:f>
        <x:v>Web + native desktop/mobile</x:v>
      </x:c>
      <x:c r="T3" s="3" t="str">
        <x:f>IF(Master!U399="","",Master!U399)</x:f>
        <x:v>Electron desktop; React/Vite web</x:v>
      </x:c>
      <x:c r="U3" s="3" t="str">
        <x:f>IF(Master!V399="","",Master!V399)</x:f>
        <x:v>Web/desktop app</x:v>
      </x:c>
      <x:c r="V3" s="3" t="str">
        <x:f>IF(Master!W399="","",Master!W399)</x:f>
        <x:v>Web + Electron desktop + native mobile</x:v>
      </x:c>
      <x:c r="W3" s="3" t="str">
        <x:f>IF(Master!X399="","",Master!X399)</x:f>
        <x:v>Web app</x:v>
      </x:c>
      <x:c r="X3" s="3" t="str">
        <x:f>IF(Master!Y399="","",Master!Y399)</x:f>
      </x:c>
      <x:c r="Y3" s="3" t="str">
        <x:f>IF(Master!Z399="","",Master!Z399)</x:f>
      </x:c>
      <x:c r="Z3" s="3" t="str">
        <x:f>IF(Master!AA399="","",Master!AA399)</x:f>
        <x:v>Web PWA (Solid.js); desktop Electron wrapper; native Android; iOS project</x:v>
      </x:c>
      <x:c r="AA3" s="6" t="str">
        <x:f>IF(Master!AB399="","",Master!AB399)</x:f>
      </x:c>
      <x:c r="AB3" s="3" t="str">
        <x:f>IF(Master!AC399="","",Master!AC399)</x:f>
        <x:v>Web + Windows + Android</x:v>
      </x:c>
      <x:c r="AC3" s="3" t="str">
        <x:f>IF(Master!AD399="","",Master!AD399)</x:f>
      </x:c>
      <x:c r="AD3" s="3" t="str">
        <x:f>IF(Master!AE399="","",Master!AE399)</x:f>
        <x:v>Web + Tauri desktop; mobile in works</x:v>
      </x:c>
      <x:c r="AE3" s="3" t="str">
        <x:f>IF(Master!AF399="","",Master!AF399)</x:f>
        <x:v>Browser-first; desktop/mobile roadmap/availability evolving</x:v>
      </x:c>
      <x:c r="AF3" s="8" t="str">
        <x:f>IF(Master!AG399="","",Master!AG399)</x:f>
        <x:v>Web app + Electron desktop + React Native mobile</x:v>
      </x:c>
    </x:row>
    <x:row r="4" ht="36" customHeight="1">
      <x:c r="A4" s="17" t="s">
        <x:v>654</x:v>
      </x:c>
      <x:c r="B4" s="3" t="str">
        <x:f>IF(Master!C400="","",Master!C400)</x:f>
      </x:c>
      <x:c r="C4" s="3" t="str">
        <x:f>IF(Master!D400="","",Master!D400)</x:f>
      </x:c>
      <x:c r="D4" s="3" t="str">
        <x:f>IF(Master!E400="","",Master!E400)</x:f>
      </x:c>
      <x:c r="E4" s="3" t="str">
        <x:f>IF(Master!F400="","",Master!F400)</x:f>
      </x:c>
      <x:c r="F4" s="3" t="str">
        <x:f>IF(Master!G400="","",Master!G400)</x:f>
      </x:c>
      <x:c r="G4" s="3" t="str">
        <x:f>IF(Master!H400="","",Master!H400)</x:f>
      </x:c>
      <x:c r="H4" s="3" t="str">
        <x:f>IF(Master!I400="","",Master!I400)</x:f>
      </x:c>
      <x:c r="I4" s="3" t="str">
        <x:f>IF(Master!J400="","",Master!J400)</x:f>
        <x:v>~80 MB (vendor claim)</x:v>
      </x:c>
      <x:c r="J4" s="3" t="str">
        <x:f>IF(Master!K400="","",Master!K400)</x:f>
      </x:c>
      <x:c r="K4" s="3" t="str">
        <x:f>IF(Master!L400="","",Master!L400)</x:f>
        <x:v>78 MB RAM on Windows initial boot (developer-reported measurement)</x:v>
      </x:c>
      <x:c r="L4" s="3" t="str">
        <x:f>IF(Master!M400="","",Master!M400)</x:f>
      </x:c>
      <x:c r="M4" s="3" t="str">
        <x:f>IF(Master!N400="","",Master!N400)</x:f>
      </x:c>
      <x:c r="N4" s="3" t="str">
        <x:f>IF(Master!O400="","",Master!O400)</x:f>
        <x:v>Varies by client</x:v>
      </x:c>
      <x:c r="O4" s="3" t="str">
        <x:f>IF(Master!P400="","",Master!P400)</x:f>
      </x:c>
      <x:c r="P4" s="3" t="str">
        <x:f>IF(Master!Q400="","",Master!Q400)</x:f>
      </x:c>
      <x:c r="Q4" s="3" t="str">
        <x:f>IF(Master!R400="","",Master!R400)</x:f>
      </x:c>
      <x:c r="R4" s="3" t="str">
        <x:f>IF(Master!S400="","",Master!S400)</x:f>
      </x:c>
      <x:c r="S4" s="3" t="str">
        <x:f>IF(Master!T400="","",Master!T400)</x:f>
      </x:c>
      <x:c r="T4" s="3" t="str">
        <x:f>IF(Master!U400="","",Master!U400)</x:f>
        <x:v>No public benchmark claimed</x:v>
      </x:c>
      <x:c r="U4" s="3" t="str">
        <x:f>IF(Master!V400="","",Master!V400)</x:f>
        <x:v>13.5MB + 315MB
Client + Webview2</x:v>
      </x:c>
      <x:c r="V4" s="3" t="str">
        <x:f>IF(Master!W400="","",Master!W400)</x:f>
      </x:c>
      <x:c r="W4" s="3" t="str">
        <x:f>IF(Master!X400="","",Master!X400)</x:f>
      </x:c>
      <x:c r="X4" s="3" t="str">
        <x:f>IF(Master!Y400="","",Master!Y400)</x:f>
      </x:c>
      <x:c r="Y4" s="3" t="str">
        <x:f>IF(Master!Z400="","",Master!Z400)</x:f>
      </x:c>
      <x:c r="Z4" s="3" t="str">
        <x:f>IF(Master!AA400="","",Master!AA400)</x:f>
      </x:c>
      <x:c r="AA4" s="6" t="str">
        <x:f>IF(Master!AB400="","",Master!AB400)</x:f>
      </x:c>
      <x:c r="AB4" s="3" t="str">
        <x:f>IF(Master!AC400="","",Master!AC400)</x:f>
      </x:c>
      <x:c r="AC4" s="3" t="str">
        <x:f>IF(Master!AD400="","",Master!AD400)</x:f>
      </x:c>
      <x:c r="AD4" s="3" t="str">
        <x:f>IF(Master!AE400="","",Master!AE400)</x:f>
      </x:c>
      <x:c r="AE4" s="3" t="str">
        <x:f>IF(Master!AF400="","",Master!AF400)</x:f>
      </x:c>
      <x:c r="AF4" s="8" t="str">
        <x:f>IF(Master!AG400="","",Master!AG400)</x:f>
      </x:c>
    </x:row>
    <x:row r="5" ht="36" customHeight="1">
      <x:c r="A5" s="17" t="s">
        <x:v>634</x:v>
      </x:c>
      <x:c r="B5" s="3" t="str">
        <x:f>IF(Master!C380="","",Master!C380)</x:f>
        <x:v>Yes: x64 and ARM64</x:v>
      </x:c>
      <x:c r="C5" s="3" t="str">
        <x:f>IF(Master!D380="","",Master!D380)</x:f>
        <x:v>Web</x:v>
      </x:c>
      <x:c r="D5" s="3" t="str">
        <x:f>IF(Master!E380="","",Master!E380)</x:f>
        <x:v>Yes</x:v>
      </x:c>
      <x:c r="E5" s="3" t="str">
        <x:f>IF(Master!F380="","",Master!F380)</x:f>
        <x:v>Yes</x:v>
      </x:c>
      <x:c r="F5" s="3" t="str">
        <x:f>IF(Master!G380="","",Master!G380)</x:f>
        <x:v>Yes via web/PWA</x:v>
      </x:c>
      <x:c r="G5" s="3" t="str">
        <x:f>IF(Master!H380="","",Master!H380)</x:f>
        <x:v>Yes</x:v>
      </x:c>
      <x:c r="H5" s="3" t="str">
        <x:f>IF(Master!I380="","",Master!I380)</x:f>
        <x:v>Yes</x:v>
      </x:c>
      <x:c r="I5" s="3" t="str">
        <x:f>IF(Master!J380="","",Master!J380)</x:f>
        <x:v>Web TS/HTML/CSS</x:v>
      </x:c>
      <x:c r="J5" s="3" t="str">
        <x:f>IF(Master!K380="","",Master!K380)</x:f>
        <x:v>Flutter/Rust native</x:v>
      </x:c>
      <x:c r="K5" s="3" t="str">
        <x:f>IF(Master!L380="","",Master!L380)</x:f>
        <x:v>Yes</x:v>
      </x:c>
      <x:c r="L5" s="3" t="str">
        <x:f>IF(Master!M380="","",Master!M380)</x:f>
      </x:c>
      <x:c r="M5" s="3" t="str">
        <x:f>IF(Master!N380="","",Master!N380)</x:f>
        <x:v>Web</x:v>
      </x:c>
      <x:c r="N5" s="3" t="str">
        <x:f>IF(Master!O380="","",Master!O380)</x:f>
        <x:v>Yes: many clients</x:v>
      </x:c>
      <x:c r="O5" s="3" t="str">
        <x:f>IF(Master!P380="","",Master!P380)</x:f>
        <x:v>Yes</x:v>
      </x:c>
      <x:c r="P5" s="3" t="str">
        <x:f>IF(Master!Q380="","",Master!Q380)</x:f>
        <x:v>Yes</x:v>
      </x:c>
      <x:c r="Q5" s="3" t="str">
        <x:f>IF(Master!R380="","",Master!R380)</x:f>
        <x:v>Yes</x:v>
      </x:c>
      <x:c r="R5" s="3" t="str">
        <x:f>IF(Master!S380="","",Master!S380)</x:f>
        <x:v>Yes</x:v>
      </x:c>
      <x:c r="S5" s="3" t="str">
        <x:f>IF(Master!T380="","",Master!T380)</x:f>
        <x:v>Yes</x:v>
      </x:c>
      <x:c r="T5" s="3" t="str">
        <x:f>IF(Master!U380="","",Master!U380)</x:f>
        <x:v>Yes</x:v>
      </x:c>
      <x:c r="U5" s="3" t="str">
        <x:f>IF(Master!V380="","",Master!V380)</x:f>
        <x:v>Yes</x:v>
      </x:c>
      <x:c r="V5" s="3" t="str">
        <x:f>IF(Master!W380="","",Master!W380)</x:f>
        <x:v>Yes</x:v>
      </x:c>
      <x:c r="W5" s="3" t="str">
        <x:f>IF(Master!X380="","",Master!X380)</x:f>
        <x:v>Web/TypeScript</x:v>
      </x:c>
      <x:c r="X5" s="3" t="str">
        <x:f>IF(Master!Y380="","",Master!Y380)</x:f>
        <x:v>Yes</x:v>
      </x:c>
      <x:c r="Y5" s="3" t="str">
        <x:f>IF(Master!Z380="","",Master!Z380)</x:f>
        <x:v>Client-dependent</x:v>
      </x:c>
      <x:c r="Z5" s="3" t="str">
        <x:f>IF(Master!AA380="","",Master!AA380)</x:f>
        <x:v>Yes</x:v>
      </x:c>
      <x:c r="AA5" s="6" t="str">
        <x:f>IF(Master!AB380="","",Master!AB380)</x:f>
        <x:v>Yes</x:v>
      </x:c>
      <x:c r="AB5" s="3" t="str">
        <x:f>IF(Master!AC380="","",Master!AC380)</x:f>
        <x:v>Blazor/WebAssembly; desktop launcher</x:v>
      </x:c>
      <x:c r="AC5" s="3" t="str">
        <x:f>IF(Master!AD380="","",Master!AD380)</x:f>
        <x:v>Yes</x:v>
      </x:c>
      <x:c r="AD5" s="3" t="str">
        <x:f>IF(Master!AE380="","",Master!AE380)</x:f>
        <x:v>Tauri</x:v>
      </x:c>
      <x:c r="AE5" s="3" t="str">
        <x:f>IF(Master!AF380="","",Master!AF380)</x:f>
        <x:v>Yes browser</x:v>
      </x:c>
      <x:c r="AF5" s="8" t="str">
        <x:f>IF(Master!AG380="","",Master!AG380)</x:f>
        <x:v>Yes</x:v>
      </x:c>
    </x:row>
    <x:row r="6" ht="36" customHeight="1">
      <x:c r="A6" s="17" t="s">
        <x:v>635</x:v>
      </x:c>
      <x:c r="B6" s="3" t="str">
        <x:f>IF(Master!C381="","",Master!C381)</x:f>
        <x:v>Yes</x:v>
      </x:c>
      <x:c r="C6" s="3" t="str">
        <x:f>IF(Master!D381="","",Master!D381)</x:f>
        <x:v>Web</x:v>
      </x:c>
      <x:c r="D6" s="3" t="str">
        <x:f>IF(Master!E381="","",Master!E381)</x:f>
        <x:v>Yes</x:v>
      </x:c>
      <x:c r="E6" s="3" t="str">
        <x:f>IF(Master!F381="","",Master!F381)</x:f>
        <x:v>Yes</x:v>
      </x:c>
      <x:c r="F6" s="3" t="str">
        <x:f>IF(Master!G381="","",Master!G381)</x:f>
        <x:v>Yes via web/PWA</x:v>
      </x:c>
      <x:c r="G6" s="3" t="str">
        <x:f>IF(Master!H381="","",Master!H381)</x:f>
        <x:v>Yes</x:v>
      </x:c>
      <x:c r="H6" s="3" t="str">
        <x:f>IF(Master!I381="","",Master!I381)</x:f>
        <x:v>Yes</x:v>
      </x:c>
      <x:c r="I6" s="3" t="str">
        <x:f>IF(Master!J381="","",Master!J381)</x:f>
        <x:v>Web</x:v>
      </x:c>
      <x:c r="J6" s="3" t="str">
        <x:f>IF(Master!K381="","",Master!K381)</x:f>
        <x:v>Yes</x:v>
      </x:c>
      <x:c r="K6" s="3" t="str">
        <x:f>IF(Master!L381="","",Master!L381)</x:f>
        <x:v>Yes</x:v>
      </x:c>
      <x:c r="L6" s="3" t="str">
        <x:f>IF(Master!M381="","",Master!M381)</x:f>
      </x:c>
      <x:c r="M6" s="3" t="str">
        <x:f>IF(Master!N381="","",Master!N381)</x:f>
        <x:v>Web</x:v>
      </x:c>
      <x:c r="N6" s="3" t="str">
        <x:f>IF(Master!O381="","",Master!O381)</x:f>
        <x:v>Yes: many clients</x:v>
      </x:c>
      <x:c r="O6" s="3" t="str">
        <x:f>IF(Master!P381="","",Master!P381)</x:f>
        <x:v>Yes</x:v>
      </x:c>
      <x:c r="P6" s="3" t="str">
        <x:f>IF(Master!Q381="","",Master!Q381)</x:f>
        <x:v>Yes</x:v>
      </x:c>
      <x:c r="Q6" s="3" t="str">
        <x:f>IF(Master!R381="","",Master!R381)</x:f>
        <x:v>Yes</x:v>
      </x:c>
      <x:c r="R6" s="3" t="str">
        <x:f>IF(Master!S381="","",Master!S381)</x:f>
        <x:v>Yes</x:v>
      </x:c>
      <x:c r="S6" s="3" t="str">
        <x:f>IF(Master!T381="","",Master!T381)</x:f>
        <x:v>Yes</x:v>
      </x:c>
      <x:c r="T6" s="3" t="str">
        <x:f>IF(Master!U381="","",Master!U381)</x:f>
        <x:v>Yes</x:v>
      </x:c>
      <x:c r="U6" s="3" t="str">
        <x:f>IF(Master!V381="","",Master!V381)</x:f>
        <x:v>Yes</x:v>
      </x:c>
      <x:c r="V6" s="3" t="str">
        <x:f>IF(Master!W381="","",Master!W381)</x:f>
        <x:v>Yes</x:v>
      </x:c>
      <x:c r="W6" s="3" t="str">
        <x:f>IF(Master!X381="","",Master!X381)</x:f>
        <x:v>Web</x:v>
      </x:c>
      <x:c r="X6" s="3" t="str">
        <x:f>IF(Master!Y381="","",Master!Y381)</x:f>
        <x:v>Yes</x:v>
      </x:c>
      <x:c r="Y6" s="3" t="str">
        <x:f>IF(Master!Z381="","",Master!Z381)</x:f>
        <x:v>Client-dependent</x:v>
      </x:c>
      <x:c r="Z6" s="3" t="str">
        <x:f>IF(Master!AA381="","",Master!AA381)</x:f>
        <x:v>Yes</x:v>
      </x:c>
      <x:c r="AA6" s="6" t="str">
        <x:f>IF(Master!AB381="","",Master!AB381)</x:f>
        <x:v>Yes</x:v>
      </x:c>
      <x:c r="AB6" s="3" t="str">
        <x:f>IF(Master!AC381="","",Master!AC381)</x:f>
        <x:v>Web</x:v>
      </x:c>
      <x:c r="AC6" s="3" t="str">
        <x:f>IF(Master!AD381="","",Master!AD381)</x:f>
        <x:v>Yes</x:v>
      </x:c>
      <x:c r="AD6" s="3" t="str">
        <x:f>IF(Master!AE381="","",Master!AE381)</x:f>
        <x:v>Yes</x:v>
      </x:c>
      <x:c r="AE6" s="3" t="str">
        <x:f>IF(Master!AF381="","",Master!AF381)</x:f>
        <x:v>Yes browser</x:v>
      </x:c>
      <x:c r="AF6" s="8" t="str">
        <x:f>IF(Master!AG381="","",Master!AG381)</x:f>
        <x:v>Yes</x:v>
      </x:c>
    </x:row>
    <x:row r="7" ht="36" customHeight="1">
      <x:c r="A7" s="17" t="s">
        <x:v>655</x:v>
      </x:c>
      <x:c r="B7" s="3" t="str">
        <x:f>IF(Master!C401="","",Master!C401)</x:f>
        <x:v>Yes: official .deb, .tar.gz, .rpm, .pkg.tar.zst; no official Flatpak listed</x:v>
      </x:c>
      <x:c r="C7" s="3" t="str">
        <x:f>IF(Master!D401="","",Master!D401)</x:f>
      </x:c>
      <x:c r="D7" s="3" t="str">
        <x:f>IF(Master!E401="","",Master!E401)</x:f>
      </x:c>
      <x:c r="E7" s="3" t="str">
        <x:f>IF(Master!F401="","",Master!F401)</x:f>
        <x:v>Yes</x:v>
      </x:c>
      <x:c r="F7" s="3" t="str">
        <x:f>IF(Master!G401="","",Master!G401)</x:f>
        <x:v>Web/PWA</x:v>
      </x:c>
      <x:c r="G7" s="3" t="str">
        <x:f>IF(Master!H401="","",Master!H401)</x:f>
        <x:v>Yes: deb/rpm/AppImage/tar.gz</x:v>
      </x:c>
      <x:c r="H7" s="3" t="str">
        <x:f>IF(Master!I401="","",Master!I401)</x:f>
        <x:v>Yes</x:v>
      </x:c>
      <x:c r="I7" s="3" t="str">
        <x:f>IF(Master!J401="","",Master!J401)</x:f>
        <x:v>Web</x:v>
      </x:c>
      <x:c r="J7" s="3" t="str">
        <x:f>IF(Master!K401="","",Master!K401)</x:f>
        <x:v>Yes</x:v>
      </x:c>
      <x:c r="K7" s="3" t="str">
        <x:f>IF(Master!L401="","",Master!L401)</x:f>
      </x:c>
      <x:c r="L7" s="3" t="str">
        <x:f>IF(Master!M401="","",Master!M401)</x:f>
      </x:c>
      <x:c r="M7" s="3" t="str">
        <x:f>IF(Master!N401="","",Master!N401)</x:f>
        <x:v>Web</x:v>
      </x:c>
      <x:c r="N7" s="3" t="str">
        <x:f>IF(Master!O401="","",Master!O401)</x:f>
        <x:v>Varies by client</x:v>
      </x:c>
      <x:c r="O7" s="3" t="str">
        <x:f>IF(Master!P401="","",Master!P401)</x:f>
        <x:v>Yes</x:v>
      </x:c>
      <x:c r="P7" s="3" t="str">
        <x:f>IF(Master!Q401="","",Master!Q401)</x:f>
        <x:v>Yes</x:v>
      </x:c>
      <x:c r="Q7" s="3" t="str">
        <x:f>IF(Master!R401="","",Master!R401)</x:f>
        <x:v>Yes</x:v>
      </x:c>
      <x:c r="R7" s="3" t="str">
        <x:f>IF(Master!S401="","",Master!S401)</x:f>
        <x:v>Yes: deb/AppImage</x:v>
      </x:c>
      <x:c r="S7" s="3" t="str">
        <x:f>IF(Master!T401="","",Master!T401)</x:f>
        <x:v>Yes: deb/AppImage/rpm/tar</x:v>
      </x:c>
      <x:c r="T7" s="3" t="str">
        <x:f>IF(Master!U401="","",Master!U401)</x:f>
        <x:v>Yes</x:v>
      </x:c>
      <x:c r="U7" s="3" t="str">
        <x:f>IF(Master!V401="","",Master!V401)</x:f>
        <x:v>AppImage, .deb, and .rpm</x:v>
      </x:c>
      <x:c r="V7" s="3" t="str">
        <x:f>IF(Master!W401="","",Master!W401)</x:f>
        <x:v>Yes</x:v>
      </x:c>
      <x:c r="W7" s="3" t="str">
        <x:f>IF(Master!X401="","",Master!X401)</x:f>
        <x:v>Web</x:v>
      </x:c>
      <x:c r="X7" s="3" t="str">
        <x:f>IF(Master!Y401="","",Master!Y401)</x:f>
      </x:c>
      <x:c r="Y7" s="3" t="str">
        <x:f>IF(Master!Z401="","",Master!Z401)</x:f>
        <x:v>Client-dependent</x:v>
      </x:c>
      <x:c r="Z7" s="3" t="str">
        <x:f>IF(Master!AA401="","",Master!AA401)</x:f>
        <x:v>Yes</x:v>
      </x:c>
      <x:c r="AA7" s="6" t="str">
        <x:f>IF(Master!AB401="","",Master!AB401)</x:f>
        <x:v>Yes</x:v>
      </x:c>
      <x:c r="AB7" s="3" t="str">
        <x:f>IF(Master!AC401="","",Master!AC401)</x:f>
      </x:c>
      <x:c r="AC7" s="3" t="str">
        <x:f>IF(Master!AD401="","",Master!AD401)</x:f>
      </x:c>
      <x:c r="AD7" s="3" t="str">
        <x:f>IF(Master!AE401="","",Master!AE401)</x:f>
      </x:c>
      <x:c r="AE7" s="3" t="str">
        <x:f>IF(Master!AF401="","",Master!AF401)</x:f>
        <x:v>Browser</x:v>
      </x:c>
      <x:c r="AF7" s="8" t="str">
        <x:f>IF(Master!AG401="","",Master!AG401)</x:f>
        <x:v>Yes</x:v>
      </x:c>
    </x:row>
    <x:row r="8" ht="36" customHeight="1">
      <x:c r="A8" s="17" t="s">
        <x:v>656</x:v>
      </x:c>
      <x:c r="B8" s="3" t="str">
        <x:f>IF(Master!C402="","",Master!C402)</x:f>
        <x:v>High but not full; mobile and desktop are converging, with some feature/surface differences</x:v>
      </x:c>
      <x:c r="C8" s="3" t="str">
        <x:f>IF(Master!D402="","",Master!D402)</x:f>
      </x:c>
      <x:c r="D8" s="3" t="str">
        <x:f>IF(Master!E402="","",Master!E402)</x:f>
        <x:v>Yes</x:v>
      </x:c>
      <x:c r="E8" s="3" t="str">
        <x:f>IF(Master!F402="","",Master!F402)</x:f>
        <x:v>Yes: AppImage/deb beta</x:v>
      </x:c>
      <x:c r="F8" s="3" t="str">
        <x:f>IF(Master!G402="","",Master!G402)</x:f>
      </x:c>
      <x:c r="G8" s="3" t="str">
        <x:f>IF(Master!H402="","",Master!H402)</x:f>
        <x:v>Partial: web has more features</x:v>
      </x:c>
      <x:c r="H8" s="3" t="str">
        <x:f>IF(Master!I402="","",Master!I402)</x:f>
      </x:c>
      <x:c r="I8" s="3" t="str">
        <x:f>IF(Master!J402="","",Master!J402)</x:f>
        <x:v>Not yet: mobile apps in development</x:v>
      </x:c>
      <x:c r="J8" s="3" t="str">
        <x:f>IF(Master!K402="","",Master!K402)</x:f>
        <x:v>Yes</x:v>
      </x:c>
      <x:c r="K8" s="3" t="str">
        <x:f>IF(Master!L402="","",Master!L402)</x:f>
        <x:v>High: Flutter mobile has full chat/guild administration plus native voice/video/screen share</x:v>
      </x:c>
      <x:c r="L8" s="3" t="str">
        <x:f>IF(Master!M402="","",Master!M402)</x:f>
      </x:c>
      <x:c r="M8" s="3" t="str">
        <x:f>IF(Master!N402="","",Master!N402)</x:f>
        <x:v>Web</x:v>
      </x:c>
      <x:c r="N8" s="3" t="str">
        <x:f>IF(Master!O402="","",Master!O402)</x:f>
        <x:v>Varies by client</x:v>
      </x:c>
      <x:c r="O8" s="3" t="str">
        <x:f>IF(Master!P402="","",Master!P402)</x:f>
        <x:v>High</x:v>
      </x:c>
      <x:c r="P8" s="3" t="str">
        <x:f>IF(Master!Q402="","",Master!Q402)</x:f>
        <x:v>High</x:v>
      </x:c>
      <x:c r="Q8" s="3" t="str">
        <x:f>IF(Master!R402="","",Master!R402)</x:f>
        <x:v>Not full parity; third-party mobile clients</x:v>
      </x:c>
      <x:c r="R8" s="3" t="str">
        <x:f>IF(Master!S402="","",Master!S402)</x:f>
        <x:v>Partial</x:v>
      </x:c>
      <x:c r="S8" s="3" t="str">
        <x:f>IF(Master!T402="","",Master!T402)</x:f>
        <x:v>High</x:v>
      </x:c>
      <x:c r="T8" s="3" t="str">
        <x:f>IF(Master!U402="","",Master!U402)</x:f>
        <x:v>Partial beta: Android known limitations include no push, camera, or large-room screen-share sending</x:v>
      </x:c>
      <x:c r="U8" s="3" t="str">
        <x:f>IF(Master!V402="","",Master!V402)</x:f>
        <x:v>High</x:v>
      </x:c>
      <x:c r="V8" s="3" t="str">
        <x:f>IF(Master!W402="","",Master!W402)</x:f>
        <x:v>High</x:v>
      </x:c>
      <x:c r="W8" s="3" t="str">
        <x:f>IF(Master!X402="","",Master!X402)</x:f>
        <x:v>Web</x:v>
      </x:c>
      <x:c r="X8" s="3" t="str">
        <x:f>IF(Master!Y402="","",Master!Y402)</x:f>
        <x:v>Partial: mobile lacks screen sharing and some management features</x:v>
      </x:c>
      <x:c r="Y8" s="3" t="str">
        <x:f>IF(Master!Z402="","",Master!Z402)</x:f>
        <x:v>Client-dependent</x:v>
      </x:c>
      <x:c r="Z8" s="3" t="str">
        <x:f>IF(Master!AA402="","",Master!AA402)</x:f>
        <x:v>Partial</x:v>
      </x:c>
      <x:c r="AA8" s="6" t="str">
        <x:f>IF(Master!AB402="","",Master!AB402)</x:f>
      </x:c>
      <x:c r="AB8" s="3" t="str">
        <x:f>IF(Master!AC402="","",Master!AC402)</x:f>
      </x:c>
      <x:c r="AC8" s="3" t="str">
        <x:f>IF(Master!AD402="","",Master!AD402)</x:f>
        <x:v>Linux experimental</x:v>
      </x:c>
      <x:c r="AD8" s="3" t="str">
        <x:f>IF(Master!AE402="","",Master!AE402)</x:f>
      </x:c>
      <x:c r="AE8" s="3" t="str">
        <x:f>IF(Master!AF402="","",Master!AF402)</x:f>
        <x:v>Browser</x:v>
      </x:c>
      <x:c r="AF8" s="8" t="str">
        <x:f>IF(Master!AG402="","",Master!AG402)</x:f>
        <x:v>High but some differences</x:v>
      </x:c>
    </x:row>
    <x:row r="9" ht="36" customHeight="1">
      <x:c r="A9" s="17" t="s">
        <x:v>657</x:v>
      </x:c>
      <x:c r="B9" s="3" t="str">
        <x:f>IF(Master!C403="","",Master!C403)</x:f>
        <x:v>Google Play (official); F-Droid/APK not officially listed on Discord's download page</x:v>
      </x:c>
      <x:c r="C9" s="3" t="str">
        <x:f>IF(Master!D403="","",Master!D403)</x:f>
      </x:c>
      <x:c r="D9" s="3" t="str">
        <x:f>IF(Master!E403="","",Master!E403)</x:f>
        <x:v>Android / Google Play</x:v>
      </x:c>
      <x:c r="E9" s="3" t="str">
        <x:f>IF(Master!F403="","",Master!F403)</x:f>
        <x:v>Signed APK</x:v>
      </x:c>
      <x:c r="F9" s="3" t="str">
        <x:f>IF(Master!G403="","",Master!G403)</x:f>
      </x:c>
      <x:c r="G9" s="3" t="str">
        <x:f>IF(Master!H403="","",Master!H403)</x:f>
        <x:v>Android native beta/public testing + PWA</x:v>
      </x:c>
      <x:c r="H9" s="3" t="str">
        <x:f>IF(Master!I403="","",Master!I403)</x:f>
        <x:v>Google Play</x:v>
      </x:c>
      <x:c r="I9" s="3" t="str">
        <x:f>IF(Master!J403="","",Master!J403)</x:f>
        <x:v>Web</x:v>
      </x:c>
      <x:c r="J9" s="3" t="str">
        <x:f>IF(Master!K403="","",Master!K403)</x:f>
        <x:v>Mobile port</x:v>
      </x:c>
      <x:c r="K9" s="3" t="str">
        <x:f>IF(Master!L403="","",Master!L403)</x:f>
        <x:v>Android Play Store beta/open-testing + sideload (developer report)</x:v>
      </x:c>
      <x:c r="L9" s="3" t="str">
        <x:f>IF(Master!M403="","",Master!M403)</x:f>
      </x:c>
      <x:c r="M9" s="3" t="str">
        <x:f>IF(Master!N403="","",Master!N403)</x:f>
        <x:v>Planned</x:v>
      </x:c>
      <x:c r="N9" s="3" t="str">
        <x:f>IF(Master!O403="","",Master!O403)</x:f>
        <x:v>Varies by client</x:v>
      </x:c>
      <x:c r="O9" s="3" t="str">
        <x:f>IF(Master!P403="","",Master!P403)</x:f>
        <x:v>Google Play / enterprise distribution</x:v>
      </x:c>
      <x:c r="P9" s="3" t="str">
        <x:f>IF(Master!Q403="","",Master!Q403)</x:f>
        <x:v>Native Android</x:v>
      </x:c>
      <x:c r="Q9" s="3" t="str">
        <x:f>IF(Master!R403="","",Master!R403)</x:f>
        <x:v>Third-party clients</x:v>
      </x:c>
      <x:c r="R9" s="3" t="str">
        <x:f>IF(Master!S403="","",Master!S403)</x:f>
        <x:v>Android APK</x:v>
      </x:c>
      <x:c r="S9" s="3" t="str">
        <x:f>IF(Master!T403="","",Master!T403)</x:f>
        <x:v>Google Play</x:v>
      </x:c>
      <x:c r="T9" s="3" t="str">
        <x:f>IF(Master!U403="","",Master!U403)</x:f>
        <x:v>Native APK beta: https://pqp.gg/android</x:v>
      </x:c>
      <x:c r="U9" s="3" t="str">
        <x:f>IF(Master!V403="","",Master!V403)</x:f>
        <x:v>Playstore &amp; APK</x:v>
      </x:c>
      <x:c r="V9" s="3" t="str">
        <x:f>IF(Master!W403="","",Master!W403)</x:f>
        <x:v>Google Play</x:v>
      </x:c>
      <x:c r="W9" s="3" t="str">
        <x:f>IF(Master!X403="","",Master!X403)</x:f>
        <x:v>Web</x:v>
      </x:c>
      <x:c r="X9" s="3" t="str">
        <x:f>IF(Master!Y403="","",Master!Y403)</x:f>
        <x:v>Google Play</x:v>
      </x:c>
      <x:c r="Y9" s="3" t="str">
        <x:f>IF(Master!Z403="","",Master!Z403)</x:f>
        <x:v>Client-dependent</x:v>
      </x:c>
      <x:c r="Z9" s="3" t="str">
        <x:f>IF(Master!AA403="","",Master!AA403)</x:f>
      </x:c>
      <x:c r="AA9" s="6" t="str">
        <x:f>IF(Master!AB403="","",Master!AB403)</x:f>
        <x:v>Google Play / availability varies</x:v>
      </x:c>
      <x:c r="AB9" s="3" t="str">
        <x:f>IF(Master!AC403="","",Master!AC403)</x:f>
        <x:v>Android APK</x:v>
      </x:c>
      <x:c r="AC9" s="3" t="str">
        <x:f>IF(Master!AD403="","",Master!AD403)</x:f>
      </x:c>
      <x:c r="AD9" s="3" t="str">
        <x:f>IF(Master!AE403="","",Master!AE403)</x:f>
        <x:v>Mobile in works</x:v>
      </x:c>
      <x:c r="AE9" s="3" t="str">
        <x:f>IF(Master!AF403="","",Master!AF403)</x:f>
        <x:v>Mobile browser/app roadmap</x:v>
      </x:c>
      <x:c r="AF9" s="8" t="str">
        <x:f>IF(Master!AG403="","",Master!AG403)</x:f>
      </x:c>
    </x:row>
    <x:row r="10" ht="36" customHeight="1">
      <x:c r="A10" s="17" t="s">
        <x:v>658</x:v>
      </x:c>
      <x:c r="B10" s="3" t="str">
        <x:f>IF(Master!C404="","",Master!C404)</x:f>
        <x:v>App Store; TestFlight used for beta/testing</x:v>
      </x:c>
      <x:c r="C10" s="3" t="str">
        <x:f>IF(Master!D404="","",Master!D404)</x:f>
      </x:c>
      <x:c r="D10" s="3" t="str">
        <x:f>IF(Master!E404="","",Master!E404)</x:f>
      </x:c>
      <x:c r="E10" s="3" t="str">
        <x:f>IF(Master!F404="","",Master!F404)</x:f>
        <x:v>App Store</x:v>
      </x:c>
      <x:c r="F10" s="3" t="str">
        <x:f>IF(Master!G404="","",Master!G404)</x:f>
      </x:c>
      <x:c r="G10" s="3" t="str">
        <x:f>IF(Master!H404="","",Master!H404)</x:f>
        <x:v>TestFlight beta; no App Store yet</x:v>
      </x:c>
      <x:c r="H10" s="3" t="str">
        <x:f>IF(Master!I404="","",Master!I404)</x:f>
        <x:v>iOS app available</x:v>
      </x:c>
      <x:c r="I10" s="3" t="str">
        <x:f>IF(Master!J404="","",Master!J404)</x:f>
        <x:v>Web</x:v>
      </x:c>
      <x:c r="J10" s="3" t="str">
        <x:f>IF(Master!K404="","",Master!K404)</x:f>
        <x:v>iOS TestFlight planned/coming</x:v>
      </x:c>
      <x:c r="K10" s="3" t="str">
        <x:f>IF(Master!L404="","",Master!L404)</x:f>
        <x:v>TestFlight and self-build (developer report)</x:v>
      </x:c>
      <x:c r="L10" s="3" t="str">
        <x:f>IF(Master!M404="","",Master!M404)</x:f>
      </x:c>
      <x:c r="M10" s="3" t="str">
        <x:f>IF(Master!N404="","",Master!N404)</x:f>
        <x:v>Planned</x:v>
      </x:c>
      <x:c r="N10" s="3" t="str">
        <x:f>IF(Master!O404="","",Master!O404)</x:f>
        <x:v>Varies by client</x:v>
      </x:c>
      <x:c r="O10" s="3" t="str">
        <x:f>IF(Master!P404="","",Master!P404)</x:f>
        <x:v>App Store / enterprise distribution</x:v>
      </x:c>
      <x:c r="P10" s="3" t="str">
        <x:f>IF(Master!Q404="","",Master!Q404)</x:f>
        <x:v>Native iOS</x:v>
      </x:c>
      <x:c r="Q10" s="3" t="str">
        <x:f>IF(Master!R404="","",Master!R404)</x:f>
        <x:v>Third-party clients</x:v>
      </x:c>
      <x:c r="R10" s="3" t="str">
        <x:f>IF(Master!S404="","",Master!S404)</x:f>
        <x:v>No iOS app documented</x:v>
      </x:c>
      <x:c r="S10" s="3" t="str">
        <x:f>IF(Master!T404="","",Master!T404)</x:f>
        <x:v>App Store</x:v>
      </x:c>
      <x:c r="T10" s="3" t="str">
        <x:f>IF(Master!U404="","",Master!U404)</x:f>
        <x:v>Native TestFlight beta: https://pqp.gg/beta</x:v>
      </x:c>
      <x:c r="U10" s="3" t="str">
        <x:f>IF(Master!V404="","",Master!V404)</x:f>
        <x:v>Testflight - Awaiting appstore approval</x:v>
      </x:c>
      <x:c r="V10" s="3" t="str">
        <x:f>IF(Master!W404="","",Master!W404)</x:f>
        <x:v>App Store</x:v>
      </x:c>
      <x:c r="W10" s="3" t="str">
        <x:f>IF(Master!X404="","",Master!X404)</x:f>
        <x:v>Web</x:v>
      </x:c>
      <x:c r="X10" s="3" t="str">
        <x:f>IF(Master!Y404="","",Master!Y404)</x:f>
        <x:v>App Store</x:v>
      </x:c>
      <x:c r="Y10" s="3" t="str">
        <x:f>IF(Master!Z404="","",Master!Z404)</x:f>
        <x:v>Client-dependent</x:v>
      </x:c>
      <x:c r="Z10" s="3" t="str">
        <x:f>IF(Master!AA404="","",Master!AA404)</x:f>
      </x:c>
      <x:c r="AA10" s="6" t="str">
        <x:f>IF(Master!AB404="","",Master!AB404)</x:f>
        <x:v>App Store / availability varies</x:v>
      </x:c>
      <x:c r="AB10" s="3" t="str">
        <x:f>IF(Master!AC404="","",Master!AC404)</x:f>
      </x:c>
      <x:c r="AC10" s="3" t="str">
        <x:f>IF(Master!AD404="","",Master!AD404)</x:f>
      </x:c>
      <x:c r="AD10" s="3" t="str">
        <x:f>IF(Master!AE404="","",Master!AE404)</x:f>
        <x:v>Mobile in works</x:v>
      </x:c>
      <x:c r="AE10" s="3" t="str">
        <x:f>IF(Master!AF404="","",Master!AF404)</x:f>
        <x:v>Mobile browser/app roadmap</x:v>
      </x:c>
      <x:c r="AF10" s="8" t="str">
        <x:f>IF(Master!AG404="","",Master!AG404)</x:f>
        <x:v>App Store</x:v>
      </x:c>
    </x:row>
    <x:row r="11" ht="36" customHeight="1">
      <x:c r="A11" s="17" t="s">
        <x:v>659</x:v>
      </x:c>
      <x:c r="B11" s="3" t="str">
        <x:f>IF(Master!C405="","",Master!C405)</x:f>
      </x:c>
      <x:c r="C11" s="3" t="str">
        <x:f>IF(Master!D405="","",Master!D405)</x:f>
      </x:c>
      <x:c r="D11" s="3" t="str">
        <x:f>IF(Master!E405="","",Master!E405)</x:f>
        <x:v>Web</x:v>
      </x:c>
      <x:c r="E11" s="3" t="str">
        <x:f>IF(Master!F405="","",Master!F405)</x:f>
        <x:v>PWA/add-to-home-screen</x:v>
      </x:c>
      <x:c r="F11" s="3" t="str">
        <x:f>IF(Master!G405="","",Master!G405)</x:f>
      </x:c>
      <x:c r="G11" s="3" t="str">
        <x:f>IF(Master!H405="","",Master!H405)</x:f>
      </x:c>
      <x:c r="H11" s="3" t="str">
        <x:f>IF(Master!I405="","",Master!I405)</x:f>
      </x:c>
      <x:c r="I11" s="3" t="str">
        <x:f>IF(Master!J405="","",Master!J405)</x:f>
        <x:v>Yes</x:v>
      </x:c>
      <x:c r="J11" s="3" t="str">
        <x:f>IF(Master!K405="","",Master!K405)</x:f>
        <x:v>No/limited web</x:v>
      </x:c>
      <x:c r="K11" s="3" t="str">
        <x:f>IF(Master!L405="","",Master!L405)</x:f>
        <x:v>Optional content-free signed wake relay to FCM/APNs for official store apps; self-host/custom relay and no-push builds are supported</x:v>
      </x:c>
      <x:c r="L11" s="3" t="str">
        <x:f>IF(Master!M405="","",Master!M405)</x:f>
        <x:v>Yes</x:v>
      </x:c>
      <x:c r="M11" s="3" t="str">
        <x:f>IF(Master!N405="","",Master!N405)</x:f>
        <x:v>Yes</x:v>
      </x:c>
      <x:c r="N11" s="3" t="str">
        <x:f>IF(Master!O405="","",Master!O405)</x:f>
        <x:v>Varies by client/server</x:v>
      </x:c>
      <x:c r="O11" s="3" t="str">
        <x:f>IF(Master!P405="","",Master!P405)</x:f>
        <x:v>FCM/APNs; enterprise options vary</x:v>
      </x:c>
      <x:c r="P11" s="3" t="str">
        <x:f>IF(Master!Q405="","",Master!Q405)</x:f>
        <x:v>Web</x:v>
      </x:c>
      <x:c r="Q11" s="3" t="str">
        <x:f>IF(Master!R405="","",Master!R405)</x:f>
        <x:v>Client-dependent</x:v>
      </x:c>
      <x:c r="R11" s="3" t="str">
        <x:f>IF(Master!S405="","",Master!S405)</x:f>
      </x:c>
      <x:c r="S11" s="3" t="str">
        <x:f>IF(Master!T405="","",Master!T405)</x:f>
        <x:v>Web app</x:v>
      </x:c>
      <x:c r="T11" s="3" t="str">
        <x:f>IF(Master!U405="","",Master!U405)</x:f>
        <x:v>Not publicly claimed</x:v>
      </x:c>
      <x:c r="U11" s="3" t="str">
        <x:f>IF(Master!V405="","",Master!V405)</x:f>
        <x:v>FCM and APNs on mobile, Web Push on web, native on desktop</x:v>
      </x:c>
      <x:c r="V11" s="3" t="str">
        <x:f>IF(Master!W405="","",Master!W405)</x:f>
        <x:v>FCM/APNs; deployment-specific</x:v>
      </x:c>
      <x:c r="W11" s="3" t="str">
        <x:f>IF(Master!X405="","",Master!X405)</x:f>
        <x:v>Yes</x:v>
      </x:c>
      <x:c r="X11" s="3" t="str">
        <x:f>IF(Master!Y405="","",Master!Y405)</x:f>
      </x:c>
      <x:c r="Y11" s="3" t="str">
        <x:f>IF(Master!Z405="","",Master!Z405)</x:f>
        <x:v>Operator/client-dependent</x:v>
      </x:c>
      <x:c r="Z11" s="3" t="str">
        <x:f>IF(Master!AA405="","",Master!AA405)</x:f>
      </x:c>
      <x:c r="AA11" s="6" t="str">
        <x:f>IF(Master!AB405="","",Master!AB405)</x:f>
      </x:c>
      <x:c r="AB11" s="3" t="str">
        <x:f>IF(Master!AC405="","",Master!AC405)</x:f>
        <x:v>Yes</x:v>
      </x:c>
      <x:c r="AC11" s="3" t="str">
        <x:f>IF(Master!AD405="","",Master!AD405)</x:f>
      </x:c>
      <x:c r="AD11" s="3" t="str">
        <x:f>IF(Master!AE405="","",Master!AE405)</x:f>
        <x:v>Web</x:v>
      </x:c>
      <x:c r="AE11" s="3" t="str">
        <x:f>IF(Master!AF405="","",Master!AF405)</x:f>
        <x:v>Yes</x:v>
      </x:c>
      <x:c r="AF11" s="8" t="str">
        <x:f>IF(Master!AG405="","",Master!AG405)</x:f>
      </x:c>
    </x:row>
    <x:row r="12" ht="21.950000762939453" customHeight="1">
      <x:c r="A12" s="18" t="s">
        <x:v>660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631</x:v>
      </x:c>
      <x:c r="B13" s="3" t="str">
        <x:f>IF(Master!C377="","",Master!C377)</x:f>
        <x:v>Yes</x:v>
      </x:c>
      <x:c r="C13" s="3" t="str">
        <x:f>IF(Master!D377="","",Master!D377)</x:f>
        <x:v>Yes</x:v>
      </x:c>
      <x:c r="D13" s="3" t="str">
        <x:f>IF(Master!E377="","",Master!E377)</x:f>
        <x:v>Yes</x:v>
      </x:c>
      <x:c r="E13" s="3" t="str">
        <x:f>IF(Master!F377="","",Master!F377)</x:f>
        <x:v>Yes</x:v>
      </x:c>
      <x:c r="F13" s="3" t="str">
        <x:f>IF(Master!G377="","",Master!G377)</x:f>
        <x:v>Yes</x:v>
      </x:c>
      <x:c r="G13" s="3" t="str">
        <x:f>IF(Master!H377="","",Master!H377)</x:f>
        <x:v>Yes</x:v>
      </x:c>
      <x:c r="H13" s="3" t="str">
        <x:f>IF(Master!I377="","",Master!I377)</x:f>
        <x:v>Yes</x:v>
      </x:c>
      <x:c r="I13" s="3" t="str">
        <x:f>IF(Master!J377="","",Master!J377)</x:f>
        <x:v>Yes</x:v>
      </x:c>
      <x:c r="J13" s="3" t="str">
        <x:f>IF(Master!K377="","",Master!K377)</x:f>
        <x:v>No web-first; native clients</x:v>
      </x:c>
      <x:c r="K13" s="3" t="str">
        <x:f>IF(Master!L377="","",Master!L377)</x:f>
        <x:v>Yes</x:v>
      </x:c>
      <x:c r="L13" s="3" t="str">
        <x:f>IF(Master!M377="","",Master!M377)</x:f>
        <x:v>Yes</x:v>
      </x:c>
      <x:c r="M13" s="3" t="str">
        <x:f>IF(Master!N377="","",Master!N377)</x:f>
        <x:v>Yes</x:v>
      </x:c>
      <x:c r="N13" s="3" t="str">
        <x:f>IF(Master!O377="","",Master!O377)</x:f>
        <x:v>Yes: depends on chosen client</x:v>
      </x:c>
      <x:c r="O13" s="3" t="str">
        <x:f>IF(Master!P377="","",Master!P377)</x:f>
        <x:v>Yes</x:v>
      </x:c>
      <x:c r="P13" s="3" t="str">
        <x:f>IF(Master!Q377="","",Master!Q377)</x:f>
        <x:v>Yes</x:v>
      </x:c>
      <x:c r="Q13" s="3" t="str">
        <x:f>IF(Master!R377="","",Master!R377)</x:f>
        <x:v>No official web client core</x:v>
      </x:c>
      <x:c r="R13" s="3" t="str">
        <x:f>IF(Master!S377="","",Master!S377)</x:f>
        <x:v>Yes</x:v>
      </x:c>
      <x:c r="S13" s="3" t="str">
        <x:f>IF(Master!T377="","",Master!T377)</x:f>
        <x:v>Yes</x:v>
      </x:c>
      <x:c r="T13" s="3" t="str">
        <x:f>IF(Master!U377="","",Master!U377)</x:f>
        <x:v>Yes: React/Vite</x:v>
      </x:c>
      <x:c r="U13" s="3" t="str">
        <x:f>IF(Master!V377="","",Master!V377)</x:f>
        <x:v>Yes</x:v>
      </x:c>
      <x:c r="V13" s="3" t="str">
        <x:f>IF(Master!W377="","",Master!W377)</x:f>
        <x:v>Yes</x:v>
      </x:c>
      <x:c r="W13" s="3" t="str">
        <x:f>IF(Master!X377="","",Master!X377)</x:f>
        <x:v>Yes</x:v>
      </x:c>
      <x:c r="X13" s="3" t="str">
        <x:f>IF(Master!Y377="","",Master!Y377)</x:f>
        <x:v>Yes/desktop service surface</x:v>
      </x:c>
      <x:c r="Y13" s="3" t="str">
        <x:f>IF(Master!Z377="","",Master!Z377)</x:f>
        <x:v>Spacebar client/web options</x:v>
      </x:c>
      <x:c r="Z13" s="3" t="str">
        <x:f>IF(Master!AA377="","",Master!AA377)</x:f>
        <x:v>Yes: Solid.js PWA</x:v>
      </x:c>
      <x:c r="AA13" s="6" t="str">
        <x:f>IF(Master!AB377="","",Master!AB377)</x:f>
        <x:v>Web support/product-generation dependent</x:v>
      </x:c>
      <x:c r="AB13" s="3" t="str">
        <x:f>IF(Master!AC377="","",Master!AC377)</x:f>
        <x:v>Yes</x:v>
      </x:c>
      <x:c r="AC13" s="3" t="str">
        <x:f>IF(Master!AD377="","",Master!AD377)</x:f>
      </x:c>
      <x:c r="AD13" s="3" t="str">
        <x:f>IF(Master!AE377="","",Master!AE377)</x:f>
        <x:v>Yes</x:v>
      </x:c>
      <x:c r="AE13" s="3" t="str">
        <x:f>IF(Master!AF377="","",Master!AF377)</x:f>
        <x:v>Yes</x:v>
      </x:c>
      <x:c r="AF13" s="8" t="str">
        <x:f>IF(Master!AG377="","",Master!AG377)</x:f>
        <x:v>Yes</x:v>
      </x:c>
    </x:row>
    <x:row r="14" ht="36" customHeight="1">
      <x:c r="A14" s="17" t="s">
        <x:v>639</x:v>
      </x:c>
      <x:c r="B14" s="3" t="str">
        <x:f>IF(Master!C385="","",Master!C385)</x:f>
        <x:v>Web app; installability varies</x:v>
      </x:c>
      <x:c r="C14" s="3" t="str">
        <x:f>IF(Master!D385="","",Master!D385)</x:f>
      </x:c>
      <x:c r="D14" s="3" t="str">
        <x:f>IF(Master!E385="","",Master!E385)</x:f>
        <x:v>Yes</x:v>
      </x:c>
      <x:c r="E14" s="3" t="str">
        <x:f>IF(Master!F385="","",Master!F385)</x:f>
        <x:v>Yes</x:v>
      </x:c>
      <x:c r="F14" s="3" t="str">
        <x:f>IF(Master!G385="","",Master!G385)</x:f>
        <x:v>Yes</x:v>
      </x:c>
      <x:c r="G14" s="3" t="str">
        <x:f>IF(Master!H385="","",Master!H385)</x:f>
        <x:v>Yes</x:v>
      </x:c>
      <x:c r="H14" s="3" t="str">
        <x:f>IF(Master!I385="","",Master!I385)</x:f>
        <x:v>Yes/web</x:v>
      </x:c>
      <x:c r="I14" s="3" t="str">
        <x:f>IF(Master!J385="","",Master!J385)</x:f>
        <x:v>Yes</x:v>
      </x:c>
      <x:c r="J14" s="3" t="str">
        <x:f>IF(Master!K385="","",Master!K385)</x:f>
        <x:v>No</x:v>
      </x:c>
      <x:c r="K14" s="3" t="str">
        <x:f>IF(Master!L385="","",Master!L385)</x:f>
        <x:v>Yes</x:v>
      </x:c>
      <x:c r="L14" s="3" t="str">
        <x:f>IF(Master!M385="","",Master!M385)</x:f>
        <x:v>Yes</x:v>
      </x:c>
      <x:c r="M14" s="3" t="str">
        <x:f>IF(Master!N385="","",Master!N385)</x:f>
        <x:v>Yes</x:v>
      </x:c>
      <x:c r="N14" s="3" t="str">
        <x:f>IF(Master!O385="","",Master!O385)</x:f>
        <x:v>Many clients have PWAs</x:v>
      </x:c>
      <x:c r="O14" s="3" t="str">
        <x:f>IF(Master!P385="","",Master!P385)</x:f>
        <x:v>Yes/web</x:v>
      </x:c>
      <x:c r="P14" s="3" t="str">
        <x:f>IF(Master!Q385="","",Master!Q385)</x:f>
        <x:v>Yes</x:v>
      </x:c>
      <x:c r="Q14" s="3" t="str">
        <x:f>IF(Master!R385="","",Master!R385)</x:f>
        <x:v>No</x:v>
      </x:c>
      <x:c r="R14" s="3" t="str">
        <x:f>IF(Master!S385="","",Master!S385)</x:f>
        <x:v>Web app</x:v>
      </x:c>
      <x:c r="S14" s="3" t="str">
        <x:f>IF(Master!T385="","",Master!T385)</x:f>
        <x:v>Yes</x:v>
      </x:c>
      <x:c r="T14" s="3" t="str">
        <x:f>IF(Master!U385="","",Master!U385)</x:f>
        <x:v>Yes</x:v>
      </x:c>
      <x:c r="U14" s="3" t="str">
        <x:f>IF(Master!V385="","",Master!V385)</x:f>
        <x:v>Yes</x:v>
      </x:c>
      <x:c r="V14" s="3" t="str">
        <x:f>IF(Master!W385="","",Master!W385)</x:f>
        <x:v>Yes</x:v>
      </x:c>
      <x:c r="W14" s="3" t="str">
        <x:f>IF(Master!X385="","",Master!X385)</x:f>
        <x:v>Yes</x:v>
      </x:c>
      <x:c r="X14" s="3" t="str">
        <x:f>IF(Master!Y385="","",Master!Y385)</x:f>
      </x:c>
      <x:c r="Y14" s="3" t="str">
        <x:f>IF(Master!Z385="","",Master!Z385)</x:f>
      </x:c>
      <x:c r="Z14" s="3" t="str">
        <x:f>IF(Master!AA385="","",Master!AA385)</x:f>
        <x:v>Yes</x:v>
      </x:c>
      <x:c r="AA14" s="6" t="str">
        <x:f>IF(Master!AB385="","",Master!AB385)</x:f>
      </x:c>
      <x:c r="AB14" s="3" t="str">
        <x:f>IF(Master!AC385="","",Master!AC385)</x:f>
        <x:v>Yes</x:v>
      </x:c>
      <x:c r="AC14" s="3" t="str">
        <x:f>IF(Master!AD385="","",Master!AD385)</x:f>
      </x:c>
      <x:c r="AD14" s="3" t="str">
        <x:f>IF(Master!AE385="","",Master!AE385)</x:f>
        <x:v>Yes</x:v>
      </x:c>
      <x:c r="AE14" s="3" t="str">
        <x:f>IF(Master!AF385="","",Master!AF385)</x:f>
        <x:v>Yes</x:v>
      </x:c>
      <x:c r="AF14" s="8" t="str">
        <x:f>IF(Master!AG385="","",Master!AG385)</x:f>
        <x:v>Yes</x:v>
      </x:c>
    </x:row>
    <x:row r="15" ht="36" customHeight="1">
      <x:c r="A15" s="17" t="s">
        <x:v>642</x:v>
      </x:c>
      <x:c r="B15" s="3" t="str">
        <x:f>IF(Master!C388="","",Master!C388)</x:f>
        <x:v>No supported third-party clients</x:v>
      </x:c>
      <x:c r="C15" s="3" t="str">
        <x:f>IF(Master!D388="","",Master!D388)</x:f>
        <x:v>Other clients can use Nostr but not necessarily Armada features</x:v>
      </x:c>
      <x:c r="D15" s="3" t="str">
        <x:f>IF(Master!E388="","",Master!E388)</x:f>
        <x:v>Open source/custom possible</x:v>
      </x:c>
      <x:c r="E15" s="3" t="str">
        <x:f>IF(Master!F388="","",Master!F388)</x:f>
        <x:v>No</x:v>
      </x:c>
      <x:c r="F15" s="3" t="str">
        <x:f>IF(Master!G388="","",Master!G388)</x:f>
        <x:v>No established ecosystem</x:v>
      </x:c>
      <x:c r="G15" s="3" t="str">
        <x:f>IF(Master!H388="","",Master!H388)</x:f>
      </x:c>
      <x:c r="H15" s="3" t="str">
        <x:f>IF(Master!I388="","",Master!I388)</x:f>
        <x:v>No established third-party clients</x:v>
      </x:c>
      <x:c r="I15" s="3" t="str">
        <x:f>IF(Master!J388="","",Master!J388)</x:f>
        <x:v>Yes: API permits independent clients</x:v>
      </x:c>
      <x:c r="J15" s="3" t="str">
        <x:f>IF(Master!K388="","",Master!K388)</x:f>
        <x:v>No mature third-party client ecosystem</x:v>
      </x:c>
      <x:c r="K15" s="3" t="str">
        <x:f>IF(Master!L388="","",Master!L388)</x:f>
        <x:v>No established third-party client ecosystem yet</x:v>
      </x:c>
      <x:c r="L15" s="3" t="str">
        <x:f>IF(Master!M388="","",Master!M388)</x:f>
        <x:v>No</x:v>
      </x:c>
      <x:c r="M15" s="3" t="str">
        <x:f>IF(Master!N388="","",Master!N388)</x:f>
      </x:c>
      <x:c r="N15" s="3" t="str">
        <x:f>IF(Master!O388="","",Master!O388)</x:f>
        <x:v>Yes: many interchangeable clients</x:v>
      </x:c>
      <x:c r="O15" s="3" t="str">
        <x:f>IF(Master!P388="","",Master!P388)</x:f>
        <x:v>Custom clients possible</x:v>
      </x:c>
      <x:c r="P15" s="3" t="str">
        <x:f>IF(Master!Q388="","",Master!Q388)</x:f>
        <x:v>Forks/custom possible</x:v>
      </x:c>
      <x:c r="Q15" s="3" t="str">
        <x:f>IF(Master!R388="","",Master!R388)</x:f>
        <x:v>Yes: third-party Mumble clients</x:v>
      </x:c>
      <x:c r="R15" s="3" t="str">
        <x:f>IF(Master!S388="","",Master!S388)</x:f>
        <x:v>Community/forks possible</x:v>
      </x:c>
      <x:c r="S15" s="3" t="str">
        <x:f>IF(Master!T388="","",Master!T388)</x:f>
        <x:v>No established third-party clients</x:v>
      </x:c>
      <x:c r="T15" s="3" t="str">
        <x:f>IF(Master!U388="","",Master!U388)</x:f>
        <x:v>No third-party client ecosystem claimed; official clients are open source</x:v>
      </x:c>
      <x:c r="U15" s="3" t="str">
        <x:f>IF(Master!V388="","",Master!V388)</x:f>
        <x:v>No</x:v>
      </x:c>
      <x:c r="V15" s="3" t="str">
        <x:f>IF(Master!W388="","",Master!W388)</x:f>
        <x:v>Custom clients possible</x:v>
      </x:c>
      <x:c r="W15" s="3" t="str">
        <x:f>IF(Master!X388="","",Master!X388)</x:f>
      </x:c>
      <x:c r="X15" s="3" t="str">
        <x:f>IF(Master!Y388="","",Master!Y388)</x:f>
        <x:v>No</x:v>
      </x:c>
      <x:c r="Y15" s="3" t="str">
        <x:f>IF(Master!Z388="","",Master!Z388)</x:f>
        <x:v>Potential Discord-compatible clients/community clients</x:v>
      </x:c>
      <x:c r="Z15" s="3" t="str">
        <x:f>IF(Master!AA388="","",Master!AA388)</x:f>
        <x:v>Community clients exist</x:v>
      </x:c>
      <x:c r="AA15" s="6" t="str">
        <x:f>IF(Master!AB388="","",Master!AB388)</x:f>
        <x:v>Limited</x:v>
      </x:c>
      <x:c r="AB15" s="3" t="str">
        <x:f>IF(Master!AC388="","",Master!AC388)</x:f>
        <x:v>Open API/custom possible</x:v>
      </x:c>
      <x:c r="AC15" s="3" t="str">
        <x:f>IF(Master!AD388="","",Master!AD388)</x:f>
      </x:c>
      <x:c r="AD15" s="3" t="str">
        <x:f>IF(Master!AE388="","",Master!AE388)</x:f>
        <x:v>No</x:v>
      </x:c>
      <x:c r="AE15" s="3" t="str">
        <x:f>IF(Master!AF388="","",Master!AF388)</x:f>
        <x:v>No</x:v>
      </x:c>
      <x:c r="AF15" s="8" t="str">
        <x:f>IF(Master!AG388="","",Master!AG388)</x:f>
        <x:v>Third-party/API clients possible</x:v>
      </x:c>
    </x:row>
    <x:row r="16" ht="36" customHeight="1">
      <x:c r="A16" s="17" t="s">
        <x:v>643</x:v>
      </x:c>
      <x:c r="B16" s="3" t="str">
        <x:f>IF(Master!C389="","",Master!C389)</x:f>
        <x:v>Desktop Account Switcher up to 5 accounts</x:v>
      </x:c>
      <x:c r="C16" s="3" t="str">
        <x:f>IF(Master!D389="","",Master!D389)</x:f>
        <x:v>Key-based identity</x:v>
      </x:c>
      <x:c r="D16" s="3" t="str">
        <x:f>IF(Master!E389="","",Master!E389)</x:f>
      </x:c>
      <x:c r="E16" s="3" t="str">
        <x:f>IF(Master!F389="","",Master!F389)</x:f>
      </x:c>
      <x:c r="F16" s="3" t="str">
        <x:f>IF(Master!G389="","",Master!G389)</x:f>
      </x:c>
      <x:c r="G16" s="3" t="str">
        <x:f>IF(Master!H389="","",Master!H389)</x:f>
      </x:c>
      <x:c r="H16" s="3" t="str">
        <x:f>IF(Master!I389="","",Master!I389)</x:f>
      </x:c>
      <x:c r="I16" s="3" t="str">
        <x:f>IF(Master!J389="","",Master!J389)</x:f>
      </x:c>
      <x:c r="J16" s="3" t="str">
        <x:f>IF(Master!K389="","",Master!K389)</x:f>
        <x:v>Multi-device identity sync</x:v>
      </x:c>
      <x:c r="K16" s="3" t="str">
        <x:f>IF(Master!L389="","",Master!L389)</x:f>
        <x:v>Not documented</x:v>
      </x:c>
      <x:c r="L16" s="3" t="str">
        <x:f>IF(Master!M389="","",Master!M389)</x:f>
      </x:c>
      <x:c r="M16" s="3" t="str">
        <x:f>IF(Master!N389="","",Master!N389)</x:f>
      </x:c>
      <x:c r="N16" s="3" t="str">
        <x:f>IF(Master!O389="","",Master!O389)</x:f>
        <x:v>Client-dependent; some support multiple accounts</x:v>
      </x:c>
      <x:c r="O16" s="3" t="str">
        <x:f>IF(Master!P389="","",Master!P389)</x:f>
        <x:v>Multiple servers</x:v>
      </x:c>
      <x:c r="P16" s="3" t="str">
        <x:f>IF(Master!Q389="","",Master!Q389)</x:f>
      </x:c>
      <x:c r="Q16" s="3" t="str">
        <x:f>IF(Master!R389="","",Master!R389)</x:f>
        <x:v>Server identity/bookmarks rather than cloud account switching</x:v>
      </x:c>
      <x:c r="R16" s="3" t="str">
        <x:f>IF(Master!S389="","",Master!S389)</x:f>
      </x:c>
      <x:c r="S16" s="3" t="str">
        <x:f>IF(Master!T389="","",Master!T389)</x:f>
      </x:c>
      <x:c r="T16" s="3" t="str">
        <x:f>IF(Master!U389="","",Master!U389)</x:f>
      </x:c>
      <x:c r="U16" s="3" t="str">
        <x:f>IF(Master!V389="","",Master!V389)</x:f>
        <x:v>No</x:v>
      </x:c>
      <x:c r="V16" s="3" t="str">
        <x:f>IF(Master!W389="","",Master!W389)</x:f>
        <x:v>Multiple workspaces</x:v>
      </x:c>
      <x:c r="W16" s="3" t="str">
        <x:f>IF(Master!X389="","",Master!X389)</x:f>
        <x:v>ATProto identity</x:v>
      </x:c>
      <x:c r="X16" s="3" t="str">
        <x:f>IF(Master!Y389="","",Master!Y389)</x:f>
      </x:c>
      <x:c r="Y16" s="3" t="str">
        <x:f>IF(Master!Z389="","",Master!Z389)</x:f>
      </x:c>
      <x:c r="Z16" s="3" t="str">
        <x:f>IF(Master!AA389="","",Master!AA389)</x:f>
      </x:c>
      <x:c r="AA16" s="6" t="str">
        <x:f>IF(Master!AB389="","",Master!AB389)</x:f>
      </x:c>
      <x:c r="AB16" s="3" t="str">
        <x:f>IF(Master!AC389="","",Master!AC389)</x:f>
      </x:c>
      <x:c r="AC16" s="3" t="str">
        <x:f>IF(Master!AD389="","",Master!AD389)</x:f>
      </x:c>
      <x:c r="AD16" s="3" t="str">
        <x:f>IF(Master!AE389="","",Master!AE389)</x:f>
      </x:c>
      <x:c r="AE16" s="3" t="str">
        <x:f>IF(Master!AF389="","",Master!AF389)</x:f>
      </x:c>
      <x:c r="AF16" s="8" t="str">
        <x:f>IF(Master!AG389="","",Master!AG389)</x:f>
        <x:v>Multiple accounts/orgs</x:v>
      </x:c>
    </x:row>
    <x:row r="17" ht="36" customHeight="1">
      <x:c r="A17" s="17" t="s">
        <x:v>661</x:v>
      </x:c>
      <x:c r="B17" s="3" t="str">
        <x:f>IF(Master!C406="","",Master!C406)</x:f>
        <x:v>Yes</x:v>
      </x:c>
      <x:c r="C17" s="3" t="str">
        <x:f>IF(Master!D406="","",Master!D406)</x:f>
      </x:c>
      <x:c r="D17" s="3" t="str">
        <x:f>IF(Master!E406="","",Master!E406)</x:f>
      </x:c>
      <x:c r="E17" s="3" t="str">
        <x:f>IF(Master!F406="","",Master!F406)</x:f>
      </x:c>
      <x:c r="F17" s="3" t="str">
        <x:f>IF(Master!G406="","",Master!G406)</x:f>
      </x:c>
      <x:c r="G17" s="3" t="str">
        <x:f>IF(Master!H406="","",Master!H406)</x:f>
      </x:c>
      <x:c r="H17" s="3" t="str">
        <x:f>IF(Master!I406="","",Master!I406)</x:f>
      </x:c>
      <x:c r="I17" s="3" t="str">
        <x:f>IF(Master!J406="","",Master!J406)</x:f>
      </x:c>
      <x:c r="J17" s="3" t="str">
        <x:f>IF(Master!K406="","",Master!K406)</x:f>
      </x:c>
      <x:c r="K17" s="3" t="str">
        <x:f>IF(Master!L406="","",Master!L406)</x:f>
        <x:v>Server auto-updater is documented; native release tooling also exists</x:v>
      </x:c>
      <x:c r="L17" s="3" t="str">
        <x:f>IF(Master!M406="","",Master!M406)</x:f>
      </x:c>
      <x:c r="M17" s="3" t="str">
        <x:f>IF(Master!N406="","",Master!N406)</x:f>
      </x:c>
      <x:c r="N17" s="3" t="str">
        <x:f>IF(Master!O406="","",Master!O406)</x:f>
      </x:c>
      <x:c r="O17" s="3" t="str">
        <x:f>IF(Master!P406="","",Master!P406)</x:f>
      </x:c>
      <x:c r="P17" s="3" t="str">
        <x:f>IF(Master!Q406="","",Master!Q406)</x:f>
      </x:c>
      <x:c r="Q17" s="3" t="str">
        <x:f>IF(Master!R406="","",Master!R406)</x:f>
      </x:c>
      <x:c r="R17" s="3" t="str">
        <x:f>IF(Master!S406="","",Master!S406)</x:f>
      </x:c>
      <x:c r="S17" s="3" t="str">
        <x:f>IF(Master!T406="","",Master!T406)</x:f>
      </x:c>
      <x:c r="T17" s="3" t="str">
        <x:f>IF(Master!U406="","",Master!U406)</x:f>
      </x:c>
      <x:c r="U17" s="3" t="str">
        <x:f>IF(Master!V406="","",Master!V406)</x:f>
        <x:v>optional</x:v>
      </x:c>
      <x:c r="V17" s="3" t="str">
        <x:f>IF(Master!W406="","",Master!W406)</x:f>
      </x:c>
      <x:c r="W17" s="3" t="str">
        <x:f>IF(Master!X406="","",Master!X406)</x:f>
      </x:c>
      <x:c r="X17" s="3" t="str">
        <x:f>IF(Master!Y406="","",Master!Y406)</x:f>
      </x:c>
      <x:c r="Y17" s="3" t="str">
        <x:f>IF(Master!Z406="","",Master!Z406)</x:f>
      </x:c>
      <x:c r="Z17" s="3" t="str">
        <x:f>IF(Master!AA406="","",Master!AA406)</x:f>
        <x:v>Desktop/mobile dependent</x:v>
      </x:c>
      <x:c r="AA17" s="6" t="str">
        <x:f>IF(Master!AB406="","",Master!AB406)</x:f>
      </x:c>
      <x:c r="AB17" s="3" t="str">
        <x:f>IF(Master!AC406="","",Master!AC406)</x:f>
      </x:c>
      <x:c r="AC17" s="3" t="str">
        <x:f>IF(Master!AD406="","",Master!AD406)</x:f>
      </x:c>
      <x:c r="AD17" s="3" t="str">
        <x:f>IF(Master!AE406="","",Master!AE406)</x:f>
      </x:c>
      <x:c r="AE17" s="3" t="str">
        <x:f>IF(Master!AF406="","",Master!AF406)</x:f>
      </x:c>
      <x:c r="AF17" s="8" t="str">
        <x:f>IF(Master!AG406="","",Master!AG406)</x:f>
      </x:c>
    </x:row>
    <x:row r="18" ht="36" customHeight="1">
      <x:c r="A18" s="17" t="s">
        <x:v>662</x:v>
      </x:c>
      <x:c r="B18" s="3" t="str">
        <x:f>IF(Master!C407="","",Master!C407)</x:f>
        <x:v>Yes</x:v>
      </x:c>
      <x:c r="C18" s="3" t="str">
        <x:f>IF(Master!D407="","",Master!D407)</x:f>
      </x:c>
      <x:c r="D18" s="3" t="str">
        <x:f>IF(Master!E407="","",Master!E407)</x:f>
      </x:c>
      <x:c r="E18" s="3" t="str">
        <x:f>IF(Master!F407="","",Master!F407)</x:f>
      </x:c>
      <x:c r="F18" s="3" t="str">
        <x:f>IF(Master!G407="","",Master!G407)</x:f>
      </x:c>
      <x:c r="G18" s="3" t="str">
        <x:f>IF(Master!H407="","",Master!H407)</x:f>
      </x:c>
      <x:c r="H18" s="3" t="str">
        <x:f>IF(Master!I407="","",Master!I407)</x:f>
      </x:c>
      <x:c r="I18" s="3" t="str">
        <x:f>IF(Master!J407="","",Master!J407)</x:f>
      </x:c>
      <x:c r="J18" s="3" t="str">
        <x:f>IF(Master!K407="","",Master!K407)</x:f>
      </x:c>
      <x:c r="K18" s="3" t="str">
        <x:f>IF(Master!L407="","",Master!L407)</x:f>
        <x:v>Not documented</x:v>
      </x:c>
      <x:c r="L18" s="3" t="str">
        <x:f>IF(Master!M407="","",Master!M407)</x:f>
      </x:c>
      <x:c r="M18" s="3" t="str">
        <x:f>IF(Master!N407="","",Master!N407)</x:f>
      </x:c>
      <x:c r="N18" s="3" t="str">
        <x:f>IF(Master!O407="","",Master!O407)</x:f>
      </x:c>
      <x:c r="O18" s="3" t="str">
        <x:f>IF(Master!P407="","",Master!P407)</x:f>
        <x:v>Client-dependent</x:v>
      </x:c>
      <x:c r="P18" s="3" t="str">
        <x:f>IF(Master!Q407="","",Master!Q407)</x:f>
      </x:c>
      <x:c r="Q18" s="3" t="str">
        <x:f>IF(Master!R407="","",Master!R407)</x:f>
      </x:c>
      <x:c r="R18" s="3" t="str">
        <x:f>IF(Master!S407="","",Master!S407)</x:f>
      </x:c>
      <x:c r="S18" s="3" t="str">
        <x:f>IF(Master!T407="","",Master!T407)</x:f>
      </x:c>
      <x:c r="T18" s="3" t="str">
        <x:f>IF(Master!U407="","",Master!U407)</x:f>
      </x:c>
      <x:c r="U18" s="3" t="str">
        <x:f>IF(Master!V407="","",Master!V407)</x:f>
      </x:c>
      <x:c r="V18" s="3" t="str">
        <x:f>IF(Master!W407="","",Master!W407)</x:f>
      </x:c>
      <x:c r="W18" s="3" t="str">
        <x:f>IF(Master!X407="","",Master!X407)</x:f>
      </x:c>
      <x:c r="X18" s="3" t="str">
        <x:f>IF(Master!Y407="","",Master!Y407)</x:f>
      </x:c>
      <x:c r="Y18" s="3" t="str">
        <x:f>IF(Master!Z407="","",Master!Z407)</x:f>
      </x:c>
      <x:c r="Z18" s="3" t="str">
        <x:f>IF(Master!AA407="","",Master!AA407)</x:f>
      </x:c>
      <x:c r="AA18" s="6" t="str">
        <x:f>IF(Master!AB407="","",Master!AB407)</x:f>
      </x:c>
      <x:c r="AB18" s="3" t="str">
        <x:f>IF(Master!AC407="","",Master!AC407)</x:f>
      </x:c>
      <x:c r="AC18" s="3" t="str">
        <x:f>IF(Master!AD407="","",Master!AD407)</x:f>
      </x:c>
      <x:c r="AD18" s="3" t="str">
        <x:f>IF(Master!AE407="","",Master!AE407)</x:f>
      </x:c>
      <x:c r="AE18" s="3" t="str">
        <x:f>IF(Master!AF407="","",Master!AF407)</x:f>
      </x:c>
      <x:c r="AF18" s="8" t="str">
        <x:f>IF(Master!AG407="","",Master!AG407)</x:f>
      </x:c>
    </x:row>
  </x:sheetData>
  <x:mergeCells>
    <x:mergeCell ref="A1:A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Directory'!A1","Accounts, Signup &amp; Identity: Granular"),"Accounts, Signup &amp; Identity: Granular")</x:f>
        <x:v>Accounts, Signup &amp; Identity: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663</x:v>
      </x:c>
      <x:c r="B3" s="4" t="str">
        <x:f>IF(Master!C408="","",Master!C408)</x:f>
      </x:c>
      <x:c r="C3" s="4" t="str">
        <x:f>IF(Master!D408="","",Master!D408)</x:f>
      </x:c>
      <x:c r="D3" s="4" t="str">
        <x:f>IF(Master!E408="","",Master!E408)</x:f>
      </x:c>
      <x:c r="E3" s="4" t="str">
        <x:f>IF(Master!F408="","",Master!F408)</x:f>
      </x:c>
      <x:c r="F3" s="4" t="str">
        <x:f>IF(Master!G408="","",Master!G408)</x:f>
      </x:c>
      <x:c r="G3" s="4" t="str">
        <x:f>IF(Master!H408="","",Master!H408)</x:f>
      </x:c>
      <x:c r="H3" s="4" t="str">
        <x:f>IF(Master!I408="","",Master!I408)</x:f>
      </x:c>
      <x:c r="I3" s="4" t="str">
        <x:f>IF(Master!J408="","",Master!J408)</x:f>
      </x:c>
      <x:c r="J3" s="4" t="str">
        <x:f>IF(Master!K408="","",Master!K408)</x:f>
      </x:c>
      <x:c r="K3" s="4" t="str">
        <x:f>IF(Master!L408="","",Master!L408)</x:f>
        <x:v>Official instance: username + password + email. Self-host can disable email, leaving username/password.</x:v>
      </x:c>
      <x:c r="L3" s="4" t="str">
        <x:f>IF(Master!M408="","",Master!M408)</x:f>
      </x:c>
      <x:c r="M3" s="4" t="str">
        <x:f>IF(Master!N408="","",Master!N408)</x:f>
      </x:c>
      <x:c r="N3" s="4" t="str">
        <x:f>IF(Master!O408="","",Master!O408)</x:f>
      </x:c>
      <x:c r="O3" s="4" t="str">
        <x:f>IF(Master!P408="","",Master!P408)</x:f>
      </x:c>
      <x:c r="P3" s="4" t="str">
        <x:f>IF(Master!Q408="","",Master!Q408)</x:f>
      </x:c>
      <x:c r="Q3" s="4" t="str">
        <x:f>IF(Master!R408="","",Master!R408)</x:f>
      </x:c>
      <x:c r="R3" s="4" t="str">
        <x:f>IF(Master!S408="","",Master!S408)</x:f>
      </x:c>
      <x:c r="S3" s="4" t="str">
        <x:f>IF(Master!T408="","",Master!T408)</x:f>
      </x:c>
      <x:c r="T3" s="4" t="str">
        <x:f>IF(Master!U408="","",Master!U408)</x:f>
        <x:v>Accounts are handled through Clerk; exact mandatory signup fields not stated</x:v>
      </x:c>
      <x:c r="U3" s="4" t="str">
        <x:f>IF(Master!V408="","",Master!V408)</x:f>
        <x:v>Sign up through therift.chat</x:v>
      </x:c>
      <x:c r="V3" s="4" t="str">
        <x:f>IF(Master!W408="","",Master!W408)</x:f>
      </x:c>
      <x:c r="W3" s="4" t="str">
        <x:f>IF(Master!X408="","",Master!X408)</x:f>
      </x:c>
      <x:c r="X3" s="4" t="str">
        <x:f>IF(Master!Y408="","",Master!Y408)</x:f>
      </x:c>
      <x:c r="Y3" s="4" t="str">
        <x:f>IF(Master!Z408="","",Master!Z408)</x:f>
      </x:c>
      <x:c r="Z3" s="4" t="str">
        <x:f>IF(Master!AA408="","",Master!AA408)</x:f>
      </x:c>
      <x:c r="AA3" s="5" t="str">
        <x:f>IF(Master!AB408="","",Master!AB408)</x:f>
      </x:c>
      <x:c r="AB3" s="4" t="str">
        <x:f>IF(Master!AC408="","",Master!AC408)</x:f>
      </x:c>
      <x:c r="AC3" s="4" t="str">
        <x:f>IF(Master!AD408="","",Master!AD408)</x:f>
      </x:c>
      <x:c r="AD3" s="4" t="str">
        <x:f>IF(Master!AE408="","",Master!AE408)</x:f>
      </x:c>
      <x:c r="AE3" s="4" t="str">
        <x:f>IF(Master!AF408="","",Master!AF408)</x:f>
      </x:c>
      <x:c r="AF3" s="8" t="str">
        <x:f>IF(Master!AG408="","",Master!AG408)</x:f>
      </x:c>
    </x:row>
    <x:row r="4" ht="36" customHeight="1">
      <x:c r="A4" s="17" t="s">
        <x:v>664</x:v>
      </x:c>
      <x:c r="B4" s="3" t="str">
        <x:f>IF(Master!C409="","",Master!C409)</x:f>
        <x:v>Yes</x:v>
      </x:c>
      <x:c r="C4" s="3" t="str">
        <x:f>IF(Master!D409="","",Master!D409)</x:f>
      </x:c>
      <x:c r="D4" s="3" t="str">
        <x:f>IF(Master!E409="","",Master!E409)</x:f>
      </x:c>
      <x:c r="E4" s="3" t="str">
        <x:f>IF(Master!F409="","",Master!F409)</x:f>
      </x:c>
      <x:c r="F4" s="3" t="str">
        <x:f>IF(Master!G409="","",Master!G409)</x:f>
      </x:c>
      <x:c r="G4" s="3" t="str">
        <x:f>IF(Master!H409="","",Master!H409)</x:f>
        <x:v>Yes</x:v>
      </x:c>
      <x:c r="H4" s="3" t="str">
        <x:f>IF(Master!I409="","",Master!I409)</x:f>
        <x:v>Yes</x:v>
      </x:c>
      <x:c r="I4" s="3" t="str">
        <x:f>IF(Master!J409="","",Master!J409)</x:f>
      </x:c>
      <x:c r="J4" s="3" t="str">
        <x:f>IF(Master!K409="","",Master!K409)</x:f>
      </x:c>
      <x:c r="K4" s="3" t="str">
        <x:f>IF(Master!L409="","",Master!L409)</x:f>
        <x:v>Yes</x:v>
      </x:c>
      <x:c r="L4" s="3" t="str">
        <x:f>IF(Master!M409="","",Master!M409)</x:f>
      </x:c>
      <x:c r="M4" s="3" t="str">
        <x:f>IF(Master!N409="","",Master!N409)</x:f>
      </x:c>
      <x:c r="N4" s="3" t="str">
        <x:f>IF(Master!O409="","",Master!O409)</x:f>
      </x:c>
      <x:c r="O4" s="3" t="str">
        <x:f>IF(Master!P409="","",Master!P409)</x:f>
      </x:c>
      <x:c r="P4" s="3" t="str">
        <x:f>IF(Master!Q409="","",Master!Q409)</x:f>
      </x:c>
      <x:c r="Q4" s="3" t="str">
        <x:f>IF(Master!R409="","",Master!R409)</x:f>
        <x:v>Yes</x:v>
      </x:c>
      <x:c r="R4" s="3" t="str">
        <x:f>IF(Master!S409="","",Master!S409)</x:f>
      </x:c>
      <x:c r="S4" s="3" t="str">
        <x:f>IF(Master!T409="","",Master!T409)</x:f>
        <x:v>Yes</x:v>
      </x:c>
      <x:c r="T4" s="3" t="str">
        <x:f>IF(Master!U409="","",Master!U409)</x:f>
      </x:c>
      <x:c r="U4" s="3" t="str">
        <x:f>IF(Master!V409="","",Master!V409)</x:f>
        <x:v>Yes</x:v>
      </x:c>
      <x:c r="V4" s="3" t="str">
        <x:f>IF(Master!W409="","",Master!W409)</x:f>
      </x:c>
      <x:c r="W4" s="3" t="str">
        <x:f>IF(Master!X409="","",Master!X409)</x:f>
      </x:c>
      <x:c r="X4" s="3" t="str">
        <x:f>IF(Master!Y409="","",Master!Y409)</x:f>
        <x:v>Yes</x:v>
      </x:c>
      <x:c r="Y4" s="3" t="str">
        <x:f>IF(Master!Z409="","",Master!Z409)</x:f>
      </x:c>
      <x:c r="Z4" s="3" t="str">
        <x:f>IF(Master!AA409="","",Master!AA409)</x:f>
      </x:c>
      <x:c r="AA4" s="6" t="str">
        <x:f>IF(Master!AB409="","",Master!AB409)</x:f>
      </x:c>
      <x:c r="AB4" s="3" t="str">
        <x:f>IF(Master!AC409="","",Master!AC409)</x:f>
      </x:c>
      <x:c r="AC4" s="3" t="str">
        <x:f>IF(Master!AD409="","",Master!AD409)</x:f>
      </x:c>
      <x:c r="AD4" s="3" t="str">
        <x:f>IF(Master!AE409="","",Master!AE409)</x:f>
      </x:c>
      <x:c r="AE4" s="3" t="str">
        <x:f>IF(Master!AF409="","",Master!AF409)</x:f>
      </x:c>
      <x:c r="AF4" s="8" t="str">
        <x:f>IF(Master!AG409="","",Master!AG409)</x:f>
      </x:c>
    </x:row>
    <x:row r="5" ht="36" customHeight="1">
      <x:c r="A5" s="17" t="s">
        <x:v>665</x:v>
      </x:c>
      <x:c r="B5" s="3" t="str">
        <x:f>IF(Master!C410="","",Master!C410)</x:f>
        <x:v>Yes</x:v>
      </x:c>
      <x:c r="C5" s="3" t="str">
        <x:f>IF(Master!D410="","",Master!D410)</x:f>
        <x:v>No / key-based</x:v>
      </x:c>
      <x:c r="D5" s="3" t="str">
        <x:f>IF(Master!E410="","",Master!E410)</x:f>
      </x:c>
      <x:c r="E5" s="3" t="str">
        <x:f>IF(Master!F410="","",Master!F410)</x:f>
      </x:c>
      <x:c r="F5" s="3" t="str">
        <x:f>IF(Master!G410="","",Master!G410)</x:f>
      </x:c>
      <x:c r="G5" s="3" t="str">
        <x:f>IF(Master!H410="","",Master!H410)</x:f>
        <x:v>Yes</x:v>
      </x:c>
      <x:c r="H5" s="3" t="str">
        <x:f>IF(Master!I410="","",Master!I410)</x:f>
        <x:v>Yes</x:v>
      </x:c>
      <x:c r="I5" s="3" t="str">
        <x:f>IF(Master!J410="","",Master!J410)</x:f>
        <x:v>Yes</x:v>
      </x:c>
      <x:c r="J5" s="3" t="str">
        <x:f>IF(Master!K410="","",Master!K410)</x:f>
        <x:v>No / key-based</x:v>
      </x:c>
      <x:c r="K5" s="3" t="str">
        <x:f>IF(Master!L410="","",Master!L410)</x:f>
        <x:v>Yes</x:v>
      </x:c>
      <x:c r="L5" s="3" t="str">
        <x:f>IF(Master!M410="","",Master!M410)</x:f>
      </x:c>
      <x:c r="M5" s="3" t="str">
        <x:f>IF(Master!N410="","",Master!N410)</x:f>
      </x:c>
      <x:c r="N5" s="3" t="str">
        <x:f>IF(Master!O410="","",Master!O410)</x:f>
      </x:c>
      <x:c r="O5" s="3" t="str">
        <x:f>IF(Master!P410="","",Master!P410)</x:f>
      </x:c>
      <x:c r="P5" s="3" t="str">
        <x:f>IF(Master!Q410="","",Master!Q410)</x:f>
      </x:c>
      <x:c r="Q5" s="3" t="str">
        <x:f>IF(Master!R410="","",Master!R410)</x:f>
        <x:v>Yes</x:v>
      </x:c>
      <x:c r="R5" s="3" t="str">
        <x:f>IF(Master!S410="","",Master!S410)</x:f>
      </x:c>
      <x:c r="S5" s="3" t="str">
        <x:f>IF(Master!T410="","",Master!T410)</x:f>
        <x:v>Yes</x:v>
      </x:c>
      <x:c r="T5" s="3" t="str">
        <x:f>IF(Master!U410="","",Master!U410)</x:f>
      </x:c>
      <x:c r="U5" s="3" t="str">
        <x:f>IF(Master!V410="","",Master!V410)</x:f>
        <x:v>Yes</x:v>
      </x:c>
      <x:c r="V5" s="3" t="str">
        <x:f>IF(Master!W410="","",Master!W410)</x:f>
      </x:c>
      <x:c r="W5" s="3" t="str">
        <x:f>IF(Master!X410="","",Master!X410)</x:f>
      </x:c>
      <x:c r="X5" s="3" t="str">
        <x:f>IF(Master!Y410="","",Master!Y410)</x:f>
        <x:v>Yes</x:v>
      </x:c>
      <x:c r="Y5" s="3" t="str">
        <x:f>IF(Master!Z410="","",Master!Z410)</x:f>
      </x:c>
      <x:c r="Z5" s="3" t="str">
        <x:f>IF(Master!AA410="","",Master!AA410)</x:f>
      </x:c>
      <x:c r="AA5" s="6" t="str">
        <x:f>IF(Master!AB410="","",Master!AB410)</x:f>
      </x:c>
      <x:c r="AB5" s="3" t="str">
        <x:f>IF(Master!AC410="","",Master!AC410)</x:f>
      </x:c>
      <x:c r="AC5" s="3" t="str">
        <x:f>IF(Master!AD410="","",Master!AD410)</x:f>
      </x:c>
      <x:c r="AD5" s="3" t="str">
        <x:f>IF(Master!AE410="","",Master!AE410)</x:f>
      </x:c>
      <x:c r="AE5" s="3" t="str">
        <x:f>IF(Master!AF410="","",Master!AF410)</x:f>
        <x:v>Yes</x:v>
      </x:c>
      <x:c r="AF5" s="8" t="str">
        <x:f>IF(Master!AG410="","",Master!AG410)</x:f>
      </x:c>
    </x:row>
    <x:row r="6" ht="36" customHeight="1">
      <x:c r="A6" s="17" t="s">
        <x:v>666</x:v>
      </x:c>
      <x:c r="B6" s="3" t="str">
        <x:f>IF(Master!C411="","",Master!C411)</x:f>
      </x:c>
      <x:c r="C6" s="3" t="str">
        <x:f>IF(Master!D411="","",Master!D411)</x:f>
      </x:c>
      <x:c r="D6" s="3" t="str">
        <x:f>IF(Master!E411="","",Master!E411)</x:f>
      </x:c>
      <x:c r="E6" s="3" t="str">
        <x:f>IF(Master!F411="","",Master!F411)</x:f>
      </x:c>
      <x:c r="F6" s="3" t="str">
        <x:f>IF(Master!G411="","",Master!G411)</x:f>
        <x:v>Yes</x:v>
      </x:c>
      <x:c r="G6" s="3" t="str">
        <x:f>IF(Master!H411="","",Master!H411)</x:f>
      </x:c>
      <x:c r="H6" s="3" t="str">
        <x:f>IF(Master!I411="","",Master!I411)</x:f>
        <x:v>No</x:v>
      </x:c>
      <x:c r="I6" s="3" t="str">
        <x:f>IF(Master!J411="","",Master!J411)</x:f>
      </x:c>
      <x:c r="J6" s="3" t="str">
        <x:f>IF(Master!K411="","",Master!K411)</x:f>
      </x:c>
      <x:c r="K6" s="3" t="str">
        <x:f>IF(Master!L411="","",Master!L411)</x:f>
        <x:v>Yes on official instance; optional on self-host</x:v>
      </x:c>
      <x:c r="L6" s="3" t="str">
        <x:f>IF(Master!M411="","",Master!M411)</x:f>
        <x:v>No</x:v>
      </x:c>
      <x:c r="M6" s="3" t="str">
        <x:f>IF(Master!N411="","",Master!N411)</x:f>
      </x:c>
      <x:c r="N6" s="3" t="str">
        <x:f>IF(Master!O411="","",Master!O411)</x:f>
        <x:v>Optional / provider-dependent</x:v>
      </x:c>
      <x:c r="O6" s="3" t="str">
        <x:f>IF(Master!P411="","",Master!P411)</x:f>
        <x:v>Yes</x:v>
      </x:c>
      <x:c r="P6" s="3" t="str">
        <x:f>IF(Master!Q411="","",Master!Q411)</x:f>
      </x:c>
      <x:c r="Q6" s="3" t="str">
        <x:f>IF(Master!R411="","",Master!R411)</x:f>
      </x:c>
      <x:c r="R6" s="3" t="str">
        <x:f>IF(Master!S411="","",Master!S411)</x:f>
      </x:c>
      <x:c r="S6" s="3" t="str">
        <x:f>IF(Master!T411="","",Master!T411)</x:f>
      </x:c>
      <x:c r="T6" s="3" t="str">
        <x:f>IF(Master!U411="","",Master!U411)</x:f>
      </x:c>
      <x:c r="U6" s="3" t="str">
        <x:f>IF(Master!V411="","",Master!V411)</x:f>
        <x:v>No</x:v>
      </x:c>
      <x:c r="V6" s="3" t="str">
        <x:f>IF(Master!W411="","",Master!W411)</x:f>
        <x:v>Yes</x:v>
      </x:c>
      <x:c r="W6" s="3" t="str">
        <x:f>IF(Master!X411="","",Master!X411)</x:f>
      </x:c>
      <x:c r="X6" s="3" t="str">
        <x:f>IF(Master!Y411="","",Master!Y411)</x:f>
      </x:c>
      <x:c r="Y6" s="3" t="str">
        <x:f>IF(Master!Z411="","",Master!Z411)</x:f>
      </x:c>
      <x:c r="Z6" s="3" t="str">
        <x:f>IF(Master!AA411="","",Master!AA411)</x:f>
        <x:v>Yes</x:v>
      </x:c>
      <x:c r="AA6" s="6" t="str">
        <x:f>IF(Master!AB411="","",Master!AB411)</x:f>
      </x:c>
      <x:c r="AB6" s="3" t="str">
        <x:f>IF(Master!AC411="","",Master!AC411)</x:f>
        <x:v>Yes</x:v>
      </x:c>
      <x:c r="AC6" s="3" t="str">
        <x:f>IF(Master!AD411="","",Master!AD411)</x:f>
      </x:c>
      <x:c r="AD6" s="3" t="str">
        <x:f>IF(Master!AE411="","",Master!AE411)</x:f>
      </x:c>
      <x:c r="AE6" s="3" t="str">
        <x:f>IF(Master!AF411="","",Master!AF411)</x:f>
      </x:c>
      <x:c r="AF6" s="8" t="str">
        <x:f>IF(Master!AG411="","",Master!AG411)</x:f>
        <x:v>Yes</x:v>
      </x:c>
    </x:row>
    <x:row r="7" ht="36" customHeight="1">
      <x:c r="A7" s="17" t="s">
        <x:v>667</x:v>
      </x:c>
      <x:c r="B7" s="3" t="str">
        <x:f>IF(Master!C412="","",Master!C412)</x:f>
        <x:v>May be required</x:v>
      </x:c>
      <x:c r="C7" s="3" t="str">
        <x:f>IF(Master!D412="","",Master!D412)</x:f>
      </x:c>
      <x:c r="D7" s="3" t="str">
        <x:f>IF(Master!E412="","",Master!E412)</x:f>
      </x:c>
      <x:c r="E7" s="3" t="str">
        <x:f>IF(Master!F412="","",Master!F412)</x:f>
      </x:c>
      <x:c r="F7" s="3" t="str">
        <x:f>IF(Master!G412="","",Master!G412)</x:f>
      </x:c>
      <x:c r="G7" s="3" t="str">
        <x:f>IF(Master!H412="","",Master!H412)</x:f>
        <x:v>May be required</x:v>
      </x:c>
      <x:c r="H7" s="3" t="str">
        <x:f>IF(Master!I412="","",Master!I412)</x:f>
        <x:v>No</x:v>
      </x:c>
      <x:c r="I7" s="3" t="str">
        <x:f>IF(Master!J412="","",Master!J412)</x:f>
      </x:c>
      <x:c r="J7" s="3" t="str">
        <x:f>IF(Master!K412="","",Master!K412)</x:f>
      </x:c>
      <x:c r="K7" s="3" t="str">
        <x:f>IF(Master!L412="","",Master!L412)</x:f>
        <x:v>No</x:v>
      </x:c>
      <x:c r="L7" s="3" t="str">
        <x:f>IF(Master!M412="","",Master!M412)</x:f>
        <x:v>No</x:v>
      </x:c>
      <x:c r="M7" s="3" t="str">
        <x:f>IF(Master!N412="","",Master!N412)</x:f>
      </x:c>
      <x:c r="N7" s="3" t="str">
        <x:f>IF(Master!O412="","",Master!O412)</x:f>
      </x:c>
      <x:c r="O7" s="3" t="str">
        <x:f>IF(Master!P412="","",Master!P412)</x:f>
      </x:c>
      <x:c r="P7" s="3" t="str">
        <x:f>IF(Master!Q412="","",Master!Q412)</x:f>
      </x:c>
      <x:c r="Q7" s="3" t="str">
        <x:f>IF(Master!R412="","",Master!R412)</x:f>
      </x:c>
      <x:c r="R7" s="3" t="str">
        <x:f>IF(Master!S412="","",Master!S412)</x:f>
      </x:c>
      <x:c r="S7" s="3" t="str">
        <x:f>IF(Master!T412="","",Master!T412)</x:f>
      </x:c>
      <x:c r="T7" s="3" t="str">
        <x:f>IF(Master!U412="","",Master!U412)</x:f>
      </x:c>
      <x:c r="U7" s="3" t="str">
        <x:f>IF(Master!V412="","",Master!V412)</x:f>
        <x:v>No</x:v>
      </x:c>
      <x:c r="V7" s="3" t="str">
        <x:f>IF(Master!W412="","",Master!W412)</x:f>
      </x:c>
      <x:c r="W7" s="3" t="str">
        <x:f>IF(Master!X412="","",Master!X412)</x:f>
      </x:c>
      <x:c r="X7" s="3" t="str">
        <x:f>IF(Master!Y412="","",Master!Y412)</x:f>
      </x:c>
      <x:c r="Y7" s="3" t="str">
        <x:f>IF(Master!Z412="","",Master!Z412)</x:f>
      </x:c>
      <x:c r="Z7" s="3" t="str">
        <x:f>IF(Master!AA412="","",Master!AA412)</x:f>
      </x:c>
      <x:c r="AA7" s="6" t="str">
        <x:f>IF(Master!AB412="","",Master!AB412)</x:f>
      </x:c>
      <x:c r="AB7" s="3" t="str">
        <x:f>IF(Master!AC412="","",Master!AC412)</x:f>
        <x:v>No</x:v>
      </x:c>
      <x:c r="AC7" s="3" t="str">
        <x:f>IF(Master!AD412="","",Master!AD412)</x:f>
      </x:c>
      <x:c r="AD7" s="3" t="str">
        <x:f>IF(Master!AE412="","",Master!AE412)</x:f>
      </x:c>
      <x:c r="AE7" s="3" t="str">
        <x:f>IF(Master!AF412="","",Master!AF412)</x:f>
      </x:c>
      <x:c r="AF7" s="8" t="str">
        <x:f>IF(Master!AG412="","",Master!AG412)</x:f>
      </x:c>
    </x:row>
    <x:row r="8" ht="36" customHeight="1">
      <x:c r="A8" s="17" t="s">
        <x:v>668</x:v>
      </x:c>
      <x:c r="B8" s="3" t="str">
        <x:f>IF(Master!C413="","",Master!C413)</x:f>
        <x:v>Yes</x:v>
      </x:c>
      <x:c r="C8" s="3" t="str">
        <x:f>IF(Master!D413="","",Master!D413)</x:f>
      </x:c>
      <x:c r="D8" s="3" t="str">
        <x:f>IF(Master!E413="","",Master!E413)</x:f>
      </x:c>
      <x:c r="E8" s="3" t="str">
        <x:f>IF(Master!F413="","",Master!F413)</x:f>
      </x:c>
      <x:c r="F8" s="3" t="str">
        <x:f>IF(Master!G413="","",Master!G413)</x:f>
      </x:c>
      <x:c r="G8" s="3" t="str">
        <x:f>IF(Master!H413="","",Master!H413)</x:f>
        <x:v>Yes</x:v>
      </x:c>
      <x:c r="H8" s="3" t="str">
        <x:f>IF(Master!I413="","",Master!I413)</x:f>
      </x:c>
      <x:c r="I8" s="3" t="str">
        <x:f>IF(Master!J413="","",Master!J413)</x:f>
      </x:c>
      <x:c r="J8" s="3" t="str">
        <x:f>IF(Master!K413="","",Master!K413)</x:f>
      </x:c>
      <x:c r="K8" s="3" t="str">
        <x:f>IF(Master!L413="","",Master!L413)</x:f>
        <x:v>No</x:v>
      </x:c>
      <x:c r="L8" s="3" t="str">
        <x:f>IF(Master!M413="","",Master!M413)</x:f>
      </x:c>
      <x:c r="M8" s="3" t="str">
        <x:f>IF(Master!N413="","",Master!N413)</x:f>
      </x:c>
      <x:c r="N8" s="3" t="str">
        <x:f>IF(Master!O413="","",Master!O413)</x:f>
      </x:c>
      <x:c r="O8" s="3" t="str">
        <x:f>IF(Master!P413="","",Master!P413)</x:f>
      </x:c>
      <x:c r="P8" s="3" t="str">
        <x:f>IF(Master!Q413="","",Master!Q413)</x:f>
      </x:c>
      <x:c r="Q8" s="3" t="str">
        <x:f>IF(Master!R413="","",Master!R413)</x:f>
      </x:c>
      <x:c r="R8" s="3" t="str">
        <x:f>IF(Master!S413="","",Master!S413)</x:f>
      </x:c>
      <x:c r="S8" s="3" t="str">
        <x:f>IF(Master!T413="","",Master!T413)</x:f>
      </x:c>
      <x:c r="T8" s="3" t="str">
        <x:f>IF(Master!U413="","",Master!U413)</x:f>
      </x:c>
      <x:c r="U8" s="3" t="str">
        <x:f>IF(Master!V413="","",Master!V413)</x:f>
        <x:v>No</x:v>
      </x:c>
      <x:c r="V8" s="3" t="str">
        <x:f>IF(Master!W413="","",Master!W413)</x:f>
      </x:c>
      <x:c r="W8" s="3" t="str">
        <x:f>IF(Master!X413="","",Master!X413)</x:f>
      </x:c>
      <x:c r="X8" s="3" t="str">
        <x:f>IF(Master!Y413="","",Master!Y413)</x:f>
      </x:c>
      <x:c r="Y8" s="3" t="str">
        <x:f>IF(Master!Z413="","",Master!Z413)</x:f>
      </x:c>
      <x:c r="Z8" s="3" t="str">
        <x:f>IF(Master!AA413="","",Master!AA413)</x:f>
      </x:c>
      <x:c r="AA8" s="6" t="str">
        <x:f>IF(Master!AB413="","",Master!AB413)</x:f>
      </x:c>
      <x:c r="AB8" s="3" t="str">
        <x:f>IF(Master!AC413="","",Master!AC413)</x:f>
      </x:c>
      <x:c r="AC8" s="3" t="str">
        <x:f>IF(Master!AD413="","",Master!AD413)</x:f>
      </x:c>
      <x:c r="AD8" s="3" t="str">
        <x:f>IF(Master!AE413="","",Master!AE413)</x:f>
      </x:c>
      <x:c r="AE8" s="3" t="str">
        <x:f>IF(Master!AF413="","",Master!AF413)</x:f>
      </x:c>
      <x:c r="AF8" s="8" t="str">
        <x:f>IF(Master!AG413="","",Master!AG413)</x:f>
      </x:c>
    </x:row>
    <x:row r="9" ht="36" customHeight="1">
      <x:c r="A9" s="17" t="s">
        <x:v>669</x:v>
      </x:c>
      <x:c r="B9" s="3" t="str">
        <x:f>IF(Master!C414="","",Master!C414)</x:f>
        <x:v>Possible in some regions / safety flows</x:v>
      </x:c>
      <x:c r="C9" s="3" t="str">
        <x:f>IF(Master!D414="","",Master!D414)</x:f>
      </x:c>
      <x:c r="D9" s="3" t="str">
        <x:f>IF(Master!E414="","",Master!E414)</x:f>
      </x:c>
      <x:c r="E9" s="3" t="str">
        <x:f>IF(Master!F414="","",Master!F414)</x:f>
      </x:c>
      <x:c r="F9" s="3" t="str">
        <x:f>IF(Master!G414="","",Master!G414)</x:f>
      </x:c>
      <x:c r="G9" s="3" t="str">
        <x:f>IF(Master!H414="","",Master!H414)</x:f>
      </x:c>
      <x:c r="H9" s="3" t="str">
        <x:f>IF(Master!I414="","",Master!I414)</x:f>
        <x:v>No</x:v>
      </x:c>
      <x:c r="I9" s="3" t="str">
        <x:f>IF(Master!J414="","",Master!J414)</x:f>
      </x:c>
      <x:c r="J9" s="3" t="str">
        <x:f>IF(Master!K414="","",Master!K414)</x:f>
      </x:c>
      <x:c r="K9" s="3" t="str">
        <x:f>IF(Master!L414="","",Master!L414)</x:f>
        <x:v>No</x:v>
      </x:c>
      <x:c r="L9" s="3" t="str">
        <x:f>IF(Master!M414="","",Master!M414)</x:f>
        <x:v>No</x:v>
      </x:c>
      <x:c r="M9" s="3" t="str">
        <x:f>IF(Master!N414="","",Master!N414)</x:f>
      </x:c>
      <x:c r="N9" s="3" t="str">
        <x:f>IF(Master!O414="","",Master!O414)</x:f>
      </x:c>
      <x:c r="O9" s="3" t="str">
        <x:f>IF(Master!P414="","",Master!P414)</x:f>
      </x:c>
      <x:c r="P9" s="3" t="str">
        <x:f>IF(Master!Q414="","",Master!Q414)</x:f>
      </x:c>
      <x:c r="Q9" s="3" t="str">
        <x:f>IF(Master!R414="","",Master!R414)</x:f>
      </x:c>
      <x:c r="R9" s="3" t="str">
        <x:f>IF(Master!S414="","",Master!S414)</x:f>
      </x:c>
      <x:c r="S9" s="3" t="str">
        <x:f>IF(Master!T414="","",Master!T414)</x:f>
      </x:c>
      <x:c r="T9" s="3" t="str">
        <x:f>IF(Master!U414="","",Master!U414)</x:f>
      </x:c>
      <x:c r="U9" s="3" t="str">
        <x:f>IF(Master!V414="","",Master!V414)</x:f>
        <x:v>No</x:v>
      </x:c>
      <x:c r="V9" s="3" t="str">
        <x:f>IF(Master!W414="","",Master!W414)</x:f>
      </x:c>
      <x:c r="W9" s="3" t="str">
        <x:f>IF(Master!X414="","",Master!X414)</x:f>
      </x:c>
      <x:c r="X9" s="3" t="str">
        <x:f>IF(Master!Y414="","",Master!Y414)</x:f>
      </x:c>
      <x:c r="Y9" s="3" t="str">
        <x:f>IF(Master!Z414="","",Master!Z414)</x:f>
      </x:c>
      <x:c r="Z9" s="3" t="str">
        <x:f>IF(Master!AA414="","",Master!AA414)</x:f>
      </x:c>
      <x:c r="AA9" s="6" t="str">
        <x:f>IF(Master!AB414="","",Master!AB414)</x:f>
      </x:c>
      <x:c r="AB9" s="3" t="str">
        <x:f>IF(Master!AC414="","",Master!AC414)</x:f>
      </x:c>
      <x:c r="AC9" s="3" t="str">
        <x:f>IF(Master!AD414="","",Master!AD414)</x:f>
      </x:c>
      <x:c r="AD9" s="3" t="str">
        <x:f>IF(Master!AE414="","",Master!AE414)</x:f>
      </x:c>
      <x:c r="AE9" s="3" t="str">
        <x:f>IF(Master!AF414="","",Master!AF414)</x:f>
      </x:c>
      <x:c r="AF9" s="8" t="str">
        <x:f>IF(Master!AG414="","",Master!AG414)</x:f>
      </x:c>
    </x:row>
    <x:row r="10" ht="36" customHeight="1">
      <x:c r="A10" s="17" t="s">
        <x:v>670</x:v>
      </x:c>
      <x:c r="B10" s="3" t="str">
        <x:f>IF(Master!C415="","",Master!C415)</x:f>
        <x:v>No</x:v>
      </x:c>
      <x:c r="C10" s="3" t="str">
        <x:f>IF(Master!D415="","",Master!D415)</x:f>
        <x:v>Yes</x:v>
      </x:c>
      <x:c r="D10" s="3" t="str">
        <x:f>IF(Master!E415="","",Master!E415)</x:f>
        <x:v>Yes</x:v>
      </x:c>
      <x:c r="E10" s="3" t="str">
        <x:f>IF(Master!F415="","",Master!F415)</x:f>
      </x:c>
      <x:c r="F10" s="3" t="str">
        <x:f>IF(Master!G415="","",Master!G415)</x:f>
      </x:c>
      <x:c r="G10" s="3" t="str">
        <x:f>IF(Master!H415="","",Master!H415)</x:f>
        <x:v>No</x:v>
      </x:c>
      <x:c r="H10" s="3" t="str">
        <x:f>IF(Master!I415="","",Master!I415)</x:f>
        <x:v>No</x:v>
      </x:c>
      <x:c r="I10" s="3" t="str">
        <x:f>IF(Master!J415="","",Master!J415)</x:f>
      </x:c>
      <x:c r="J10" s="3" t="str">
        <x:f>IF(Master!K415="","",Master!K415)</x:f>
        <x:v>Yes</x:v>
      </x:c>
      <x:c r="K10" s="3" t="str">
        <x:f>IF(Master!L415="","",Master!L415)</x:f>
        <x:v>E2EE-capable accounts use cryptographic device/account identities, but no user-entered key is required at signup</x:v>
      </x:c>
      <x:c r="L10" s="3" t="str">
        <x:f>IF(Master!M415="","",Master!M415)</x:f>
        <x:v>Yes</x:v>
      </x:c>
      <x:c r="M10" s="3" t="str">
        <x:f>IF(Master!N415="","",Master!N415)</x:f>
      </x:c>
      <x:c r="N10" s="3" t="str">
        <x:f>IF(Master!O415="","",Master!O415)</x:f>
      </x:c>
      <x:c r="O10" s="3" t="str">
        <x:f>IF(Master!P415="","",Master!P415)</x:f>
      </x:c>
      <x:c r="P10" s="3" t="str">
        <x:f>IF(Master!Q415="","",Master!Q415)</x:f>
      </x:c>
      <x:c r="Q10" s="3" t="str">
        <x:f>IF(Master!R415="","",Master!R415)</x:f>
      </x:c>
      <x:c r="R10" s="3" t="str">
        <x:f>IF(Master!S415="","",Master!S415)</x:f>
      </x:c>
      <x:c r="S10" s="3" t="str">
        <x:f>IF(Master!T415="","",Master!T415)</x:f>
      </x:c>
      <x:c r="T10" s="3" t="str">
        <x:f>IF(Master!U415="","",Master!U415)</x:f>
      </x:c>
      <x:c r="U10" s="3" t="str">
        <x:f>IF(Master!V415="","",Master!V415)</x:f>
        <x:v>No</x:v>
      </x:c>
      <x:c r="V10" s="3" t="str">
        <x:f>IF(Master!W415="","",Master!W415)</x:f>
      </x:c>
      <x:c r="W10" s="3" t="str">
        <x:f>IF(Master!X415="","",Master!X415)</x:f>
      </x:c>
      <x:c r="X10" s="3" t="str">
        <x:f>IF(Master!Y415="","",Master!Y415)</x:f>
        <x:v>No</x:v>
      </x:c>
      <x:c r="Y10" s="3" t="str">
        <x:f>IF(Master!Z415="","",Master!Z415)</x:f>
      </x:c>
      <x:c r="Z10" s="3" t="str">
        <x:f>IF(Master!AA415="","",Master!AA415)</x:f>
      </x:c>
      <x:c r="AA10" s="6" t="str">
        <x:f>IF(Master!AB415="","",Master!AB415)</x:f>
      </x:c>
      <x:c r="AB10" s="3" t="str">
        <x:f>IF(Master!AC415="","",Master!AC415)</x:f>
      </x:c>
      <x:c r="AC10" s="3" t="str">
        <x:f>IF(Master!AD415="","",Master!AD415)</x:f>
      </x:c>
      <x:c r="AD10" s="3" t="str">
        <x:f>IF(Master!AE415="","",Master!AE415)</x:f>
      </x:c>
      <x:c r="AE10" s="3" t="str">
        <x:f>IF(Master!AF415="","",Master!AF415)</x:f>
      </x:c>
      <x:c r="AF10" s="8" t="str">
        <x:f>IF(Master!AG415="","",Master!AG415)</x:f>
      </x:c>
    </x:row>
    <x:row r="11" ht="21.950000762939453" customHeight="1">
      <x:c r="A11" s="18" t="s">
        <x:v>671</x:v>
      </x:c>
      <x:c r="B11" s="18" t="str">
        <x:f t="shared" ref="B11:AF11" si="0">IF(""="","","")</x:f>
      </x:c>
      <x:c r="C11" s="18" t="str">
        <x:f t="shared" si="0"/>
      </x:c>
      <x:c r="D11" s="18" t="str">
        <x:f t="shared" si="0"/>
      </x:c>
      <x:c r="E11" s="18" t="str">
        <x:f t="shared" si="0"/>
      </x:c>
      <x:c r="F11" s="18" t="str">
        <x:f t="shared" si="0"/>
      </x:c>
      <x:c r="G11" s="18" t="str">
        <x:f t="shared" si="0"/>
      </x:c>
      <x:c r="H11" s="18" t="str">
        <x:f t="shared" si="0"/>
      </x:c>
      <x:c r="I11" s="18" t="str">
        <x:f t="shared" si="0"/>
      </x:c>
      <x:c r="J11" s="18" t="str">
        <x:f t="shared" si="0"/>
      </x:c>
      <x:c r="K11" s="18" t="str">
        <x:f t="shared" si="0"/>
      </x:c>
      <x:c r="L11" s="18" t="str">
        <x:f t="shared" si="0"/>
      </x:c>
      <x:c r="M11" s="18" t="str">
        <x:f t="shared" si="0"/>
      </x:c>
      <x:c r="N11" s="18" t="str">
        <x:f t="shared" si="0"/>
      </x:c>
      <x:c r="O11" s="18" t="str">
        <x:f t="shared" si="0"/>
      </x:c>
      <x:c r="P11" s="18" t="str">
        <x:f t="shared" si="0"/>
      </x:c>
      <x:c r="Q11" s="18" t="str">
        <x:f t="shared" si="0"/>
      </x:c>
      <x:c r="R11" s="18" t="str">
        <x:f t="shared" si="0"/>
      </x:c>
      <x:c r="S11" s="18" t="str">
        <x:f t="shared" si="0"/>
      </x:c>
      <x:c r="T11" s="18" t="str">
        <x:f t="shared" si="0"/>
      </x:c>
      <x:c r="U11" s="18" t="str">
        <x:f t="shared" si="0"/>
      </x:c>
      <x:c r="V11" s="18" t="str">
        <x:f t="shared" si="0"/>
      </x:c>
      <x:c r="W11" s="18" t="str">
        <x:f t="shared" si="0"/>
      </x:c>
      <x:c r="X11" s="18" t="str">
        <x:f t="shared" si="0"/>
      </x:c>
      <x:c r="Y11" s="18" t="str">
        <x:f t="shared" si="0"/>
      </x:c>
      <x:c r="Z11" s="18" t="str">
        <x:f t="shared" si="0"/>
      </x:c>
      <x:c r="AA11" s="18" t="str">
        <x:f t="shared" si="0"/>
      </x:c>
      <x:c r="AB11" s="18" t="str">
        <x:f t="shared" si="0"/>
      </x:c>
      <x:c r="AC11" s="18" t="str">
        <x:f t="shared" si="0"/>
      </x:c>
      <x:c r="AD11" s="18" t="str">
        <x:f t="shared" si="0"/>
      </x:c>
      <x:c r="AE11" s="18" t="str">
        <x:f t="shared" si="0"/>
      </x:c>
      <x:c r="AF11" s="19" t="str">
        <x:f t="shared" si="0"/>
      </x:c>
    </x:row>
    <x:row r="12" ht="36" customHeight="1">
      <x:c r="A12" s="17" t="s">
        <x:v>672</x:v>
      </x:c>
      <x:c r="B12" s="3" t="str">
        <x:f>IF(Master!C416="","",Master!C416)</x:f>
      </x:c>
      <x:c r="C12" s="3" t="str">
        <x:f>IF(Master!D416="","",Master!D416)</x:f>
      </x:c>
      <x:c r="D12" s="3" t="str">
        <x:f>IF(Master!E416="","",Master!E416)</x:f>
      </x:c>
      <x:c r="E12" s="3" t="str">
        <x:f>IF(Master!F416="","",Master!F416)</x:f>
      </x:c>
      <x:c r="F12" s="3" t="str">
        <x:f>IF(Master!G416="","",Master!G416)</x:f>
      </x:c>
      <x:c r="G12" s="3" t="str">
        <x:f>IF(Master!H416="","",Master!H416)</x:f>
      </x:c>
      <x:c r="H12" s="3" t="str">
        <x:f>IF(Master!I416="","",Master!I416)</x:f>
      </x:c>
      <x:c r="I12" s="3" t="str">
        <x:f>IF(Master!J416="","",Master!J416)</x:f>
      </x:c>
      <x:c r="J12" s="3" t="str">
        <x:f>IF(Master!K416="","",Master!K416)</x:f>
      </x:c>
      <x:c r="K12" s="3" t="str">
        <x:f>IF(Master!L416="","",Master!L416)</x:f>
        <x:v>No</x:v>
      </x:c>
      <x:c r="L12" s="3" t="str">
        <x:f>IF(Master!M416="","",Master!M416)</x:f>
      </x:c>
      <x:c r="M12" s="3" t="str">
        <x:f>IF(Master!N416="","",Master!N416)</x:f>
      </x:c>
      <x:c r="N12" s="3" t="str">
        <x:f>IF(Master!O416="","",Master!O416)</x:f>
      </x:c>
      <x:c r="O12" s="3" t="str">
        <x:f>IF(Master!P416="","",Master!P416)</x:f>
      </x:c>
      <x:c r="P12" s="3" t="str">
        <x:f>IF(Master!Q416="","",Master!Q416)</x:f>
        <x:v>Yes for some event/link flows</x:v>
      </x:c>
      <x:c r="Q12" s="3" t="str">
        <x:f>IF(Master!R416="","",Master!R416)</x:f>
      </x:c>
      <x:c r="R12" s="3" t="str">
        <x:f>IF(Master!S416="","",Master!S416)</x:f>
      </x:c>
      <x:c r="S12" s="3" t="str">
        <x:f>IF(Master!T416="","",Master!T416)</x:f>
      </x:c>
      <x:c r="T12" s="3" t="str">
        <x:f>IF(Master!U416="","",Master!U416)</x:f>
      </x:c>
      <x:c r="U12" s="3" t="str">
        <x:f>IF(Master!V416="","",Master!V416)</x:f>
        <x:v>No</x:v>
      </x:c>
      <x:c r="V12" s="3" t="str">
        <x:f>IF(Master!W416="","",Master!W416)</x:f>
      </x:c>
      <x:c r="W12" s="3" t="str">
        <x:f>IF(Master!X416="","",Master!X416)</x:f>
      </x:c>
      <x:c r="X12" s="3" t="str">
        <x:f>IF(Master!Y416="","",Master!Y416)</x:f>
      </x:c>
      <x:c r="Y12" s="3" t="str">
        <x:f>IF(Master!Z416="","",Master!Z416)</x:f>
      </x:c>
      <x:c r="Z12" s="3" t="str">
        <x:f>IF(Master!AA416="","",Master!AA416)</x:f>
      </x:c>
      <x:c r="AA12" s="6" t="str">
        <x:f>IF(Master!AB416="","",Master!AB416)</x:f>
      </x:c>
      <x:c r="AB12" s="3" t="str">
        <x:f>IF(Master!AC416="","",Master!AC416)</x:f>
      </x:c>
      <x:c r="AC12" s="3" t="str">
        <x:f>IF(Master!AD416="","",Master!AD416)</x:f>
      </x:c>
      <x:c r="AD12" s="3" t="str">
        <x:f>IF(Master!AE416="","",Master!AE416)</x:f>
      </x:c>
      <x:c r="AE12" s="3" t="str">
        <x:f>IF(Master!AF416="","",Master!AF416)</x:f>
      </x:c>
      <x:c r="AF12" s="8" t="str">
        <x:f>IF(Master!AG416="","",Master!AG416)</x:f>
      </x:c>
    </x:row>
    <x:row r="13" ht="36" customHeight="1">
      <x:c r="A13" s="17" t="s">
        <x:v>673</x:v>
      </x:c>
      <x:c r="B13" s="3" t="str">
        <x:f>IF(Master!C417="","",Master!C417)</x:f>
        <x:v>Email reset</x:v>
      </x:c>
      <x:c r="C13" s="3" t="str">
        <x:f>IF(Master!D417="","",Master!D417)</x:f>
      </x:c>
      <x:c r="D13" s="3" t="str">
        <x:f>IF(Master!E417="","",Master!E417)</x:f>
      </x:c>
      <x:c r="E13" s="3" t="str">
        <x:f>IF(Master!F417="","",Master!F417)</x:f>
      </x:c>
      <x:c r="F13" s="3" t="str">
        <x:f>IF(Master!G417="","",Master!G417)</x:f>
      </x:c>
      <x:c r="G13" s="3" t="str">
        <x:f>IF(Master!H417="","",Master!H417)</x:f>
        <x:v>Email reset</x:v>
      </x:c>
      <x:c r="H13" s="3" t="str">
        <x:f>IF(Master!I417="","",Master!I417)</x:f>
      </x:c>
      <x:c r="I13" s="3" t="str">
        <x:f>IF(Master!J417="","",Master!J417)</x:f>
      </x:c>
      <x:c r="J13" s="3" t="str">
        <x:f>IF(Master!K417="","",Master!K417)</x:f>
        <x:v>Recovery phrase / key material</x:v>
      </x:c>
      <x:c r="K13" s="3" t="str">
        <x:f>IF(Master!L417="","",Master!L417)</x:f>
        <x:v>Email reset when email is enabled; operator-assisted policy is needed when email is disabled</x:v>
      </x:c>
      <x:c r="L13" s="3" t="str">
        <x:f>IF(Master!M417="","",Master!M417)</x:f>
      </x:c>
      <x:c r="M13" s="3" t="str">
        <x:f>IF(Master!N417="","",Master!N417)</x:f>
      </x:c>
      <x:c r="N13" s="3" t="str">
        <x:f>IF(Master!O417="","",Master!O417)</x:f>
      </x:c>
      <x:c r="O13" s="3" t="str">
        <x:f>IF(Master!P417="","",Master!P417)</x:f>
      </x:c>
      <x:c r="P13" s="3" t="str">
        <x:f>IF(Master!Q417="","",Master!Q417)</x:f>
      </x:c>
      <x:c r="Q13" s="3" t="str">
        <x:f>IF(Master!R417="","",Master!R417)</x:f>
      </x:c>
      <x:c r="R13" s="3" t="str">
        <x:f>IF(Master!S417="","",Master!S417)</x:f>
      </x:c>
      <x:c r="S13" s="3" t="str">
        <x:f>IF(Master!T417="","",Master!T417)</x:f>
      </x:c>
      <x:c r="T13" s="3" t="str">
        <x:f>IF(Master!U417="","",Master!U417)</x:f>
      </x:c>
      <x:c r="U13" s="3" t="str">
        <x:f>IF(Master!V417="","",Master!V417)</x:f>
        <x:v>12-word Rift Key / recovery key</x:v>
      </x:c>
      <x:c r="V13" s="3" t="str">
        <x:f>IF(Master!W417="","",Master!W417)</x:f>
      </x:c>
      <x:c r="W13" s="3" t="str">
        <x:f>IF(Master!X417="","",Master!X417)</x:f>
      </x:c>
      <x:c r="X13" s="3" t="str">
        <x:f>IF(Master!Y417="","",Master!Y417)</x:f>
        <x:v>Email reset</x:v>
      </x:c>
      <x:c r="Y13" s="3" t="str">
        <x:f>IF(Master!Z417="","",Master!Z417)</x:f>
      </x:c>
      <x:c r="Z13" s="3" t="str">
        <x:f>IF(Master!AA417="","",Master!AA417)</x:f>
      </x:c>
      <x:c r="AA13" s="6" t="str">
        <x:f>IF(Master!AB417="","",Master!AB417)</x:f>
      </x:c>
      <x:c r="AB13" s="3" t="str">
        <x:f>IF(Master!AC417="","",Master!AC417)</x:f>
        <x:v>Email reset</x:v>
      </x:c>
      <x:c r="AC13" s="3" t="str">
        <x:f>IF(Master!AD417="","",Master!AD417)</x:f>
      </x:c>
      <x:c r="AD13" s="3" t="str">
        <x:f>IF(Master!AE417="","",Master!AE417)</x:f>
      </x:c>
      <x:c r="AE13" s="3" t="str">
        <x:f>IF(Master!AF417="","",Master!AF417)</x:f>
      </x:c>
      <x:c r="AF13" s="8" t="str">
        <x:f>IF(Master!AG417="","",Master!AG417)</x:f>
      </x:c>
    </x:row>
    <x:row r="14" ht="36" customHeight="1">
      <x:c r="A14" s="17" t="s">
        <x:v>674</x:v>
      </x:c>
      <x:c r="B14" s="3" t="str">
        <x:f>IF(Master!C418="","",Master!C418)</x:f>
        <x:v>Yes</x:v>
      </x:c>
      <x:c r="C14" s="3" t="str">
        <x:f>IF(Master!D418="","",Master!D418)</x:f>
      </x:c>
      <x:c r="D14" s="3" t="str">
        <x:f>IF(Master!E418="","",Master!E418)</x:f>
      </x:c>
      <x:c r="E14" s="3" t="str">
        <x:f>IF(Master!F418="","",Master!F418)</x:f>
      </x:c>
      <x:c r="F14" s="3" t="str">
        <x:f>IF(Master!G418="","",Master!G418)</x:f>
      </x:c>
      <x:c r="G14" s="3" t="str">
        <x:f>IF(Master!H418="","",Master!H418)</x:f>
        <x:v>Yes</x:v>
      </x:c>
      <x:c r="H14" s="3" t="str">
        <x:f>IF(Master!I418="","",Master!I418)</x:f>
      </x:c>
      <x:c r="I14" s="3" t="str">
        <x:f>IF(Master!J418="","",Master!J418)</x:f>
      </x:c>
      <x:c r="J14" s="3" t="str">
        <x:f>IF(Master!K418="","",Master!K418)</x:f>
      </x:c>
      <x:c r="K14" s="3" t="str">
        <x:f>IF(Master!L418="","",Master!L418)</x:f>
        <x:v>Email reset when email is enabled; operator-assisted policy is needed when email is disabled</x:v>
      </x:c>
      <x:c r="L14" s="3" t="str">
        <x:f>IF(Master!M418="","",Master!M418)</x:f>
      </x:c>
      <x:c r="M14" s="3" t="str">
        <x:f>IF(Master!N418="","",Master!N418)</x:f>
      </x:c>
      <x:c r="N14" s="3" t="str">
        <x:f>IF(Master!O418="","",Master!O418)</x:f>
      </x:c>
      <x:c r="O14" s="3" t="str">
        <x:f>IF(Master!P418="","",Master!P418)</x:f>
      </x:c>
      <x:c r="P14" s="3" t="str">
        <x:f>IF(Master!Q418="","",Master!Q418)</x:f>
      </x:c>
      <x:c r="Q14" s="3" t="str">
        <x:f>IF(Master!R418="","",Master!R418)</x:f>
      </x:c>
      <x:c r="R14" s="3" t="str">
        <x:f>IF(Master!S418="","",Master!S418)</x:f>
      </x:c>
      <x:c r="S14" s="3" t="str">
        <x:f>IF(Master!T418="","",Master!T418)</x:f>
      </x:c>
      <x:c r="T14" s="3" t="str">
        <x:f>IF(Master!U418="","",Master!U418)</x:f>
      </x:c>
      <x:c r="U14" s="3" t="str">
        <x:f>IF(Master!V418="","",Master!V418)</x:f>
        <x:v>yes - recovery key</x:v>
      </x:c>
      <x:c r="V14" s="3" t="str">
        <x:f>IF(Master!W418="","",Master!W418)</x:f>
      </x:c>
      <x:c r="W14" s="3" t="str">
        <x:f>IF(Master!X418="","",Master!X418)</x:f>
      </x:c>
      <x:c r="X14" s="3" t="str">
        <x:f>IF(Master!Y418="","",Master!Y418)</x:f>
        <x:v>Yes</x:v>
      </x:c>
      <x:c r="Y14" s="3" t="str">
        <x:f>IF(Master!Z418="","",Master!Z418)</x:f>
      </x:c>
      <x:c r="Z14" s="3" t="str">
        <x:f>IF(Master!AA418="","",Master!AA418)</x:f>
      </x:c>
      <x:c r="AA14" s="6" t="str">
        <x:f>IF(Master!AB418="","",Master!AB418)</x:f>
      </x:c>
      <x:c r="AB14" s="3" t="str">
        <x:f>IF(Master!AC418="","",Master!AC418)</x:f>
        <x:v>Yes</x:v>
      </x:c>
      <x:c r="AC14" s="3" t="str">
        <x:f>IF(Master!AD418="","",Master!AD418)</x:f>
      </x:c>
      <x:c r="AD14" s="3" t="str">
        <x:f>IF(Master!AE418="","",Master!AE418)</x:f>
      </x:c>
      <x:c r="AE14" s="3" t="str">
        <x:f>IF(Master!AF418="","",Master!AF418)</x:f>
      </x:c>
      <x:c r="AF14" s="8" t="str">
        <x:f>IF(Master!AG418="","",Master!AG418)</x:f>
      </x:c>
    </x:row>
    <x:row r="15" ht="36" customHeight="1">
      <x:c r="A15" s="17" t="s">
        <x:v>675</x:v>
      </x:c>
      <x:c r="B15" s="3" t="str">
        <x:f>IF(Master!C419="","",Master!C419)</x:f>
      </x:c>
      <x:c r="C15" s="3" t="str">
        <x:f>IF(Master!D419="","",Master!D419)</x:f>
      </x:c>
      <x:c r="D15" s="3" t="str">
        <x:f>IF(Master!E419="","",Master!E419)</x:f>
      </x:c>
      <x:c r="E15" s="3" t="str">
        <x:f>IF(Master!F419="","",Master!F419)</x:f>
      </x:c>
      <x:c r="F15" s="3" t="str">
        <x:f>IF(Master!G419="","",Master!G419)</x:f>
      </x:c>
      <x:c r="G15" s="3" t="str">
        <x:f>IF(Master!H419="","",Master!H419)</x:f>
      </x:c>
      <x:c r="H15" s="3" t="str">
        <x:f>IF(Master!I419="","",Master!I419)</x:f>
      </x:c>
      <x:c r="I15" s="3" t="str">
        <x:f>IF(Master!J419="","",Master!J419)</x:f>
      </x:c>
      <x:c r="J15" s="3" t="str">
        <x:f>IF(Master!K419="","",Master!K419)</x:f>
        <x:v>Yes: recovery key</x:v>
      </x:c>
      <x:c r="K15" s="3" t="str">
        <x:f>IF(Master!L419="","",Master!L419)</x:f>
        <x:v>Partial: possible only through operator-assisted recovery when email is disabled</x:v>
      </x:c>
      <x:c r="L15" s="3" t="str">
        <x:f>IF(Master!M419="","",Master!M419)</x:f>
      </x:c>
      <x:c r="M15" s="3" t="str">
        <x:f>IF(Master!N419="","",Master!N419)</x:f>
      </x:c>
      <x:c r="N15" s="3" t="str">
        <x:f>IF(Master!O419="","",Master!O419)</x:f>
      </x:c>
      <x:c r="O15" s="3" t="str">
        <x:f>IF(Master!P419="","",Master!P419)</x:f>
      </x:c>
      <x:c r="P15" s="3" t="str">
        <x:f>IF(Master!Q419="","",Master!Q419)</x:f>
      </x:c>
      <x:c r="Q15" s="3" t="str">
        <x:f>IF(Master!R419="","",Master!R419)</x:f>
      </x:c>
      <x:c r="R15" s="3" t="str">
        <x:f>IF(Master!S419="","",Master!S419)</x:f>
      </x:c>
      <x:c r="S15" s="3" t="str">
        <x:f>IF(Master!T419="","",Master!T419)</x:f>
      </x:c>
      <x:c r="T15" s="3" t="str">
        <x:f>IF(Master!U419="","",Master!U419)</x:f>
      </x:c>
      <x:c r="U15" s="3" t="str">
        <x:f>IF(Master!V419="","",Master!V419)</x:f>
        <x:v>Yes: recovery key</x:v>
      </x:c>
      <x:c r="V15" s="3" t="str">
        <x:f>IF(Master!W419="","",Master!W419)</x:f>
      </x:c>
      <x:c r="W15" s="3" t="str">
        <x:f>IF(Master!X419="","",Master!X419)</x:f>
      </x:c>
      <x:c r="X15" s="3" t="str">
        <x:f>IF(Master!Y419="","",Master!Y419)</x:f>
      </x:c>
      <x:c r="Y15" s="3" t="str">
        <x:f>IF(Master!Z419="","",Master!Z419)</x:f>
      </x:c>
      <x:c r="Z15" s="3" t="str">
        <x:f>IF(Master!AA419="","",Master!AA419)</x:f>
      </x:c>
      <x:c r="AA15" s="6" t="str">
        <x:f>IF(Master!AB419="","",Master!AB419)</x:f>
      </x:c>
      <x:c r="AB15" s="3" t="str">
        <x:f>IF(Master!AC419="","",Master!AC419)</x:f>
      </x:c>
      <x:c r="AC15" s="3" t="str">
        <x:f>IF(Master!AD419="","",Master!AD419)</x:f>
      </x:c>
      <x:c r="AD15" s="3" t="str">
        <x:f>IF(Master!AE419="","",Master!AE419)</x:f>
      </x:c>
      <x:c r="AE15" s="3" t="str">
        <x:f>IF(Master!AF419="","",Master!AF419)</x:f>
      </x:c>
      <x:c r="AF15" s="8" t="str">
        <x:f>IF(Master!AG419="","",Master!AG419)</x:f>
      </x:c>
    </x:row>
    <x:row r="16" ht="21.950000762939453" customHeight="1">
      <x:c r="A16" s="18" t="s">
        <x:v>676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677</x:v>
      </x:c>
      <x:c r="B17" s="3" t="str">
        <x:f>IF(Master!C420="","",Master!C420)</x:f>
        <x:v>Yes / central namespace</x:v>
      </x:c>
      <x:c r="C17" s="3" t="str">
        <x:f>IF(Master!D420="","",Master!D420)</x:f>
      </x:c>
      <x:c r="D17" s="3" t="str">
        <x:f>IF(Master!E420="","",Master!E420)</x:f>
      </x:c>
      <x:c r="E17" s="3" t="str">
        <x:f>IF(Master!F420="","",Master!F420)</x:f>
      </x:c>
      <x:c r="F17" s="3" t="str">
        <x:f>IF(Master!G420="","",Master!G420)</x:f>
      </x:c>
      <x:c r="G17" s="3" t="str">
        <x:f>IF(Master!H420="","",Master!H420)</x:f>
        <x:v>Yes / central namespace</x:v>
      </x:c>
      <x:c r="H17" s="3" t="str">
        <x:f>IF(Master!I420="","",Master!I420)</x:f>
        <x:v>Yes / central namespace</x:v>
      </x:c>
      <x:c r="I17" s="3" t="str">
        <x:f>IF(Master!J420="","",Master!J420)</x:f>
      </x:c>
      <x:c r="J17" s="3" t="str">
        <x:f>IF(Master!K420="","",Master!K420)</x:f>
      </x:c>
      <x:c r="K17" s="3" t="str">
        <x:f>IF(Master!L420="","",Master!L420)</x:f>
        <x:v>Yes: username@domain</x:v>
      </x:c>
      <x:c r="L17" s="3" t="str">
        <x:f>IF(Master!M420="","",Master!M420)</x:f>
      </x:c>
      <x:c r="M17" s="3" t="str">
        <x:f>IF(Master!N420="","",Master!N420)</x:f>
      </x:c>
      <x:c r="N17" s="3" t="str">
        <x:f>IF(Master!O420="","",Master!O420)</x:f>
        <x:v>Homeserver-scoped Matrix ID</x:v>
      </x:c>
      <x:c r="O17" s="3" t="str">
        <x:f>IF(Master!P420="","",Master!P420)</x:f>
      </x:c>
      <x:c r="P17" s="3" t="str">
        <x:f>IF(Master!Q420="","",Master!Q420)</x:f>
      </x:c>
      <x:c r="Q17" s="3" t="str">
        <x:f>IF(Master!R420="","",Master!R420)</x:f>
      </x:c>
      <x:c r="R17" s="3" t="str">
        <x:f>IF(Master!S420="","",Master!S420)</x:f>
      </x:c>
      <x:c r="S17" s="3" t="str">
        <x:f>IF(Master!T420="","",Master!T420)</x:f>
      </x:c>
      <x:c r="T17" s="3" t="str">
        <x:f>IF(Master!U420="","",Master!U420)</x:f>
      </x:c>
      <x:c r="U17" s="3" t="str">
        <x:f>IF(Master!V420="","",Master!V420)</x:f>
        <x:v>Yes / central namespace</x:v>
      </x:c>
      <x:c r="V17" s="3" t="str">
        <x:f>IF(Master!W420="","",Master!W420)</x:f>
      </x:c>
      <x:c r="W17" s="3" t="str">
        <x:f>IF(Master!X420="","",Master!X420)</x:f>
      </x:c>
      <x:c r="X17" s="3" t="str">
        <x:f>IF(Master!Y420="","",Master!Y420)</x:f>
        <x:v>Yes / central namespace</x:v>
      </x:c>
      <x:c r="Y17" s="3" t="str">
        <x:f>IF(Master!Z420="","",Master!Z420)</x:f>
      </x:c>
      <x:c r="Z17" s="3" t="str">
        <x:f>IF(Master!AA420="","",Master!AA420)</x:f>
      </x:c>
      <x:c r="AA17" s="6" t="str">
        <x:f>IF(Master!AB420="","",Master!AB420)</x:f>
      </x:c>
      <x:c r="AB17" s="3" t="str">
        <x:f>IF(Master!AC420="","",Master!AC420)</x:f>
      </x:c>
      <x:c r="AC17" s="3" t="str">
        <x:f>IF(Master!AD420="","",Master!AD420)</x:f>
      </x:c>
      <x:c r="AD17" s="3" t="str">
        <x:f>IF(Master!AE420="","",Master!AE420)</x:f>
      </x:c>
      <x:c r="AE17" s="3" t="str">
        <x:f>IF(Master!AF420="","",Master!AF420)</x:f>
      </x:c>
      <x:c r="AF17" s="8" t="str">
        <x:f>IF(Master!AG420="","",Master!AG420)</x:f>
      </x:c>
    </x:row>
    <x:row r="18" ht="36" customHeight="1">
      <x:c r="A18" s="17" t="s">
        <x:v>678</x:v>
      </x:c>
      <x:c r="B18" s="3" t="str">
        <x:f>IF(Master!C421="","",Master!C421)</x:f>
        <x:v>Yes</x:v>
      </x:c>
      <x:c r="C18" s="3" t="str">
        <x:f>IF(Master!D421="","",Master!D421)</x:f>
      </x:c>
      <x:c r="D18" s="3" t="str">
        <x:f>IF(Master!E421="","",Master!E421)</x:f>
      </x:c>
      <x:c r="E18" s="3" t="str">
        <x:f>IF(Master!F421="","",Master!F421)</x:f>
      </x:c>
      <x:c r="F18" s="3" t="str">
        <x:f>IF(Master!G421="","",Master!G421)</x:f>
      </x:c>
      <x:c r="G18" s="3" t="str">
        <x:f>IF(Master!H421="","",Master!H421)</x:f>
        <x:v>Yes</x:v>
      </x:c>
      <x:c r="H18" s="3" t="str">
        <x:f>IF(Master!I421="","",Master!I421)</x:f>
      </x:c>
      <x:c r="I18" s="3" t="str">
        <x:f>IF(Master!J421="","",Master!J421)</x:f>
      </x:c>
      <x:c r="J18" s="3" t="str">
        <x:f>IF(Master!K421="","",Master!K421)</x:f>
      </x:c>
      <x:c r="K18" s="3" t="str">
        <x:f>IF(Master!L421="","",Master!L421)</x:f>
        <x:v>Yes</x:v>
      </x:c>
      <x:c r="L18" s="3" t="str">
        <x:f>IF(Master!M421="","",Master!M421)</x:f>
      </x:c>
      <x:c r="M18" s="3" t="str">
        <x:f>IF(Master!N421="","",Master!N421)</x:f>
      </x:c>
      <x:c r="N18" s="3" t="str">
        <x:f>IF(Master!O421="","",Master!O421)</x:f>
        <x:v>Yes</x:v>
      </x:c>
      <x:c r="O18" s="3" t="str">
        <x:f>IF(Master!P421="","",Master!P421)</x:f>
      </x:c>
      <x:c r="P18" s="3" t="str">
        <x:f>IF(Master!Q421="","",Master!Q421)</x:f>
        <x:v>Yes</x:v>
      </x:c>
      <x:c r="Q18" s="3" t="str">
        <x:f>IF(Master!R421="","",Master!R421)</x:f>
      </x:c>
      <x:c r="R18" s="3" t="str">
        <x:f>IF(Master!S421="","",Master!S421)</x:f>
      </x:c>
      <x:c r="S18" s="3" t="str">
        <x:f>IF(Master!T421="","",Master!T421)</x:f>
      </x:c>
      <x:c r="T18" s="3" t="str">
        <x:f>IF(Master!U421="","",Master!U421)</x:f>
      </x:c>
      <x:c r="U18" s="3" t="str">
        <x:f>IF(Master!V421="","",Master!V421)</x:f>
        <x:v>Yes</x:v>
      </x:c>
      <x:c r="V18" s="3" t="str">
        <x:f>IF(Master!W421="","",Master!W421)</x:f>
      </x:c>
      <x:c r="W18" s="3" t="str">
        <x:f>IF(Master!X421="","",Master!X421)</x:f>
      </x:c>
      <x:c r="X18" s="3" t="str">
        <x:f>IF(Master!Y421="","",Master!Y421)</x:f>
        <x:v>Yes</x:v>
      </x:c>
      <x:c r="Y18" s="3" t="str">
        <x:f>IF(Master!Z421="","",Master!Z421)</x:f>
      </x:c>
      <x:c r="Z18" s="3" t="str">
        <x:f>IF(Master!AA421="","",Master!AA421)</x:f>
      </x:c>
      <x:c r="AA18" s="6" t="str">
        <x:f>IF(Master!AB421="","",Master!AB421)</x:f>
      </x:c>
      <x:c r="AB18" s="3" t="str">
        <x:f>IF(Master!AC421="","",Master!AC421)</x:f>
      </x:c>
      <x:c r="AC18" s="3" t="str">
        <x:f>IF(Master!AD421="","",Master!AD421)</x:f>
      </x:c>
      <x:c r="AD18" s="3" t="str">
        <x:f>IF(Master!AE421="","",Master!AE421)</x:f>
      </x:c>
      <x:c r="AE18" s="3" t="str">
        <x:f>IF(Master!AF421="","",Master!AF421)</x:f>
      </x:c>
      <x:c r="AF18" s="8" t="str">
        <x:f>IF(Master!AG421="","",Master!AG421)</x:f>
      </x:c>
    </x:row>
    <x:row r="19" ht="36" customHeight="1">
      <x:c r="A19" s="17" t="s">
        <x:v>679</x:v>
      </x:c>
      <x:c r="B19" s="3" t="str">
        <x:f>IF(Master!C422="","",Master!C422)</x:f>
        <x:v>Yes</x:v>
      </x:c>
      <x:c r="C19" s="3" t="str">
        <x:f>IF(Master!D422="","",Master!D422)</x:f>
      </x:c>
      <x:c r="D19" s="3" t="str">
        <x:f>IF(Master!E422="","",Master!E422)</x:f>
      </x:c>
      <x:c r="E19" s="3" t="str">
        <x:f>IF(Master!F422="","",Master!F422)</x:f>
      </x:c>
      <x:c r="F19" s="3" t="str">
        <x:f>IF(Master!G422="","",Master!G422)</x:f>
      </x:c>
      <x:c r="G19" s="3" t="str">
        <x:f>IF(Master!H422="","",Master!H422)</x:f>
        <x:v>Yes</x:v>
      </x:c>
      <x:c r="H19" s="3" t="str">
        <x:f>IF(Master!I422="","",Master!I422)</x:f>
      </x:c>
      <x:c r="I19" s="3" t="str">
        <x:f>IF(Master!J422="","",Master!J422)</x:f>
      </x:c>
      <x:c r="J19" s="3" t="str">
        <x:f>IF(Master!K422="","",Master!K422)</x:f>
      </x:c>
      <x:c r="K19" s="3" t="str">
        <x:f>IF(Master!L422="","",Master!L422)</x:f>
        <x:v>Not specifically documented</x:v>
      </x:c>
      <x:c r="L19" s="3" t="str">
        <x:f>IF(Master!M422="","",Master!M422)</x:f>
      </x:c>
      <x:c r="M19" s="3" t="str">
        <x:f>IF(Master!N422="","",Master!N422)</x:f>
      </x:c>
      <x:c r="N19" s="3" t="str">
        <x:f>IF(Master!O422="","",Master!O422)</x:f>
        <x:v>Client/provider-dependent</x:v>
      </x:c>
      <x:c r="O19" s="3" t="str">
        <x:f>IF(Master!P422="","",Master!P422)</x:f>
      </x:c>
      <x:c r="P19" s="3" t="str">
        <x:f>IF(Master!Q422="","",Master!Q422)</x:f>
      </x:c>
      <x:c r="Q19" s="3" t="str">
        <x:f>IF(Master!R422="","",Master!R422)</x:f>
      </x:c>
      <x:c r="R19" s="3" t="str">
        <x:f>IF(Master!S422="","",Master!S422)</x:f>
      </x:c>
      <x:c r="S19" s="3" t="str">
        <x:f>IF(Master!T422="","",Master!T422)</x:f>
      </x:c>
      <x:c r="T19" s="3" t="str">
        <x:f>IF(Master!U422="","",Master!U422)</x:f>
      </x:c>
      <x:c r="U19" s="3" t="str">
        <x:f>IF(Master!V422="","",Master!V422)</x:f>
        <x:v>Yes</x:v>
      </x:c>
      <x:c r="V19" s="3" t="str">
        <x:f>IF(Master!W422="","",Master!W422)</x:f>
      </x:c>
      <x:c r="W19" s="3" t="str">
        <x:f>IF(Master!X422="","",Master!X422)</x:f>
      </x:c>
      <x:c r="X19" s="3" t="str">
        <x:f>IF(Master!Y422="","",Master!Y422)</x:f>
      </x:c>
      <x:c r="Y19" s="3" t="str">
        <x:f>IF(Master!Z422="","",Master!Z422)</x:f>
      </x:c>
      <x:c r="Z19" s="3" t="str">
        <x:f>IF(Master!AA422="","",Master!AA422)</x:f>
      </x:c>
      <x:c r="AA19" s="6" t="str">
        <x:f>IF(Master!AB422="","",Master!AB422)</x:f>
      </x:c>
      <x:c r="AB19" s="3" t="str">
        <x:f>IF(Master!AC422="","",Master!AC422)</x:f>
      </x:c>
      <x:c r="AC19" s="3" t="str">
        <x:f>IF(Master!AD422="","",Master!AD422)</x:f>
      </x:c>
      <x:c r="AD19" s="3" t="str">
        <x:f>IF(Master!AE422="","",Master!AE422)</x:f>
      </x:c>
      <x:c r="AE19" s="3" t="str">
        <x:f>IF(Master!AF422="","",Master!AF422)</x:f>
      </x:c>
      <x:c r="AF19" s="8" t="str">
        <x:f>IF(Master!AG422="","",Master!AG422)</x:f>
      </x:c>
    </x:row>
    <x:row r="20" ht="36" customHeight="1">
      <x:c r="A20" s="17" t="s">
        <x:v>680</x:v>
      </x:c>
      <x:c r="B20" s="3" t="str">
        <x:f>IF(Master!C423="","",Master!C423)</x:f>
        <x:v>Desktop Account Switcher up to 5 accounts</x:v>
      </x:c>
      <x:c r="C20" s="3" t="str">
        <x:f>IF(Master!D423="","",Master!D423)</x:f>
        <x:v>Key-based identity</x:v>
      </x:c>
      <x:c r="D20" s="3" t="str">
        <x:f>IF(Master!E423="","",Master!E423)</x:f>
      </x:c>
      <x:c r="E20" s="3" t="str">
        <x:f>IF(Master!F423="","",Master!F423)</x:f>
      </x:c>
      <x:c r="F20" s="3" t="str">
        <x:f>IF(Master!G423="","",Master!G423)</x:f>
      </x:c>
      <x:c r="G20" s="3" t="str">
        <x:f>IF(Master!H423="","",Master!H423)</x:f>
      </x:c>
      <x:c r="H20" s="3" t="str">
        <x:f>IF(Master!I423="","",Master!I423)</x:f>
      </x:c>
      <x:c r="I20" s="3" t="str">
        <x:f>IF(Master!J423="","",Master!J423)</x:f>
      </x:c>
      <x:c r="J20" s="3" t="str">
        <x:f>IF(Master!K423="","",Master!K423)</x:f>
        <x:v>Multi-device identity sync</x:v>
      </x:c>
      <x:c r="K20" s="3" t="str">
        <x:f>IF(Master!L423="","",Master!L423)</x:f>
        <x:v>Not documented</x:v>
      </x:c>
      <x:c r="L20" s="3" t="str">
        <x:f>IF(Master!M423="","",Master!M423)</x:f>
      </x:c>
      <x:c r="M20" s="3" t="str">
        <x:f>IF(Master!N423="","",Master!N423)</x:f>
      </x:c>
      <x:c r="N20" s="3" t="str">
        <x:f>IF(Master!O423="","",Master!O423)</x:f>
        <x:v>Client-dependent; some support multiple accounts</x:v>
      </x:c>
      <x:c r="O20" s="3" t="str">
        <x:f>IF(Master!P423="","",Master!P423)</x:f>
        <x:v>Multiple servers</x:v>
      </x:c>
      <x:c r="P20" s="3" t="str">
        <x:f>IF(Master!Q423="","",Master!Q423)</x:f>
      </x:c>
      <x:c r="Q20" s="3" t="str">
        <x:f>IF(Master!R423="","",Master!R423)</x:f>
        <x:v>Server identity/bookmarks rather than cloud account switching</x:v>
      </x:c>
      <x:c r="R20" s="3" t="str">
        <x:f>IF(Master!S423="","",Master!S423)</x:f>
      </x:c>
      <x:c r="S20" s="3" t="str">
        <x:f>IF(Master!T423="","",Master!T423)</x:f>
      </x:c>
      <x:c r="T20" s="3" t="str">
        <x:f>IF(Master!U423="","",Master!U423)</x:f>
      </x:c>
      <x:c r="U20" s="3" t="str">
        <x:f>IF(Master!V423="","",Master!V423)</x:f>
        <x:v>No</x:v>
      </x:c>
      <x:c r="V20" s="3" t="str">
        <x:f>IF(Master!W423="","",Master!W423)</x:f>
        <x:v>Multiple workspaces</x:v>
      </x:c>
      <x:c r="W20" s="3" t="str">
        <x:f>IF(Master!X423="","",Master!X423)</x:f>
        <x:v>ATProto identity</x:v>
      </x:c>
      <x:c r="X20" s="3" t="str">
        <x:f>IF(Master!Y423="","",Master!Y423)</x:f>
      </x:c>
      <x:c r="Y20" s="3" t="str">
        <x:f>IF(Master!Z423="","",Master!Z423)</x:f>
      </x:c>
      <x:c r="Z20" s="3" t="str">
        <x:f>IF(Master!AA423="","",Master!AA423)</x:f>
      </x:c>
      <x:c r="AA20" s="6" t="str">
        <x:f>IF(Master!AB423="","",Master!AB423)</x:f>
      </x:c>
      <x:c r="AB20" s="3" t="str">
        <x:f>IF(Master!AC423="","",Master!AC423)</x:f>
      </x:c>
      <x:c r="AC20" s="3" t="str">
        <x:f>IF(Master!AD423="","",Master!AD423)</x:f>
      </x:c>
      <x:c r="AD20" s="3" t="str">
        <x:f>IF(Master!AE423="","",Master!AE423)</x:f>
      </x:c>
      <x:c r="AE20" s="3" t="str">
        <x:f>IF(Master!AF423="","",Master!AF423)</x:f>
      </x:c>
      <x:c r="AF20" s="8" t="str">
        <x:f>IF(Master!AG423="","",Master!AG423)</x:f>
        <x:v>Multiple accounts/orgs</x:v>
      </x:c>
    </x:row>
    <x:row r="21" ht="36" customHeight="1">
      <x:c r="A21" s="17" t="s">
        <x:v>681</x:v>
      </x:c>
      <x:c r="B21" s="3" t="str">
        <x:f>IF(Master!C424="","",Master!C424)</x:f>
        <x:v>5</x:v>
      </x:c>
      <x:c r="C21" s="3" t="str">
        <x:f>IF(Master!D424="","",Master!D424)</x:f>
      </x:c>
      <x:c r="D21" s="3" t="str">
        <x:f>IF(Master!E424="","",Master!E424)</x:f>
      </x:c>
      <x:c r="E21" s="3" t="str">
        <x:f>IF(Master!F424="","",Master!F424)</x:f>
      </x:c>
      <x:c r="F21" s="3" t="str">
        <x:f>IF(Master!G424="","",Master!G424)</x:f>
      </x:c>
      <x:c r="G21" s="3" t="str">
        <x:f>IF(Master!H424="","",Master!H424)</x:f>
      </x:c>
      <x:c r="H21" s="3" t="str">
        <x:f>IF(Master!I424="","",Master!I424)</x:f>
      </x:c>
      <x:c r="I21" s="3" t="str">
        <x:f>IF(Master!J424="","",Master!J424)</x:f>
      </x:c>
      <x:c r="J21" s="3" t="str">
        <x:f>IF(Master!K424="","",Master!K424)</x:f>
      </x:c>
      <x:c r="K21" s="3" t="str">
        <x:f>IF(Master!L424="","",Master!L424)</x:f>
        <x:v>Not documented</x:v>
      </x:c>
      <x:c r="L21" s="3" t="str">
        <x:f>IF(Master!M424="","",Master!M424)</x:f>
      </x:c>
      <x:c r="M21" s="3" t="str">
        <x:f>IF(Master!N424="","",Master!N424)</x:f>
      </x:c>
      <x:c r="N21" s="3" t="str">
        <x:f>IF(Master!O424="","",Master!O424)</x:f>
      </x:c>
      <x:c r="O21" s="3" t="str">
        <x:f>IF(Master!P424="","",Master!P424)</x:f>
      </x:c>
      <x:c r="P21" s="3" t="str">
        <x:f>IF(Master!Q424="","",Master!Q424)</x:f>
      </x:c>
      <x:c r="Q21" s="3" t="str">
        <x:f>IF(Master!R424="","",Master!R424)</x:f>
      </x:c>
      <x:c r="R21" s="3" t="str">
        <x:f>IF(Master!S424="","",Master!S424)</x:f>
      </x:c>
      <x:c r="S21" s="3" t="str">
        <x:f>IF(Master!T424="","",Master!T424)</x:f>
      </x:c>
      <x:c r="T21" s="3" t="str">
        <x:f>IF(Master!U424="","",Master!U424)</x:f>
      </x:c>
      <x:c r="U21" s="3" t="str">
        <x:f>IF(Master!V424="","",Master!V424)</x:f>
        <x:v>N/A</x:v>
      </x:c>
      <x:c r="V21" s="3" t="str">
        <x:f>IF(Master!W424="","",Master!W424)</x:f>
      </x:c>
      <x:c r="W21" s="3" t="str">
        <x:f>IF(Master!X424="","",Master!X424)</x:f>
      </x:c>
      <x:c r="X21" s="3" t="str">
        <x:f>IF(Master!Y424="","",Master!Y424)</x:f>
      </x:c>
      <x:c r="Y21" s="3" t="str">
        <x:f>IF(Master!Z424="","",Master!Z424)</x:f>
      </x:c>
      <x:c r="Z21" s="3" t="str">
        <x:f>IF(Master!AA424="","",Master!AA424)</x:f>
      </x:c>
      <x:c r="AA21" s="6" t="str">
        <x:f>IF(Master!AB424="","",Master!AB424)</x:f>
      </x:c>
      <x:c r="AB21" s="3" t="str">
        <x:f>IF(Master!AC424="","",Master!AC424)</x:f>
      </x:c>
      <x:c r="AC21" s="3" t="str">
        <x:f>IF(Master!AD424="","",Master!AD424)</x:f>
      </x:c>
      <x:c r="AD21" s="3" t="str">
        <x:f>IF(Master!AE424="","",Master!AE424)</x:f>
      </x:c>
      <x:c r="AE21" s="3" t="str">
        <x:f>IF(Master!AF424="","",Master!AF424)</x:f>
      </x:c>
      <x:c r="AF21" s="8" t="str">
        <x:f>IF(Master!AG424="","",Master!AG424)</x:f>
      </x:c>
    </x:row>
    <x:row r="22" ht="23.100000381469727" customHeight="1">
      <x:c r="A22" s="17" t="s">
        <x:v>682</x:v>
      </x:c>
      <x:c r="B22" s="4" t="str">
        <x:f>IF(Master!C425="","",Master!C425)</x:f>
      </x:c>
      <x:c r="C22" s="4" t="str">
        <x:f>IF(Master!D425="","",Master!D425)</x:f>
      </x:c>
      <x:c r="D22" s="4" t="str">
        <x:f>IF(Master!E425="","",Master!E425)</x:f>
      </x:c>
      <x:c r="E22" s="4" t="str">
        <x:f>IF(Master!F425="","",Master!F425)</x:f>
      </x:c>
      <x:c r="F22" s="4" t="str">
        <x:f>IF(Master!G425="","",Master!G425)</x:f>
      </x:c>
      <x:c r="G22" s="4" t="str">
        <x:f>IF(Master!H425="","",Master!H425)</x:f>
      </x:c>
      <x:c r="H22" s="4" t="str">
        <x:f>IF(Master!I425="","",Master!I425)</x:f>
      </x:c>
      <x:c r="I22" s="4" t="str">
        <x:f>IF(Master!J425="","",Master!J425)</x:f>
      </x:c>
      <x:c r="J22" s="4" t="str">
        <x:f>IF(Master!K425="","",Master!K425)</x:f>
      </x:c>
      <x:c r="K22" s="4" t="str">
        <x:f>IF(Master!L425="","",Master!L425)</x:f>
        <x:v>Federated identity works across instances, but home-instance migration is not documented</x:v>
      </x:c>
      <x:c r="L22" s="4" t="str">
        <x:f>IF(Master!M425="","",Master!M425)</x:f>
      </x:c>
      <x:c r="M22" s="4" t="str">
        <x:f>IF(Master!N425="","",Master!N425)</x:f>
      </x:c>
      <x:c r="N22" s="4" t="str">
        <x:f>IF(Master!O425="","",Master!O425)</x:f>
      </x:c>
      <x:c r="O22" s="4" t="str">
        <x:f>IF(Master!P425="","",Master!P425)</x:f>
      </x:c>
      <x:c r="P22" s="4" t="str">
        <x:f>IF(Master!Q425="","",Master!Q425)</x:f>
      </x:c>
      <x:c r="Q22" s="4" t="str">
        <x:f>IF(Master!R425="","",Master!R425)</x:f>
      </x:c>
      <x:c r="R22" s="4" t="str">
        <x:f>IF(Master!S425="","",Master!S425)</x:f>
      </x:c>
      <x:c r="S22" s="4" t="str">
        <x:f>IF(Master!T425="","",Master!T425)</x:f>
      </x:c>
      <x:c r="T22" s="4" t="str">
        <x:f>IF(Master!U425="","",Master!U425)</x:f>
      </x:c>
      <x:c r="U22" s="4" t="str">
        <x:f>IF(Master!V425="","",Master!V425)</x:f>
        <x:v>N/A</x:v>
      </x:c>
      <x:c r="V22" s="4" t="str">
        <x:f>IF(Master!W425="","",Master!W425)</x:f>
      </x:c>
      <x:c r="W22" s="4" t="str">
        <x:f>IF(Master!X425="","",Master!X425)</x:f>
      </x:c>
      <x:c r="X22" s="4" t="str">
        <x:f>IF(Master!Y425="","",Master!Y425)</x:f>
      </x:c>
      <x:c r="Y22" s="4" t="str">
        <x:f>IF(Master!Z425="","",Master!Z425)</x:f>
      </x:c>
      <x:c r="Z22" s="4" t="str">
        <x:f>IF(Master!AA425="","",Master!AA425)</x:f>
      </x:c>
      <x:c r="AA22" s="5" t="str">
        <x:f>IF(Master!AB425="","",Master!AB425)</x:f>
      </x:c>
      <x:c r="AB22" s="4" t="str">
        <x:f>IF(Master!AC425="","",Master!AC425)</x:f>
      </x:c>
      <x:c r="AC22" s="4" t="str">
        <x:f>IF(Master!AD425="","",Master!AD425)</x:f>
      </x:c>
      <x:c r="AD22" s="4" t="str">
        <x:f>IF(Master!AE425="","",Master!AE425)</x:f>
      </x:c>
      <x:c r="AE22" s="4" t="str">
        <x:f>IF(Master!AF425="","",Master!AF425)</x:f>
      </x:c>
      <x:c r="AF22" s="8" t="str">
        <x:f>IF(Master!AG425="","",Master!AG425)</x:f>
      </x:c>
    </x:row>
    <x:row r="23" ht="21.950000762939453" customHeight="1">
      <x:c r="A23" s="18" t="s">
        <x:v>683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684</x:v>
      </x:c>
      <x:c r="B24" s="3" t="str">
        <x:f>IF(Master!C426="","",Master!C426)</x:f>
      </x:c>
      <x:c r="C24" s="3" t="str">
        <x:f>IF(Master!D426="","",Master!D426)</x:f>
      </x:c>
      <x:c r="D24" s="3" t="str">
        <x:f>IF(Master!E426="","",Master!E426)</x:f>
      </x:c>
      <x:c r="E24" s="3" t="str">
        <x:f>IF(Master!F426="","",Master!F426)</x:f>
      </x:c>
      <x:c r="F24" s="3" t="str">
        <x:f>IF(Master!G426="","",Master!G426)</x:f>
      </x:c>
      <x:c r="G24" s="3" t="str">
        <x:f>IF(Master!H426="","",Master!H426)</x:f>
      </x:c>
      <x:c r="H24" s="3" t="str">
        <x:f>IF(Master!I426="","",Master!I426)</x:f>
      </x:c>
      <x:c r="I24" s="3" t="str">
        <x:f>IF(Master!J426="","",Master!J426)</x:f>
      </x:c>
      <x:c r="J24" s="3" t="str">
        <x:f>IF(Master!K426="","",Master!K426)</x:f>
      </x:c>
      <x:c r="K24" s="3" t="str">
        <x:f>IF(Master!L426="","",Master!L426)</x:f>
        <x:v>Operator-configurable legal minimum age when custom policy pages are enabled; no single Kaede-wide age</x:v>
      </x:c>
      <x:c r="L24" s="3" t="str">
        <x:f>IF(Master!M426="","",Master!M426)</x:f>
      </x:c>
      <x:c r="M24" s="3" t="str">
        <x:f>IF(Master!N426="","",Master!N426)</x:f>
      </x:c>
      <x:c r="N24" s="3" t="str">
        <x:f>IF(Master!O426="","",Master!O426)</x:f>
      </x:c>
      <x:c r="O24" s="3" t="str">
        <x:f>IF(Master!P426="","",Master!P426)</x:f>
      </x:c>
      <x:c r="P24" s="3" t="str">
        <x:f>IF(Master!Q426="","",Master!Q426)</x:f>
      </x:c>
      <x:c r="Q24" s="3" t="str">
        <x:f>IF(Master!R426="","",Master!R426)</x:f>
      </x:c>
      <x:c r="R24" s="3" t="str">
        <x:f>IF(Master!S426="","",Master!S426)</x:f>
      </x:c>
      <x:c r="S24" s="3" t="str">
        <x:f>IF(Master!T426="","",Master!T426)</x:f>
      </x:c>
      <x:c r="T24" s="3" t="str">
        <x:f>IF(Master!U426="","",Master!U426)</x:f>
      </x:c>
      <x:c r="U24" s="3" t="str">
        <x:f>IF(Master!V426="","",Master!V426)</x:f>
        <x:v>18+</x:v>
      </x:c>
      <x:c r="V24" s="3" t="str">
        <x:f>IF(Master!W426="","",Master!W426)</x:f>
      </x:c>
      <x:c r="W24" s="3" t="str">
        <x:f>IF(Master!X426="","",Master!X426)</x:f>
      </x:c>
      <x:c r="X24" s="3" t="str">
        <x:f>IF(Master!Y426="","",Master!Y426)</x:f>
      </x:c>
      <x:c r="Y24" s="3" t="str">
        <x:f>IF(Master!Z426="","",Master!Z426)</x:f>
      </x:c>
      <x:c r="Z24" s="3" t="str">
        <x:f>IF(Master!AA426="","",Master!AA426)</x:f>
      </x:c>
      <x:c r="AA24" s="6" t="str">
        <x:f>IF(Master!AB426="","",Master!AB426)</x:f>
      </x:c>
      <x:c r="AB24" s="3" t="str">
        <x:f>IF(Master!AC426="","",Master!AC426)</x:f>
      </x:c>
      <x:c r="AC24" s="3" t="str">
        <x:f>IF(Master!AD426="","",Master!AD426)</x:f>
      </x:c>
      <x:c r="AD24" s="3" t="str">
        <x:f>IF(Master!AE426="","",Master!AE426)</x:f>
      </x:c>
      <x:c r="AE24" s="3" t="str">
        <x:f>IF(Master!AF426="","",Master!AF426)</x:f>
      </x:c>
      <x:c r="AF24" s="8" t="str">
        <x:f>IF(Master!AG426="","",Master!AG426)</x:f>
      </x:c>
    </x:row>
    <x:row r="25" ht="36" customHeight="1">
      <x:c r="A25" s="17" t="s">
        <x:v>685</x:v>
      </x:c>
      <x:c r="B25" s="3" t="str">
        <x:f>IF(Master!C427="","",Master!C427)</x:f>
        <x:v>Yes</x:v>
      </x:c>
      <x:c r="C25" s="3" t="str">
        <x:f>IF(Master!D427="","",Master!D427)</x:f>
      </x:c>
      <x:c r="D25" s="3" t="str">
        <x:f>IF(Master!E427="","",Master!E427)</x:f>
      </x:c>
      <x:c r="E25" s="3" t="str">
        <x:f>IF(Master!F427="","",Master!F427)</x:f>
      </x:c>
      <x:c r="F25" s="3" t="str">
        <x:f>IF(Master!G427="","",Master!G427)</x:f>
      </x:c>
      <x:c r="G25" s="3" t="str">
        <x:f>IF(Master!H427="","",Master!H427)</x:f>
        <x:v>Yes</x:v>
      </x:c>
      <x:c r="H25" s="3" t="str">
        <x:f>IF(Master!I427="","",Master!I427)</x:f>
      </x:c>
      <x:c r="I25" s="3" t="str">
        <x:f>IF(Master!J427="","",Master!J427)</x:f>
      </x:c>
      <x:c r="J25" s="3" t="str">
        <x:f>IF(Master!K427="","",Master!K427)</x:f>
      </x:c>
      <x:c r="K25" s="3" t="str">
        <x:f>IF(Master!L427="","",Master!L427)</x:f>
        <x:v>No: operator guide explicitly says no self-service account-deletion control</x:v>
      </x:c>
      <x:c r="L25" s="3" t="str">
        <x:f>IF(Master!M427="","",Master!M427)</x:f>
      </x:c>
      <x:c r="M25" s="3" t="str">
        <x:f>IF(Master!N427="","",Master!N427)</x:f>
      </x:c>
      <x:c r="N25" s="3" t="str">
        <x:f>IF(Master!O427="","",Master!O427)</x:f>
      </x:c>
      <x:c r="O25" s="3" t="str">
        <x:f>IF(Master!P427="","",Master!P427)</x:f>
      </x:c>
      <x:c r="P25" s="3" t="str">
        <x:f>IF(Master!Q427="","",Master!Q427)</x:f>
        <x:v>Yes</x:v>
      </x:c>
      <x:c r="Q25" s="3" t="str">
        <x:f>IF(Master!R427="","",Master!R427)</x:f>
      </x:c>
      <x:c r="R25" s="3" t="str">
        <x:f>IF(Master!S427="","",Master!S427)</x:f>
      </x:c>
      <x:c r="S25" s="3" t="str">
        <x:f>IF(Master!T427="","",Master!T427)</x:f>
      </x:c>
      <x:c r="T25" s="3" t="str">
        <x:f>IF(Master!U427="","",Master!U427)</x:f>
      </x:c>
      <x:c r="U25" s="3" t="str">
        <x:f>IF(Master!V427="","",Master!V427)</x:f>
        <x:v>Yes</x:v>
      </x:c>
      <x:c r="V25" s="3" t="str">
        <x:f>IF(Master!W427="","",Master!W427)</x:f>
      </x:c>
      <x:c r="W25" s="3" t="str">
        <x:f>IF(Master!X427="","",Master!X427)</x:f>
      </x:c>
      <x:c r="X25" s="3" t="str">
        <x:f>IF(Master!Y427="","",Master!Y427)</x:f>
        <x:v>Yes</x:v>
      </x:c>
      <x:c r="Y25" s="3" t="str">
        <x:f>IF(Master!Z427="","",Master!Z427)</x:f>
      </x:c>
      <x:c r="Z25" s="3" t="str">
        <x:f>IF(Master!AA427="","",Master!AA427)</x:f>
      </x:c>
      <x:c r="AA25" s="6" t="str">
        <x:f>IF(Master!AB427="","",Master!AB427)</x:f>
      </x:c>
      <x:c r="AB25" s="3" t="str">
        <x:f>IF(Master!AC427="","",Master!AC427)</x:f>
      </x:c>
      <x:c r="AC25" s="3" t="str">
        <x:f>IF(Master!AD427="","",Master!AD427)</x:f>
      </x:c>
      <x:c r="AD25" s="3" t="str">
        <x:f>IF(Master!AE427="","",Master!AE427)</x:f>
      </x:c>
      <x:c r="AE25" s="3" t="str">
        <x:f>IF(Master!AF427="","",Master!AF427)</x:f>
      </x:c>
      <x:c r="AF25" s="8" t="str">
        <x:f>IF(Master!AG427="","",Master!AG427)</x:f>
      </x:c>
    </x:row>
    <x:row r="26" ht="23.100000381469727" customHeight="1">
      <x:c r="A26" s="17" t="s">
        <x:v>686</x:v>
      </x:c>
      <x:c r="B26" s="4" t="str">
        <x:f>IF(Master!C428="","",Master!C428)</x:f>
      </x:c>
      <x:c r="C26" s="4" t="str">
        <x:f>IF(Master!D428="","",Master!D428)</x:f>
      </x:c>
      <x:c r="D26" s="4" t="str">
        <x:f>IF(Master!E428="","",Master!E428)</x:f>
      </x:c>
      <x:c r="E26" s="4" t="str">
        <x:f>IF(Master!F428="","",Master!F428)</x:f>
      </x:c>
      <x:c r="F26" s="4" t="str">
        <x:f>IF(Master!G428="","",Master!G428)</x:f>
      </x:c>
      <x:c r="G26" s="4" t="str">
        <x:f>IF(Master!H428="","",Master!H428)</x:f>
      </x:c>
      <x:c r="H26" s="4" t="str">
        <x:f>IF(Master!I428="","",Master!I428)</x:f>
      </x:c>
      <x:c r="I26" s="4" t="str">
        <x:f>IF(Master!J428="","",Master!J428)</x:f>
      </x:c>
      <x:c r="J26" s="4" t="str">
        <x:f>IF(Master!K428="","",Master!K428)</x:f>
      </x:c>
      <x:c r="K26" s="4" t="str">
        <x:f>IF(Master!L428="","",Master!L428)</x:f>
        <x:v>Operator/request workflow; exact purge window is deployment-specific/not publicly fixed</x:v>
      </x:c>
      <x:c r="L26" s="4" t="str">
        <x:f>IF(Master!M428="","",Master!M428)</x:f>
      </x:c>
      <x:c r="M26" s="4" t="str">
        <x:f>IF(Master!N428="","",Master!N428)</x:f>
      </x:c>
      <x:c r="N26" s="4" t="str">
        <x:f>IF(Master!O428="","",Master!O428)</x:f>
      </x:c>
      <x:c r="O26" s="4" t="str">
        <x:f>IF(Master!P428="","",Master!P428)</x:f>
      </x:c>
      <x:c r="P26" s="4" t="str">
        <x:f>IF(Master!Q428="","",Master!Q428)</x:f>
      </x:c>
      <x:c r="Q26" s="4" t="str">
        <x:f>IF(Master!R428="","",Master!R428)</x:f>
      </x:c>
      <x:c r="R26" s="4" t="str">
        <x:f>IF(Master!S428="","",Master!S428)</x:f>
      </x:c>
      <x:c r="S26" s="4" t="str">
        <x:f>IF(Master!T428="","",Master!T428)</x:f>
      </x:c>
      <x:c r="T26" s="4" t="str">
        <x:f>IF(Master!U428="","",Master!U428)</x:f>
      </x:c>
      <x:c r="U26" s="4" t="str">
        <x:f>IF(Master!V428="","",Master!V428)</x:f>
      </x:c>
      <x:c r="V26" s="4" t="str">
        <x:f>IF(Master!W428="","",Master!W428)</x:f>
      </x:c>
      <x:c r="W26" s="4" t="str">
        <x:f>IF(Master!X428="","",Master!X428)</x:f>
      </x:c>
      <x:c r="X26" s="4" t="str">
        <x:f>IF(Master!Y428="","",Master!Y428)</x:f>
      </x:c>
      <x:c r="Y26" s="4" t="str">
        <x:f>IF(Master!Z428="","",Master!Z428)</x:f>
      </x:c>
      <x:c r="Z26" s="4" t="str">
        <x:f>IF(Master!AA428="","",Master!AA428)</x:f>
      </x:c>
      <x:c r="AA26" s="5" t="str">
        <x:f>IF(Master!AB428="","",Master!AB428)</x:f>
      </x:c>
      <x:c r="AB26" s="4" t="str">
        <x:f>IF(Master!AC428="","",Master!AC428)</x:f>
      </x:c>
      <x:c r="AC26" s="4" t="str">
        <x:f>IF(Master!AD428="","",Master!AD428)</x:f>
      </x:c>
      <x:c r="AD26" s="4" t="str">
        <x:f>IF(Master!AE428="","",Master!AE428)</x:f>
      </x:c>
      <x:c r="AE26" s="4" t="str">
        <x:f>IF(Master!AF428="","",Master!AF428)</x:f>
      </x:c>
      <x:c r="AF26" s="8" t="str">
        <x:f>IF(Master!AG428="","",Master!AG428)</x:f>
      </x:c>
    </x:row>
    <x:row r="27" ht="36" customHeight="1">
      <x:c r="A27" s="17" t="s">
        <x:v>687</x:v>
      </x:c>
      <x:c r="B27" s="3" t="str">
        <x:f>IF(Master!C429="","",Master!C429)</x:f>
        <x:v>May delete inactive accounts after 2 years</x:v>
      </x:c>
      <x:c r="C27" s="3" t="str">
        <x:f>IF(Master!D429="","",Master!D429)</x:f>
      </x:c>
      <x:c r="D27" s="3" t="str">
        <x:f>IF(Master!E429="","",Master!E429)</x:f>
      </x:c>
      <x:c r="E27" s="3" t="str">
        <x:f>IF(Master!F429="","",Master!F429)</x:f>
      </x:c>
      <x:c r="F27" s="3" t="str">
        <x:f>IF(Master!G429="","",Master!G429)</x:f>
      </x:c>
      <x:c r="G27" s="3" t="str">
        <x:f>IF(Master!H429="","",Master!H429)</x:f>
      </x:c>
      <x:c r="H27" s="3" t="str">
        <x:f>IF(Master!I429="","",Master!I429)</x:f>
      </x:c>
      <x:c r="I27" s="3" t="str">
        <x:f>IF(Master!J429="","",Master!J429)</x:f>
      </x:c>
      <x:c r="J27" s="3" t="str">
        <x:f>IF(Master!K429="","",Master!K429)</x:f>
      </x:c>
      <x:c r="K27" s="3" t="str">
        <x:f>IF(Master!L429="","",Master!L429)</x:f>
        <x:v>Not documented</x:v>
      </x:c>
      <x:c r="L27" s="3" t="str">
        <x:f>IF(Master!M429="","",Master!M429)</x:f>
      </x:c>
      <x:c r="M27" s="3" t="str">
        <x:f>IF(Master!N429="","",Master!N429)</x:f>
      </x:c>
      <x:c r="N27" s="3" t="str">
        <x:f>IF(Master!O429="","",Master!O429)</x:f>
      </x:c>
      <x:c r="O27" s="3" t="str">
        <x:f>IF(Master!P429="","",Master!P429)</x:f>
      </x:c>
      <x:c r="P27" s="3" t="str">
        <x:f>IF(Master!Q429="","",Master!Q429)</x:f>
      </x:c>
      <x:c r="Q27" s="3" t="str">
        <x:f>IF(Master!R429="","",Master!R429)</x:f>
      </x:c>
      <x:c r="R27" s="3" t="str">
        <x:f>IF(Master!S429="","",Master!S429)</x:f>
      </x:c>
      <x:c r="S27" s="3" t="str">
        <x:f>IF(Master!T429="","",Master!T429)</x:f>
      </x:c>
      <x:c r="T27" s="3" t="str">
        <x:f>IF(Master!U429="","",Master!U429)</x:f>
      </x:c>
      <x:c r="U27" s="3" t="str">
        <x:f>IF(Master!V429="","",Master!V429)</x:f>
      </x:c>
      <x:c r="V27" s="3" t="str">
        <x:f>IF(Master!W429="","",Master!W429)</x:f>
      </x:c>
      <x:c r="W27" s="3" t="str">
        <x:f>IF(Master!X429="","",Master!X429)</x:f>
      </x:c>
      <x:c r="X27" s="3" t="str">
        <x:f>IF(Master!Y429="","",Master!Y429)</x:f>
      </x:c>
      <x:c r="Y27" s="3" t="str">
        <x:f>IF(Master!Z429="","",Master!Z429)</x:f>
      </x:c>
      <x:c r="Z27" s="3" t="str">
        <x:f>IF(Master!AA429="","",Master!AA429)</x:f>
      </x:c>
      <x:c r="AA27" s="6" t="str">
        <x:f>IF(Master!AB429="","",Master!AB429)</x:f>
      </x:c>
      <x:c r="AB27" s="3" t="str">
        <x:f>IF(Master!AC429="","",Master!AC429)</x:f>
      </x:c>
      <x:c r="AC27" s="3" t="str">
        <x:f>IF(Master!AD429="","",Master!AD429)</x:f>
      </x:c>
      <x:c r="AD27" s="3" t="str">
        <x:f>IF(Master!AE429="","",Master!AE429)</x:f>
      </x:c>
      <x:c r="AE27" s="3" t="str">
        <x:f>IF(Master!AF429="","",Master!AF429)</x:f>
      </x:c>
      <x:c r="AF27" s="8" t="str">
        <x:f>IF(Master!AG429="","",Master!AG429)</x:f>
      </x:c>
    </x:row>
    <x:row r="28" ht="23.100000381469727" customHeight="1">
      <x:c r="A28" s="17" t="s">
        <x:v>413</x:v>
      </x:c>
      <x:c r="B28" s="4" t="str">
        <x:f>IF(Master!C430="","",Master!C430)</x:f>
      </x:c>
      <x:c r="C28" s="4" t="str">
        <x:f>IF(Master!D430="","",Master!D430)</x:f>
      </x:c>
      <x:c r="D28" s="4" t="str">
        <x:f>IF(Master!E430="","",Master!E430)</x:f>
      </x:c>
      <x:c r="E28" s="4" t="str">
        <x:f>IF(Master!F430="","",Master!F430)</x:f>
      </x:c>
      <x:c r="F28" s="4" t="str">
        <x:f>IF(Master!G430="","",Master!G430)</x:f>
      </x:c>
      <x:c r="G28" s="4" t="str">
        <x:f>IF(Master!H430="","",Master!H430)</x:f>
      </x:c>
      <x:c r="H28" s="4" t="str">
        <x:f>IF(Master!I430="","",Master!I430)</x:f>
      </x:c>
      <x:c r="I28" s="4" t="str">
        <x:f>IF(Master!J430="","",Master!J430)</x:f>
      </x:c>
      <x:c r="J28" s="4" t="str">
        <x:f>IF(Master!K430="","",Master!K430)</x:f>
      </x:c>
      <x:c r="K28" s="4" t="str">
        <x:f>IF(Master!L430="","",Master!L430)</x:f>
      </x:c>
      <x:c r="L28" s="4" t="str">
        <x:f>IF(Master!M430="","",Master!M430)</x:f>
      </x:c>
      <x:c r="M28" s="4" t="str">
        <x:f>IF(Master!N430="","",Master!N430)</x:f>
      </x:c>
      <x:c r="N28" s="4" t="str">
        <x:f>IF(Master!O430="","",Master!O430)</x:f>
      </x:c>
      <x:c r="O28" s="4" t="str">
        <x:f>IF(Master!P430="","",Master!P430)</x:f>
      </x:c>
      <x:c r="P28" s="4" t="str">
        <x:f>IF(Master!Q430="","",Master!Q430)</x:f>
      </x:c>
      <x:c r="Q28" s="4" t="str">
        <x:f>IF(Master!R430="","",Master!R430)</x:f>
      </x:c>
      <x:c r="R28" s="4" t="str">
        <x:f>IF(Master!S430="","",Master!S430)</x:f>
      </x:c>
      <x:c r="S28" s="4" t="str">
        <x:f>IF(Master!T430="","",Master!T430)</x:f>
      </x:c>
      <x:c r="T28" s="4" t="str">
        <x:f>IF(Master!U430="","",Master!U430)</x:f>
        <x:v>Hosted account system uses Clerk; exact signup/recovery field requirements were not provided</x:v>
      </x:c>
      <x:c r="U28" s="4" t="str">
        <x:f>IF(Master!V430="","",Master!V430)</x:f>
      </x:c>
      <x:c r="V28" s="4" t="str">
        <x:f>IF(Master!W430="","",Master!W430)</x:f>
      </x:c>
      <x:c r="W28" s="4" t="str">
        <x:f>IF(Master!X430="","",Master!X430)</x:f>
      </x:c>
      <x:c r="X28" s="4" t="str">
        <x:f>IF(Master!Y430="","",Master!Y430)</x:f>
      </x:c>
      <x:c r="Y28" s="4" t="str">
        <x:f>IF(Master!Z430="","",Master!Z430)</x:f>
      </x:c>
      <x:c r="Z28" s="4" t="str">
        <x:f>IF(Master!AA430="","",Master!AA430)</x:f>
      </x:c>
      <x:c r="AA28" s="5" t="str">
        <x:f>IF(Master!AB430="","",Master!AB430)</x:f>
      </x:c>
      <x:c r="AB28" s="4" t="str">
        <x:f>IF(Master!AC430="","",Master!AC430)</x:f>
      </x:c>
      <x:c r="AC28" s="4" t="str">
        <x:f>IF(Master!AD430="","",Master!AD430)</x:f>
      </x:c>
      <x:c r="AD28" s="4" t="str">
        <x:f>IF(Master!AE430="","",Master!AE430)</x:f>
      </x:c>
      <x:c r="AE28" s="4" t="str">
        <x:f>IF(Master!AF430="","",Master!AF430)</x:f>
      </x:c>
      <x:c r="AF28" s="8" t="str">
        <x:f>IF(Master!AG430="","",Master!AG430)</x:f>
      </x:c>
    </x:row>
    <x:row r="29" ht="36" customHeight="1">
      <x:c r="A29" s="17" t="s">
        <x:v>688</x:v>
      </x:c>
      <x:c r="B29" s="3" t="str">
        <x:f>IF(Master!C431="","",Master!C431)</x:f>
        <x:v>https://support.discord.com/hc/en-us/articles/31676852332439-Discord-Sign-Up-and-Registration-Guide</x:v>
      </x:c>
      <x:c r="C29" s="3" t="str">
        <x:f>IF(Master!D431="","",Master!D431)</x:f>
        <x:v>See Research Sources</x:v>
      </x:c>
      <x:c r="D29" s="3" t="str">
        <x:f>IF(Master!E431="","",Master!E431)</x:f>
        <x:v>See Research Sources</x:v>
      </x:c>
      <x:c r="E29" s="3" t="str">
        <x:f>IF(Master!F431="","",Master!F431)</x:f>
        <x:v>See Research Sources</x:v>
      </x:c>
      <x:c r="F29" s="3" t="str">
        <x:f>IF(Master!G431="","",Master!G431)</x:f>
        <x:v>See Research Sources</x:v>
      </x:c>
      <x:c r="G29" s="3" t="str">
        <x:f>IF(Master!H431="","",Master!H431)</x:f>
        <x:v>See Research Sources</x:v>
      </x:c>
      <x:c r="H29" s="3" t="str">
        <x:f>IF(Master!I431="","",Master!I431)</x:f>
        <x:v>See Research Sources</x:v>
      </x:c>
      <x:c r="I29" s="3" t="str">
        <x:f>IF(Master!J431="","",Master!J431)</x:f>
        <x:v>See Research Sources</x:v>
      </x:c>
      <x:c r="J29" s="3" t="str">
        <x:f>IF(Master!K431="","",Master!K431)</x:f>
        <x:v>See Research Sources</x:v>
      </x:c>
      <x:c r="K29" s="3" t="str">
        <x:f>IF(Master!L431="","",Master!L431)</x:f>
        <x:v>https://github.com/CookieNom/KaedeChat/blob/main/docs/operator.md</x:v>
      </x:c>
      <x:c r="L29" s="3" t="str">
        <x:f>IF(Master!M431="","",Master!M431)</x:f>
        <x:v>See Research Sources</x:v>
      </x:c>
      <x:c r="M29" s="3" t="str">
        <x:f>IF(Master!N431="","",Master!N431)</x:f>
        <x:v>See Research Sources</x:v>
      </x:c>
      <x:c r="N29" s="3" t="str">
        <x:f>IF(Master!O431="","",Master!O431)</x:f>
        <x:v>See Research Sources</x:v>
      </x:c>
      <x:c r="O29" s="3" t="str">
        <x:f>IF(Master!P431="","",Master!P431)</x:f>
        <x:v>See Research Sources</x:v>
      </x:c>
      <x:c r="P29" s="3" t="str">
        <x:f>IF(Master!Q431="","",Master!Q431)</x:f>
        <x:v>See Research Sources</x:v>
      </x:c>
      <x:c r="Q29" s="3" t="str">
        <x:f>IF(Master!R431="","",Master!R431)</x:f>
        <x:v>See Research Sources</x:v>
      </x:c>
      <x:c r="R29" s="3" t="str">
        <x:f>IF(Master!S431="","",Master!S431)</x:f>
        <x:v>See Research Sources</x:v>
      </x:c>
      <x:c r="S29" s="3" t="str">
        <x:f>IF(Master!T431="","",Master!T431)</x:f>
        <x:v>See Research Sources</x:v>
      </x:c>
      <x:c r="T29" s="3" t="str">
        <x:f>IF(Master!U431="","",Master!U431)</x:f>
        <x:v>See Research Sources</x:v>
      </x:c>
      <x:c r="U29" s="3" t="str">
        <x:f>IF(Master!V431="","",Master!V431)</x:f>
        <x:v>https://therift.chat/about/</x:v>
      </x:c>
      <x:c r="V29" s="3" t="str">
        <x:f>IF(Master!W431="","",Master!W431)</x:f>
        <x:v>See Research Sources</x:v>
      </x:c>
      <x:c r="W29" s="3" t="str">
        <x:f>IF(Master!X431="","",Master!X431)</x:f>
        <x:v>See Research Sources</x:v>
      </x:c>
      <x:c r="X29" s="3" t="str">
        <x:f>IF(Master!Y431="","",Master!Y431)</x:f>
        <x:v>See Research Sources</x:v>
      </x:c>
      <x:c r="Y29" s="3" t="str">
        <x:f>IF(Master!Z431="","",Master!Z431)</x:f>
        <x:v>See Research Sources</x:v>
      </x:c>
      <x:c r="Z29" s="3" t="str">
        <x:f>IF(Master!AA431="","",Master!AA431)</x:f>
        <x:v>See Research Sources</x:v>
      </x:c>
      <x:c r="AA29" s="6" t="str">
        <x:f>IF(Master!AB431="","",Master!AB431)</x:f>
        <x:v>See Research Sources</x:v>
      </x:c>
      <x:c r="AB29" s="3" t="str">
        <x:f>IF(Master!AC431="","",Master!AC431)</x:f>
        <x:v>See Research Sources</x:v>
      </x:c>
      <x:c r="AC29" s="3" t="str">
        <x:f>IF(Master!AD431="","",Master!AD431)</x:f>
        <x:v>See Research Sources</x:v>
      </x:c>
      <x:c r="AD29" s="3" t="str">
        <x:f>IF(Master!AE431="","",Master!AE431)</x:f>
        <x:v>See Research Sources</x:v>
      </x:c>
      <x:c r="AE29" s="3" t="str">
        <x:f>IF(Master!AF431="","",Master!AF431)</x:f>
        <x:v>See Research Sources</x:v>
      </x:c>
      <x:c r="AF29" s="8" t="str">
        <x:f>IF(Master!AG431="","",Master!AG431)</x:f>
        <x:v>See Research Sources</x:v>
      </x:c>
    </x:row>
    <x:row r="30" ht="36" customHeight="1">
      <x:c r="A30" s="17" t="s">
        <x:v>689</x:v>
      </x:c>
      <x:c r="B30" s="3" t="str">
        <x:f>IF(Master!C432="","",Master!C432)</x:f>
        <x:v>Email + username + password + DOB on desktop; phone or email on mobile; verification may be required</x:v>
      </x:c>
      <x:c r="C30" s="3" t="str">
        <x:f>IF(Master!D432="","",Master!D432)</x:f>
        <x:v>Keypair/secret-based Nostr identity</x:v>
      </x:c>
      <x:c r="D30" s="3" t="str">
        <x:f>IF(Master!E432="","",Master!E432)</x:f>
        <x:v>Server account or key-based messenger identity</x:v>
      </x:c>
      <x:c r="E30" s="3" t="str">
        <x:f>IF(Master!F432="","",Master!F432)</x:f>
      </x:c>
      <x:c r="F30" s="3" t="str">
        <x:f>IF(Master!G432="","",Master!G432)</x:f>
      </x:c>
      <x:c r="G30" s="3" t="str">
        <x:f>IF(Master!H432="","",Master!H432)</x:f>
        <x:v>Email + username + password + DOB; phone verification may be triggered</x:v>
      </x:c>
      <x:c r="H30" s="3" t="str">
        <x:f>IF(Master!I432="","",Master!I432)</x:f>
        <x:v>Username + password; no email/phone/ID required</x:v>
      </x:c>
      <x:c r="I30" s="3" t="str">
        <x:f>IF(Master!J432="","",Master!J432)</x:f>
        <x:v>Email/password on Fermi hosted instance</x:v>
      </x:c>
      <x:c r="J30" s="3" t="str">
        <x:f>IF(Master!K432="","",Master!K432)</x:f>
        <x:v>No traditional account; Ed25519 key + 24-word recovery phrase</x:v>
      </x:c>
      <x:c r="K30" s="3" t="str">
        <x:f>IF(Master!L432="","",Master!L432)</x:f>
        <x:v>Handles are immutable username@domain. Operators may disable email. Public operator documentation shows no full account export, account migration, or self-service account deletion.</x:v>
      </x:c>
      <x:c r="L30" s="3" t="str">
        <x:f>IF(Master!M432="","",Master!M432)</x:f>
        <x:v>No email/phone required; secret-key identity</x:v>
      </x:c>
      <x:c r="M30" s="3" t="str">
        <x:f>IF(Master!N432="","",Master!N432)</x:f>
      </x:c>
      <x:c r="N30" s="3" t="str">
        <x:f>IF(Master!O432="","",Master!O432)</x:f>
        <x:v>Account on a homeserver; credential/SSO rules are server-dependent</x:v>
      </x:c>
      <x:c r="O30" s="3" t="str">
        <x:f>IF(Master!P432="","",Master!P432)</x:f>
        <x:v>Email/SSO/LDAP depending deployment</x:v>
      </x:c>
      <x:c r="P30" s="3" t="str">
        <x:f>IF(Master!Q432="","",Master!Q432)</x:f>
      </x:c>
      <x:c r="Q30" s="3" t="str">
        <x:f>IF(Master!R432="","",Master!R432)</x:f>
        <x:v>Username/certificate/password depending server</x:v>
      </x:c>
      <x:c r="R30" s="3" t="str">
        <x:f>IF(Master!S432="","",Master!S432)</x:f>
        <x:v>Email verification required for messaging</x:v>
      </x:c>
      <x:c r="S30" s="3" t="str">
        <x:f>IF(Master!T432="","",Master!T432)</x:f>
        <x:v>Email + username/password</x:v>
      </x:c>
      <x:c r="T30" s="3" t="str">
        <x:f>IF(Master!U432="","",Master!U432)</x:f>
        <x:v>Hosted accounts via Clerk; self-host operator controls its own deployment</x:v>
      </x:c>
      <x:c r="U30" s="3" t="str">
        <x:f>IF(Master!V432="","",Master!V432)</x:f>
        <x:v>Username + password only; no email/phone/ID</x:v>
      </x:c>
      <x:c r="V30" s="3" t="str">
        <x:f>IF(Master!W432="","",Master!W432)</x:f>
        <x:v>Email/SSO/LDAP depending deployment</x:v>
      </x:c>
      <x:c r="W30" s="3" t="str">
        <x:f>IF(Master!X432="","",Master!X432)</x:f>
        <x:v>Bluesky/ATProto identity by default</x:v>
      </x:c>
      <x:c r="X30" s="3" t="str">
        <x:f>IF(Master!Y432="","",Master!Y432)</x:f>
        <x:v>Username/email/password</x:v>
      </x:c>
      <x:c r="Y30" s="3" t="str">
        <x:f>IF(Master!Z432="","",Master!Z432)</x:f>
        <x:v>Operator-configurable account rules</x:v>
      </x:c>
      <x:c r="Z30" s="3" t="str">
        <x:f>IF(Master!AA432="","",Master!AA432)</x:f>
      </x:c>
      <x:c r="AA30" s="6" t="str">
        <x:f>IF(Master!AB432="","",Master!AB432)</x:f>
      </x:c>
      <x:c r="AB30" s="3" t="str">
        <x:f>IF(Master!AC432="","",Master!AC432)</x:f>
        <x:v>Email only; no phone/ID</x:v>
      </x:c>
      <x:c r="AC30" s="3" t="str">
        <x:f>IF(Master!AD432="","",Master!AD432)</x:f>
        <x:v>Device/account registration</x:v>
      </x:c>
      <x:c r="AD30" s="3" t="str">
        <x:f>IF(Master!AE432="","",Master!AE432)</x:f>
      </x:c>
      <x:c r="AE30" s="3" t="str">
        <x:f>IF(Master!AF432="","",Master!AF432)</x:f>
        <x:v>Email/password or account</x:v>
      </x:c>
      <x:c r="AF30" s="8" t="str">
        <x:f>IF(Master!AG432="","",Master!AG432)</x:f>
        <x:v>Email/SSO depending deployment</x:v>
      </x:c>
    </x:row>
    <x:row r="31" ht="21.950000762939453" customHeight="1">
      <x:c r="A31" s="18" t="s">
        <x:v>690</x:v>
      </x:c>
      <x:c r="B31" s="18" t="str">
        <x:f t="shared" ref="B31:AF31" si="3">IF(""="","","")</x:f>
      </x:c>
      <x:c r="C31" s="18" t="str">
        <x:f t="shared" si="3"/>
      </x:c>
      <x:c r="D31" s="18" t="str">
        <x:f t="shared" si="3"/>
      </x:c>
      <x:c r="E31" s="18" t="str">
        <x:f t="shared" si="3"/>
      </x:c>
      <x:c r="F31" s="18" t="str">
        <x:f t="shared" si="3"/>
      </x:c>
      <x:c r="G31" s="18" t="str">
        <x:f t="shared" si="3"/>
      </x:c>
      <x:c r="H31" s="18" t="str">
        <x:f t="shared" si="3"/>
      </x:c>
      <x:c r="I31" s="18" t="str">
        <x:f t="shared" si="3"/>
      </x:c>
      <x:c r="J31" s="18" t="str">
        <x:f t="shared" si="3"/>
      </x:c>
      <x:c r="K31" s="18" t="str">
        <x:f t="shared" si="3"/>
      </x:c>
      <x:c r="L31" s="18" t="str">
        <x:f t="shared" si="3"/>
      </x:c>
      <x:c r="M31" s="18" t="str">
        <x:f t="shared" si="3"/>
      </x:c>
      <x:c r="N31" s="18" t="str">
        <x:f t="shared" si="3"/>
      </x:c>
      <x:c r="O31" s="18" t="str">
        <x:f t="shared" si="3"/>
      </x:c>
      <x:c r="P31" s="18" t="str">
        <x:f t="shared" si="3"/>
      </x:c>
      <x:c r="Q31" s="18" t="str">
        <x:f t="shared" si="3"/>
      </x:c>
      <x:c r="R31" s="18" t="str">
        <x:f t="shared" si="3"/>
      </x:c>
      <x:c r="S31" s="18" t="str">
        <x:f t="shared" si="3"/>
      </x:c>
      <x:c r="T31" s="18" t="str">
        <x:f t="shared" si="3"/>
      </x:c>
      <x:c r="U31" s="18" t="str">
        <x:f t="shared" si="3"/>
      </x:c>
      <x:c r="V31" s="18" t="str">
        <x:f t="shared" si="3"/>
      </x:c>
      <x:c r="W31" s="18" t="str">
        <x:f t="shared" si="3"/>
      </x:c>
      <x:c r="X31" s="18" t="str">
        <x:f t="shared" si="3"/>
      </x:c>
      <x:c r="Y31" s="18" t="str">
        <x:f t="shared" si="3"/>
      </x:c>
      <x:c r="Z31" s="18" t="str">
        <x:f t="shared" si="3"/>
      </x:c>
      <x:c r="AA31" s="18" t="str">
        <x:f t="shared" si="3"/>
      </x:c>
      <x:c r="AB31" s="18" t="str">
        <x:f t="shared" si="3"/>
      </x:c>
      <x:c r="AC31" s="18" t="str">
        <x:f t="shared" si="3"/>
      </x:c>
      <x:c r="AD31" s="18" t="str">
        <x:f t="shared" si="3"/>
      </x:c>
      <x:c r="AE31" s="18" t="str">
        <x:f t="shared" si="3"/>
      </x:c>
      <x:c r="AF31" s="19" t="str">
        <x:f t="shared" si="3"/>
      </x:c>
    </x:row>
    <x:row r="32" ht="36" customHeight="1">
      <x:c r="A32" s="17" t="s">
        <x:v>691</x:v>
      </x:c>
      <x:c r="B32" s="3" t="str">
        <x:f>IF(Master!C433="","",Master!C433)</x:f>
        <x:v>Yes</x:v>
      </x:c>
      <x:c r="C32" s="3" t="str">
        <x:f>IF(Master!D433="","",Master!D433)</x:f>
      </x:c>
      <x:c r="D32" s="3" t="str">
        <x:f>IF(Master!E433="","",Master!E433)</x:f>
      </x:c>
      <x:c r="E32" s="3" t="str">
        <x:f>IF(Master!F433="","",Master!F433)</x:f>
      </x:c>
      <x:c r="F32" s="3" t="str">
        <x:f>IF(Master!G433="","",Master!G433)</x:f>
      </x:c>
      <x:c r="G32" s="3" t="str">
        <x:f>IF(Master!H433="","",Master!H433)</x:f>
      </x:c>
      <x:c r="H32" s="3" t="str">
        <x:f>IF(Master!I433="","",Master!I433)</x:f>
      </x:c>
      <x:c r="I32" s="3" t="str">
        <x:f>IF(Master!J433="","",Master!J433)</x:f>
      </x:c>
      <x:c r="J32" s="3" t="str">
        <x:f>IF(Master!K433="","",Master!K433)</x:f>
      </x:c>
      <x:c r="K32" s="3" t="str">
        <x:f>IF(Master!L433="","",Master!L433)</x:f>
        <x:v>Yes/likely: backend architecture explicitly protects encrypted TOTP material; UI enrollment flow was not independently reviewed</x:v>
      </x:c>
      <x:c r="L32" s="3" t="str">
        <x:f>IF(Master!M433="","",Master!M433)</x:f>
      </x:c>
      <x:c r="M32" s="3" t="str">
        <x:f>IF(Master!N433="","",Master!N433)</x:f>
      </x:c>
      <x:c r="N32" s="3" t="str">
        <x:f>IF(Master!O433="","",Master!O433)</x:f>
        <x:v>Provider/client dependent</x:v>
      </x:c>
      <x:c r="O32" s="3" t="str">
        <x:f>IF(Master!P433="","",Master!P433)</x:f>
        <x:v>Yes</x:v>
      </x:c>
      <x:c r="P32" s="3" t="str">
        <x:f>IF(Master!Q433="","",Master!Q433)</x:f>
      </x:c>
      <x:c r="Q32" s="3" t="str">
        <x:f>IF(Master!R433="","",Master!R433)</x:f>
      </x:c>
      <x:c r="R32" s="3" t="str">
        <x:f>IF(Master!S433="","",Master!S433)</x:f>
      </x:c>
      <x:c r="S32" s="3" t="str">
        <x:f>IF(Master!T433="","",Master!T433)</x:f>
      </x:c>
      <x:c r="T32" s="3" t="str">
        <x:f>IF(Master!U433="","",Master!U433)</x:f>
      </x:c>
      <x:c r="U32" s="3" t="str">
        <x:f>IF(Master!V433="","",Master!V433)</x:f>
        <x:v>Yes - Other Logged in Rift Instances</x:v>
      </x:c>
      <x:c r="V32" s="3" t="str">
        <x:f>IF(Master!W433="","",Master!W433)</x:f>
        <x:v>Yes</x:v>
      </x:c>
      <x:c r="W32" s="3" t="str">
        <x:f>IF(Master!X433="","",Master!X433)</x:f>
      </x:c>
      <x:c r="X32" s="3" t="str">
        <x:f>IF(Master!Y433="","",Master!Y433)</x:f>
      </x:c>
      <x:c r="Y32" s="3" t="str">
        <x:f>IF(Master!Z433="","",Master!Z433)</x:f>
      </x:c>
      <x:c r="Z32" s="3" t="str">
        <x:f>IF(Master!AA433="","",Master!AA433)</x:f>
      </x:c>
      <x:c r="AA32" s="6" t="str">
        <x:f>IF(Master!AB433="","",Master!AB433)</x:f>
      </x:c>
      <x:c r="AB32" s="3" t="str">
        <x:f>IF(Master!AC433="","",Master!AC433)</x:f>
      </x:c>
      <x:c r="AC32" s="3" t="str">
        <x:f>IF(Master!AD433="","",Master!AD433)</x:f>
      </x:c>
      <x:c r="AD32" s="3" t="str">
        <x:f>IF(Master!AE433="","",Master!AE433)</x:f>
      </x:c>
      <x:c r="AE32" s="3" t="str">
        <x:f>IF(Master!AF433="","",Master!AF433)</x:f>
      </x:c>
      <x:c r="AF32" s="8" t="str">
        <x:f>IF(Master!AG433="","",Master!AG433)</x:f>
        <x:v>Yes</x:v>
      </x:c>
    </x:row>
    <x:row r="33" ht="36" customHeight="1">
      <x:c r="A33" s="17" t="s">
        <x:v>692</x:v>
      </x:c>
      <x:c r="B33" s="3" t="str">
        <x:f>IF(Master!C434="","",Master!C434)</x:f>
      </x:c>
      <x:c r="C33" s="3" t="str">
        <x:f>IF(Master!D434="","",Master!D434)</x:f>
      </x:c>
      <x:c r="D33" s="3" t="str">
        <x:f>IF(Master!E434="","",Master!E434)</x:f>
      </x:c>
      <x:c r="E33" s="3" t="str">
        <x:f>IF(Master!F434="","",Master!F434)</x:f>
      </x:c>
      <x:c r="F33" s="3" t="str">
        <x:f>IF(Master!G434="","",Master!G434)</x:f>
      </x:c>
      <x:c r="G33" s="3" t="str">
        <x:f>IF(Master!H434="","",Master!H434)</x:f>
      </x:c>
      <x:c r="H33" s="3" t="str">
        <x:f>IF(Master!I434="","",Master!I434)</x:f>
      </x:c>
      <x:c r="I33" s="3" t="str">
        <x:f>IF(Master!J434="","",Master!J434)</x:f>
      </x:c>
      <x:c r="J33" s="3" t="str">
        <x:f>IF(Master!K434="","",Master!K434)</x:f>
      </x:c>
      <x:c r="K33" s="3" t="str">
        <x:f>IF(Master!L434="","",Master!L434)</x:f>
        <x:v>Not documented</x:v>
      </x:c>
      <x:c r="L33" s="3" t="str">
        <x:f>IF(Master!M434="","",Master!M434)</x:f>
      </x:c>
      <x:c r="M33" s="3" t="str">
        <x:f>IF(Master!N434="","",Master!N434)</x:f>
      </x:c>
      <x:c r="N33" s="3" t="str">
        <x:f>IF(Master!O434="","",Master!O434)</x:f>
      </x:c>
      <x:c r="O33" s="3" t="str">
        <x:f>IF(Master!P434="","",Master!P434)</x:f>
        <x:v>SSO/provider dependent</x:v>
      </x:c>
      <x:c r="P33" s="3" t="str">
        <x:f>IF(Master!Q434="","",Master!Q434)</x:f>
      </x:c>
      <x:c r="Q33" s="3" t="str">
        <x:f>IF(Master!R434="","",Master!R434)</x:f>
      </x:c>
      <x:c r="R33" s="3" t="str">
        <x:f>IF(Master!S434="","",Master!S434)</x:f>
      </x:c>
      <x:c r="S33" s="3" t="str">
        <x:f>IF(Master!T434="","",Master!T434)</x:f>
      </x:c>
      <x:c r="T33" s="3" t="str">
        <x:f>IF(Master!U434="","",Master!U434)</x:f>
      </x:c>
      <x:c r="U33" s="3" t="str">
        <x:f>IF(Master!V434="","",Master!V434)</x:f>
      </x:c>
      <x:c r="V33" s="3" t="str">
        <x:f>IF(Master!W434="","",Master!W434)</x:f>
      </x:c>
      <x:c r="W33" s="3" t="str">
        <x:f>IF(Master!X434="","",Master!X434)</x:f>
      </x:c>
      <x:c r="X33" s="3" t="str">
        <x:f>IF(Master!Y434="","",Master!Y434)</x:f>
      </x:c>
      <x:c r="Y33" s="3" t="str">
        <x:f>IF(Master!Z434="","",Master!Z434)</x:f>
      </x:c>
      <x:c r="Z33" s="3" t="str">
        <x:f>IF(Master!AA434="","",Master!AA434)</x:f>
      </x:c>
      <x:c r="AA33" s="6" t="str">
        <x:f>IF(Master!AB434="","",Master!AB434)</x:f>
      </x:c>
      <x:c r="AB33" s="3" t="str">
        <x:f>IF(Master!AC434="","",Master!AC434)</x:f>
      </x:c>
      <x:c r="AC33" s="3" t="str">
        <x:f>IF(Master!AD434="","",Master!AD434)</x:f>
      </x:c>
      <x:c r="AD33" s="3" t="str">
        <x:f>IF(Master!AE434="","",Master!AE434)</x:f>
      </x:c>
      <x:c r="AE33" s="3" t="str">
        <x:f>IF(Master!AF434="","",Master!AF434)</x:f>
      </x:c>
      <x:c r="AF33" s="8" t="str">
        <x:f>IF(Master!AG434="","",Master!AG434)</x:f>
      </x:c>
    </x:row>
    <x:row r="34" ht="36" customHeight="1">
      <x:c r="A34" s="17" t="s">
        <x:v>693</x:v>
      </x:c>
      <x:c r="B34" s="3" t="str">
        <x:f>IF(Master!C435="","",Master!C435)</x:f>
      </x:c>
      <x:c r="C34" s="3" t="str">
        <x:f>IF(Master!D435="","",Master!D435)</x:f>
      </x:c>
      <x:c r="D34" s="3" t="str">
        <x:f>IF(Master!E435="","",Master!E435)</x:f>
      </x:c>
      <x:c r="E34" s="3" t="str">
        <x:f>IF(Master!F435="","",Master!F435)</x:f>
      </x:c>
      <x:c r="F34" s="3" t="str">
        <x:f>IF(Master!G435="","",Master!G435)</x:f>
      </x:c>
      <x:c r="G34" s="3" t="str">
        <x:f>IF(Master!H435="","",Master!H435)</x:f>
      </x:c>
      <x:c r="H34" s="3" t="str">
        <x:f>IF(Master!I435="","",Master!I435)</x:f>
      </x:c>
      <x:c r="I34" s="3" t="str">
        <x:f>IF(Master!J435="","",Master!J435)</x:f>
      </x:c>
      <x:c r="J34" s="3" t="str">
        <x:f>IF(Master!K435="","",Master!K435)</x:f>
      </x:c>
      <x:c r="K34" s="3" t="str">
        <x:f>IF(Master!L435="","",Master!L435)</x:f>
        <x:v>Not documented</x:v>
      </x:c>
      <x:c r="L34" s="3" t="str">
        <x:f>IF(Master!M435="","",Master!M435)</x:f>
      </x:c>
      <x:c r="M34" s="3" t="str">
        <x:f>IF(Master!N435="","",Master!N435)</x:f>
      </x:c>
      <x:c r="N34" s="3" t="str">
        <x:f>IF(Master!O435="","",Master!O435)</x:f>
      </x:c>
      <x:c r="O34" s="3" t="str">
        <x:f>IF(Master!P435="","",Master!P435)</x:f>
        <x:v>Yes: paid editions</x:v>
      </x:c>
      <x:c r="P34" s="3" t="str">
        <x:f>IF(Master!Q435="","",Master!Q435)</x:f>
      </x:c>
      <x:c r="Q34" s="3" t="str">
        <x:f>IF(Master!R435="","",Master!R435)</x:f>
      </x:c>
      <x:c r="R34" s="3" t="str">
        <x:f>IF(Master!S435="","",Master!S435)</x:f>
      </x:c>
      <x:c r="S34" s="3" t="str">
        <x:f>IF(Master!T435="","",Master!T435)</x:f>
      </x:c>
      <x:c r="T34" s="3" t="str">
        <x:f>IF(Master!U435="","",Master!U435)</x:f>
      </x:c>
      <x:c r="U34" s="3" t="str">
        <x:f>IF(Master!V435="","",Master!V435)</x:f>
      </x:c>
      <x:c r="V34" s="3" t="str">
        <x:f>IF(Master!W435="","",Master!W435)</x:f>
        <x:v>Yes: enterprise</x:v>
      </x:c>
      <x:c r="W34" s="3" t="str">
        <x:f>IF(Master!X435="","",Master!X435)</x:f>
      </x:c>
      <x:c r="X34" s="3" t="str">
        <x:f>IF(Master!Y435="","",Master!Y435)</x:f>
      </x:c>
      <x:c r="Y34" s="3" t="str">
        <x:f>IF(Master!Z435="","",Master!Z435)</x:f>
      </x:c>
      <x:c r="Z34" s="3" t="str">
        <x:f>IF(Master!AA435="","",Master!AA435)</x:f>
      </x:c>
      <x:c r="AA34" s="6" t="str">
        <x:f>IF(Master!AB435="","",Master!AB435)</x:f>
      </x:c>
      <x:c r="AB34" s="3" t="str">
        <x:f>IF(Master!AC435="","",Master!AC435)</x:f>
      </x:c>
      <x:c r="AC34" s="3" t="str">
        <x:f>IF(Master!AD435="","",Master!AD435)</x:f>
      </x:c>
      <x:c r="AD34" s="3" t="str">
        <x:f>IF(Master!AE435="","",Master!AE435)</x:f>
      </x:c>
      <x:c r="AE34" s="3" t="str">
        <x:f>IF(Master!AF435="","",Master!AF435)</x:f>
      </x:c>
      <x:c r="AF34" s="8" t="str">
        <x:f>IF(Master!AG435="","",Master!AG435)</x:f>
        <x:v>Yes: plans/deployment dependent</x:v>
      </x:c>
    </x:row>
    <x:row r="35" ht="36" customHeight="1">
      <x:c r="A35" s="17" t="s">
        <x:v>694</x:v>
      </x:c>
      <x:c r="B35" s="3" t="str">
        <x:f>IF(Master!C436="","",Master!C436)</x:f>
      </x:c>
      <x:c r="C35" s="3" t="str">
        <x:f>IF(Master!D436="","",Master!D436)</x:f>
      </x:c>
      <x:c r="D35" s="3" t="str">
        <x:f>IF(Master!E436="","",Master!E436)</x:f>
      </x:c>
      <x:c r="E35" s="3" t="str">
        <x:f>IF(Master!F436="","",Master!F436)</x:f>
      </x:c>
      <x:c r="F35" s="3" t="str">
        <x:f>IF(Master!G436="","",Master!G436)</x:f>
      </x:c>
      <x:c r="G35" s="3" t="str">
        <x:f>IF(Master!H436="","",Master!H436)</x:f>
      </x:c>
      <x:c r="H35" s="3" t="str">
        <x:f>IF(Master!I436="","",Master!I436)</x:f>
      </x:c>
      <x:c r="I35" s="3" t="str">
        <x:f>IF(Master!J436="","",Master!J436)</x:f>
      </x:c>
      <x:c r="J35" s="3" t="str">
        <x:f>IF(Master!K436="","",Master!K436)</x:f>
      </x:c>
      <x:c r="K35" s="3" t="str">
        <x:f>IF(Master!L436="","",Master!L436)</x:f>
        <x:v>Not documented</x:v>
      </x:c>
      <x:c r="L35" s="3" t="str">
        <x:f>IF(Master!M436="","",Master!M436)</x:f>
      </x:c>
      <x:c r="M35" s="3" t="str">
        <x:f>IF(Master!N436="","",Master!N436)</x:f>
      </x:c>
      <x:c r="N35" s="3" t="str">
        <x:f>IF(Master!O436="","",Master!O436)</x:f>
        <x:v>Provider-dependent</x:v>
      </x:c>
      <x:c r="O35" s="3" t="str">
        <x:f>IF(Master!P436="","",Master!P436)</x:f>
        <x:v>Yes</x:v>
      </x:c>
      <x:c r="P35" s="3" t="str">
        <x:f>IF(Master!Q436="","",Master!Q436)</x:f>
      </x:c>
      <x:c r="Q35" s="3" t="str">
        <x:f>IF(Master!R436="","",Master!R436)</x:f>
      </x:c>
      <x:c r="R35" s="3" t="str">
        <x:f>IF(Master!S436="","",Master!S436)</x:f>
      </x:c>
      <x:c r="S35" s="3" t="str">
        <x:f>IF(Master!T436="","",Master!T436)</x:f>
      </x:c>
      <x:c r="T35" s="3" t="str">
        <x:f>IF(Master!U436="","",Master!U436)</x:f>
      </x:c>
      <x:c r="U35" s="3" t="str">
        <x:f>IF(Master!V436="","",Master!V436)</x:f>
      </x:c>
      <x:c r="V35" s="3" t="str">
        <x:f>IF(Master!W436="","",Master!W436)</x:f>
        <x:v>Yes</x:v>
      </x:c>
      <x:c r="W35" s="3" t="str">
        <x:f>IF(Master!X436="","",Master!X436)</x:f>
      </x:c>
      <x:c r="X35" s="3" t="str">
        <x:f>IF(Master!Y436="","",Master!Y436)</x:f>
      </x:c>
      <x:c r="Y35" s="3" t="str">
        <x:f>IF(Master!Z436="","",Master!Z436)</x:f>
      </x:c>
      <x:c r="Z35" s="3" t="str">
        <x:f>IF(Master!AA436="","",Master!AA436)</x:f>
      </x:c>
      <x:c r="AA35" s="6" t="str">
        <x:f>IF(Master!AB436="","",Master!AB436)</x:f>
      </x:c>
      <x:c r="AB35" s="3" t="str">
        <x:f>IF(Master!AC436="","",Master!AC436)</x:f>
      </x:c>
      <x:c r="AC35" s="3" t="str">
        <x:f>IF(Master!AD436="","",Master!AD436)</x:f>
      </x:c>
      <x:c r="AD35" s="3" t="str">
        <x:f>IF(Master!AE436="","",Master!AE436)</x:f>
      </x:c>
      <x:c r="AE35" s="3" t="str">
        <x:f>IF(Master!AF436="","",Master!AF436)</x:f>
      </x:c>
      <x:c r="AF35" s="8" t="str">
        <x:f>IF(Master!AG436="","",Master!AG436)</x:f>
        <x:v>Yes</x:v>
      </x:c>
    </x:row>
    <x:row r="36" ht="36" customHeight="1">
      <x:c r="A36" s="17" t="s">
        <x:v>695</x:v>
      </x:c>
      <x:c r="B36" s="3" t="str">
        <x:f>IF(Master!C437="","",Master!C437)</x:f>
        <x:v>Yes</x:v>
      </x:c>
      <x:c r="C36" s="3" t="str">
        <x:f>IF(Master!D437="","",Master!D437)</x:f>
      </x:c>
      <x:c r="D36" s="3" t="str">
        <x:f>IF(Master!E437="","",Master!E437)</x:f>
      </x:c>
      <x:c r="E36" s="3" t="str">
        <x:f>IF(Master!F437="","",Master!F437)</x:f>
      </x:c>
      <x:c r="F36" s="3" t="str">
        <x:f>IF(Master!G437="","",Master!G437)</x:f>
      </x:c>
      <x:c r="G36" s="3" t="str">
        <x:f>IF(Master!H437="","",Master!H437)</x:f>
      </x:c>
      <x:c r="H36" s="3" t="str">
        <x:f>IF(Master!I437="","",Master!I437)</x:f>
      </x:c>
      <x:c r="I36" s="3" t="str">
        <x:f>IF(Master!J437="","",Master!J437)</x:f>
      </x:c>
      <x:c r="J36" s="3" t="str">
        <x:f>IF(Master!K437="","",Master!K437)</x:f>
      </x:c>
      <x:c r="K36" s="3" t="str">
        <x:f>IF(Master!L437="","",Master!L437)</x:f>
        <x:v>Yes: sessions are independently revocable in the E2EE/security model</x:v>
      </x:c>
      <x:c r="L36" s="3" t="str">
        <x:f>IF(Master!M437="","",Master!M437)</x:f>
      </x:c>
      <x:c r="M36" s="3" t="str">
        <x:f>IF(Master!N437="","",Master!N437)</x:f>
      </x:c>
      <x:c r="N36" s="3" t="str">
        <x:f>IF(Master!O437="","",Master!O437)</x:f>
        <x:v>Client-dependent</x:v>
      </x:c>
      <x:c r="O36" s="3" t="str">
        <x:f>IF(Master!P437="","",Master!P437)</x:f>
      </x:c>
      <x:c r="P36" s="3" t="str">
        <x:f>IF(Master!Q437="","",Master!Q437)</x:f>
      </x:c>
      <x:c r="Q36" s="3" t="str">
        <x:f>IF(Master!R437="","",Master!R437)</x:f>
      </x:c>
      <x:c r="R36" s="3" t="str">
        <x:f>IF(Master!S437="","",Master!S437)</x:f>
      </x:c>
      <x:c r="S36" s="3" t="str">
        <x:f>IF(Master!T437="","",Master!T437)</x:f>
      </x:c>
      <x:c r="T36" s="3" t="str">
        <x:f>IF(Master!U437="","",Master!U437)</x:f>
      </x:c>
      <x:c r="U36" s="3" t="str">
        <x:f>IF(Master!V437="","",Master!V437)</x:f>
        <x:v>Yes</x:v>
      </x:c>
      <x:c r="V36" s="3" t="str">
        <x:f>IF(Master!W437="","",Master!W437)</x:f>
      </x:c>
      <x:c r="W36" s="3" t="str">
        <x:f>IF(Master!X437="","",Master!X437)</x:f>
      </x:c>
      <x:c r="X36" s="3" t="str">
        <x:f>IF(Master!Y437="","",Master!Y437)</x:f>
      </x:c>
      <x:c r="Y36" s="3" t="str">
        <x:f>IF(Master!Z437="","",Master!Z437)</x:f>
      </x:c>
      <x:c r="Z36" s="3" t="str">
        <x:f>IF(Master!AA437="","",Master!AA437)</x:f>
      </x:c>
      <x:c r="AA36" s="6" t="str">
        <x:f>IF(Master!AB437="","",Master!AB437)</x:f>
      </x:c>
      <x:c r="AB36" s="3" t="str">
        <x:f>IF(Master!AC437="","",Master!AC437)</x:f>
      </x:c>
      <x:c r="AC36" s="3" t="str">
        <x:f>IF(Master!AD437="","",Master!AD437)</x:f>
      </x:c>
      <x:c r="AD36" s="3" t="str">
        <x:f>IF(Master!AE437="","",Master!AE437)</x:f>
      </x:c>
      <x:c r="AE36" s="3" t="str">
        <x:f>IF(Master!AF437="","",Master!AF437)</x:f>
      </x:c>
      <x:c r="AF36" s="8" t="str">
        <x:f>IF(Master!AG437="","",Master!AG437)</x:f>
      </x:c>
    </x:row>
  </x:sheetData>
  <x:mergeCells>
    <x:mergeCell ref="A1:A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Directory'!A1","Portability &amp; Bridging"),"Portability &amp; Bridging")</x:f>
        <x:v>Portability &amp; Bridging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696</x:v>
      </x:c>
      <x:c r="B3" s="3" t="str">
        <x:f>IF(Master!C438="","",Master!C438)</x:f>
        <x:v>N/A: Discord is the source platform</x:v>
      </x:c>
      <x:c r="C3" s="3" t="str">
        <x:f>IF(Master!D438="","",Master!D438)</x:f>
        <x:v>Yes: channels, roles, emoji and up to 10,000 messages/channel; optional live two-way bridge</x:v>
      </x:c>
      <x:c r="D3" s="3" t="str">
        <x:f>IF(Master!E438="","",Master!E438)</x:f>
        <x:v>No template importer verified</x:v>
      </x:c>
      <x:c r="E3" s="3" t="str">
        <x:f>IF(Master!F438="","",Master!F438)</x:f>
        <x:v>No Discord importer verified</x:v>
      </x:c>
      <x:c r="F3" s="3" t="str">
        <x:f>IF(Master!G438="","",Master!G438)</x:f>
        <x:v>Planned/advertised Discord server template import</x:v>
      </x:c>
      <x:c r="G3" s="3" t="str">
        <x:f>IF(Master!H438="","",Master!H438)</x:f>
        <x:v>No full Discord importer verified</x:v>
      </x:c>
      <x:c r="H3" s="3" t="str">
        <x:f>IF(Master!I438="","",Master!I438)</x:f>
        <x:v>Yes: channels/roles/permissions/emojis/soundboard/events/assets</x:v>
      </x:c>
      <x:c r="I3" s="3" t="str">
        <x:f>IF(Master!J438="","",Master!J438)</x:f>
        <x:v>No self-service importer verified; Creator plan advertises white-glove Discord migration</x:v>
      </x:c>
      <x:c r="J3" s="3" t="str">
        <x:f>IF(Master!K438="","",Master!K438)</x:f>
        <x:v>No Discord importer verified</x:v>
      </x:c>
      <x:c r="K3" s="3" t="str">
        <x:f>IF(Master!L438="","",Master!L438)</x:f>
        <x:v>No dedicated importer; official live Discord bridge exists</x:v>
      </x:c>
      <x:c r="L3" s="3" t="str">
        <x:f>IF(Master!M438="","",Master!M438)</x:f>
        <x:v>No importer verified</x:v>
      </x:c>
      <x:c r="M3" s="3" t="str">
        <x:f>IF(Master!N438="","",Master!N438)</x:f>
        <x:v>Yes: broad structural importer</x:v>
      </x:c>
      <x:c r="N3" s="3" t="str">
        <x:f>IF(Master!O438="","",Master!O438)</x:f>
        <x:v>No protocol-level Discord importer; tools/clients may provide migration</x:v>
      </x:c>
      <x:c r="O3" s="3" t="str">
        <x:f>IF(Master!P438="","",Master!P438)</x:f>
        <x:v>No native Discord importer</x:v>
      </x:c>
      <x:c r="P3" s="3" t="str">
        <x:f>IF(Master!Q438="","",Master!Q438)</x:f>
      </x:c>
      <x:c r="Q3" s="3" t="str">
        <x:f>IF(Master!R438="","",Master!R438)</x:f>
        <x:v>No</x:v>
      </x:c>
      <x:c r="R3" s="3" t="str">
        <x:f>IF(Master!S438="","",Master!S438)</x:f>
        <x:v>No importer verified</x:v>
      </x:c>
      <x:c r="S3" s="3" t="str">
        <x:f>IF(Master!T438="","",Master!T438)</x:f>
        <x:v>Partial/template migration reported</x:v>
      </x:c>
      <x:c r="T3" s="3" t="str">
        <x:f>IF(Master!U438="","",Master!U438)</x:f>
        <x:v>Layout only: categories, channels and main permissions; no messages or members</x:v>
      </x:c>
      <x:c r="U3" s="3" t="str">
        <x:f>IF(Master!V438="","",Master!V438)</x:f>
        <x:v>Yes: Discord template structure import: categories, channels, forum tags, roles/order/colors, equivalent permissions; no messages/members</x:v>
      </x:c>
      <x:c r="V3" s="3" t="str">
        <x:f>IF(Master!W438="","",Master!W438)</x:f>
        <x:v>No first-party Discord importer verified</x:v>
      </x:c>
      <x:c r="W3" s="3" t="str">
        <x:f>IF(Master!X438="","",Master!X438)</x:f>
        <x:v>Discord bridge/import component exists</x:v>
      </x:c>
      <x:c r="X3" s="3" t="str">
        <x:f>IF(Master!Y438="","",Master!Y438)</x:f>
        <x:v>Yes: Discord server template import (roles/channels/groups/permissions)</x:v>
      </x:c>
      <x:c r="Y3" s="3" t="str">
        <x:f>IF(Master!Z438="","",Master!Z438)</x:f>
        <x:v>Not an importer; aims for Discord client/bot API compatibility</x:v>
      </x:c>
      <x:c r="Z3" s="3" t="str">
        <x:f>IF(Master!AA438="","",Master!AA438)</x:f>
        <x:v>No first-party Discord importer verified</x:v>
      </x:c>
      <x:c r="AA3" s="6" t="str">
        <x:f>IF(Master!AB438="","",Master!AB438)</x:f>
        <x:v>No</x:v>
      </x:c>
      <x:c r="AB3" s="3" t="str">
        <x:f>IF(Master!AC438="","",Master!AC438)</x:f>
        <x:v>Yes: built-in Discord importer</x:v>
      </x:c>
      <x:c r="AC3" s="3" t="str">
        <x:f>IF(Master!AD438="","",Master!AD438)</x:f>
        <x:v>No Discord importer verified</x:v>
      </x:c>
      <x:c r="AD3" s="3" t="str">
        <x:f>IF(Master!AE438="","",Master!AE438)</x:f>
        <x:v>No: design intentionally differs from Discord</x:v>
      </x:c>
      <x:c r="AE3" s="3" t="str">
        <x:f>IF(Master!AF438="","",Master!AF438)</x:f>
        <x:v>No importer verified</x:v>
      </x:c>
      <x:c r="AF3" s="8" t="str">
        <x:f>IF(Master!AG438="","",Master!AG438)</x:f>
        <x:v>No Discord importer; imports Slack/Mattermost/Rocket.Chat supported</x:v>
      </x:c>
    </x:row>
    <x:row r="4" ht="36" customHeight="1">
      <x:c r="A4" s="17" t="s">
        <x:v>697</x:v>
      </x:c>
      <x:c r="B4" s="3" t="str">
        <x:f>IF(Master!C439="","",Master!C439)</x:f>
        <x:v>Yes: Data Package ZIP; messages/account data delivered primarily as JSON</x:v>
      </x:c>
      <x:c r="C4" s="3" t="str">
        <x:f>IF(Master!D439="","",Master!D439)</x:f>
      </x:c>
      <x:c r="D4" s="3" t="str">
        <x:f>IF(Master!E439="","",Master!E439)</x:f>
        <x:v>Account export/re-import</x:v>
      </x:c>
      <x:c r="E4" s="3" t="str">
        <x:f>IF(Master!F439="","",Master!F439)</x:f>
      </x:c>
      <x:c r="F4" s="3" t="str">
        <x:f>IF(Master!G439="","",Master!G439)</x:f>
      </x:c>
      <x:c r="G4" s="3" t="str">
        <x:f>IF(Master!H439="","",Master!H439)</x:f>
        <x:v>Data export available</x:v>
      </x:c>
      <x:c r="H4" s="3" t="str">
        <x:f>IF(Master!I439="","",Master!I439)</x:f>
      </x:c>
      <x:c r="I4" s="3" t="str">
        <x:f>IF(Master!J439="","",Master!J439)</x:f>
      </x:c>
      <x:c r="J4" s="3" t="str">
        <x:f>IF(Master!K439="","",Master!K439)</x:f>
        <x:v>Local archive export/import</x:v>
      </x:c>
      <x:c r="K4" s="3" t="str">
        <x:f>IF(Master!L439="","",Master!L439)</x:f>
        <x:v>No full account/chat export workflow documented</x:v>
      </x:c>
      <x:c r="L4" s="3" t="str">
        <x:f>IF(Master!M439="","",Master!M439)</x:f>
      </x:c>
      <x:c r="M4" s="3" t="str">
        <x:f>IF(Master!N439="","",Master!N439)</x:f>
        <x:v>Yes</x:v>
      </x:c>
      <x:c r="N4" s="3" t="str">
        <x:f>IF(Master!O439="","",Master!O439)</x:f>
        <x:v>Homeserver/client-dependent exports</x:v>
      </x:c>
      <x:c r="O4" s="3" t="str">
        <x:f>IF(Master!P439="","",Master!P439)</x:f>
        <x:v>Bulk export tools/admin export</x:v>
      </x:c>
      <x:c r="P4" s="3" t="str">
        <x:f>IF(Master!Q439="","",Master!Q439)</x:f>
      </x:c>
      <x:c r="Q4" s="3" t="str">
        <x:f>IF(Master!R439="","",Master!R439)</x:f>
        <x:v>Server/operator logs/config; no Discord-style chat export</x:v>
      </x:c>
      <x:c r="R4" s="3" t="str">
        <x:f>IF(Master!S439="","",Master!S439)</x:f>
      </x:c>
      <x:c r="S4" s="3" t="str">
        <x:f>IF(Master!T439="","",Master!T439)</x:f>
      </x:c>
      <x:c r="T4" s="3" t="str">
        <x:f>IF(Master!U439="","",Master!U439)</x:f>
        <x:v>Data export available; exact export format not stated</x:v>
      </x:c>
      <x:c r="U4" s="3" t="str">
        <x:f>IF(Master!V439="","",Master!V439)</x:f>
        <x:v>No</x:v>
      </x:c>
      <x:c r="V4" s="3" t="str">
        <x:f>IF(Master!W439="","",Master!W439)</x:f>
        <x:v>Admin export tools</x:v>
      </x:c>
      <x:c r="W4" s="3" t="str">
        <x:f>IF(Master!X439="","",Master!X439)</x:f>
      </x:c>
      <x:c r="X4" s="3" t="str">
        <x:f>IF(Master!Y439="","",Master!Y439)</x:f>
      </x:c>
      <x:c r="Y4" s="3" t="str">
        <x:f>IF(Master!Z439="","",Master!Z439)</x:f>
      </x:c>
      <x:c r="Z4" s="3" t="str">
        <x:f>IF(Master!AA439="","",Master!AA439)</x:f>
      </x:c>
      <x:c r="AA4" s="6" t="str">
        <x:f>IF(Master!AB439="","",Master!AB439)</x:f>
      </x:c>
      <x:c r="AB4" s="3" t="str">
        <x:f>IF(Master!AC439="","",Master!AC439)</x:f>
      </x:c>
      <x:c r="AC4" s="3" t="str">
        <x:f>IF(Master!AD439="","",Master!AD439)</x:f>
      </x:c>
      <x:c r="AD4" s="3" t="str">
        <x:f>IF(Master!AE439="","",Master!AE439)</x:f>
        <x:v>No</x:v>
      </x:c>
      <x:c r="AE4" s="3" t="str">
        <x:f>IF(Master!AF439="","",Master!AF439)</x:f>
      </x:c>
      <x:c r="AF4" s="8" t="str">
        <x:f>IF(Master!AG439="","",Master!AG439)</x:f>
        <x:v>Exports available</x:v>
      </x:c>
    </x:row>
    <x:row r="5" ht="36" customHeight="1">
      <x:c r="A5" s="17" t="s">
        <x:v>698</x:v>
      </x:c>
      <x:c r="B5" s="3" t="str">
        <x:f>IF(Master!C440="","",Master!C440)</x:f>
        <x:v>Yes: Data Package can include uploaded attachments in their file formats</x:v>
      </x:c>
      <x:c r="C5" s="3" t="str">
        <x:f>IF(Master!D440="","",Master!D440)</x:f>
      </x:c>
      <x:c r="D5" s="3" t="str">
        <x:f>IF(Master!E440="","",Master!E440)</x:f>
        <x:v>Operator data</x:v>
      </x:c>
      <x:c r="E5" s="3" t="str">
        <x:f>IF(Master!F440="","",Master!F440)</x:f>
      </x:c>
      <x:c r="F5" s="3" t="str">
        <x:f>IF(Master!G440="","",Master!G440)</x:f>
      </x:c>
      <x:c r="G5" s="3" t="str">
        <x:f>IF(Master!H440="","",Master!H440)</x:f>
      </x:c>
      <x:c r="H5" s="3" t="str">
        <x:f>IF(Master!I440="","",Master!I440)</x:f>
      </x:c>
      <x:c r="I5" s="3" t="str">
        <x:f>IF(Master!J440="","",Master!J440)</x:f>
      </x:c>
      <x:c r="J5" s="3" t="str">
        <x:f>IF(Master!K440="","",Master!K440)</x:f>
        <x:v>Local files/data export</x:v>
      </x:c>
      <x:c r="K5" s="3" t="str">
        <x:f>IF(Master!L440="","",Master!L440)</x:f>
        <x:v>Direct attachment download exists; bulk media export is not documented</x:v>
      </x:c>
      <x:c r="L5" s="3" t="str">
        <x:f>IF(Master!M440="","",Master!M440)</x:f>
      </x:c>
      <x:c r="M5" s="3" t="str">
        <x:f>IF(Master!N440="","",Master!N440)</x:f>
        <x:v>Yes</x:v>
      </x:c>
      <x:c r="N5" s="3" t="str">
        <x:f>IF(Master!O440="","",Master!O440)</x:f>
        <x:v>Homeserver/client-dependent</x:v>
      </x:c>
      <x:c r="O5" s="3" t="str">
        <x:f>IF(Master!P440="","",Master!P440)</x:f>
        <x:v>Export/backup supported admin-side</x:v>
      </x:c>
      <x:c r="P5" s="3" t="str">
        <x:f>IF(Master!Q440="","",Master!Q440)</x:f>
      </x:c>
      <x:c r="Q5" s="3" t="str">
        <x:f>IF(Master!R440="","",Master!R440)</x:f>
        <x:v>N/A</x:v>
      </x:c>
      <x:c r="R5" s="3" t="str">
        <x:f>IF(Master!S440="","",Master!S440)</x:f>
      </x:c>
      <x:c r="S5" s="3" t="str">
        <x:f>IF(Master!T440="","",Master!T440)</x:f>
      </x:c>
      <x:c r="T5" s="3" t="str">
        <x:f>IF(Master!U440="","",Master!U440)</x:f>
        <x:v>Data export exists; attachment-specific export behavior not stated</x:v>
      </x:c>
      <x:c r="U5" s="3" t="str">
        <x:f>IF(Master!V440="","",Master!V440)</x:f>
        <x:v>Direct Attachement downloads</x:v>
      </x:c>
      <x:c r="V5" s="3" t="str">
        <x:f>IF(Master!W440="","",Master!W440)</x:f>
        <x:v>Backup/export supported admin-side</x:v>
      </x:c>
      <x:c r="W5" s="3" t="str">
        <x:f>IF(Master!X440="","",Master!X440)</x:f>
      </x:c>
      <x:c r="X5" s="3" t="str">
        <x:f>IF(Master!Y440="","",Master!Y440)</x:f>
      </x:c>
      <x:c r="Y5" s="3" t="str">
        <x:f>IF(Master!Z440="","",Master!Z440)</x:f>
      </x:c>
      <x:c r="Z5" s="3" t="str">
        <x:f>IF(Master!AA440="","",Master!AA440)</x:f>
      </x:c>
      <x:c r="AA5" s="6" t="str">
        <x:f>IF(Master!AB440="","",Master!AB440)</x:f>
      </x:c>
      <x:c r="AB5" s="3" t="str">
        <x:f>IF(Master!AC440="","",Master!AC440)</x:f>
      </x:c>
      <x:c r="AC5" s="3" t="str">
        <x:f>IF(Master!AD440="","",Master!AD440)</x:f>
      </x:c>
      <x:c r="AD5" s="3" t="str">
        <x:f>IF(Master!AE440="","",Master!AE440)</x:f>
        <x:v>No</x:v>
      </x:c>
      <x:c r="AE5" s="3" t="str">
        <x:f>IF(Master!AF440="","",Master!AF440)</x:f>
        <x:v>Operator files</x:v>
      </x:c>
      <x:c r="AF5" s="8" t="str">
        <x:f>IF(Master!AG440="","",Master!AG440)</x:f>
        <x:v>Exports include realm data; attachment details deployment-dependent</x:v>
      </x:c>
    </x:row>
    <x:row r="6" ht="36" customHeight="1">
      <x:c r="A6" s="17" t="s">
        <x:v>699</x:v>
      </x:c>
      <x:c r="B6" s="3" t="str">
        <x:f>IF(Master!C441="","",Master!C441)</x:f>
        <x:v>N/A: Discord is the source platform</x:v>
      </x:c>
      <x:c r="C6" s="3" t="str">
        <x:f>IF(Master!D441="","",Master!D441)</x:f>
        <x:v>Yes: optional live two-way bridge</x:v>
      </x:c>
      <x:c r="D6" s="3" t="str">
        <x:f>IF(Master!E441="","",Master!E441)</x:f>
        <x:v>Discord bridge WIP</x:v>
      </x:c>
      <x:c r="E6" s="3" t="str">
        <x:f>IF(Master!F441="","",Master!F441)</x:f>
        <x:v>No</x:v>
      </x:c>
      <x:c r="F6" s="3" t="str">
        <x:f>IF(Master!G441="","",Master!G441)</x:f>
        <x:v>No native bridge verified</x:v>
      </x:c>
      <x:c r="G6" s="3" t="str">
        <x:f>IF(Master!H441="","",Master!H441)</x:f>
        <x:v>No native Discord bridge verified</x:v>
      </x:c>
      <x:c r="H6" s="3" t="str">
        <x:f>IF(Master!I441="","",Master!I441)</x:f>
        <x:v>No native live bridge verified</x:v>
      </x:c>
      <x:c r="I6" s="3" t="str">
        <x:f>IF(Master!J441="","",Master!J441)</x:f>
        <x:v>Discord bot/API compatibility can ease bot migration</x:v>
      </x:c>
      <x:c r="J6" s="3" t="str">
        <x:f>IF(Master!K441="","",Master!K441)</x:f>
        <x:v>No Discord bridge verified</x:v>
      </x:c>
      <x:c r="K6" s="3" t="str">
        <x:f>IF(Master!L441="","",Master!L441)</x:f>
        <x:v>Yes: official Discord↔Kaede bridge bot is included in the repository</x:v>
      </x:c>
      <x:c r="L6" s="3" t="str">
        <x:f>IF(Master!M441="","",Master!M441)</x:f>
        <x:v>No</x:v>
      </x:c>
      <x:c r="M6" s="3" t="str">
        <x:f>IF(Master!N441="","",Master!N441)</x:f>
        <x:v>No live bridge verified</x:v>
      </x:c>
      <x:c r="N6" s="3" t="str">
        <x:f>IF(Master!O441="","",Master!O441)</x:f>
        <x:v>Yes: ecosystem bridges such as matrix-appservice-discord / mautrix-discord</x:v>
      </x:c>
      <x:c r="O6" s="3" t="str">
        <x:f>IF(Master!P441="","",Master!P441)</x:f>
        <x:v>No native Discord bridge</x:v>
      </x:c>
      <x:c r="P6" s="3" t="str">
        <x:f>IF(Master!Q441="","",Master!Q441)</x:f>
        <x:v>No</x:v>
      </x:c>
      <x:c r="Q6" s="3" t="str">
        <x:f>IF(Master!R441="","",Master!R441)</x:f>
        <x:v>No</x:v>
      </x:c>
      <x:c r="R6" s="3" t="str">
        <x:f>IF(Master!S441="","",Master!S441)</x:f>
        <x:v>No</x:v>
      </x:c>
      <x:c r="S6" s="3" t="str">
        <x:f>IF(Master!T441="","",Master!T441)</x:f>
      </x:c>
      <x:c r="T6" s="3" t="str">
        <x:f>IF(Master!U441="","",Master!U441)</x:f>
        <x:v>No</x:v>
      </x:c>
      <x:c r="U6" s="3" t="str">
        <x:f>IF(Master!V441="","",Master!V441)</x:f>
        <x:v>No</x:v>
      </x:c>
      <x:c r="V6" s="3" t="str">
        <x:f>IF(Master!W441="","",Master!W441)</x:f>
        <x:v>No native Discord bridge</x:v>
      </x:c>
      <x:c r="W6" s="3" t="str">
        <x:f>IF(Master!X441="","",Master!X441)</x:f>
        <x:v>Yes: bidirectional Discord bridge package</x:v>
      </x:c>
      <x:c r="X6" s="3" t="str">
        <x:f>IF(Master!Y441="","",Master!Y441)</x:f>
        <x:v>No native live Discord bridge</x:v>
      </x:c>
      <x:c r="Y6" s="3" t="str">
        <x:f>IF(Master!Z441="","",Master!Z441)</x:f>
        <x:v>API compatibility enables some Discord bots/clients, not a live bridge</x:v>
      </x:c>
      <x:c r="Z6" s="3" t="str">
        <x:f>IF(Master!AA441="","",Master!AA441)</x:f>
        <x:v>No native Discord bridge verified</x:v>
      </x:c>
      <x:c r="AA6" s="6" t="str">
        <x:f>IF(Master!AB441="","",Master!AB441)</x:f>
        <x:v>No native</x:v>
      </x:c>
      <x:c r="AB6" s="3" t="str">
        <x:f>IF(Master!AC441="","",Master!AC441)</x:f>
        <x:v>No live bridge verified</x:v>
      </x:c>
      <x:c r="AC6" s="3" t="str">
        <x:f>IF(Master!AD441="","",Master!AD441)</x:f>
        <x:v>Bridge possible by protocol design; no native bridge verified</x:v>
      </x:c>
      <x:c r="AD6" s="3" t="str">
        <x:f>IF(Master!AE441="","",Master!AE441)</x:f>
        <x:v>No</x:v>
      </x:c>
      <x:c r="AE6" s="3" t="str">
        <x:f>IF(Master!AF441="","",Master!AF441)</x:f>
        <x:v>No</x:v>
      </x:c>
      <x:c r="AF6" s="8" t="str">
        <x:f>IF(Master!AG441="","",Master!AG441)</x:f>
        <x:v>No native Discord bridge</x:v>
      </x:c>
    </x:row>
    <x:row r="7" ht="36" customHeight="1">
      <x:c r="A7" s="17" t="s">
        <x:v>700</x:v>
      </x:c>
      <x:c r="B7" s="3" t="str">
        <x:f>IF(Master!C442="","",Master!C442)</x:f>
        <x:v>No native official Matrix bridge/appservice</x:v>
      </x:c>
      <x:c r="C7" s="3" t="str">
        <x:f>IF(Master!D442="","",Master!D442)</x:f>
        <x:v>N/A</x:v>
      </x:c>
      <x:c r="D7" s="3" t="str">
        <x:f>IF(Master!E442="","",Master!E442)</x:f>
        <x:v>No Matrix bridge verified</x:v>
      </x:c>
      <x:c r="E7" s="3" t="str">
        <x:f>IF(Master!F442="","",Master!F442)</x:f>
        <x:v>No</x:v>
      </x:c>
      <x:c r="F7" s="3" t="str">
        <x:f>IF(Master!G442="","",Master!G442)</x:f>
        <x:v>No native Matrix bridge verified</x:v>
      </x:c>
      <x:c r="G7" s="3" t="str">
        <x:f>IF(Master!H442="","",Master!H442)</x:f>
        <x:v>No Matrix bridge verified</x:v>
      </x:c>
      <x:c r="H7" s="3" t="str">
        <x:f>IF(Master!I442="","",Master!I442)</x:f>
        <x:v>No native Matrix bridge verified</x:v>
      </x:c>
      <x:c r="I7" s="3" t="str">
        <x:f>IF(Master!J442="","",Master!J442)</x:f>
        <x:v>No Matrix bridge verified</x:v>
      </x:c>
      <x:c r="J7" s="3" t="str">
        <x:f>IF(Master!K442="","",Master!K442)</x:f>
        <x:v>No Matrix bridge verified</x:v>
      </x:c>
      <x:c r="K7" s="3" t="str">
        <x:f>IF(Master!L442="","",Master!L442)</x:f>
        <x:v>No Matrix bridge documented</x:v>
      </x:c>
      <x:c r="L7" s="3" t="str">
        <x:f>IF(Master!M442="","",Master!M442)</x:f>
        <x:v>No</x:v>
      </x:c>
      <x:c r="M7" s="3" t="str">
        <x:f>IF(Master!N442="","",Master!N442)</x:f>
        <x:v>No native Matrix bridge verified</x:v>
      </x:c>
      <x:c r="N7" s="3" t="str">
        <x:f>IF(Master!O442="","",Master!O442)</x:f>
        <x:v>N/A: Matrix is itself the Matrix protocol</x:v>
      </x:c>
      <x:c r="O7" s="3" t="str">
        <x:f>IF(Master!P442="","",Master!P442)</x:f>
        <x:v>Integrations possible; no native Matrix bridge core</x:v>
      </x:c>
      <x:c r="P7" s="3" t="str">
        <x:f>IF(Master!Q442="","",Master!Q442)</x:f>
        <x:v>No</x:v>
      </x:c>
      <x:c r="Q7" s="3" t="str">
        <x:f>IF(Master!R442="","",Master!R442)</x:f>
        <x:v>No native</x:v>
      </x:c>
      <x:c r="R7" s="3" t="str">
        <x:f>IF(Master!S442="","",Master!S442)</x:f>
        <x:v>No</x:v>
      </x:c>
      <x:c r="S7" s="3" t="str">
        <x:f>IF(Master!T442="","",Master!T442)</x:f>
      </x:c>
      <x:c r="T7" s="3" t="str">
        <x:f>IF(Master!U442="","",Master!U442)</x:f>
        <x:v>No shipping Matrix bridge claim</x:v>
      </x:c>
      <x:c r="U7" s="3" t="str">
        <x:f>IF(Master!V442="","",Master!V442)</x:f>
        <x:v>No</x:v>
      </x:c>
      <x:c r="V7" s="3" t="str">
        <x:f>IF(Master!W442="","",Master!W442)</x:f>
        <x:v>Federation uses Matrix protocol components; not the same as a generic Matrix bridge</x:v>
      </x:c>
      <x:c r="W7" s="3" t="str">
        <x:f>IF(Master!X442="","",Master!X442)</x:f>
        <x:v>N/A</x:v>
      </x:c>
      <x:c r="X7" s="3" t="str">
        <x:f>IF(Master!Y442="","",Master!Y442)</x:f>
        <x:v>No native Matrix bridge</x:v>
      </x:c>
      <x:c r="Y7" s="3" t="str">
        <x:f>IF(Master!Z442="","",Master!Z442)</x:f>
        <x:v>No native Matrix bridge verified</x:v>
      </x:c>
      <x:c r="Z7" s="3" t="str">
        <x:f>IF(Master!AA442="","",Master!AA442)</x:f>
        <x:v>No native Matrix bridge verified</x:v>
      </x:c>
      <x:c r="AA7" s="6" t="str">
        <x:f>IF(Master!AB442="","",Master!AB442)</x:f>
        <x:v>No native</x:v>
      </x:c>
      <x:c r="AB7" s="3" t="str">
        <x:f>IF(Master!AC442="","",Master!AC442)</x:f>
        <x:v>No</x:v>
      </x:c>
      <x:c r="AC7" s="3" t="str">
        <x:f>IF(Master!AD442="","",Master!AD442)</x:f>
        <x:v>Bridge to Matrix possible in theory, not native</x:v>
      </x:c>
      <x:c r="AD7" s="3" t="str">
        <x:f>IF(Master!AE442="","",Master!AE442)</x:f>
        <x:v>No</x:v>
      </x:c>
      <x:c r="AE7" s="3" t="str">
        <x:f>IF(Master!AF442="","",Master!AF442)</x:f>
        <x:v>No</x:v>
      </x:c>
      <x:c r="AF7" s="8" t="str">
        <x:f>IF(Master!AG442="","",Master!AG442)</x:f>
        <x:v>No native Matrix bridge</x:v>
      </x:c>
    </x:row>
    <x:row r="8" ht="36" customHeight="1">
      <x:c r="A8" s="17" t="s">
        <x:v>701</x:v>
      </x:c>
      <x:c r="B8" s="3" t="str">
        <x:f>IF(Master!C443="","",Master!C443)</x:f>
        <x:v>No native official IRC relay bridge</x:v>
      </x:c>
      <x:c r="C8" s="3" t="str">
        <x:f>IF(Master!D443="","",Master!D443)</x:f>
      </x:c>
      <x:c r="D8" s="3" t="str">
        <x:f>IF(Master!E443="","",Master!E443)</x:f>
        <x:v>No IRC bridge verified</x:v>
      </x:c>
      <x:c r="E8" s="3" t="str">
        <x:f>IF(Master!F443="","",Master!F443)</x:f>
        <x:v>No</x:v>
      </x:c>
      <x:c r="F8" s="3" t="str">
        <x:f>IF(Master!G443="","",Master!G443)</x:f>
        <x:v>No native IRC bridge verified</x:v>
      </x:c>
      <x:c r="G8" s="3" t="str">
        <x:f>IF(Master!H443="","",Master!H443)</x:f>
        <x:v>No IRC bridge verified</x:v>
      </x:c>
      <x:c r="H8" s="3" t="str">
        <x:f>IF(Master!I443="","",Master!I443)</x:f>
        <x:v>No native IRC bridge verified</x:v>
      </x:c>
      <x:c r="I8" s="3" t="str">
        <x:f>IF(Master!J443="","",Master!J443)</x:f>
        <x:v>Discord bridge via Bolt/community mentioned; not core verified</x:v>
      </x:c>
      <x:c r="J8" s="3" t="str">
        <x:f>IF(Master!K443="","",Master!K443)</x:f>
        <x:v>No IRC bridge</x:v>
      </x:c>
      <x:c r="K8" s="3" t="str">
        <x:f>IF(Master!L443="","",Master!L443)</x:f>
        <x:v>No IRC bridge documented</x:v>
      </x:c>
      <x:c r="L8" s="3" t="str">
        <x:f>IF(Master!M443="","",Master!M443)</x:f>
        <x:v>No</x:v>
      </x:c>
      <x:c r="M8" s="3" t="str">
        <x:f>IF(Master!N443="","",Master!N443)</x:f>
        <x:v>No native IRC bridge verified</x:v>
      </x:c>
      <x:c r="N8" s="3" t="str">
        <x:f>IF(Master!O443="","",Master!O443)</x:f>
        <x:v>Yes: ecosystem IRC bridges</x:v>
      </x:c>
      <x:c r="O8" s="3" t="str">
        <x:f>IF(Master!P443="","",Master!P443)</x:f>
        <x:v>Integrations possible</x:v>
      </x:c>
      <x:c r="P8" s="3" t="str">
        <x:f>IF(Master!Q443="","",Master!Q443)</x:f>
        <x:v>No</x:v>
      </x:c>
      <x:c r="Q8" s="3" t="str">
        <x:f>IF(Master!R443="","",Master!R443)</x:f>
        <x:v>No native</x:v>
      </x:c>
      <x:c r="R8" s="3" t="str">
        <x:f>IF(Master!S443="","",Master!S443)</x:f>
        <x:v>No</x:v>
      </x:c>
      <x:c r="S8" s="3" t="str">
        <x:f>IF(Master!T443="","",Master!T443)</x:f>
      </x:c>
      <x:c r="T8" s="3" t="str">
        <x:f>IF(Master!U443="","",Master!U443)</x:f>
        <x:v>No</x:v>
      </x:c>
      <x:c r="U8" s="3" t="str">
        <x:f>IF(Master!V443="","",Master!V443)</x:f>
        <x:v>No</x:v>
      </x:c>
      <x:c r="V8" s="3" t="str">
        <x:f>IF(Master!W443="","",Master!W443)</x:f>
      </x:c>
      <x:c r="W8" s="3" t="str">
        <x:f>IF(Master!X443="","",Master!X443)</x:f>
        <x:v>No native IRC</x:v>
      </x:c>
      <x:c r="X8" s="3" t="str">
        <x:f>IF(Master!Y443="","",Master!Y443)</x:f>
        <x:v>No native IRC bridge</x:v>
      </x:c>
      <x:c r="Y8" s="3" t="str">
        <x:f>IF(Master!Z443="","",Master!Z443)</x:f>
        <x:v>No native IRC bridge verified</x:v>
      </x:c>
      <x:c r="Z8" s="3" t="str">
        <x:f>IF(Master!AA443="","",Master!AA443)</x:f>
        <x:v>No native IRC bridge verified</x:v>
      </x:c>
      <x:c r="AA8" s="6" t="str">
        <x:f>IF(Master!AB443="","",Master!AB443)</x:f>
        <x:v>No native</x:v>
      </x:c>
      <x:c r="AB8" s="3" t="str">
        <x:f>IF(Master!AC443="","",Master!AC443)</x:f>
        <x:v>No</x:v>
      </x:c>
      <x:c r="AC8" s="3" t="str">
        <x:f>IF(Master!AD443="","",Master!AD443)</x:f>
      </x:c>
      <x:c r="AD8" s="3" t="str">
        <x:f>IF(Master!AE443="","",Master!AE443)</x:f>
        <x:v>No</x:v>
      </x:c>
      <x:c r="AE8" s="3" t="str">
        <x:f>IF(Master!AF443="","",Master!AF443)</x:f>
        <x:v>No</x:v>
      </x:c>
      <x:c r="AF8" s="8" t="str">
        <x:f>IF(Master!AG443="","",Master!AG443)</x:f>
        <x:v>IRC integration possible via bots; no native relay verified</x:v>
      </x:c>
    </x:row>
    <x:row r="9" ht="36" customHeight="1">
      <x:c r="A9" s="17" t="s">
        <x:v>702</x:v>
      </x:c>
      <x:c r="B9" s="3" t="str">
        <x:f>IF(Master!C444="","",Master!C444)</x:f>
        <x:v>Yes: server switching + desktop Account Switcher for up to 5 accounts</x:v>
      </x:c>
      <x:c r="C9" s="3" t="str">
        <x:f>IF(Master!D444="","",Master!D444)</x:f>
        <x:v>Nostr identity works across relays</x:v>
      </x:c>
      <x:c r="D9" s="3" t="str">
        <x:f>IF(Master!E444="","",Master!E444)</x:f>
        <x:v>Accounts can export/import; messenger identity crosses home servers</x:v>
      </x:c>
      <x:c r="E9" s="3" t="str">
        <x:f>IF(Master!F444="","",Master!F444)</x:f>
        <x:v>Multi-server</x:v>
      </x:c>
      <x:c r="F9" s="3" t="str">
        <x:f>IF(Master!G444="","",Master!G444)</x:f>
      </x:c>
      <x:c r="G9" s="3" t="str">
        <x:f>IF(Master!H444="","",Master!H444)</x:f>
        <x:v>Self-host instances supported; federation/account portability not yet</x:v>
      </x:c>
      <x:c r="H9" s="3" t="str">
        <x:f>IF(Master!I444="","",Master!I444)</x:f>
        <x:v>Multi-server UX</x:v>
      </x:c>
      <x:c r="I9" s="3" t="str">
        <x:f>IF(Master!J444="","",Master!J444)</x:f>
        <x:v>Instance picker in Fermi</x:v>
      </x:c>
      <x:c r="J9" s="3" t="str">
        <x:f>IF(Master!K444="","",Master!K444)</x:f>
        <x:v>Identity key works across relays</x:v>
      </x:c>
      <x:c r="K9" s="3" t="str">
        <x:f>IF(Master!L444="","",Master!L444)</x:f>
        <x:v>One home account accesses federated resources; no cross-home account switcher/migration workflow documented</x:v>
      </x:c>
      <x:c r="L9" s="3" t="str">
        <x:f>IF(Master!M444="","",Master!M444)</x:f>
        <x:v>Single service</x:v>
      </x:c>
      <x:c r="M9" s="3" t="str">
        <x:f>IF(Master!N444="","",Master!N444)</x:f>
        <x:v>Self-host/federation design</x:v>
      </x:c>
      <x:c r="N9" s="3" t="str">
        <x:f>IF(Master!O444="","",Master!O444)</x:f>
        <x:v>Client choice is a core feature; users can switch Matrix clients on the same account</x:v>
      </x:c>
      <x:c r="O9" s="3" t="str">
        <x:f>IF(Master!P444="","",Master!P444)</x:f>
        <x:v>Desktop supports multiple servers</x:v>
      </x:c>
      <x:c r="P9" s="3" t="str">
        <x:f>IF(Master!Q444="","",Master!Q444)</x:f>
        <x:v>Multi-clan</x:v>
      </x:c>
      <x:c r="Q9" s="3" t="str">
        <x:f>IF(Master!R444="","",Master!R444)</x:f>
        <x:v>Multi-server bookmarks; account identity can use certificates</x:v>
      </x:c>
      <x:c r="R9" s="3" t="str">
        <x:f>IF(Master!S444="","",Master!S444)</x:f>
        <x:v>Single hosted service UX</x:v>
      </x:c>
      <x:c r="S9" s="3" t="str">
        <x:f>IF(Master!T444="","",Master!T444)</x:f>
        <x:v>Multi-community</x:v>
      </x:c>
      <x:c r="T9" s="3" t="str">
        <x:f>IF(Master!U444="","",Master!U444)</x:f>
        <x:v>No</x:v>
      </x:c>
      <x:c r="U9" s="3" t="str">
        <x:f>IF(Master!V444="","",Master!V444)</x:f>
        <x:v>Multi-community/portal UX</x:v>
      </x:c>
      <x:c r="V9" s="3" t="str">
        <x:f>IF(Master!W444="","",Master!W444)</x:f>
        <x:v>Multiple workspaces supported by clients</x:v>
      </x:c>
      <x:c r="W9" s="3" t="str">
        <x:f>IF(Master!X444="","",Master!X444)</x:f>
        <x:v>ATProto identity/client model</x:v>
      </x:c>
      <x:c r="X9" s="3" t="str">
        <x:f>IF(Master!Y444="","",Master!Y444)</x:f>
      </x:c>
      <x:c r="Y9" s="3" t="str">
        <x:f>IF(Master!Z444="","",Master!Z444)</x:f>
        <x:v>Instances are separate; no federation</x:v>
      </x:c>
      <x:c r="Z9" s="3" t="str">
        <x:f>IF(Master!AA444="","",Master!AA444)</x:f>
        <x:v>Multiple servers/instances are not fully seamless in official clients</x:v>
      </x:c>
      <x:c r="AA9" s="6" t="str">
        <x:f>IF(Master!AB444="","",Master!AB444)</x:f>
        <x:v>Multi-server bookmarks/connections</x:v>
      </x:c>
      <x:c r="AB9" s="3" t="str">
        <x:f>IF(Master!AC444="","",Master!AC444)</x:f>
        <x:v>Self-host/node migration</x:v>
      </x:c>
      <x:c r="AC9" s="3" t="str">
        <x:f>IF(Master!AD444="","",Master!AD444)</x:f>
        <x:v>Federation target is single account across servers</x:v>
      </x:c>
      <x:c r="AD9" s="3" t="str">
        <x:f>IF(Master!AE444="","",Master!AE444)</x:f>
        <x:v>Lobby-based UX</x:v>
      </x:c>
      <x:c r="AE9" s="3" t="str">
        <x:f>IF(Master!AF444="","",Master!AF444)</x:f>
        <x:v>Server selection</x:v>
      </x:c>
      <x:c r="AF9" s="8" t="str">
        <x:f>IF(Master!AG444="","",Master!AG444)</x:f>
        <x:v>Multiple organizations/accounts supported</x:v>
      </x:c>
    </x:row>
    <x:row r="10" ht="23.100000381469727" customHeight="1">
      <x:c r="A10" s="17" t="s">
        <x:v>703</x:v>
      </x:c>
      <x:c r="B10" s="4" t="str">
        <x:f>IF(Master!C445="","",Master!C445)</x:f>
      </x:c>
      <x:c r="C10" s="4" t="str">
        <x:f>IF(Master!D445="","",Master!D445)</x:f>
      </x:c>
      <x:c r="D10" s="4" t="str">
        <x:f>IF(Master!E445="","",Master!E445)</x:f>
      </x:c>
      <x:c r="E10" s="4" t="str">
        <x:f>IF(Master!F445="","",Master!F445)</x:f>
      </x:c>
      <x:c r="F10" s="4" t="str">
        <x:f>IF(Master!G445="","",Master!G445)</x:f>
      </x:c>
      <x:c r="G10" s="4" t="str">
        <x:f>IF(Master!H445="","",Master!H445)</x:f>
      </x:c>
      <x:c r="H10" s="4" t="str">
        <x:f>IF(Master!I445="","",Master!I445)</x:f>
      </x:c>
      <x:c r="I10" s="4" t="str">
        <x:f>IF(Master!J445="","",Master!J445)</x:f>
      </x:c>
      <x:c r="J10" s="4" t="str">
        <x:f>IF(Master!K445="","",Master!K445)</x:f>
      </x:c>
      <x:c r="K10" s="4" t="str">
        <x:f>IF(Master!L445="","",Master!L445)</x:f>
        <x:v>Bridge/interoperability exists; no automated Discord data migration/importer</x:v>
      </x:c>
      <x:c r="L10" s="4" t="str">
        <x:f>IF(Master!M445="","",Master!M445)</x:f>
      </x:c>
      <x:c r="M10" s="4" t="str">
        <x:f>IF(Master!N445="","",Master!N445)</x:f>
      </x:c>
      <x:c r="N10" s="4" t="str">
        <x:f>IF(Master!O445="","",Master!O445)</x:f>
      </x:c>
      <x:c r="O10" s="4" t="str">
        <x:f>IF(Master!P445="","",Master!P445)</x:f>
      </x:c>
      <x:c r="P10" s="4" t="str">
        <x:f>IF(Master!Q445="","",Master!Q445)</x:f>
      </x:c>
      <x:c r="Q10" s="4" t="str">
        <x:f>IF(Master!R445="","",Master!R445)</x:f>
      </x:c>
      <x:c r="R10" s="4" t="str">
        <x:f>IF(Master!S445="","",Master!S445)</x:f>
      </x:c>
      <x:c r="S10" s="4" t="str">
        <x:f>IF(Master!T445="","",Master!T445)</x:f>
      </x:c>
      <x:c r="T10" s="4" t="str">
        <x:f>IF(Master!U445="","",Master!U445)</x:f>
      </x:c>
      <x:c r="U10" s="4" t="str">
        <x:f>IF(Master!V445="","",Master!V445)</x:f>
      </x:c>
      <x:c r="V10" s="4" t="str">
        <x:f>IF(Master!W445="","",Master!W445)</x:f>
      </x:c>
      <x:c r="W10" s="4" t="str">
        <x:f>IF(Master!X445="","",Master!X445)</x:f>
      </x:c>
      <x:c r="X10" s="4" t="str">
        <x:f>IF(Master!Y445="","",Master!Y445)</x:f>
      </x:c>
      <x:c r="Y10" s="4" t="str">
        <x:f>IF(Master!Z445="","",Master!Z445)</x:f>
      </x:c>
      <x:c r="Z10" s="4" t="str">
        <x:f>IF(Master!AA445="","",Master!AA445)</x:f>
      </x:c>
      <x:c r="AA10" s="5" t="str">
        <x:f>IF(Master!AB445="","",Master!AB445)</x:f>
      </x:c>
      <x:c r="AB10" s="4" t="str">
        <x:f>IF(Master!AC445="","",Master!AC445)</x:f>
      </x:c>
      <x:c r="AC10" s="4" t="str">
        <x:f>IF(Master!AD445="","",Master!AD445)</x:f>
      </x:c>
      <x:c r="AD10" s="4" t="str">
        <x:f>IF(Master!AE445="","",Master!AE445)</x:f>
      </x:c>
      <x:c r="AE10" s="4" t="str">
        <x:f>IF(Master!AF445="","",Master!AF445)</x:f>
      </x:c>
      <x:c r="AF10" s="8" t="str">
        <x:f>IF(Master!AG445="","",Master!AG445)</x:f>
      </x:c>
    </x:row>
    <x:row r="11" ht="36" customHeight="1">
      <x:c r="A11" s="17" t="s">
        <x:v>704</x:v>
      </x:c>
      <x:c r="B11" s="3" t="str">
        <x:f>IF(Master!C450="","",Master!C450)</x:f>
        <x:v>N/A</x:v>
      </x:c>
      <x:c r="C11" s="3" t="str">
        <x:f>IF(Master!D450="","",Master!D450)</x:f>
        <x:v>Partial: permissions are mapped where Armada has an equivalent; unsupported Discord-only permissions are dropped</x:v>
      </x:c>
      <x:c r="D11" s="3" t="str">
        <x:f>IF(Master!E450="","",Master!E450)</x:f>
        <x:v>No</x:v>
      </x:c>
      <x:c r="E11" s="3" t="str">
        <x:f>IF(Master!F450="","",Master!F450)</x:f>
        <x:v>No</x:v>
      </x:c>
      <x:c r="F11" s="3" t="str">
        <x:f>IF(Master!G450="","",Master!G450)</x:f>
        <x:v>Planned/advertised</x:v>
      </x:c>
      <x:c r="G11" s="3" t="str">
        <x:f>IF(Master!H450="","",Master!H450)</x:f>
        <x:v>No full importer verified</x:v>
      </x:c>
      <x:c r="H11" s="3" t="str">
        <x:f>IF(Master!I450="","",Master!I450)</x:f>
        <x:v>Yes</x:v>
      </x:c>
      <x:c r="I11" s="3" t="str">
        <x:f>IF(Master!J450="","",Master!J450)</x:f>
        <x:v>No</x:v>
      </x:c>
      <x:c r="J11" s="3" t="str">
        <x:f>IF(Master!K450="","",Master!K450)</x:f>
        <x:v>No</x:v>
      </x:c>
      <x:c r="K11" s="3" t="str">
        <x:f>IF(Master!L450="","",Master!L450)</x:f>
        <x:v>No dedicated Discord server importer documented</x:v>
      </x:c>
      <x:c r="L11" s="3" t="str">
        <x:f>IF(Master!M450="","",Master!M450)</x:f>
        <x:v>No</x:v>
      </x:c>
      <x:c r="M11" s="3" t="str">
        <x:f>IF(Master!N450="","",Master!N450)</x:f>
        <x:v>Yes</x:v>
      </x:c>
      <x:c r="N11" s="3" t="str">
        <x:f>IF(Master!O450="","",Master!O450)</x:f>
        <x:v>Tool-dependent</x:v>
      </x:c>
      <x:c r="O11" s="3" t="str">
        <x:f>IF(Master!P450="","",Master!P450)</x:f>
        <x:v>No</x:v>
      </x:c>
      <x:c r="P11" s="3" t="str">
        <x:f>IF(Master!Q450="","",Master!Q450)</x:f>
      </x:c>
      <x:c r="Q11" s="3" t="str">
        <x:f>IF(Master!R450="","",Master!R450)</x:f>
        <x:v>No</x:v>
      </x:c>
      <x:c r="R11" s="3" t="str">
        <x:f>IF(Master!S450="","",Master!S450)</x:f>
        <x:v>No</x:v>
      </x:c>
      <x:c r="S11" s="3" t="str">
        <x:f>IF(Master!T450="","",Master!T450)</x:f>
      </x:c>
      <x:c r="T11" s="3" t="str">
        <x:f>IF(Master!U450="","",Master!U450)</x:f>
        <x:v>Yes: main permissions</x:v>
      </x:c>
      <x:c r="U11" s="3" t="str">
        <x:f>IF(Master!V450="","",Master!V450)</x:f>
        <x:v>Yes: rules with Rift equivalents</x:v>
      </x:c>
      <x:c r="V11" s="3" t="str">
        <x:f>IF(Master!W450="","",Master!W450)</x:f>
        <x:v>No verified</x:v>
      </x:c>
      <x:c r="W11" s="3" t="str">
        <x:f>IF(Master!X450="","",Master!X450)</x:f>
      </x:c>
      <x:c r="X11" s="3" t="str">
        <x:f>IF(Master!Y450="","",Master!Y450)</x:f>
        <x:v>Yes</x:v>
      </x:c>
      <x:c r="Y11" s="3" t="str">
        <x:f>IF(Master!Z450="","",Master!Z450)</x:f>
        <x:v>N/A/compatibility</x:v>
      </x:c>
      <x:c r="Z11" s="3" t="str">
        <x:f>IF(Master!AA450="","",Master!AA450)</x:f>
        <x:v>No verified</x:v>
      </x:c>
      <x:c r="AA11" s="6" t="str">
        <x:f>IF(Master!AB450="","",Master!AB450)</x:f>
        <x:v>No</x:v>
      </x:c>
      <x:c r="AB11" s="3" t="str">
        <x:f>IF(Master!AC450="","",Master!AC450)</x:f>
      </x:c>
      <x:c r="AC11" s="3" t="str">
        <x:f>IF(Master!AD450="","",Master!AD450)</x:f>
        <x:v>No</x:v>
      </x:c>
      <x:c r="AD11" s="3" t="str">
        <x:f>IF(Master!AE450="","",Master!AE450)</x:f>
        <x:v>No</x:v>
      </x:c>
      <x:c r="AE11" s="3" t="str">
        <x:f>IF(Master!AF450="","",Master!AF450)</x:f>
        <x:v>No</x:v>
      </x:c>
      <x:c r="AF11" s="8" t="str">
        <x:f>IF(Master!AG450="","",Master!AG450)</x:f>
        <x:v>No</x:v>
      </x:c>
    </x:row>
    <x:row r="12" ht="36" customHeight="1">
      <x:c r="A12" s="17" t="s">
        <x:v>705</x:v>
      </x:c>
      <x:c r="B12" s="3" t="str">
        <x:f>IF(Master!C451="","",Master!C451)</x:f>
        <x:v>N/A</x:v>
      </x:c>
      <x:c r="C12" s="3" t="str">
        <x:f>IF(Master!D451="","",Master!D451)</x:f>
      </x:c>
      <x:c r="D12" s="3" t="str">
        <x:f>IF(Master!E451="","",Master!E451)</x:f>
        <x:v>No</x:v>
      </x:c>
      <x:c r="E12" s="3" t="str">
        <x:f>IF(Master!F451="","",Master!F451)</x:f>
        <x:v>No</x:v>
      </x:c>
      <x:c r="F12" s="3" t="str">
        <x:f>IF(Master!G451="","",Master!G451)</x:f>
      </x:c>
      <x:c r="G12" s="3" t="str">
        <x:f>IF(Master!H451="","",Master!H451)</x:f>
        <x:v>No</x:v>
      </x:c>
      <x:c r="H12" s="3" t="str">
        <x:f>IF(Master!I451="","",Master!I451)</x:f>
        <x:v>Yes</x:v>
      </x:c>
      <x:c r="I12" s="3" t="str">
        <x:f>IF(Master!J451="","",Master!J451)</x:f>
        <x:v>No</x:v>
      </x:c>
      <x:c r="J12" s="3" t="str">
        <x:f>IF(Master!K451="","",Master!K451)</x:f>
        <x:v>No</x:v>
      </x:c>
      <x:c r="K12" s="3" t="str">
        <x:f>IF(Master!L451="","",Master!L451)</x:f>
        <x:v>No dedicated Discord server importer documented</x:v>
      </x:c>
      <x:c r="L12" s="3" t="str">
        <x:f>IF(Master!M451="","",Master!M451)</x:f>
        <x:v>No</x:v>
      </x:c>
      <x:c r="M12" s="3" t="str">
        <x:f>IF(Master!N451="","",Master!N451)</x:f>
        <x:v>Yes</x:v>
      </x:c>
      <x:c r="N12" s="3" t="str">
        <x:f>IF(Master!O451="","",Master!O451)</x:f>
        <x:v>Tool-dependent</x:v>
      </x:c>
      <x:c r="O12" s="3" t="str">
        <x:f>IF(Master!P451="","",Master!P451)</x:f>
        <x:v>No</x:v>
      </x:c>
      <x:c r="P12" s="3" t="str">
        <x:f>IF(Master!Q451="","",Master!Q451)</x:f>
      </x:c>
      <x:c r="Q12" s="3" t="str">
        <x:f>IF(Master!R451="","",Master!R451)</x:f>
        <x:v>No</x:v>
      </x:c>
      <x:c r="R12" s="3" t="str">
        <x:f>IF(Master!S451="","",Master!S451)</x:f>
        <x:v>No</x:v>
      </x:c>
      <x:c r="S12" s="3" t="str">
        <x:f>IF(Master!T451="","",Master!T451)</x:f>
      </x:c>
      <x:c r="T12" s="3" t="str">
        <x:f>IF(Master!U451="","",Master!U451)</x:f>
      </x:c>
      <x:c r="U12" s="3" t="str">
        <x:f>IF(Master!V451="","",Master!V451)</x:f>
        <x:v>No / not documented</x:v>
      </x:c>
      <x:c r="V12" s="3" t="str">
        <x:f>IF(Master!W451="","",Master!W451)</x:f>
        <x:v>No</x:v>
      </x:c>
      <x:c r="W12" s="3" t="str">
        <x:f>IF(Master!X451="","",Master!X451)</x:f>
      </x:c>
      <x:c r="X12" s="3" t="str">
        <x:f>IF(Master!Y451="","",Master!Y451)</x:f>
        <x:v>No</x:v>
      </x:c>
      <x:c r="Y12" s="3" t="str">
        <x:f>IF(Master!Z451="","",Master!Z451)</x:f>
        <x:v>N/A/compatibility</x:v>
      </x:c>
      <x:c r="Z12" s="3" t="str">
        <x:f>IF(Master!AA451="","",Master!AA451)</x:f>
        <x:v>No verified</x:v>
      </x:c>
      <x:c r="AA12" s="6" t="str">
        <x:f>IF(Master!AB451="","",Master!AB451)</x:f>
        <x:v>No</x:v>
      </x:c>
      <x:c r="AB12" s="3" t="str">
        <x:f>IF(Master!AC451="","",Master!AC451)</x:f>
      </x:c>
      <x:c r="AC12" s="3" t="str">
        <x:f>IF(Master!AD451="","",Master!AD451)</x:f>
        <x:v>No</x:v>
      </x:c>
      <x:c r="AD12" s="3" t="str">
        <x:f>IF(Master!AE451="","",Master!AE451)</x:f>
        <x:v>No</x:v>
      </x:c>
      <x:c r="AE12" s="3" t="str">
        <x:f>IF(Master!AF451="","",Master!AF451)</x:f>
        <x:v>No</x:v>
      </x:c>
      <x:c r="AF12" s="8" t="str">
        <x:f>IF(Master!AG451="","",Master!AG451)</x:f>
        <x:v>No</x:v>
      </x:c>
    </x:row>
    <x:row r="13" ht="36" customHeight="1">
      <x:c r="A13" s="17" t="s">
        <x:v>706</x:v>
      </x:c>
      <x:c r="B13" s="3" t="str">
        <x:f>IF(Master!C452="","",Master!C452)</x:f>
        <x:v>N/A</x:v>
      </x:c>
      <x:c r="C13" s="3" t="str">
        <x:f>IF(Master!D452="","",Master!D452)</x:f>
        <x:v>Yes: newest 10,000 messages/channel for servers with 100 members or fewer</x:v>
      </x:c>
      <x:c r="D13" s="3" t="str">
        <x:f>IF(Master!E452="","",Master!E452)</x:f>
        <x:v>No</x:v>
      </x:c>
      <x:c r="E13" s="3" t="str">
        <x:f>IF(Master!F452="","",Master!F452)</x:f>
        <x:v>No</x:v>
      </x:c>
      <x:c r="F13" s="3" t="str">
        <x:f>IF(Master!G452="","",Master!G452)</x:f>
        <x:v>No</x:v>
      </x:c>
      <x:c r="G13" s="3" t="str">
        <x:f>IF(Master!H452="","",Master!H452)</x:f>
        <x:v>No</x:v>
      </x:c>
      <x:c r="H13" s="3" t="str">
        <x:f>IF(Master!I452="","",Master!I452)</x:f>
        <x:v>No</x:v>
      </x:c>
      <x:c r="I13" s="3" t="str">
        <x:f>IF(Master!J452="","",Master!J452)</x:f>
        <x:v>No</x:v>
      </x:c>
      <x:c r="J13" s="3" t="str">
        <x:f>IF(Master!K452="","",Master!K452)</x:f>
        <x:v>No</x:v>
      </x:c>
      <x:c r="K13" s="3" t="str">
        <x:f>IF(Master!L452="","",Master!L452)</x:f>
        <x:v>No dedicated Discord server importer documented</x:v>
      </x:c>
      <x:c r="L13" s="3" t="str">
        <x:f>IF(Master!M452="","",Master!M452)</x:f>
        <x:v>No</x:v>
      </x:c>
      <x:c r="M13" s="3" t="str">
        <x:f>IF(Master!N452="","",Master!N452)</x:f>
        <x:v>No</x:v>
      </x:c>
      <x:c r="N13" s="3" t="str">
        <x:f>IF(Master!O452="","",Master!O452)</x:f>
        <x:v>Possible with bridge/import tooling</x:v>
      </x:c>
      <x:c r="O13" s="3" t="str">
        <x:f>IF(Master!P452="","",Master!P452)</x:f>
        <x:v>No</x:v>
      </x:c>
      <x:c r="P13" s="3" t="str">
        <x:f>IF(Master!Q452="","",Master!Q452)</x:f>
      </x:c>
      <x:c r="Q13" s="3" t="str">
        <x:f>IF(Master!R452="","",Master!R452)</x:f>
        <x:v>No</x:v>
      </x:c>
      <x:c r="R13" s="3" t="str">
        <x:f>IF(Master!S452="","",Master!S452)</x:f>
        <x:v>No</x:v>
      </x:c>
      <x:c r="S13" s="3" t="str">
        <x:f>IF(Master!T452="","",Master!T452)</x:f>
        <x:v>No</x:v>
      </x:c>
      <x:c r="T13" s="3" t="str">
        <x:f>IF(Master!U452="","",Master!U452)</x:f>
        <x:v>No</x:v>
      </x:c>
      <x:c r="U13" s="3" t="str">
        <x:f>IF(Master!V452="","",Master!V452)</x:f>
        <x:v>No</x:v>
      </x:c>
      <x:c r="V13" s="3" t="str">
        <x:f>IF(Master!W452="","",Master!W452)</x:f>
        <x:v>No</x:v>
      </x:c>
      <x:c r="W13" s="3" t="str">
        <x:f>IF(Master!X452="","",Master!X452)</x:f>
      </x:c>
      <x:c r="X13" s="3" t="str">
        <x:f>IF(Master!Y452="","",Master!Y452)</x:f>
        <x:v>No</x:v>
      </x:c>
      <x:c r="Y13" s="3" t="str">
        <x:f>IF(Master!Z452="","",Master!Z452)</x:f>
        <x:v>No</x:v>
      </x:c>
      <x:c r="Z13" s="3" t="str">
        <x:f>IF(Master!AA452="","",Master!AA452)</x:f>
        <x:v>No</x:v>
      </x:c>
      <x:c r="AA13" s="6" t="str">
        <x:f>IF(Master!AB452="","",Master!AB452)</x:f>
        <x:v>No</x:v>
      </x:c>
      <x:c r="AB13" s="3" t="str">
        <x:f>IF(Master!AC452="","",Master!AC452)</x:f>
      </x:c>
      <x:c r="AC13" s="3" t="str">
        <x:f>IF(Master!AD452="","",Master!AD452)</x:f>
        <x:v>No</x:v>
      </x:c>
      <x:c r="AD13" s="3" t="str">
        <x:f>IF(Master!AE452="","",Master!AE452)</x:f>
        <x:v>No</x:v>
      </x:c>
      <x:c r="AE13" s="3" t="str">
        <x:f>IF(Master!AF452="","",Master!AF452)</x:f>
        <x:v>No</x:v>
      </x:c>
      <x:c r="AF13" s="8" t="str">
        <x:f>IF(Master!AG452="","",Master!AG452)</x:f>
        <x:v>No</x:v>
      </x:c>
    </x:row>
    <x:row r="14" ht="36" customHeight="1">
      <x:c r="A14" s="17" t="s">
        <x:v>707</x:v>
      </x:c>
      <x:c r="B14" s="3" t="str">
        <x:f>IF(Master!C453="","",Master!C453)</x:f>
        <x:v>N/A</x:v>
      </x:c>
      <x:c r="C14" s="3" t="str">
        <x:f>IF(Master!D453="","",Master!D453)</x:f>
      </x:c>
      <x:c r="D14" s="3" t="str">
        <x:f>IF(Master!E453="","",Master!E453)</x:f>
        <x:v>No</x:v>
      </x:c>
      <x:c r="E14" s="3" t="str">
        <x:f>IF(Master!F453="","",Master!F453)</x:f>
        <x:v>No</x:v>
      </x:c>
      <x:c r="F14" s="3" t="str">
        <x:f>IF(Master!G453="","",Master!G453)</x:f>
        <x:v>No</x:v>
      </x:c>
      <x:c r="G14" s="3" t="str">
        <x:f>IF(Master!H453="","",Master!H453)</x:f>
        <x:v>No</x:v>
      </x:c>
      <x:c r="H14" s="3" t="str">
        <x:f>IF(Master!I453="","",Master!I453)</x:f>
        <x:v>No</x:v>
      </x:c>
      <x:c r="I14" s="3" t="str">
        <x:f>IF(Master!J453="","",Master!J453)</x:f>
        <x:v>No</x:v>
      </x:c>
      <x:c r="J14" s="3" t="str">
        <x:f>IF(Master!K453="","",Master!K453)</x:f>
        <x:v>No</x:v>
      </x:c>
      <x:c r="K14" s="3" t="str">
        <x:f>IF(Master!L453="","",Master!L453)</x:f>
        <x:v>No dedicated Discord server importer documented</x:v>
      </x:c>
      <x:c r="L14" s="3" t="str">
        <x:f>IF(Master!M453="","",Master!M453)</x:f>
        <x:v>No</x:v>
      </x:c>
      <x:c r="M14" s="3" t="str">
        <x:f>IF(Master!N453="","",Master!N453)</x:f>
        <x:v>No</x:v>
      </x:c>
      <x:c r="N14" s="3" t="str">
        <x:f>IF(Master!O453="","",Master!O453)</x:f>
        <x:v>Possible with tooling</x:v>
      </x:c>
      <x:c r="O14" s="3" t="str">
        <x:f>IF(Master!P453="","",Master!P453)</x:f>
        <x:v>No</x:v>
      </x:c>
      <x:c r="P14" s="3" t="str">
        <x:f>IF(Master!Q453="","",Master!Q453)</x:f>
      </x:c>
      <x:c r="Q14" s="3" t="str">
        <x:f>IF(Master!R453="","",Master!R453)</x:f>
        <x:v>No</x:v>
      </x:c>
      <x:c r="R14" s="3" t="str">
        <x:f>IF(Master!S453="","",Master!S453)</x:f>
        <x:v>No</x:v>
      </x:c>
      <x:c r="S14" s="3" t="str">
        <x:f>IF(Master!T453="","",Master!T453)</x:f>
        <x:v>No</x:v>
      </x:c>
      <x:c r="T14" s="3" t="str">
        <x:f>IF(Master!U453="","",Master!U453)</x:f>
        <x:v>No</x:v>
      </x:c>
      <x:c r="U14" s="3" t="str">
        <x:f>IF(Master!V453="","",Master!V453)</x:f>
        <x:v>No</x:v>
      </x:c>
      <x:c r="V14" s="3" t="str">
        <x:f>IF(Master!W453="","",Master!W453)</x:f>
        <x:v>No</x:v>
      </x:c>
      <x:c r="W14" s="3" t="str">
        <x:f>IF(Master!X453="","",Master!X453)</x:f>
      </x:c>
      <x:c r="X14" s="3" t="str">
        <x:f>IF(Master!Y453="","",Master!Y453)</x:f>
        <x:v>No</x:v>
      </x:c>
      <x:c r="Y14" s="3" t="str">
        <x:f>IF(Master!Z453="","",Master!Z453)</x:f>
        <x:v>No</x:v>
      </x:c>
      <x:c r="Z14" s="3" t="str">
        <x:f>IF(Master!AA453="","",Master!AA453)</x:f>
        <x:v>No</x:v>
      </x:c>
      <x:c r="AA14" s="6" t="str">
        <x:f>IF(Master!AB453="","",Master!AB453)</x:f>
        <x:v>No</x:v>
      </x:c>
      <x:c r="AB14" s="3" t="str">
        <x:f>IF(Master!AC453="","",Master!AC453)</x:f>
      </x:c>
      <x:c r="AC14" s="3" t="str">
        <x:f>IF(Master!AD453="","",Master!AD453)</x:f>
        <x:v>No</x:v>
      </x:c>
      <x:c r="AD14" s="3" t="str">
        <x:f>IF(Master!AE453="","",Master!AE453)</x:f>
        <x:v>No</x:v>
      </x:c>
      <x:c r="AE14" s="3" t="str">
        <x:f>IF(Master!AF453="","",Master!AF453)</x:f>
        <x:v>No</x:v>
      </x:c>
      <x:c r="AF14" s="8" t="str">
        <x:f>IF(Master!AG453="","",Master!AG453)</x:f>
        <x:v>No</x:v>
      </x:c>
    </x:row>
    <x:row r="15" ht="36" customHeight="1">
      <x:c r="A15" s="17" t="s">
        <x:v>708</x:v>
      </x:c>
      <x:c r="B15" s="3" t="str">
        <x:f>IF(Master!C462="","",Master!C462)</x:f>
        <x:v>No</x:v>
      </x:c>
      <x:c r="C15" s="3" t="str">
        <x:f>IF(Master!D462="","",Master!D462)</x:f>
        <x:v>Yes: keypair identity</x:v>
      </x:c>
      <x:c r="D15" s="3" t="str">
        <x:f>IF(Master!E462="","",Master!E462)</x:f>
        <x:v>Yes</x:v>
      </x:c>
      <x:c r="E15" s="3" t="str">
        <x:f>IF(Master!F462="","",Master!F462)</x:f>
        <x:v>No</x:v>
      </x:c>
      <x:c r="F15" s="3" t="str">
        <x:f>IF(Master!G462="","",Master!G462)</x:f>
        <x:v>No</x:v>
      </x:c>
      <x:c r="G15" s="3" t="str">
        <x:f>IF(Master!H462="","",Master!H462)</x:f>
        <x:v>No</x:v>
      </x:c>
      <x:c r="H15" s="3" t="str">
        <x:f>IF(Master!I462="","",Master!I462)</x:f>
        <x:v>Limited</x:v>
      </x:c>
      <x:c r="I15" s="3" t="str">
        <x:f>IF(Master!J462="","",Master!J462)</x:f>
        <x:v>Planned</x:v>
      </x:c>
      <x:c r="J15" s="3" t="str">
        <x:f>IF(Master!K462="","",Master!K462)</x:f>
        <x:v>Yes: identity key portable</x:v>
      </x:c>
      <x:c r="K15" s="3" t="str">
        <x:f>IF(Master!L462="","",Master!L462)</x:f>
        <x:v>One home account accesses federated resources; no cross-home account switcher/migration workflow documented</x:v>
      </x:c>
      <x:c r="L15" s="3" t="str">
        <x:f>IF(Master!M462="","",Master!M462)</x:f>
        <x:v>No</x:v>
      </x:c>
      <x:c r="M15" s="3" t="str">
        <x:f>IF(Master!N462="","",Master!N462)</x:f>
      </x:c>
      <x:c r="N15" s="3" t="str">
        <x:f>IF(Master!O462="","",Master!O462)</x:f>
        <x:v>Partial: ID is homeserver-scoped; migration is not universally seamless</x:v>
      </x:c>
      <x:c r="O15" s="3" t="str">
        <x:f>IF(Master!P462="","",Master!P462)</x:f>
        <x:v>No</x:v>
      </x:c>
      <x:c r="P15" s="3" t="str">
        <x:f>IF(Master!Q462="","",Master!Q462)</x:f>
        <x:v>No</x:v>
      </x:c>
      <x:c r="Q15" s="3" t="str">
        <x:f>IF(Master!R462="","",Master!R462)</x:f>
        <x:v>Certificates/bookmarks manually portable</x:v>
      </x:c>
      <x:c r="R15" s="3" t="str">
        <x:f>IF(Master!S462="","",Master!S462)</x:f>
        <x:v>No</x:v>
      </x:c>
      <x:c r="S15" s="3" t="str">
        <x:f>IF(Master!T462="","",Master!T462)</x:f>
        <x:v>No</x:v>
      </x:c>
      <x:c r="T15" s="3" t="str">
        <x:f>IF(Master!U462="","",Master!U462)</x:f>
        <x:v>Export/self-host</x:v>
      </x:c>
      <x:c r="U15" s="3" t="str">
        <x:f>IF(Master!V462="","",Master!V462)</x:f>
        <x:v>No</x:v>
      </x:c>
      <x:c r="V15" s="3" t="str">
        <x:f>IF(Master!W462="","",Master!W462)</x:f>
        <x:v>Limited</x:v>
      </x:c>
      <x:c r="W15" s="3" t="str">
        <x:f>IF(Master!X462="","",Master!X462)</x:f>
        <x:v>ATProto identity</x:v>
      </x:c>
      <x:c r="X15" s="3" t="str">
        <x:f>IF(Master!Y462="","",Master!Y462)</x:f>
        <x:v>No</x:v>
      </x:c>
      <x:c r="Y15" s="3" t="str">
        <x:f>IF(Master!Z462="","",Master!Z462)</x:f>
        <x:v>No</x:v>
      </x:c>
      <x:c r="Z15" s="3" t="str">
        <x:f>IF(Master!AA462="","",Master!AA462)</x:f>
        <x:v>No</x:v>
      </x:c>
      <x:c r="AA15" s="6" t="str">
        <x:f>IF(Master!AB462="","",Master!AB462)</x:f>
        <x:v>Limited</x:v>
      </x:c>
      <x:c r="AB15" s="3" t="str">
        <x:f>IF(Master!AC462="","",Master!AC462)</x:f>
        <x:v>Community data/node migration</x:v>
      </x:c>
      <x:c r="AC15" s="3" t="str">
        <x:f>IF(Master!AD462="","",Master!AD462)</x:f>
        <x:v>Planned</x:v>
      </x:c>
      <x:c r="AD15" s="3" t="str">
        <x:f>IF(Master!AE462="","",Master!AE462)</x:f>
        <x:v>No</x:v>
      </x:c>
      <x:c r="AE15" s="3" t="str">
        <x:f>IF(Master!AF462="","",Master!AF462)</x:f>
        <x:v>Server/operator migration</x:v>
      </x:c>
      <x:c r="AF15" s="8" t="str">
        <x:f>IF(Master!AG462="","",Master!AG462)</x:f>
        <x:v>No cross-server account portability</x:v>
      </x:c>
    </x:row>
    <x:row r="16" ht="36" customHeight="1">
      <x:c r="A16" s="17" t="s">
        <x:v>709</x:v>
      </x:c>
      <x:c r="B16" s="3" t="str">
        <x:f>IF(Master!C446="","",Master!C446)</x:f>
        <x:v>N/A</x:v>
      </x:c>
      <x:c r="C16" s="3" t="str">
        <x:f>IF(Master!D446="","",Master!D446)</x:f>
      </x:c>
      <x:c r="D16" s="3" t="str">
        <x:f>IF(Master!E446="","",Master!E446)</x:f>
      </x:c>
      <x:c r="E16" s="3" t="str">
        <x:f>IF(Master!F446="","",Master!F446)</x:f>
      </x:c>
      <x:c r="F16" s="3" t="str">
        <x:f>IF(Master!G446="","",Master!G446)</x:f>
      </x:c>
      <x:c r="G16" s="3" t="str">
        <x:f>IF(Master!H446="","",Master!H446)</x:f>
      </x:c>
      <x:c r="H16" s="3" t="str">
        <x:f>IF(Master!I446="","",Master!I446)</x:f>
      </x:c>
      <x:c r="I16" s="3" t="str">
        <x:f>IF(Master!J446="","",Master!J446)</x:f>
      </x:c>
      <x:c r="J16" s="3" t="str">
        <x:f>IF(Master!K446="","",Master!K446)</x:f>
      </x:c>
      <x:c r="K16" s="3" t="str">
        <x:f>IF(Master!L446="","",Master!L446)</x:f>
        <x:v>No Discord webhook-format compatibility claim; Kaede has its own incoming webhook model</x:v>
      </x:c>
      <x:c r="L16" s="3" t="str">
        <x:f>IF(Master!M446="","",Master!M446)</x:f>
      </x:c>
      <x:c r="M16" s="3" t="str">
        <x:f>IF(Master!N446="","",Master!N446)</x:f>
      </x:c>
      <x:c r="N16" s="3" t="str">
        <x:f>IF(Master!O446="","",Master!O446)</x:f>
      </x:c>
      <x:c r="O16" s="3" t="str">
        <x:f>IF(Master!P446="","",Master!P446)</x:f>
      </x:c>
      <x:c r="P16" s="3" t="str">
        <x:f>IF(Master!Q446="","",Master!Q446)</x:f>
      </x:c>
      <x:c r="Q16" s="3" t="str">
        <x:f>IF(Master!R446="","",Master!R446)</x:f>
      </x:c>
      <x:c r="R16" s="3" t="str">
        <x:f>IF(Master!S446="","",Master!S446)</x:f>
      </x:c>
      <x:c r="S16" s="3" t="str">
        <x:f>IF(Master!T446="","",Master!T446)</x:f>
      </x:c>
      <x:c r="T16" s="3" t="str">
        <x:f>IF(Master!U446="","",Master!U446)</x:f>
        <x:v>Yes: Discord-compatible incoming webhooks</x:v>
      </x:c>
      <x:c r="U16" s="3" t="str">
        <x:f>IF(Master!V446="","",Master!V446)</x:f>
        <x:v>Yes: accepts Discord webhook format</x:v>
      </x:c>
      <x:c r="V16" s="3" t="str">
        <x:f>IF(Master!W446="","",Master!W446)</x:f>
      </x:c>
      <x:c r="W16" s="3" t="str">
        <x:f>IF(Master!X446="","",Master!X446)</x:f>
      </x:c>
      <x:c r="X16" s="3" t="str">
        <x:f>IF(Master!Y446="","",Master!Y446)</x:f>
      </x:c>
      <x:c r="Y16" s="3" t="str">
        <x:f>IF(Master!Z446="","",Master!Z446)</x:f>
      </x:c>
      <x:c r="Z16" s="3" t="str">
        <x:f>IF(Master!AA446="","",Master!AA446)</x:f>
      </x:c>
      <x:c r="AA16" s="6" t="str">
        <x:f>IF(Master!AB446="","",Master!AB446)</x:f>
      </x:c>
      <x:c r="AB16" s="3" t="str">
        <x:f>IF(Master!AC446="","",Master!AC446)</x:f>
      </x:c>
      <x:c r="AC16" s="3" t="str">
        <x:f>IF(Master!AD446="","",Master!AD446)</x:f>
      </x:c>
      <x:c r="AD16" s="3" t="str">
        <x:f>IF(Master!AE446="","",Master!AE446)</x:f>
      </x:c>
      <x:c r="AE16" s="3" t="str">
        <x:f>IF(Master!AF446="","",Master!AF446)</x:f>
      </x:c>
      <x:c r="AF16" s="8" t="str">
        <x:f>IF(Master!AG446="","",Master!AG446)</x:f>
      </x:c>
    </x:row>
  </x:sheetData>
  <x:mergeCells>
    <x:mergeCell ref="A1:A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Directory'!A1","Interop &amp; Portability Details"),"Interop &amp; Portability Details")</x:f>
        <x:v>Interop &amp; Portability Details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710</x:v>
      </x:c>
      <x:c r="B3" s="3" t="str">
        <x:f>IF(Master!C447="","",Master!C447)</x:f>
        <x:v>N/A</x:v>
      </x:c>
      <x:c r="C3" s="3" t="str">
        <x:f>IF(Master!D447="","",Master!D447)</x:f>
        <x:v>Yes: built-in Discord import wizard</x:v>
      </x:c>
      <x:c r="D3" s="3" t="str">
        <x:f>IF(Master!E447="","",Master!E447)</x:f>
        <x:v>No</x:v>
      </x:c>
      <x:c r="E3" s="3" t="str">
        <x:f>IF(Master!F447="","",Master!F447)</x:f>
        <x:v>No</x:v>
      </x:c>
      <x:c r="F3" s="3" t="str">
        <x:f>IF(Master!G447="","",Master!G447)</x:f>
        <x:v>Planned/advertised</x:v>
      </x:c>
      <x:c r="G3" s="3" t="str">
        <x:f>IF(Master!H447="","",Master!H447)</x:f>
        <x:v>No full importer verified</x:v>
      </x:c>
      <x:c r="H3" s="3" t="str">
        <x:f>IF(Master!I447="","",Master!I447)</x:f>
        <x:v>Yes</x:v>
      </x:c>
      <x:c r="I3" s="3" t="str">
        <x:f>IF(Master!J447="","",Master!J447)</x:f>
        <x:v>No</x:v>
      </x:c>
      <x:c r="J3" s="3" t="str">
        <x:f>IF(Master!K447="","",Master!K447)</x:f>
        <x:v>No</x:v>
      </x:c>
      <x:c r="K3" s="3" t="str">
        <x:f>IF(Master!L447="","",Master!L447)</x:f>
        <x:v>No dedicated Discord server importer documented</x:v>
      </x:c>
      <x:c r="L3" s="3" t="str">
        <x:f>IF(Master!M447="","",Master!M447)</x:f>
        <x:v>No</x:v>
      </x:c>
      <x:c r="M3" s="3" t="str">
        <x:f>IF(Master!N447="","",Master!N447)</x:f>
        <x:v>Yes</x:v>
      </x:c>
      <x:c r="N3" s="3" t="str">
        <x:f>IF(Master!O447="","",Master!O447)</x:f>
        <x:v>Third-party/tool-dependent</x:v>
      </x:c>
      <x:c r="O3" s="3" t="str">
        <x:f>IF(Master!P447="","",Master!P447)</x:f>
        <x:v>No</x:v>
      </x:c>
      <x:c r="P3" s="3" t="str">
        <x:f>IF(Master!Q447="","",Master!Q447)</x:f>
      </x:c>
      <x:c r="Q3" s="3" t="str">
        <x:f>IF(Master!R447="","",Master!R447)</x:f>
        <x:v>No</x:v>
      </x:c>
      <x:c r="R3" s="3" t="str">
        <x:f>IF(Master!S447="","",Master!S447)</x:f>
        <x:v>No</x:v>
      </x:c>
      <x:c r="S3" s="3" t="str">
        <x:f>IF(Master!T447="","",Master!T447)</x:f>
        <x:v>Template/import tools reported</x:v>
      </x:c>
      <x:c r="T3" s="3" t="str">
        <x:f>IF(Master!U447="","",Master!U447)</x:f>
        <x:v>Yes: paste a discord.new template; layout only</x:v>
      </x:c>
      <x:c r="U3" s="3" t="str">
        <x:f>IF(Master!V447="","",Master!V447)</x:f>
        <x:v>Yes: previewed structure import</x:v>
      </x:c>
      <x:c r="V3" s="3" t="str">
        <x:f>IF(Master!W447="","",Master!W447)</x:f>
        <x:v>No verified</x:v>
      </x:c>
      <x:c r="W3" s="3" t="str">
        <x:f>IF(Master!X447="","",Master!X447)</x:f>
        <x:v>Bridge-based rather than template importer</x:v>
      </x:c>
      <x:c r="X3" s="3" t="str">
        <x:f>IF(Master!Y447="","",Master!Y447)</x:f>
        <x:v>Yes</x:v>
      </x:c>
      <x:c r="Y3" s="3" t="str">
        <x:f>IF(Master!Z447="","",Master!Z447)</x:f>
        <x:v>No: API compatibility approach instead</x:v>
      </x:c>
      <x:c r="Z3" s="3" t="str">
        <x:f>IF(Master!AA447="","",Master!AA447)</x:f>
        <x:v>No verified</x:v>
      </x:c>
      <x:c r="AA3" s="6" t="str">
        <x:f>IF(Master!AB447="","",Master!AB447)</x:f>
        <x:v>No</x:v>
      </x:c>
      <x:c r="AB3" s="3" t="str">
        <x:f>IF(Master!AC447="","",Master!AC447)</x:f>
        <x:v>Yes</x:v>
      </x:c>
      <x:c r="AC3" s="3" t="str">
        <x:f>IF(Master!AD447="","",Master!AD447)</x:f>
        <x:v>No</x:v>
      </x:c>
      <x:c r="AD3" s="3" t="str">
        <x:f>IF(Master!AE447="","",Master!AE447)</x:f>
        <x:v>No</x:v>
      </x:c>
      <x:c r="AE3" s="3" t="str">
        <x:f>IF(Master!AF447="","",Master!AF447)</x:f>
        <x:v>No</x:v>
      </x:c>
      <x:c r="AF3" s="8" t="str">
        <x:f>IF(Master!AG447="","",Master!AG447)</x:f>
        <x:v>No</x:v>
      </x:c>
    </x:row>
    <x:row r="4" ht="36" customHeight="1">
      <x:c r="A4" s="17" t="s">
        <x:v>711</x:v>
      </x:c>
      <x:c r="B4" s="3" t="str">
        <x:f>IF(Master!C448="","",Master!C448)</x:f>
        <x:v>N/A</x:v>
      </x:c>
      <x:c r="C4" s="3" t="str">
        <x:f>IF(Master!D448="","",Master!D448)</x:f>
      </x:c>
      <x:c r="D4" s="3" t="str">
        <x:f>IF(Master!E448="","",Master!E448)</x:f>
        <x:v>No</x:v>
      </x:c>
      <x:c r="E4" s="3" t="str">
        <x:f>IF(Master!F448="","",Master!F448)</x:f>
        <x:v>No</x:v>
      </x:c>
      <x:c r="F4" s="3" t="str">
        <x:f>IF(Master!G448="","",Master!G448)</x:f>
        <x:v>Planned/advertised</x:v>
      </x:c>
      <x:c r="G4" s="3" t="str">
        <x:f>IF(Master!H448="","",Master!H448)</x:f>
        <x:v>No full importer verified</x:v>
      </x:c>
      <x:c r="H4" s="3" t="str">
        <x:f>IF(Master!I448="","",Master!I448)</x:f>
        <x:v>Yes</x:v>
      </x:c>
      <x:c r="I4" s="3" t="str">
        <x:f>IF(Master!J448="","",Master!J448)</x:f>
        <x:v>No</x:v>
      </x:c>
      <x:c r="J4" s="3" t="str">
        <x:f>IF(Master!K448="","",Master!K448)</x:f>
        <x:v>No</x:v>
      </x:c>
      <x:c r="K4" s="3" t="str">
        <x:f>IF(Master!L448="","",Master!L448)</x:f>
        <x:v>No dedicated Discord server importer documented</x:v>
      </x:c>
      <x:c r="L4" s="3" t="str">
        <x:f>IF(Master!M448="","",Master!M448)</x:f>
        <x:v>No</x:v>
      </x:c>
      <x:c r="M4" s="3" t="str">
        <x:f>IF(Master!N448="","",Master!N448)</x:f>
        <x:v>Yes</x:v>
      </x:c>
      <x:c r="N4" s="3" t="str">
        <x:f>IF(Master!O448="","",Master!O448)</x:f>
        <x:v>Tool-dependent</x:v>
      </x:c>
      <x:c r="O4" s="3" t="str">
        <x:f>IF(Master!P448="","",Master!P448)</x:f>
        <x:v>No</x:v>
      </x:c>
      <x:c r="P4" s="3" t="str">
        <x:f>IF(Master!Q448="","",Master!Q448)</x:f>
      </x:c>
      <x:c r="Q4" s="3" t="str">
        <x:f>IF(Master!R448="","",Master!R448)</x:f>
        <x:v>No</x:v>
      </x:c>
      <x:c r="R4" s="3" t="str">
        <x:f>IF(Master!S448="","",Master!S448)</x:f>
        <x:v>No</x:v>
      </x:c>
      <x:c r="S4" s="3" t="str">
        <x:f>IF(Master!T448="","",Master!T448)</x:f>
      </x:c>
      <x:c r="T4" s="3" t="str">
        <x:f>IF(Master!U448="","",Master!U448)</x:f>
        <x:v>Yes</x:v>
      </x:c>
      <x:c r="U4" s="3" t="str">
        <x:f>IF(Master!V448="","",Master!V448)</x:f>
        <x:v>Yes: via template structure import</x:v>
      </x:c>
      <x:c r="V4" s="3" t="str">
        <x:f>IF(Master!W448="","",Master!W448)</x:f>
        <x:v>No verified</x:v>
      </x:c>
      <x:c r="W4" s="3" t="str">
        <x:f>IF(Master!X448="","",Master!X448)</x:f>
      </x:c>
      <x:c r="X4" s="3" t="str">
        <x:f>IF(Master!Y448="","",Master!Y448)</x:f>
        <x:v>Yes</x:v>
      </x:c>
      <x:c r="Y4" s="3" t="str">
        <x:f>IF(Master!Z448="","",Master!Z448)</x:f>
        <x:v>N/A/compatibility</x:v>
      </x:c>
      <x:c r="Z4" s="3" t="str">
        <x:f>IF(Master!AA448="","",Master!AA448)</x:f>
        <x:v>No verified</x:v>
      </x:c>
      <x:c r="AA4" s="6" t="str">
        <x:f>IF(Master!AB448="","",Master!AB448)</x:f>
        <x:v>No</x:v>
      </x:c>
      <x:c r="AB4" s="3" t="str">
        <x:f>IF(Master!AC448="","",Master!AC448)</x:f>
      </x:c>
      <x:c r="AC4" s="3" t="str">
        <x:f>IF(Master!AD448="","",Master!AD448)</x:f>
        <x:v>No</x:v>
      </x:c>
      <x:c r="AD4" s="3" t="str">
        <x:f>IF(Master!AE448="","",Master!AE448)</x:f>
        <x:v>No</x:v>
      </x:c>
      <x:c r="AE4" s="3" t="str">
        <x:f>IF(Master!AF448="","",Master!AF448)</x:f>
        <x:v>No</x:v>
      </x:c>
      <x:c r="AF4" s="8" t="str">
        <x:f>IF(Master!AG448="","",Master!AG448)</x:f>
        <x:v>No</x:v>
      </x:c>
    </x:row>
    <x:row r="5" ht="36" customHeight="1">
      <x:c r="A5" s="17" t="s">
        <x:v>712</x:v>
      </x:c>
      <x:c r="B5" s="3" t="str">
        <x:f>IF(Master!C449="","",Master!C449)</x:f>
        <x:v>N/A</x:v>
      </x:c>
      <x:c r="C5" s="3" t="str">
        <x:f>IF(Master!D449="","",Master!D449)</x:f>
        <x:v>Yes: names, colors, hierarchy and mapped permissions</x:v>
      </x:c>
      <x:c r="D5" s="3" t="str">
        <x:f>IF(Master!E449="","",Master!E449)</x:f>
        <x:v>No</x:v>
      </x:c>
      <x:c r="E5" s="3" t="str">
        <x:f>IF(Master!F449="","",Master!F449)</x:f>
        <x:v>No</x:v>
      </x:c>
      <x:c r="F5" s="3" t="str">
        <x:f>IF(Master!G449="","",Master!G449)</x:f>
        <x:v>Planned/advertised</x:v>
      </x:c>
      <x:c r="G5" s="3" t="str">
        <x:f>IF(Master!H449="","",Master!H449)</x:f>
        <x:v>No full importer verified</x:v>
      </x:c>
      <x:c r="H5" s="3" t="str">
        <x:f>IF(Master!I449="","",Master!I449)</x:f>
        <x:v>Yes</x:v>
      </x:c>
      <x:c r="I5" s="3" t="str">
        <x:f>IF(Master!J449="","",Master!J449)</x:f>
        <x:v>No</x:v>
      </x:c>
      <x:c r="J5" s="3" t="str">
        <x:f>IF(Master!K449="","",Master!K449)</x:f>
        <x:v>No</x:v>
      </x:c>
      <x:c r="K5" s="3" t="str">
        <x:f>IF(Master!L449="","",Master!L449)</x:f>
        <x:v>No dedicated Discord server importer documented</x:v>
      </x:c>
      <x:c r="L5" s="3" t="str">
        <x:f>IF(Master!M449="","",Master!M449)</x:f>
        <x:v>No</x:v>
      </x:c>
      <x:c r="M5" s="3" t="str">
        <x:f>IF(Master!N449="","",Master!N449)</x:f>
        <x:v>Yes</x:v>
      </x:c>
      <x:c r="N5" s="3" t="str">
        <x:f>IF(Master!O449="","",Master!O449)</x:f>
        <x:v>Tool-dependent</x:v>
      </x:c>
      <x:c r="O5" s="3" t="str">
        <x:f>IF(Master!P449="","",Master!P449)</x:f>
        <x:v>No</x:v>
      </x:c>
      <x:c r="P5" s="3" t="str">
        <x:f>IF(Master!Q449="","",Master!Q449)</x:f>
      </x:c>
      <x:c r="Q5" s="3" t="str">
        <x:f>IF(Master!R449="","",Master!R449)</x:f>
        <x:v>No</x:v>
      </x:c>
      <x:c r="R5" s="3" t="str">
        <x:f>IF(Master!S449="","",Master!S449)</x:f>
        <x:v>No</x:v>
      </x:c>
      <x:c r="S5" s="3" t="str">
        <x:f>IF(Master!T449="","",Master!T449)</x:f>
      </x:c>
      <x:c r="T5" s="3" t="str">
        <x:f>IF(Master!U449="","",Master!U449)</x:f>
        <x:v>Yes: main roles/layout</x:v>
      </x:c>
      <x:c r="U5" s="3" t="str">
        <x:f>IF(Master!V449="","",Master!V449)</x:f>
        <x:v>Yes: roles, colors, order</x:v>
      </x:c>
      <x:c r="V5" s="3" t="str">
        <x:f>IF(Master!W449="","",Master!W449)</x:f>
        <x:v>No verified</x:v>
      </x:c>
      <x:c r="W5" s="3" t="str">
        <x:f>IF(Master!X449="","",Master!X449)</x:f>
      </x:c>
      <x:c r="X5" s="3" t="str">
        <x:f>IF(Master!Y449="","",Master!Y449)</x:f>
        <x:v>Yes</x:v>
      </x:c>
      <x:c r="Y5" s="3" t="str">
        <x:f>IF(Master!Z449="","",Master!Z449)</x:f>
        <x:v>N/A/compatibility</x:v>
      </x:c>
      <x:c r="Z5" s="3" t="str">
        <x:f>IF(Master!AA449="","",Master!AA449)</x:f>
        <x:v>No verified</x:v>
      </x:c>
      <x:c r="AA5" s="6" t="str">
        <x:f>IF(Master!AB449="","",Master!AB449)</x:f>
        <x:v>No</x:v>
      </x:c>
      <x:c r="AB5" s="3" t="str">
        <x:f>IF(Master!AC449="","",Master!AC449)</x:f>
      </x:c>
      <x:c r="AC5" s="3" t="str">
        <x:f>IF(Master!AD449="","",Master!AD449)</x:f>
        <x:v>No</x:v>
      </x:c>
      <x:c r="AD5" s="3" t="str">
        <x:f>IF(Master!AE449="","",Master!AE449)</x:f>
        <x:v>No</x:v>
      </x:c>
      <x:c r="AE5" s="3" t="str">
        <x:f>IF(Master!AF449="","",Master!AF449)</x:f>
        <x:v>No</x:v>
      </x:c>
      <x:c r="AF5" s="8" t="str">
        <x:f>IF(Master!AG449="","",Master!AG449)</x:f>
        <x:v>No</x:v>
      </x:c>
    </x:row>
    <x:row r="6" ht="36" customHeight="1">
      <x:c r="A6" s="17" t="s">
        <x:v>704</x:v>
      </x:c>
      <x:c r="B6" s="3" t="str">
        <x:f>IF(Master!C450="","",Master!C450)</x:f>
        <x:v>N/A</x:v>
      </x:c>
      <x:c r="C6" s="3" t="str">
        <x:f>IF(Master!D450="","",Master!D450)</x:f>
        <x:v>Partial: permissions are mapped where Armada has an equivalent; unsupported Discord-only permissions are dropped</x:v>
      </x:c>
      <x:c r="D6" s="3" t="str">
        <x:f>IF(Master!E450="","",Master!E450)</x:f>
        <x:v>No</x:v>
      </x:c>
      <x:c r="E6" s="3" t="str">
        <x:f>IF(Master!F450="","",Master!F450)</x:f>
        <x:v>No</x:v>
      </x:c>
      <x:c r="F6" s="3" t="str">
        <x:f>IF(Master!G450="","",Master!G450)</x:f>
        <x:v>Planned/advertised</x:v>
      </x:c>
      <x:c r="G6" s="3" t="str">
        <x:f>IF(Master!H450="","",Master!H450)</x:f>
        <x:v>No full importer verified</x:v>
      </x:c>
      <x:c r="H6" s="3" t="str">
        <x:f>IF(Master!I450="","",Master!I450)</x:f>
        <x:v>Yes</x:v>
      </x:c>
      <x:c r="I6" s="3" t="str">
        <x:f>IF(Master!J450="","",Master!J450)</x:f>
        <x:v>No</x:v>
      </x:c>
      <x:c r="J6" s="3" t="str">
        <x:f>IF(Master!K450="","",Master!K450)</x:f>
        <x:v>No</x:v>
      </x:c>
      <x:c r="K6" s="3" t="str">
        <x:f>IF(Master!L450="","",Master!L450)</x:f>
        <x:v>No dedicated Discord server importer documented</x:v>
      </x:c>
      <x:c r="L6" s="3" t="str">
        <x:f>IF(Master!M450="","",Master!M450)</x:f>
        <x:v>No</x:v>
      </x:c>
      <x:c r="M6" s="3" t="str">
        <x:f>IF(Master!N450="","",Master!N450)</x:f>
        <x:v>Yes</x:v>
      </x:c>
      <x:c r="N6" s="3" t="str">
        <x:f>IF(Master!O450="","",Master!O450)</x:f>
        <x:v>Tool-dependent</x:v>
      </x:c>
      <x:c r="O6" s="3" t="str">
        <x:f>IF(Master!P450="","",Master!P450)</x:f>
        <x:v>No</x:v>
      </x:c>
      <x:c r="P6" s="3" t="str">
        <x:f>IF(Master!Q450="","",Master!Q450)</x:f>
      </x:c>
      <x:c r="Q6" s="3" t="str">
        <x:f>IF(Master!R450="","",Master!R450)</x:f>
        <x:v>No</x:v>
      </x:c>
      <x:c r="R6" s="3" t="str">
        <x:f>IF(Master!S450="","",Master!S450)</x:f>
        <x:v>No</x:v>
      </x:c>
      <x:c r="S6" s="3" t="str">
        <x:f>IF(Master!T450="","",Master!T450)</x:f>
      </x:c>
      <x:c r="T6" s="3" t="str">
        <x:f>IF(Master!U450="","",Master!U450)</x:f>
        <x:v>Yes: main permissions</x:v>
      </x:c>
      <x:c r="U6" s="3" t="str">
        <x:f>IF(Master!V450="","",Master!V450)</x:f>
        <x:v>Yes: rules with Rift equivalents</x:v>
      </x:c>
      <x:c r="V6" s="3" t="str">
        <x:f>IF(Master!W450="","",Master!W450)</x:f>
        <x:v>No verified</x:v>
      </x:c>
      <x:c r="W6" s="3" t="str">
        <x:f>IF(Master!X450="","",Master!X450)</x:f>
      </x:c>
      <x:c r="X6" s="3" t="str">
        <x:f>IF(Master!Y450="","",Master!Y450)</x:f>
        <x:v>Yes</x:v>
      </x:c>
      <x:c r="Y6" s="3" t="str">
        <x:f>IF(Master!Z450="","",Master!Z450)</x:f>
        <x:v>N/A/compatibility</x:v>
      </x:c>
      <x:c r="Z6" s="3" t="str">
        <x:f>IF(Master!AA450="","",Master!AA450)</x:f>
        <x:v>No verified</x:v>
      </x:c>
      <x:c r="AA6" s="6" t="str">
        <x:f>IF(Master!AB450="","",Master!AB450)</x:f>
        <x:v>No</x:v>
      </x:c>
      <x:c r="AB6" s="3" t="str">
        <x:f>IF(Master!AC450="","",Master!AC450)</x:f>
      </x:c>
      <x:c r="AC6" s="3" t="str">
        <x:f>IF(Master!AD450="","",Master!AD450)</x:f>
        <x:v>No</x:v>
      </x:c>
      <x:c r="AD6" s="3" t="str">
        <x:f>IF(Master!AE450="","",Master!AE450)</x:f>
        <x:v>No</x:v>
      </x:c>
      <x:c r="AE6" s="3" t="str">
        <x:f>IF(Master!AF450="","",Master!AF450)</x:f>
        <x:v>No</x:v>
      </x:c>
      <x:c r="AF6" s="8" t="str">
        <x:f>IF(Master!AG450="","",Master!AG450)</x:f>
        <x:v>No</x:v>
      </x:c>
    </x:row>
    <x:row r="7" ht="36" customHeight="1">
      <x:c r="A7" s="17" t="s">
        <x:v>705</x:v>
      </x:c>
      <x:c r="B7" s="3" t="str">
        <x:f>IF(Master!C451="","",Master!C451)</x:f>
        <x:v>N/A</x:v>
      </x:c>
      <x:c r="C7" s="3" t="str">
        <x:f>IF(Master!D451="","",Master!D451)</x:f>
      </x:c>
      <x:c r="D7" s="3" t="str">
        <x:f>IF(Master!E451="","",Master!E451)</x:f>
        <x:v>No</x:v>
      </x:c>
      <x:c r="E7" s="3" t="str">
        <x:f>IF(Master!F451="","",Master!F451)</x:f>
        <x:v>No</x:v>
      </x:c>
      <x:c r="F7" s="3" t="str">
        <x:f>IF(Master!G451="","",Master!G451)</x:f>
      </x:c>
      <x:c r="G7" s="3" t="str">
        <x:f>IF(Master!H451="","",Master!H451)</x:f>
        <x:v>No</x:v>
      </x:c>
      <x:c r="H7" s="3" t="str">
        <x:f>IF(Master!I451="","",Master!I451)</x:f>
        <x:v>Yes</x:v>
      </x:c>
      <x:c r="I7" s="3" t="str">
        <x:f>IF(Master!J451="","",Master!J451)</x:f>
        <x:v>No</x:v>
      </x:c>
      <x:c r="J7" s="3" t="str">
        <x:f>IF(Master!K451="","",Master!K451)</x:f>
        <x:v>No</x:v>
      </x:c>
      <x:c r="K7" s="3" t="str">
        <x:f>IF(Master!L451="","",Master!L451)</x:f>
        <x:v>No dedicated Discord server importer documented</x:v>
      </x:c>
      <x:c r="L7" s="3" t="str">
        <x:f>IF(Master!M451="","",Master!M451)</x:f>
        <x:v>No</x:v>
      </x:c>
      <x:c r="M7" s="3" t="str">
        <x:f>IF(Master!N451="","",Master!N451)</x:f>
        <x:v>Yes</x:v>
      </x:c>
      <x:c r="N7" s="3" t="str">
        <x:f>IF(Master!O451="","",Master!O451)</x:f>
        <x:v>Tool-dependent</x:v>
      </x:c>
      <x:c r="O7" s="3" t="str">
        <x:f>IF(Master!P451="","",Master!P451)</x:f>
        <x:v>No</x:v>
      </x:c>
      <x:c r="P7" s="3" t="str">
        <x:f>IF(Master!Q451="","",Master!Q451)</x:f>
      </x:c>
      <x:c r="Q7" s="3" t="str">
        <x:f>IF(Master!R451="","",Master!R451)</x:f>
        <x:v>No</x:v>
      </x:c>
      <x:c r="R7" s="3" t="str">
        <x:f>IF(Master!S451="","",Master!S451)</x:f>
        <x:v>No</x:v>
      </x:c>
      <x:c r="S7" s="3" t="str">
        <x:f>IF(Master!T451="","",Master!T451)</x:f>
      </x:c>
      <x:c r="T7" s="3" t="str">
        <x:f>IF(Master!U451="","",Master!U451)</x:f>
      </x:c>
      <x:c r="U7" s="3" t="str">
        <x:f>IF(Master!V451="","",Master!V451)</x:f>
        <x:v>No / not documented</x:v>
      </x:c>
      <x:c r="V7" s="3" t="str">
        <x:f>IF(Master!W451="","",Master!W451)</x:f>
        <x:v>No</x:v>
      </x:c>
      <x:c r="W7" s="3" t="str">
        <x:f>IF(Master!X451="","",Master!X451)</x:f>
      </x:c>
      <x:c r="X7" s="3" t="str">
        <x:f>IF(Master!Y451="","",Master!Y451)</x:f>
        <x:v>No</x:v>
      </x:c>
      <x:c r="Y7" s="3" t="str">
        <x:f>IF(Master!Z451="","",Master!Z451)</x:f>
        <x:v>N/A/compatibility</x:v>
      </x:c>
      <x:c r="Z7" s="3" t="str">
        <x:f>IF(Master!AA451="","",Master!AA451)</x:f>
        <x:v>No verified</x:v>
      </x:c>
      <x:c r="AA7" s="6" t="str">
        <x:f>IF(Master!AB451="","",Master!AB451)</x:f>
        <x:v>No</x:v>
      </x:c>
      <x:c r="AB7" s="3" t="str">
        <x:f>IF(Master!AC451="","",Master!AC451)</x:f>
      </x:c>
      <x:c r="AC7" s="3" t="str">
        <x:f>IF(Master!AD451="","",Master!AD451)</x:f>
        <x:v>No</x:v>
      </x:c>
      <x:c r="AD7" s="3" t="str">
        <x:f>IF(Master!AE451="","",Master!AE451)</x:f>
        <x:v>No</x:v>
      </x:c>
      <x:c r="AE7" s="3" t="str">
        <x:f>IF(Master!AF451="","",Master!AF451)</x:f>
        <x:v>No</x:v>
      </x:c>
      <x:c r="AF7" s="8" t="str">
        <x:f>IF(Master!AG451="","",Master!AG451)</x:f>
        <x:v>No</x:v>
      </x:c>
    </x:row>
    <x:row r="8" ht="36" customHeight="1">
      <x:c r="A8" s="17" t="s">
        <x:v>706</x:v>
      </x:c>
      <x:c r="B8" s="3" t="str">
        <x:f>IF(Master!C452="","",Master!C452)</x:f>
        <x:v>N/A</x:v>
      </x:c>
      <x:c r="C8" s="3" t="str">
        <x:f>IF(Master!D452="","",Master!D452)</x:f>
        <x:v>Yes: newest 10,000 messages/channel for servers with 100 members or fewer</x:v>
      </x:c>
      <x:c r="D8" s="3" t="str">
        <x:f>IF(Master!E452="","",Master!E452)</x:f>
        <x:v>No</x:v>
      </x:c>
      <x:c r="E8" s="3" t="str">
        <x:f>IF(Master!F452="","",Master!F452)</x:f>
        <x:v>No</x:v>
      </x:c>
      <x:c r="F8" s="3" t="str">
        <x:f>IF(Master!G452="","",Master!G452)</x:f>
        <x:v>No</x:v>
      </x:c>
      <x:c r="G8" s="3" t="str">
        <x:f>IF(Master!H452="","",Master!H452)</x:f>
        <x:v>No</x:v>
      </x:c>
      <x:c r="H8" s="3" t="str">
        <x:f>IF(Master!I452="","",Master!I452)</x:f>
        <x:v>No</x:v>
      </x:c>
      <x:c r="I8" s="3" t="str">
        <x:f>IF(Master!J452="","",Master!J452)</x:f>
        <x:v>No</x:v>
      </x:c>
      <x:c r="J8" s="3" t="str">
        <x:f>IF(Master!K452="","",Master!K452)</x:f>
        <x:v>No</x:v>
      </x:c>
      <x:c r="K8" s="3" t="str">
        <x:f>IF(Master!L452="","",Master!L452)</x:f>
        <x:v>No dedicated Discord server importer documented</x:v>
      </x:c>
      <x:c r="L8" s="3" t="str">
        <x:f>IF(Master!M452="","",Master!M452)</x:f>
        <x:v>No</x:v>
      </x:c>
      <x:c r="M8" s="3" t="str">
        <x:f>IF(Master!N452="","",Master!N452)</x:f>
        <x:v>No</x:v>
      </x:c>
      <x:c r="N8" s="3" t="str">
        <x:f>IF(Master!O452="","",Master!O452)</x:f>
        <x:v>Possible with bridge/import tooling</x:v>
      </x:c>
      <x:c r="O8" s="3" t="str">
        <x:f>IF(Master!P452="","",Master!P452)</x:f>
        <x:v>No</x:v>
      </x:c>
      <x:c r="P8" s="3" t="str">
        <x:f>IF(Master!Q452="","",Master!Q452)</x:f>
      </x:c>
      <x:c r="Q8" s="3" t="str">
        <x:f>IF(Master!R452="","",Master!R452)</x:f>
        <x:v>No</x:v>
      </x:c>
      <x:c r="R8" s="3" t="str">
        <x:f>IF(Master!S452="","",Master!S452)</x:f>
        <x:v>No</x:v>
      </x:c>
      <x:c r="S8" s="3" t="str">
        <x:f>IF(Master!T452="","",Master!T452)</x:f>
        <x:v>No</x:v>
      </x:c>
      <x:c r="T8" s="3" t="str">
        <x:f>IF(Master!U452="","",Master!U452)</x:f>
        <x:v>No</x:v>
      </x:c>
      <x:c r="U8" s="3" t="str">
        <x:f>IF(Master!V452="","",Master!V452)</x:f>
        <x:v>No</x:v>
      </x:c>
      <x:c r="V8" s="3" t="str">
        <x:f>IF(Master!W452="","",Master!W452)</x:f>
        <x:v>No</x:v>
      </x:c>
      <x:c r="W8" s="3" t="str">
        <x:f>IF(Master!X452="","",Master!X452)</x:f>
      </x:c>
      <x:c r="X8" s="3" t="str">
        <x:f>IF(Master!Y452="","",Master!Y452)</x:f>
        <x:v>No</x:v>
      </x:c>
      <x:c r="Y8" s="3" t="str">
        <x:f>IF(Master!Z452="","",Master!Z452)</x:f>
        <x:v>No</x:v>
      </x:c>
      <x:c r="Z8" s="3" t="str">
        <x:f>IF(Master!AA452="","",Master!AA452)</x:f>
        <x:v>No</x:v>
      </x:c>
      <x:c r="AA8" s="6" t="str">
        <x:f>IF(Master!AB452="","",Master!AB452)</x:f>
        <x:v>No</x:v>
      </x:c>
      <x:c r="AB8" s="3" t="str">
        <x:f>IF(Master!AC452="","",Master!AC452)</x:f>
      </x:c>
      <x:c r="AC8" s="3" t="str">
        <x:f>IF(Master!AD452="","",Master!AD452)</x:f>
        <x:v>No</x:v>
      </x:c>
      <x:c r="AD8" s="3" t="str">
        <x:f>IF(Master!AE452="","",Master!AE452)</x:f>
        <x:v>No</x:v>
      </x:c>
      <x:c r="AE8" s="3" t="str">
        <x:f>IF(Master!AF452="","",Master!AF452)</x:f>
        <x:v>No</x:v>
      </x:c>
      <x:c r="AF8" s="8" t="str">
        <x:f>IF(Master!AG452="","",Master!AG452)</x:f>
        <x:v>No</x:v>
      </x:c>
    </x:row>
    <x:row r="9" ht="36" customHeight="1">
      <x:c r="A9" s="17" t="s">
        <x:v>707</x:v>
      </x:c>
      <x:c r="B9" s="3" t="str">
        <x:f>IF(Master!C453="","",Master!C453)</x:f>
        <x:v>N/A</x:v>
      </x:c>
      <x:c r="C9" s="3" t="str">
        <x:f>IF(Master!D453="","",Master!D453)</x:f>
      </x:c>
      <x:c r="D9" s="3" t="str">
        <x:f>IF(Master!E453="","",Master!E453)</x:f>
        <x:v>No</x:v>
      </x:c>
      <x:c r="E9" s="3" t="str">
        <x:f>IF(Master!F453="","",Master!F453)</x:f>
        <x:v>No</x:v>
      </x:c>
      <x:c r="F9" s="3" t="str">
        <x:f>IF(Master!G453="","",Master!G453)</x:f>
        <x:v>No</x:v>
      </x:c>
      <x:c r="G9" s="3" t="str">
        <x:f>IF(Master!H453="","",Master!H453)</x:f>
        <x:v>No</x:v>
      </x:c>
      <x:c r="H9" s="3" t="str">
        <x:f>IF(Master!I453="","",Master!I453)</x:f>
        <x:v>No</x:v>
      </x:c>
      <x:c r="I9" s="3" t="str">
        <x:f>IF(Master!J453="","",Master!J453)</x:f>
        <x:v>No</x:v>
      </x:c>
      <x:c r="J9" s="3" t="str">
        <x:f>IF(Master!K453="","",Master!K453)</x:f>
        <x:v>No</x:v>
      </x:c>
      <x:c r="K9" s="3" t="str">
        <x:f>IF(Master!L453="","",Master!L453)</x:f>
        <x:v>No dedicated Discord server importer documented</x:v>
      </x:c>
      <x:c r="L9" s="3" t="str">
        <x:f>IF(Master!M453="","",Master!M453)</x:f>
        <x:v>No</x:v>
      </x:c>
      <x:c r="M9" s="3" t="str">
        <x:f>IF(Master!N453="","",Master!N453)</x:f>
        <x:v>No</x:v>
      </x:c>
      <x:c r="N9" s="3" t="str">
        <x:f>IF(Master!O453="","",Master!O453)</x:f>
        <x:v>Possible with tooling</x:v>
      </x:c>
      <x:c r="O9" s="3" t="str">
        <x:f>IF(Master!P453="","",Master!P453)</x:f>
        <x:v>No</x:v>
      </x:c>
      <x:c r="P9" s="3" t="str">
        <x:f>IF(Master!Q453="","",Master!Q453)</x:f>
      </x:c>
      <x:c r="Q9" s="3" t="str">
        <x:f>IF(Master!R453="","",Master!R453)</x:f>
        <x:v>No</x:v>
      </x:c>
      <x:c r="R9" s="3" t="str">
        <x:f>IF(Master!S453="","",Master!S453)</x:f>
        <x:v>No</x:v>
      </x:c>
      <x:c r="S9" s="3" t="str">
        <x:f>IF(Master!T453="","",Master!T453)</x:f>
        <x:v>No</x:v>
      </x:c>
      <x:c r="T9" s="3" t="str">
        <x:f>IF(Master!U453="","",Master!U453)</x:f>
        <x:v>No</x:v>
      </x:c>
      <x:c r="U9" s="3" t="str">
        <x:f>IF(Master!V453="","",Master!V453)</x:f>
        <x:v>No</x:v>
      </x:c>
      <x:c r="V9" s="3" t="str">
        <x:f>IF(Master!W453="","",Master!W453)</x:f>
        <x:v>No</x:v>
      </x:c>
      <x:c r="W9" s="3" t="str">
        <x:f>IF(Master!X453="","",Master!X453)</x:f>
      </x:c>
      <x:c r="X9" s="3" t="str">
        <x:f>IF(Master!Y453="","",Master!Y453)</x:f>
        <x:v>No</x:v>
      </x:c>
      <x:c r="Y9" s="3" t="str">
        <x:f>IF(Master!Z453="","",Master!Z453)</x:f>
        <x:v>No</x:v>
      </x:c>
      <x:c r="Z9" s="3" t="str">
        <x:f>IF(Master!AA453="","",Master!AA453)</x:f>
        <x:v>No</x:v>
      </x:c>
      <x:c r="AA9" s="6" t="str">
        <x:f>IF(Master!AB453="","",Master!AB453)</x:f>
        <x:v>No</x:v>
      </x:c>
      <x:c r="AB9" s="3" t="str">
        <x:f>IF(Master!AC453="","",Master!AC453)</x:f>
      </x:c>
      <x:c r="AC9" s="3" t="str">
        <x:f>IF(Master!AD453="","",Master!AD453)</x:f>
        <x:v>No</x:v>
      </x:c>
      <x:c r="AD9" s="3" t="str">
        <x:f>IF(Master!AE453="","",Master!AE453)</x:f>
        <x:v>No</x:v>
      </x:c>
      <x:c r="AE9" s="3" t="str">
        <x:f>IF(Master!AF453="","",Master!AF453)</x:f>
        <x:v>No</x:v>
      </x:c>
      <x:c r="AF9" s="8" t="str">
        <x:f>IF(Master!AG453="","",Master!AG453)</x:f>
        <x:v>No</x:v>
      </x:c>
    </x:row>
    <x:row r="10" ht="36" customHeight="1">
      <x:c r="A10" s="17" t="s">
        <x:v>713</x:v>
      </x:c>
      <x:c r="B10" s="3" t="str">
        <x:f>IF(Master!C454="","",Master!C454)</x:f>
        <x:v>Yes</x:v>
      </x:c>
      <x:c r="C10" s="3" t="str">
        <x:f>IF(Master!D454="","",Master!D454)</x:f>
        <x:v>Nostr events/keys are portable</x:v>
      </x:c>
      <x:c r="D10" s="3" t="str">
        <x:f>IF(Master!E454="","",Master!E454)</x:f>
        <x:v>Yes: account export/import</x:v>
      </x:c>
      <x:c r="E10" s="3" t="str">
        <x:f>IF(Master!F454="","",Master!F454)</x:f>
      </x:c>
      <x:c r="F10" s="3" t="str">
        <x:f>IF(Master!G454="","",Master!G454)</x:f>
      </x:c>
      <x:c r="G10" s="3" t="str">
        <x:f>IF(Master!H454="","",Master!H454)</x:f>
        <x:v>Yes</x:v>
      </x:c>
      <x:c r="H10" s="3" t="str">
        <x:f>IF(Master!I454="","",Master!I454)</x:f>
      </x:c>
      <x:c r="I10" s="3" t="str">
        <x:f>IF(Master!J454="","",Master!J454)</x:f>
        <x:v>Operator-defined</x:v>
      </x:c>
      <x:c r="J10" s="3" t="str">
        <x:f>IF(Master!K454="","",Master!K454)</x:f>
        <x:v>Yes: local archive export/import</x:v>
      </x:c>
      <x:c r="K10" s="3" t="str">
        <x:f>IF(Master!L454="","",Master!L454)</x:f>
        <x:v>No full account/chat export workflow documented</x:v>
      </x:c>
      <x:c r="L10" s="3" t="str">
        <x:f>IF(Master!M454="","",Master!M454)</x:f>
      </x:c>
      <x:c r="M10" s="3" t="str">
        <x:f>IF(Master!N454="","",Master!N454)</x:f>
        <x:v>Export coming soon</x:v>
      </x:c>
      <x:c r="N10" s="3" t="str">
        <x:f>IF(Master!O454="","",Master!O454)</x:f>
        <x:v>Client/homeserver-dependent</x:v>
      </x:c>
      <x:c r="O10" s="3" t="str">
        <x:f>IF(Master!P454="","",Master!P454)</x:f>
        <x:v>Yes: admin/bulk export</x:v>
      </x:c>
      <x:c r="P10" s="3" t="str">
        <x:f>IF(Master!Q454="","",Master!Q454)</x:f>
      </x:c>
      <x:c r="Q10" s="3" t="str">
        <x:f>IF(Master!R454="","",Master!R454)</x:f>
        <x:v>Server logs/config only</x:v>
      </x:c>
      <x:c r="R10" s="3" t="str">
        <x:f>IF(Master!S454="","",Master!S454)</x:f>
      </x:c>
      <x:c r="S10" s="3" t="str">
        <x:f>IF(Master!T454="","",Master!T454)</x:f>
      </x:c>
      <x:c r="T10" s="3" t="str">
        <x:f>IF(Master!U454="","",Master!U454)</x:f>
        <x:v>Yes</x:v>
      </x:c>
      <x:c r="U10" s="3" t="str">
        <x:f>IF(Master!V454="","",Master!V454)</x:f>
        <x:v>Yes - Account Data Export</x:v>
      </x:c>
      <x:c r="V10" s="3" t="str">
        <x:f>IF(Master!W454="","",Master!W454)</x:f>
        <x:v>Yes/admin tools</x:v>
      </x:c>
      <x:c r="W10" s="3" t="str">
        <x:f>IF(Master!X454="","",Master!X454)</x:f>
        <x:v>ATProto data portability</x:v>
      </x:c>
      <x:c r="X10" s="3" t="str">
        <x:f>IF(Master!Y454="","",Master!Y454)</x:f>
      </x:c>
      <x:c r="Y10" s="3" t="str">
        <x:f>IF(Master!Z454="","",Master!Z454)</x:f>
      </x:c>
      <x:c r="Z10" s="3" t="str">
        <x:f>IF(Master!AA454="","",Master!AA454)</x:f>
      </x:c>
      <x:c r="AA10" s="6" t="str">
        <x:f>IF(Master!AB454="","",Master!AB454)</x:f>
      </x:c>
      <x:c r="AB10" s="3" t="str">
        <x:f>IF(Master!AC454="","",Master!AC454)</x:f>
      </x:c>
      <x:c r="AC10" s="3" t="str">
        <x:f>IF(Master!AD454="","",Master!AD454)</x:f>
      </x:c>
      <x:c r="AD10" s="3" t="str">
        <x:f>IF(Master!AE454="","",Master!AE454)</x:f>
      </x:c>
      <x:c r="AE10" s="3" t="str">
        <x:f>IF(Master!AF454="","",Master!AF454)</x:f>
        <x:v>Operator-controlled</x:v>
      </x:c>
      <x:c r="AF10" s="8" t="str">
        <x:f>IF(Master!AG454="","",Master!AG454)</x:f>
        <x:v>Yes</x:v>
      </x:c>
    </x:row>
    <x:row r="11" ht="36" customHeight="1">
      <x:c r="A11" s="17" t="s">
        <x:v>714</x:v>
      </x:c>
      <x:c r="B11" s="3" t="str">
        <x:f>IF(Master!C455="","",Master!C455)</x:f>
        <x:v>ZIP / JSON-heavy Data Package</x:v>
      </x:c>
      <x:c r="C11" s="3" t="str">
        <x:f>IF(Master!D455="","",Master!D455)</x:f>
        <x:v>Nostr events</x:v>
      </x:c>
      <x:c r="D11" s="3" t="str">
        <x:f>IF(Master!E455="","",Master!E455)</x:f>
        <x:v>DCTS export</x:v>
      </x:c>
      <x:c r="E11" s="3" t="str">
        <x:f>IF(Master!F455="","",Master!F455)</x:f>
      </x:c>
      <x:c r="F11" s="3" t="str">
        <x:f>IF(Master!G455="","",Master!G455)</x:f>
      </x:c>
      <x:c r="G11" s="3" t="str">
        <x:f>IF(Master!H455="","",Master!H455)</x:f>
      </x:c>
      <x:c r="H11" s="3" t="str">
        <x:f>IF(Master!I455="","",Master!I455)</x:f>
      </x:c>
      <x:c r="I11" s="3" t="str">
        <x:f>IF(Master!J455="","",Master!J455)</x:f>
      </x:c>
      <x:c r="J11" s="3" t="str">
        <x:f>IF(Master!K455="","",Master!K455)</x:f>
        <x:v>Encrypted .hollow/local formats</x:v>
      </x:c>
      <x:c r="K11" s="3" t="str">
        <x:f>IF(Master!L455="","",Master!L455)</x:f>
        <x:v>No full account/chat export workflow documented</x:v>
      </x:c>
      <x:c r="L11" s="3" t="str">
        <x:f>IF(Master!M455="","",Master!M455)</x:f>
      </x:c>
      <x:c r="M11" s="3" t="str">
        <x:f>IF(Master!N455="","",Master!N455)</x:f>
      </x:c>
      <x:c r="N11" s="3" t="str">
        <x:f>IF(Master!O455="","",Master!O455)</x:f>
        <x:v>Client/provider-dependent</x:v>
      </x:c>
      <x:c r="O11" s="3" t="str">
        <x:f>IF(Master!P455="","",Master!P455)</x:f>
        <x:v>Bulk/export formats</x:v>
      </x:c>
      <x:c r="P11" s="3" t="str">
        <x:f>IF(Master!Q455="","",Master!Q455)</x:f>
      </x:c>
      <x:c r="Q11" s="3" t="str">
        <x:f>IF(Master!R455="","",Master!R455)</x:f>
        <x:v>N/A</x:v>
      </x:c>
      <x:c r="R11" s="3" t="str">
        <x:f>IF(Master!S455="","",Master!S455)</x:f>
      </x:c>
      <x:c r="S11" s="3" t="str">
        <x:f>IF(Master!T455="","",Master!T455)</x:f>
      </x:c>
      <x:c r="T11" s="3" t="str">
        <x:f>IF(Master!U455="","",Master!U455)</x:f>
        <x:v>Not publicly specified in the response</x:v>
      </x:c>
      <x:c r="U11" s="3" t="str">
        <x:f>IF(Master!V455="","",Master!V455)</x:f>
        <x:v>.json</x:v>
      </x:c>
      <x:c r="V11" s="3" t="str">
        <x:f>IF(Master!W455="","",Master!W455)</x:f>
        <x:v>Export/backup deployment-dependent</x:v>
      </x:c>
      <x:c r="W11" s="3" t="str">
        <x:f>IF(Master!X455="","",Master!X455)</x:f>
        <x:v>ATProto records</x:v>
      </x:c>
      <x:c r="X11" s="3" t="str">
        <x:f>IF(Master!Y455="","",Master!Y455)</x:f>
      </x:c>
      <x:c r="Y11" s="3" t="str">
        <x:f>IF(Master!Z455="","",Master!Z455)</x:f>
      </x:c>
      <x:c r="Z11" s="3" t="str">
        <x:f>IF(Master!AA455="","",Master!AA455)</x:f>
      </x:c>
      <x:c r="AA11" s="6" t="str">
        <x:f>IF(Master!AB455="","",Master!AB455)</x:f>
      </x:c>
      <x:c r="AB11" s="3" t="str">
        <x:f>IF(Master!AC455="","",Master!AC455)</x:f>
      </x:c>
      <x:c r="AC11" s="3" t="str">
        <x:f>IF(Master!AD455="","",Master!AD455)</x:f>
      </x:c>
      <x:c r="AD11" s="3" t="str">
        <x:f>IF(Master!AE455="","",Master!AE455)</x:f>
      </x:c>
      <x:c r="AE11" s="3" t="str">
        <x:f>IF(Master!AF455="","",Master!AF455)</x:f>
      </x:c>
      <x:c r="AF11" s="8" t="str">
        <x:f>IF(Master!AG455="","",Master!AG455)</x:f>
        <x:v>Zulip export archives</x:v>
      </x:c>
    </x:row>
    <x:row r="12" ht="36" customHeight="1">
      <x:c r="A12" s="17" t="s">
        <x:v>715</x:v>
      </x:c>
      <x:c r="B12" s="3" t="str">
        <x:f>IF(Master!C456="","",Master!C456)</x:f>
        <x:v>Yes in data package</x:v>
      </x:c>
      <x:c r="C12" s="3" t="str">
        <x:f>IF(Master!D456="","",Master!D456)</x:f>
        <x:v>Relay dependent</x:v>
      </x:c>
      <x:c r="D12" s="3" t="str">
        <x:f>IF(Master!E456="","",Master!E456)</x:f>
      </x:c>
      <x:c r="E12" s="3" t="str">
        <x:f>IF(Master!F456="","",Master!F456)</x:f>
      </x:c>
      <x:c r="F12" s="3" t="str">
        <x:f>IF(Master!G456="","",Master!G456)</x:f>
      </x:c>
      <x:c r="G12" s="3" t="str">
        <x:f>IF(Master!H456="","",Master!H456)</x:f>
      </x:c>
      <x:c r="H12" s="3" t="str">
        <x:f>IF(Master!I456="","",Master!I456)</x:f>
      </x:c>
      <x:c r="I12" s="3" t="str">
        <x:f>IF(Master!J456="","",Master!J456)</x:f>
      </x:c>
      <x:c r="J12" s="3" t="str">
        <x:f>IF(Master!K456="","",Master!K456)</x:f>
        <x:v>Yes/local</x:v>
      </x:c>
      <x:c r="K12" s="3" t="str">
        <x:f>IF(Master!L456="","",Master!L456)</x:f>
        <x:v>Direct attachment download exists; bulk media export is not documented</x:v>
      </x:c>
      <x:c r="L12" s="3" t="str">
        <x:f>IF(Master!M456="","",Master!M456)</x:f>
      </x:c>
      <x:c r="M12" s="3" t="str">
        <x:f>IF(Master!N456="","",Master!N456)</x:f>
        <x:v>Export coming soon</x:v>
      </x:c>
      <x:c r="N12" s="3" t="str">
        <x:f>IF(Master!O456="","",Master!O456)</x:f>
        <x:v>Client/provider-dependent</x:v>
      </x:c>
      <x:c r="O12" s="3" t="str">
        <x:f>IF(Master!P456="","",Master!P456)</x:f>
        <x:v>Yes/admin backup/export</x:v>
      </x:c>
      <x:c r="P12" s="3" t="str">
        <x:f>IF(Master!Q456="","",Master!Q456)</x:f>
      </x:c>
      <x:c r="Q12" s="3" t="str">
        <x:f>IF(Master!R456="","",Master!R456)</x:f>
        <x:v>N/A</x:v>
      </x:c>
      <x:c r="R12" s="3" t="str">
        <x:f>IF(Master!S456="","",Master!S456)</x:f>
      </x:c>
      <x:c r="S12" s="3" t="str">
        <x:f>IF(Master!T456="","",Master!T456)</x:f>
      </x:c>
      <x:c r="T12" s="3" t="str">
        <x:f>IF(Master!U456="","",Master!U456)</x:f>
        <x:v>Yes</x:v>
      </x:c>
      <x:c r="U12" s="3" t="str">
        <x:f>IF(Master!V456="","",Master!V456)</x:f>
        <x:v>Direct Download</x:v>
      </x:c>
      <x:c r="V12" s="3" t="str">
        <x:f>IF(Master!W456="","",Master!W456)</x:f>
        <x:v>Yes/admin backup</x:v>
      </x:c>
      <x:c r="W12" s="3" t="str">
        <x:f>IF(Master!X456="","",Master!X456)</x:f>
      </x:c>
      <x:c r="X12" s="3" t="str">
        <x:f>IF(Master!Y456="","",Master!Y456)</x:f>
      </x:c>
      <x:c r="Y12" s="3" t="str">
        <x:f>IF(Master!Z456="","",Master!Z456)</x:f>
      </x:c>
      <x:c r="Z12" s="3" t="str">
        <x:f>IF(Master!AA456="","",Master!AA456)</x:f>
      </x:c>
      <x:c r="AA12" s="6" t="str">
        <x:f>IF(Master!AB456="","",Master!AB456)</x:f>
      </x:c>
      <x:c r="AB12" s="3" t="str">
        <x:f>IF(Master!AC456="","",Master!AC456)</x:f>
      </x:c>
      <x:c r="AC12" s="3" t="str">
        <x:f>IF(Master!AD456="","",Master!AD456)</x:f>
      </x:c>
      <x:c r="AD12" s="3" t="str">
        <x:f>IF(Master!AE456="","",Master!AE456)</x:f>
      </x:c>
      <x:c r="AE12" s="3" t="str">
        <x:f>IF(Master!AF456="","",Master!AF456)</x:f>
        <x:v>Operator-controlled</x:v>
      </x:c>
      <x:c r="AF12" s="8" t="str">
        <x:f>IF(Master!AG456="","",Master!AG456)</x:f>
        <x:v>Yes/admin export</x:v>
      </x:c>
    </x:row>
    <x:row r="13" ht="36" customHeight="1">
      <x:c r="A13" s="17" t="s">
        <x:v>716</x:v>
      </x:c>
      <x:c r="B13" s="3" t="str">
        <x:f>IF(Master!C457="","",Master!C457)</x:f>
        <x:v>No general bridge framework</x:v>
      </x:c>
      <x:c r="C13" s="3" t="str">
        <x:f>IF(Master!D457="","",Master!D457)</x:f>
        <x:v>Yes: Discord two-way bridge; bridge can be self-hosted</x:v>
      </x:c>
      <x:c r="D13" s="3" t="str">
        <x:f>IF(Master!E457="","",Master!E457)</x:f>
        <x:v>Custom decentralized messenger/server protocol</x:v>
      </x:c>
      <x:c r="E13" s="3" t="str">
        <x:f>IF(Master!F457="","",Master!F457)</x:f>
        <x:v>No</x:v>
      </x:c>
      <x:c r="F13" s="3" t="str">
        <x:f>IF(Master!G457="","",Master!G457)</x:f>
        <x:v>No public framework yet</x:v>
      </x:c>
      <x:c r="G13" s="3" t="str">
        <x:f>IF(Master!H457="","",Master!H457)</x:f>
        <x:v>No federation bridge framework yet</x:v>
      </x:c>
      <x:c r="H13" s="3" t="str">
        <x:f>IF(Master!I457="","",Master!I457)</x:f>
        <x:v>No general bridge framework</x:v>
      </x:c>
      <x:c r="I13" s="3" t="str">
        <x:f>IF(Master!J457="","",Master!J457)</x:f>
        <x:v>Discord API compatibility</x:v>
      </x:c>
      <x:c r="J13" s="3" t="str">
        <x:f>IF(Master!K457="","",Master!K457)</x:f>
        <x:v>No general bridge framework</x:v>
      </x:c>
      <x:c r="K13" s="3" t="str">
        <x:f>IF(Master!L457="","",Master!L457)</x:f>
        <x:v>Yes: official Discord bridge repository</x:v>
      </x:c>
      <x:c r="L13" s="3" t="str">
        <x:f>IF(Master!M457="","",Master!M457)</x:f>
        <x:v>No</x:v>
      </x:c>
      <x:c r="M13" s="3" t="str">
        <x:f>IF(Master!N457="","",Master!N457)</x:f>
        <x:v>Discord-compatible bot/API surface</x:v>
      </x:c>
      <x:c r="N13" s="3" t="str">
        <x:f>IF(Master!O457="","",Master!O457)</x:f>
        <x:v>Yes: Application Services/bridges are core ecosystem pattern</x:v>
      </x:c>
      <x:c r="O13" s="3" t="str">
        <x:f>IF(Master!P457="","",Master!P457)</x:f>
        <x:v>Plugins/webhooks/integrations</x:v>
      </x:c>
      <x:c r="P13" s="3" t="str">
        <x:f>IF(Master!Q457="","",Master!Q457)</x:f>
        <x:v>API-first integrations</x:v>
      </x:c>
      <x:c r="Q13" s="3" t="str">
        <x:f>IF(Master!R457="","",Master!R457)</x:f>
        <x:v>No</x:v>
      </x:c>
      <x:c r="R13" s="3" t="str">
        <x:f>IF(Master!S457="","",Master!S457)</x:f>
        <x:v>No</x:v>
      </x:c>
      <x:c r="S13" s="3" t="str">
        <x:f>IF(Master!T457="","",Master!T457)</x:f>
        <x:v>No general bridge framework</x:v>
      </x:c>
      <x:c r="T13" s="3" t="str">
        <x:f>IF(Master!U457="","",Master!U457)</x:f>
        <x:v>No native Matrix/IRC bridge; incoming Discord-compatible webhooks</x:v>
      </x:c>
      <x:c r="U13" s="3" t="str">
        <x:f>IF(Master!V457="","",Master!V457)</x:f>
        <x:v>No general bridge framework</x:v>
      </x:c>
      <x:c r="V13" s="3" t="str">
        <x:f>IF(Master!W457="","",Master!W457)</x:f>
        <x:v>Apps/integrations + federation</x:v>
      </x:c>
      <x:c r="W13" s="3" t="str">
        <x:f>IF(Master!X457="","",Master!X457)</x:f>
        <x:v>Yes: bridge package</x:v>
      </x:c>
      <x:c r="X13" s="3" t="str">
        <x:f>IF(Master!Y457="","",Master!Y457)</x:f>
        <x:v>Apps/Bots can integrate external services</x:v>
      </x:c>
      <x:c r="Y13" s="3" t="str">
        <x:f>IF(Master!Z457="","",Master!Z457)</x:f>
        <x:v>Discord-compatible bot/client ecosystem rather than bridges</x:v>
      </x:c>
      <x:c r="Z13" s="3" t="str">
        <x:f>IF(Master!AA457="","",Master!AA457)</x:f>
        <x:v>No native appservice framework</x:v>
      </x:c>
      <x:c r="AA13" s="6" t="str">
        <x:f>IF(Master!AB457="","",Master!AB457)</x:f>
        <x:v>No general bridge framework</x:v>
      </x:c>
      <x:c r="AB13" s="3" t="str">
        <x:f>IF(Master!AC457="","",Master!AC457)</x:f>
        <x:v>Open API/webhooks</x:v>
      </x:c>
      <x:c r="AC13" s="3" t="str">
        <x:f>IF(Master!AD457="","",Master!AD457)</x:f>
        <x:v>Federation/bridge architecture in development</x:v>
      </x:c>
      <x:c r="AD13" s="3" t="str">
        <x:f>IF(Master!AE457="","",Master!AE457)</x:f>
        <x:v>Game APIs/integrations rather than bridges</x:v>
      </x:c>
      <x:c r="AE13" s="3" t="str">
        <x:f>IF(Master!AF457="","",Master!AF457)</x:f>
        <x:v>No</x:v>
      </x:c>
      <x:c r="AF13" s="8" t="str">
        <x:f>IF(Master!AG457="","",Master!AG457)</x:f>
        <x:v>Integrations/bots/webhooks</x:v>
      </x:c>
    </x:row>
    <x:row r="14" ht="36" customHeight="1">
      <x:c r="A14" s="17" t="s">
        <x:v>717</x:v>
      </x:c>
      <x:c r="B14" s="3" t="str">
        <x:f>IF(Master!C458="","",Master!C458)</x:f>
        <x:v>N/A</x:v>
      </x:c>
      <x:c r="C14" s="3" t="str">
        <x:f>IF(Master!D458="","",Master!D458)</x:f>
        <x:v>Yes: Discord bridge supported/self-hostable per subreddit reports</x:v>
      </x:c>
      <x:c r="D14" s="3" t="str">
        <x:f>IF(Master!E458="","",Master!E458)</x:f>
        <x:v>Discord bridge WIP</x:v>
      </x:c>
      <x:c r="E14" s="3" t="str">
        <x:f>IF(Master!F458="","",Master!F458)</x:f>
        <x:v>No</x:v>
      </x:c>
      <x:c r="F14" s="3" t="str">
        <x:f>IF(Master!G458="","",Master!G458)</x:f>
        <x:v>No</x:v>
      </x:c>
      <x:c r="G14" s="3" t="str">
        <x:f>IF(Master!H458="","",Master!H458)</x:f>
        <x:v>No native</x:v>
      </x:c>
      <x:c r="H14" s="3" t="str">
        <x:f>IF(Master!I458="","",Master!I458)</x:f>
        <x:v>No live Discord bridge</x:v>
      </x:c>
      <x:c r="I14" s="3" t="str">
        <x:f>IF(Master!J458="","",Master!J458)</x:f>
        <x:v>Community Discord bridge possible</x:v>
      </x:c>
      <x:c r="J14" s="3" t="str">
        <x:f>IF(Master!K458="","",Master!K458)</x:f>
        <x:v>No</x:v>
      </x:c>
      <x:c r="K14" s="3" t="str">
        <x:f>IF(Master!L458="","",Master!L458)</x:f>
        <x:v>Yes: official Discord bridge bot is included</x:v>
      </x:c>
      <x:c r="L14" s="3" t="str">
        <x:f>IF(Master!M458="","",Master!M458)</x:f>
        <x:v>No</x:v>
      </x:c>
      <x:c r="M14" s="3" t="str">
        <x:f>IF(Master!N458="","",Master!N458)</x:f>
        <x:v>No live bridge</x:v>
      </x:c>
      <x:c r="N14" s="3" t="str">
        <x:f>IF(Master!O458="","",Master!O458)</x:f>
        <x:v>Yes: matrix-appservice-discord / mautrix-discord</x:v>
      </x:c>
      <x:c r="O14" s="3" t="str">
        <x:f>IF(Master!P458="","",Master!P458)</x:f>
        <x:v>No</x:v>
      </x:c>
      <x:c r="P14" s="3" t="str">
        <x:f>IF(Master!Q458="","",Master!Q458)</x:f>
        <x:v>No</x:v>
      </x:c>
      <x:c r="Q14" s="3" t="str">
        <x:f>IF(Master!R458="","",Master!R458)</x:f>
        <x:v>No</x:v>
      </x:c>
      <x:c r="R14" s="3" t="str">
        <x:f>IF(Master!S458="","",Master!S458)</x:f>
        <x:v>No</x:v>
      </x:c>
      <x:c r="S14" s="3" t="str">
        <x:f>IF(Master!T458="","",Master!T458)</x:f>
        <x:v>No</x:v>
      </x:c>
      <x:c r="T14" s="3" t="str">
        <x:f>IF(Master!U458="","",Master!U458)</x:f>
        <x:v>No live bridge</x:v>
      </x:c>
      <x:c r="U14" s="3" t="str">
        <x:f>IF(Master!V458="","",Master!V458)</x:f>
        <x:v>No</x:v>
      </x:c>
      <x:c r="V14" s="3" t="str">
        <x:f>IF(Master!W458="","",Master!W458)</x:f>
        <x:v>No native</x:v>
      </x:c>
      <x:c r="W14" s="3" t="str">
        <x:f>IF(Master!X458="","",Master!X458)</x:f>
        <x:v>Yes: bidirectional Discord bridge</x:v>
      </x:c>
      <x:c r="X14" s="3" t="str">
        <x:f>IF(Master!Y458="","",Master!Y458)</x:f>
        <x:v>No live bridge</x:v>
      </x:c>
      <x:c r="Y14" s="3" t="str">
        <x:f>IF(Master!Z458="","",Master!Z458)</x:f>
        <x:v>Not live bridge; compatibility target</x:v>
      </x:c>
      <x:c r="Z14" s="3" t="str">
        <x:f>IF(Master!AA458="","",Master!AA458)</x:f>
        <x:v>No native</x:v>
      </x:c>
      <x:c r="AA14" s="6" t="str">
        <x:f>IF(Master!AB458="","",Master!AB458)</x:f>
        <x:v>No</x:v>
      </x:c>
      <x:c r="AB14" s="3" t="str">
        <x:f>IF(Master!AC458="","",Master!AC458)</x:f>
        <x:v>No live bridge</x:v>
      </x:c>
      <x:c r="AC14" s="3" t="str">
        <x:f>IF(Master!AD458="","",Master!AD458)</x:f>
        <x:v>No</x:v>
      </x:c>
      <x:c r="AD14" s="3" t="str">
        <x:f>IF(Master!AE458="","",Master!AE458)</x:f>
        <x:v>No</x:v>
      </x:c>
      <x:c r="AE14" s="3" t="str">
        <x:f>IF(Master!AF458="","",Master!AF458)</x:f>
        <x:v>No</x:v>
      </x:c>
      <x:c r="AF14" s="8" t="str">
        <x:f>IF(Master!AG458="","",Master!AG458)</x:f>
        <x:v>No native</x:v>
      </x:c>
    </x:row>
    <x:row r="15" ht="36" customHeight="1">
      <x:c r="A15" s="17" t="s">
        <x:v>718</x:v>
      </x:c>
      <x:c r="B15" s="3" t="str">
        <x:f>IF(Master!C459="","",Master!C459)</x:f>
        <x:v>Third-party Matrix bridges can connect to Discord; not native</x:v>
      </x:c>
      <x:c r="C15" s="3" t="str">
        <x:f>IF(Master!D459="","",Master!D459)</x:f>
        <x:v>No native Matrix bridge verified</x:v>
      </x:c>
      <x:c r="D15" s="3" t="str">
        <x:f>IF(Master!E459="","",Master!E459)</x:f>
        <x:v>No</x:v>
      </x:c>
      <x:c r="E15" s="3" t="str">
        <x:f>IF(Master!F459="","",Master!F459)</x:f>
        <x:v>No</x:v>
      </x:c>
      <x:c r="F15" s="3" t="str">
        <x:f>IF(Master!G459="","",Master!G459)</x:f>
        <x:v>No</x:v>
      </x:c>
      <x:c r="G15" s="3" t="str">
        <x:f>IF(Master!H459="","",Master!H459)</x:f>
        <x:v>No native</x:v>
      </x:c>
      <x:c r="H15" s="3" t="str">
        <x:f>IF(Master!I459="","",Master!I459)</x:f>
        <x:v>No</x:v>
      </x:c>
      <x:c r="I15" s="3" t="str">
        <x:f>IF(Master!J459="","",Master!J459)</x:f>
        <x:v>No</x:v>
      </x:c>
      <x:c r="J15" s="3" t="str">
        <x:f>IF(Master!K459="","",Master!K459)</x:f>
        <x:v>No</x:v>
      </x:c>
      <x:c r="K15" s="3" t="str">
        <x:f>IF(Master!L459="","",Master!L459)</x:f>
        <x:v>No Matrix bridge documented</x:v>
      </x:c>
      <x:c r="L15" s="3" t="str">
        <x:f>IF(Master!M459="","",Master!M459)</x:f>
        <x:v>No</x:v>
      </x:c>
      <x:c r="M15" s="3" t="str">
        <x:f>IF(Master!N459="","",Master!N459)</x:f>
        <x:v>No</x:v>
      </x:c>
      <x:c r="N15" s="3" t="str">
        <x:f>IF(Master!O459="","",Master!O459)</x:f>
        <x:v>N/A</x:v>
      </x:c>
      <x:c r="O15" s="3" t="str">
        <x:f>IF(Master!P459="","",Master!P459)</x:f>
        <x:v>Integration possible</x:v>
      </x:c>
      <x:c r="P15" s="3" t="str">
        <x:f>IF(Master!Q459="","",Master!Q459)</x:f>
        <x:v>No</x:v>
      </x:c>
      <x:c r="Q15" s="3" t="str">
        <x:f>IF(Master!R459="","",Master!R459)</x:f>
        <x:v>No</x:v>
      </x:c>
      <x:c r="R15" s="3" t="str">
        <x:f>IF(Master!S459="","",Master!S459)</x:f>
        <x:v>No</x:v>
      </x:c>
      <x:c r="S15" s="3" t="str">
        <x:f>IF(Master!T459="","",Master!T459)</x:f>
        <x:v>No</x:v>
      </x:c>
      <x:c r="T15" s="3" t="str">
        <x:f>IF(Master!U459="","",Master!U459)</x:f>
        <x:v>No</x:v>
      </x:c>
      <x:c r="U15" s="3" t="str">
        <x:f>IF(Master!V459="","",Master!V459)</x:f>
        <x:v>No</x:v>
      </x:c>
      <x:c r="V15" s="3" t="str">
        <x:f>IF(Master!W459="","",Master!W459)</x:f>
        <x:v>Federation uses Matrix-based technology but is not a generic Matrix client bridge</x:v>
      </x:c>
      <x:c r="W15" s="3" t="str">
        <x:f>IF(Master!X459="","",Master!X459)</x:f>
        <x:v>N/A</x:v>
      </x:c>
      <x:c r="X15" s="3" t="str">
        <x:f>IF(Master!Y459="","",Master!Y459)</x:f>
        <x:v>No</x:v>
      </x:c>
      <x:c r="Y15" s="3" t="str">
        <x:f>IF(Master!Z459="","",Master!Z459)</x:f>
        <x:v>No native</x:v>
      </x:c>
      <x:c r="Z15" s="3" t="str">
        <x:f>IF(Master!AA459="","",Master!AA459)</x:f>
        <x:v>No native</x:v>
      </x:c>
      <x:c r="AA15" s="6" t="str">
        <x:f>IF(Master!AB459="","",Master!AB459)</x:f>
        <x:v>No</x:v>
      </x:c>
      <x:c r="AB15" s="3" t="str">
        <x:f>IF(Master!AC459="","",Master!AC459)</x:f>
        <x:v>No</x:v>
      </x:c>
      <x:c r="AC15" s="3" t="str">
        <x:f>IF(Master!AD459="","",Master!AD459)</x:f>
        <x:v>Possible in theory</x:v>
      </x:c>
      <x:c r="AD15" s="3" t="str">
        <x:f>IF(Master!AE459="","",Master!AE459)</x:f>
        <x:v>No</x:v>
      </x:c>
      <x:c r="AE15" s="3" t="str">
        <x:f>IF(Master!AF459="","",Master!AF459)</x:f>
        <x:v>No</x:v>
      </x:c>
      <x:c r="AF15" s="8" t="str">
        <x:f>IF(Master!AG459="","",Master!AG459)</x:f>
        <x:v>No native</x:v>
      </x:c>
    </x:row>
    <x:row r="16" ht="36" customHeight="1">
      <x:c r="A16" s="17" t="s">
        <x:v>719</x:v>
      </x:c>
      <x:c r="B16" s="3" t="str">
        <x:f>IF(Master!C460="","",Master!C460)</x:f>
        <x:v>Third-party relays; not native</x:v>
      </x:c>
      <x:c r="C16" s="3" t="str">
        <x:f>IF(Master!D460="","",Master!D460)</x:f>
        <x:v>Nostr bridges possible</x:v>
      </x:c>
      <x:c r="D16" s="3" t="str">
        <x:f>IF(Master!E460="","",Master!E460)</x:f>
        <x:v>No</x:v>
      </x:c>
      <x:c r="E16" s="3" t="str">
        <x:f>IF(Master!F460="","",Master!F460)</x:f>
        <x:v>No</x:v>
      </x:c>
      <x:c r="F16" s="3" t="str">
        <x:f>IF(Master!G460="","",Master!G460)</x:f>
        <x:v>No</x:v>
      </x:c>
      <x:c r="G16" s="3" t="str">
        <x:f>IF(Master!H460="","",Master!H460)</x:f>
        <x:v>No native</x:v>
      </x:c>
      <x:c r="H16" s="3" t="str">
        <x:f>IF(Master!I460="","",Master!I460)</x:f>
        <x:v>No</x:v>
      </x:c>
      <x:c r="I16" s="3" t="str">
        <x:f>IF(Master!J460="","",Master!J460)</x:f>
        <x:v>No</x:v>
      </x:c>
      <x:c r="J16" s="3" t="str">
        <x:f>IF(Master!K460="","",Master!K460)</x:f>
        <x:v>No</x:v>
      </x:c>
      <x:c r="K16" s="3" t="str">
        <x:f>IF(Master!L460="","",Master!L460)</x:f>
        <x:v>No IRC bridge documented</x:v>
      </x:c>
      <x:c r="L16" s="3" t="str">
        <x:f>IF(Master!M460="","",Master!M460)</x:f>
        <x:v>No</x:v>
      </x:c>
      <x:c r="M16" s="3" t="str">
        <x:f>IF(Master!N460="","",Master!N460)</x:f>
        <x:v>No</x:v>
      </x:c>
      <x:c r="N16" s="3" t="str">
        <x:f>IF(Master!O460="","",Master!O460)</x:f>
        <x:v>Yes: IRC bridges</x:v>
      </x:c>
      <x:c r="O16" s="3" t="str">
        <x:f>IF(Master!P460="","",Master!P460)</x:f>
        <x:v>Integration possible</x:v>
      </x:c>
      <x:c r="P16" s="3" t="str">
        <x:f>IF(Master!Q460="","",Master!Q460)</x:f>
        <x:v>No</x:v>
      </x:c>
      <x:c r="Q16" s="3" t="str">
        <x:f>IF(Master!R460="","",Master!R460)</x:f>
        <x:v>No</x:v>
      </x:c>
      <x:c r="R16" s="3" t="str">
        <x:f>IF(Master!S460="","",Master!S460)</x:f>
        <x:v>No</x:v>
      </x:c>
      <x:c r="S16" s="3" t="str">
        <x:f>IF(Master!T460="","",Master!T460)</x:f>
        <x:v>No</x:v>
      </x:c>
      <x:c r="T16" s="3" t="str">
        <x:f>IF(Master!U460="","",Master!U460)</x:f>
        <x:v>No</x:v>
      </x:c>
      <x:c r="U16" s="3" t="str">
        <x:f>IF(Master!V460="","",Master!V460)</x:f>
        <x:v>No</x:v>
      </x:c>
      <x:c r="V16" s="3" t="str">
        <x:f>IF(Master!W460="","",Master!W460)</x:f>
        <x:v>IRC integration possible</x:v>
      </x:c>
      <x:c r="W16" s="3" t="str">
        <x:f>IF(Master!X460="","",Master!X460)</x:f>
      </x:c>
      <x:c r="X16" s="3" t="str">
        <x:f>IF(Master!Y460="","",Master!Y460)</x:f>
        <x:v>No</x:v>
      </x:c>
      <x:c r="Y16" s="3" t="str">
        <x:f>IF(Master!Z460="","",Master!Z460)</x:f>
        <x:v>No native</x:v>
      </x:c>
      <x:c r="Z16" s="3" t="str">
        <x:f>IF(Master!AA460="","",Master!AA460)</x:f>
        <x:v>No native</x:v>
      </x:c>
      <x:c r="AA16" s="6" t="str">
        <x:f>IF(Master!AB460="","",Master!AB460)</x:f>
        <x:v>No</x:v>
      </x:c>
      <x:c r="AB16" s="3" t="str">
        <x:f>IF(Master!AC460="","",Master!AC460)</x:f>
        <x:v>No</x:v>
      </x:c>
      <x:c r="AC16" s="3" t="str">
        <x:f>IF(Master!AD460="","",Master!AD460)</x:f>
      </x:c>
      <x:c r="AD16" s="3" t="str">
        <x:f>IF(Master!AE460="","",Master!AE460)</x:f>
        <x:v>No</x:v>
      </x:c>
      <x:c r="AE16" s="3" t="str">
        <x:f>IF(Master!AF460="","",Master!AF460)</x:f>
        <x:v>No</x:v>
      </x:c>
      <x:c r="AF16" s="8" t="str">
        <x:f>IF(Master!AG460="","",Master!AG460)</x:f>
        <x:v>Via integration possible</x:v>
      </x:c>
    </x:row>
    <x:row r="17" ht="36" customHeight="1">
      <x:c r="A17" s="17" t="s">
        <x:v>720</x:v>
      </x:c>
      <x:c r="B17" s="3" t="str">
        <x:f>IF(Master!C461="","",Master!C461)</x:f>
        <x:v>No</x:v>
      </x:c>
      <x:c r="C17" s="3" t="str">
        <x:f>IF(Master!D461="","",Master!D461)</x:f>
        <x:v>Yes through relays/protocol</x:v>
      </x:c>
      <x:c r="D17" s="3" t="str">
        <x:f>IF(Master!E461="","",Master!E461)</x:f>
        <x:v>Yes: messenger cross-home-server</x:v>
      </x:c>
      <x:c r="E17" s="3" t="str">
        <x:f>IF(Master!F461="","",Master!F461)</x:f>
        <x:v>No</x:v>
      </x:c>
      <x:c r="F17" s="3" t="str">
        <x:f>IF(Master!G461="","",Master!G461)</x:f>
        <x:v>No</x:v>
      </x:c>
      <x:c r="G17" s="3" t="str">
        <x:f>IF(Master!H461="","",Master!H461)</x:f>
        <x:v>Not yet</x:v>
      </x:c>
      <x:c r="H17" s="3" t="str">
        <x:f>IF(Master!I461="","",Master!I461)</x:f>
        <x:v>No</x:v>
      </x:c>
      <x:c r="I17" s="3" t="str">
        <x:f>IF(Master!J461="","",Master!J461)</x:f>
        <x:v>Federation planned</x:v>
      </x:c>
      <x:c r="J17" s="3" t="str">
        <x:f>IF(Master!K461="","",Master!K461)</x:f>
        <x:v>Relay-based interoperability</x:v>
      </x:c>
      <x:c r="K17" s="3" t="str">
        <x:f>IF(Master!L461="","",Master!L461)</x:f>
        <x:v>Yes: kaede-fed/1 federation across homes</x:v>
      </x:c>
      <x:c r="L17" s="3" t="str">
        <x:f>IF(Master!M461="","",Master!M461)</x:f>
        <x:v>No</x:v>
      </x:c>
      <x:c r="M17" s="3" t="str">
        <x:f>IF(Master!N461="","",Master!N461)</x:f>
        <x:v>Federation/self-hosting</x:v>
      </x:c>
      <x:c r="N17" s="3" t="str">
        <x:f>IF(Master!O461="","",Master!O461)</x:f>
        <x:v>Yes: native federation</x:v>
      </x:c>
      <x:c r="O17" s="3" t="str">
        <x:f>IF(Master!P461="","",Master!P461)</x:f>
        <x:v>No</x:v>
      </x:c>
      <x:c r="P17" s="3" t="str">
        <x:f>IF(Master!Q461="","",Master!Q461)</x:f>
        <x:v>No federation verified</x:v>
      </x:c>
      <x:c r="Q17" s="3" t="str">
        <x:f>IF(Master!R461="","",Master!R461)</x:f>
        <x:v>No</x:v>
      </x:c>
      <x:c r="R17" s="3" t="str">
        <x:f>IF(Master!S461="","",Master!S461)</x:f>
        <x:v>No</x:v>
      </x:c>
      <x:c r="S17" s="3" t="str">
        <x:f>IF(Master!T461="","",Master!T461)</x:f>
        <x:v>No</x:v>
      </x:c>
      <x:c r="T17" s="3" t="str">
        <x:f>IF(Master!U461="","",Master!U461)</x:f>
        <x:v>No</x:v>
      </x:c>
      <x:c r="U17" s="3" t="str">
        <x:f>IF(Master!V461="","",Master!V461)</x:f>
        <x:v>No</x:v>
      </x:c>
      <x:c r="V17" s="3" t="str">
        <x:f>IF(Master!W461="","",Master!W461)</x:f>
        <x:v>Yes: supported federation features</x:v>
      </x:c>
      <x:c r="W17" s="3" t="str">
        <x:f>IF(Master!X461="","",Master!X461)</x:f>
        <x:v>ATProto federation</x:v>
      </x:c>
      <x:c r="X17" s="3" t="str">
        <x:f>IF(Master!Y461="","",Master!Y461)</x:f>
        <x:v>No</x:v>
      </x:c>
      <x:c r="Y17" s="3" t="str">
        <x:f>IF(Master!Z461="","",Master!Z461)</x:f>
        <x:v>No</x:v>
      </x:c>
      <x:c r="Z17" s="3" t="str">
        <x:f>IF(Master!AA461="","",Master!AA461)</x:f>
        <x:v>No federation</x:v>
      </x:c>
      <x:c r="AA17" s="6" t="str">
        <x:f>IF(Master!AB461="","",Master!AB461)</x:f>
        <x:v>No</x:v>
      </x:c>
      <x:c r="AB17" s="3" t="str">
        <x:f>IF(Master!AC461="","",Master!AC461)</x:f>
        <x:v>Node/federation migration</x:v>
      </x:c>
      <x:c r="AC17" s="3" t="str">
        <x:f>IF(Master!AD461="","",Master!AD461)</x:f>
        <x:v>Planned federation</x:v>
      </x:c>
      <x:c r="AD17" s="3" t="str">
        <x:f>IF(Master!AE461="","",Master!AE461)</x:f>
        <x:v>No</x:v>
      </x:c>
      <x:c r="AE17" s="3" t="str">
        <x:f>IF(Master!AF461="","",Master!AF461)</x:f>
        <x:v>No federation</x:v>
      </x:c>
      <x:c r="AF17" s="8" t="str">
        <x:f>IF(Master!AG461="","",Master!AG461)</x:f>
        <x:v>No</x:v>
      </x:c>
    </x:row>
    <x:row r="18" ht="36" customHeight="1">
      <x:c r="A18" s="17" t="s">
        <x:v>708</x:v>
      </x:c>
      <x:c r="B18" s="3" t="str">
        <x:f>IF(Master!C462="","",Master!C462)</x:f>
        <x:v>No</x:v>
      </x:c>
      <x:c r="C18" s="3" t="str">
        <x:f>IF(Master!D462="","",Master!D462)</x:f>
        <x:v>Yes: keypair identity</x:v>
      </x:c>
      <x:c r="D18" s="3" t="str">
        <x:f>IF(Master!E462="","",Master!E462)</x:f>
        <x:v>Yes</x:v>
      </x:c>
      <x:c r="E18" s="3" t="str">
        <x:f>IF(Master!F462="","",Master!F462)</x:f>
        <x:v>No</x:v>
      </x:c>
      <x:c r="F18" s="3" t="str">
        <x:f>IF(Master!G462="","",Master!G462)</x:f>
        <x:v>No</x:v>
      </x:c>
      <x:c r="G18" s="3" t="str">
        <x:f>IF(Master!H462="","",Master!H462)</x:f>
        <x:v>No</x:v>
      </x:c>
      <x:c r="H18" s="3" t="str">
        <x:f>IF(Master!I462="","",Master!I462)</x:f>
        <x:v>Limited</x:v>
      </x:c>
      <x:c r="I18" s="3" t="str">
        <x:f>IF(Master!J462="","",Master!J462)</x:f>
        <x:v>Planned</x:v>
      </x:c>
      <x:c r="J18" s="3" t="str">
        <x:f>IF(Master!K462="","",Master!K462)</x:f>
        <x:v>Yes: identity key portable</x:v>
      </x:c>
      <x:c r="K18" s="3" t="str">
        <x:f>IF(Master!L462="","",Master!L462)</x:f>
        <x:v>One home account accesses federated resources; no cross-home account switcher/migration workflow documented</x:v>
      </x:c>
      <x:c r="L18" s="3" t="str">
        <x:f>IF(Master!M462="","",Master!M462)</x:f>
        <x:v>No</x:v>
      </x:c>
      <x:c r="M18" s="3" t="str">
        <x:f>IF(Master!N462="","",Master!N462)</x:f>
      </x:c>
      <x:c r="N18" s="3" t="str">
        <x:f>IF(Master!O462="","",Master!O462)</x:f>
        <x:v>Partial: ID is homeserver-scoped; migration is not universally seamless</x:v>
      </x:c>
      <x:c r="O18" s="3" t="str">
        <x:f>IF(Master!P462="","",Master!P462)</x:f>
        <x:v>No</x:v>
      </x:c>
      <x:c r="P18" s="3" t="str">
        <x:f>IF(Master!Q462="","",Master!Q462)</x:f>
        <x:v>No</x:v>
      </x:c>
      <x:c r="Q18" s="3" t="str">
        <x:f>IF(Master!R462="","",Master!R462)</x:f>
        <x:v>Certificates/bookmarks manually portable</x:v>
      </x:c>
      <x:c r="R18" s="3" t="str">
        <x:f>IF(Master!S462="","",Master!S462)</x:f>
        <x:v>No</x:v>
      </x:c>
      <x:c r="S18" s="3" t="str">
        <x:f>IF(Master!T462="","",Master!T462)</x:f>
        <x:v>No</x:v>
      </x:c>
      <x:c r="T18" s="3" t="str">
        <x:f>IF(Master!U462="","",Master!U462)</x:f>
        <x:v>Export/self-host</x:v>
      </x:c>
      <x:c r="U18" s="3" t="str">
        <x:f>IF(Master!V462="","",Master!V462)</x:f>
        <x:v>No</x:v>
      </x:c>
      <x:c r="V18" s="3" t="str">
        <x:f>IF(Master!W462="","",Master!W462)</x:f>
        <x:v>Limited</x:v>
      </x:c>
      <x:c r="W18" s="3" t="str">
        <x:f>IF(Master!X462="","",Master!X462)</x:f>
        <x:v>ATProto identity</x:v>
      </x:c>
      <x:c r="X18" s="3" t="str">
        <x:f>IF(Master!Y462="","",Master!Y462)</x:f>
        <x:v>No</x:v>
      </x:c>
      <x:c r="Y18" s="3" t="str">
        <x:f>IF(Master!Z462="","",Master!Z462)</x:f>
        <x:v>No</x:v>
      </x:c>
      <x:c r="Z18" s="3" t="str">
        <x:f>IF(Master!AA462="","",Master!AA462)</x:f>
        <x:v>No</x:v>
      </x:c>
      <x:c r="AA18" s="6" t="str">
        <x:f>IF(Master!AB462="","",Master!AB462)</x:f>
        <x:v>Limited</x:v>
      </x:c>
      <x:c r="AB18" s="3" t="str">
        <x:f>IF(Master!AC462="","",Master!AC462)</x:f>
        <x:v>Community data/node migration</x:v>
      </x:c>
      <x:c r="AC18" s="3" t="str">
        <x:f>IF(Master!AD462="","",Master!AD462)</x:f>
        <x:v>Planned</x:v>
      </x:c>
      <x:c r="AD18" s="3" t="str">
        <x:f>IF(Master!AE462="","",Master!AE462)</x:f>
        <x:v>No</x:v>
      </x:c>
      <x:c r="AE18" s="3" t="str">
        <x:f>IF(Master!AF462="","",Master!AF462)</x:f>
        <x:v>Server/operator migration</x:v>
      </x:c>
      <x:c r="AF18" s="8" t="str">
        <x:f>IF(Master!AG462="","",Master!AG462)</x:f>
        <x:v>No cross-server account portability</x:v>
      </x:c>
    </x:row>
    <x:row r="19" ht="36" customHeight="1">
      <x:c r="A19" s="17" t="s">
        <x:v>721</x:v>
      </x:c>
      <x:c r="B19" s="3" t="str">
        <x:f>IF(Master!C463="","",Master!C463)</x:f>
        <x:v>Official clients only</x:v>
      </x:c>
      <x:c r="C19" s="3" t="str">
        <x:f>IF(Master!D463="","",Master!D463)</x:f>
        <x:v>Open client/protocol potential</x:v>
      </x:c>
      <x:c r="D19" s="3" t="str">
        <x:f>IF(Master!E463="","",Master!E463)</x:f>
        <x:v>Open-source clients</x:v>
      </x:c>
      <x:c r="E19" s="3" t="str">
        <x:f>IF(Master!F463="","",Master!F463)</x:f>
        <x:v>Official clients</x:v>
      </x:c>
      <x:c r="F19" s="3" t="str">
        <x:f>IF(Master!G463="","",Master!G463)</x:f>
        <x:v>Single first-party client/service</x:v>
      </x:c>
      <x:c r="G19" s="3" t="str">
        <x:f>IF(Master!H463="","",Master!H463)</x:f>
        <x:v>Open clients/self-host but no federation</x:v>
      </x:c>
      <x:c r="H19" s="3" t="str">
        <x:f>IF(Master!I463="","",Master!I463)</x:f>
        <x:v>Official clients</x:v>
      </x:c>
      <x:c r="I19" s="3" t="str">
        <x:f>IF(Master!J463="","",Master!J463)</x:f>
        <x:v>Yes: custom clients</x:v>
      </x:c>
      <x:c r="J19" s="3" t="str">
        <x:f>IF(Master!K463="","",Master!K463)</x:f>
        <x:v>Single open-source client currently</x:v>
      </x:c>
      <x:c r="K19" s="3" t="str">
        <x:f>IF(Master!L463="","",Master!L463)</x:f>
        <x:v>Official clients share the same server APIs; third-party portability is possible but ecosystem is nascent</x:v>
      </x:c>
      <x:c r="L19" s="3" t="str">
        <x:f>IF(Master!M463="","",Master!M463)</x:f>
        <x:v>No</x:v>
      </x:c>
      <x:c r="M19" s="3" t="str">
        <x:f>IF(Master!N463="","",Master!N463)</x:f>
      </x:c>
      <x:c r="N19" s="3" t="str">
        <x:f>IF(Master!O463="","",Master!O463)</x:f>
        <x:v>Yes: switch clients freely against same Matrix account</x:v>
      </x:c>
      <x:c r="O19" s="3" t="str">
        <x:f>IF(Master!P463="","",Master!P463)</x:f>
        <x:v>Official clients can connect to custom servers</x:v>
      </x:c>
      <x:c r="P19" s="3" t="str">
        <x:f>IF(Master!Q463="","",Master!Q463)</x:f>
        <x:v>Open-source clients</x:v>
      </x:c>
      <x:c r="Q19" s="3" t="str">
        <x:f>IF(Master!R463="","",Master!R463)</x:f>
        <x:v>Yes across Mumble-compatible clients</x:v>
      </x:c>
      <x:c r="R19" s="3" t="str">
        <x:f>IF(Master!S463="","",Master!S463)</x:f>
        <x:v>Open-source clients possible</x:v>
      </x:c>
      <x:c r="S19" s="3" t="str">
        <x:f>IF(Master!T463="","",Master!T463)</x:f>
        <x:v>Official clients</x:v>
      </x:c>
      <x:c r="T19" s="3" t="str">
        <x:f>IF(Master!U463="","",Master!U463)</x:f>
        <x:v>Open source</x:v>
      </x:c>
      <x:c r="U19" s="3" t="str">
        <x:f>IF(Master!V463="","",Master!V463)</x:f>
        <x:v>Official client</x:v>
      </x:c>
      <x:c r="V19" s="3" t="str">
        <x:f>IF(Master!W463="","",Master!W463)</x:f>
        <x:v>Official clients can connect to custom servers</x:v>
      </x:c>
      <x:c r="W19" s="3" t="str">
        <x:f>IF(Master!X463="","",Master!X463)</x:f>
        <x:v>Potentially via open protocol</x:v>
      </x:c>
      <x:c r="X19" s="3" t="str">
        <x:f>IF(Master!Y463="","",Master!Y463)</x:f>
        <x:v>First-party clients</x:v>
      </x:c>
      <x:c r="Y19" s="3" t="str">
        <x:f>IF(Master!Z463="","",Master!Z463)</x:f>
        <x:v>Potentially compatible clients</x:v>
      </x:c>
      <x:c r="Z19" s="3" t="str">
        <x:f>IF(Master!AA463="","",Master!AA463)</x:f>
        <x:v>Limited: client custom-instance support is uneven</x:v>
      </x:c>
      <x:c r="AA19" s="6" t="str">
        <x:f>IF(Master!AB463="","",Master!AB463)</x:f>
        <x:v>Official ecosystem</x:v>
      </x:c>
      <x:c r="AB19" s="3" t="str">
        <x:f>IF(Master!AC463="","",Master!AC463)</x:f>
        <x:v>Open API/client</x:v>
      </x:c>
      <x:c r="AC19" s="3" t="str">
        <x:f>IF(Master!AD463="","",Master!AD463)</x:f>
      </x:c>
      <x:c r="AD19" s="3" t="str">
        <x:f>IF(Master!AE463="","",Master!AE463)</x:f>
        <x:v>Official client</x:v>
      </x:c>
      <x:c r="AE19" s="3" t="str">
        <x:f>IF(Master!AF463="","",Master!AF463)</x:f>
        <x:v>Official client</x:v>
      </x:c>
      <x:c r="AF19" s="8" t="str">
        <x:f>IF(Master!AG463="","",Master!AG463)</x:f>
        <x:v>Official clients can connect to custom servers</x:v>
      </x:c>
    </x:row>
    <x:row r="20" ht="36" customHeight="1">
      <x:c r="A20" s="17" t="s">
        <x:v>722</x:v>
      </x:c>
      <x:c r="B20" s="3" t="str">
        <x:f>IF(Master!C464="","",Master!C464)</x:f>
        <x:v>Discord is the source platform.</x:v>
      </x:c>
      <x:c r="C20" s="3" t="str">
        <x:f>IF(Master!D464="","",Master!D464)</x:f>
        <x:v>Imports server metadata, text/announcement channels, roles, custom emoji, and eligible history. Does not migrate members, private channels, forum channels, or media channels. Optional bridge mirrors supported content both ways.</x:v>
      </x:c>
      <x:c r="D20" s="3" t="str">
        <x:f>IF(Master!E464="","",Master!E464)</x:f>
        <x:v>Discord bridge is experimental/WIP; native cross-instance messenger is more mature.</x:v>
      </x:c>
      <x:c r="E20" s="3" t="str">
        <x:f>IF(Master!F464="","",Master!F464)</x:f>
        <x:v>No migration/federation framework verified.</x:v>
      </x:c>
      <x:c r="F20" s="3" t="str">
        <x:f>IF(Master!G464="","",Master!G464)</x:f>
        <x:v>Migration features are still alpha/roadmap.</x:v>
      </x:c>
      <x:c r="G20" s="3" t="str">
        <x:f>IF(Master!H464="","",Master!H464)</x:f>
        <x:v>Roadmap includes federation; do not mark it available yet.</x:v>
      </x:c>
      <x:c r="H20" s="3" t="str">
        <x:f>IF(Master!I464="","",Master!I464)</x:f>
        <x:v>Importer handles structural server migration, not message history.</x:v>
      </x:c>
      <x:c r="I20" s="3" t="str">
        <x:f>IF(Master!J464="","",Master!J464)</x:f>
        <x:v>API compatibility is currently more mature than federation.</x:v>
      </x:c>
      <x:c r="J20" s="3" t="str">
        <x:f>IF(Master!K464="","",Master!K464)</x:f>
        <x:v>Local-first portability is stronger than migration from Discord.</x:v>
      </x:c>
      <x:c r="K20" s="3" t="str">
        <x:f>IF(Master!L464="","",Master!L464)</x:f>
        <x:v>Discord bridge copies live messages between paired plaintext channels; it is not a history importer.</x:v>
      </x:c>
      <x:c r="L20" s="3" t="str">
        <x:f>IF(Master!M464="","",Master!M464)</x:f>
        <x:v>No migration/interop framework verified.</x:v>
      </x:c>
      <x:c r="M20" s="3" t="str">
        <x:f>IF(Master!N464="","",Master!N464)</x:f>
        <x:v>Importer handles channels/categories/roles/permissions/emoji/bans/icon.</x:v>
      </x:c>
      <x:c r="N20" s="3" t="str">
        <x:f>IF(Master!O464="","",Master!O464)</x:f>
        <x:v>Matrix is strongest here because interoperability is part of the protocol model, not a single-vendor feature.</x:v>
      </x:c>
      <x:c r="O20" s="3" t="str">
        <x:f>IF(Master!P464="","",Master!P464)</x:f>
        <x:v>Strong admin migration/export tools, but not federation.</x:v>
      </x:c>
      <x:c r="P20" s="3" t="str">
        <x:f>IF(Master!Q464="","",Master!Q464)</x:f>
        <x:v>Extensible API/integration focus rather than federation.</x:v>
      </x:c>
      <x:c r="Q20" s="3" t="str">
        <x:f>IF(Master!R464="","",Master!R464)</x:f>
        <x:v>Voice protocol interoperability rather than social-platform migration.</x:v>
      </x:c>
      <x:c r="R20" s="3" t="str">
        <x:f>IF(Master!S464="","",Master!S464)</x:f>
        <x:v>No built-in Discord migration/federation verified.</x:v>
      </x:c>
      <x:c r="S20" s="3" t="str">
        <x:f>IF(Master!T464="","",Master!T464)</x:f>
        <x:v>Migration features exist, but exact data coverage is not comprehensively documented.</x:v>
      </x:c>
      <x:c r="T20" s="3" t="str">
        <x:f>IF(Master!U464="","",Master!U464)</x:f>
        <x:v>Discord template import is layout-only: categories, channels and main permissions. Messages and members do not migrate.</x:v>
      </x:c>
      <x:c r="U20" s="3" t="str">
        <x:f>IF(Master!V464="","",Master!V464)</x:f>
        <x:v>No migration/bridge framework verified.</x:v>
      </x:c>
      <x:c r="V20" s="3" t="str">
        <x:f>IF(Master!W464="","",Master!W464)</x:f>
        <x:v>Federation is real but has explicit limitations such as no E2EE/calls in federated rooms.</x:v>
      </x:c>
      <x:c r="W20" s="3" t="str">
        <x:f>IF(Master!X464="","",Master!X464)</x:f>
        <x:v>Discord bridge is first-class in the repository.</x:v>
      </x:c>
      <x:c r="X20" s="3" t="str">
        <x:f>IF(Master!Y464="","",Master!Y464)</x:f>
        <x:v>Discord template import is structural only; it does not move messages, users, files, emojis, bots or webhooks.</x:v>
      </x:c>
      <x:c r="Y20" s="3" t="str">
        <x:f>IF(Master!Z464="","",Master!Z464)</x:f>
        <x:v>Designed to make Discord clients/bots easier to reuse on a separate service.</x:v>
      </x:c>
      <x:c r="Z20" s="3" t="str">
        <x:f>IF(Master!AA464="","",Master!AA464)</x:f>
        <x:v>Self-hosting exists but migration/interop tooling is still limited.</x:v>
      </x:c>
      <x:c r="AA20" s="6" t="str">
        <x:f>IF(Master!AB464="","",Master!AB464)</x:f>
        <x:v>Independent servers are portable operationally, not federated socially.</x:v>
      </x:c>
      <x:c r="AB20" s="3" t="str">
        <x:f>IF(Master!AC464="","",Master!AC464)</x:f>
        <x:v>Built-in importer is a major onboarding feature.</x:v>
      </x:c>
      <x:c r="AC20" s="3" t="str">
        <x:f>IF(Master!AD464="","",Master!AD464)</x:f>
        <x:v>Open protocol direction should allow bridges, but current production interop is limited.</x:v>
      </x:c>
      <x:c r="AD20" s="3" t="str">
        <x:f>IF(Master!AE464="","",Master!AE464)</x:f>
        <x:v>No Discord importer because product model intentionally differs.</x:v>
      </x:c>
      <x:c r="AE20" s="3" t="str">
        <x:f>IF(Master!AF464="","",Master!AF464)</x:f>
        <x:v>Self-host control rather than cross-platform bridging.</x:v>
      </x:c>
      <x:c r="AF20" s="8" t="str">
        <x:f>IF(Master!AG464="","",Master!AG464)</x:f>
        <x:v>Native importers focus on Slack, Mattermost and Rocket.Chat rather than Discord.</x:v>
      </x:c>
    </x:row>
    <x:row r="21" ht="21.950000762939453" customHeight="1">
      <x:c r="A21" s="18" t="s">
        <x:v>723</x:v>
      </x:c>
      <x:c r="B21" s="18" t="str">
        <x:f t="shared" ref="B21:AF21" si="0">IF(""="","","")</x:f>
      </x:c>
      <x:c r="C21" s="18" t="str">
        <x:f t="shared" si="0"/>
      </x:c>
      <x:c r="D21" s="18" t="str">
        <x:f t="shared" si="0"/>
      </x:c>
      <x:c r="E21" s="18" t="str">
        <x:f t="shared" si="0"/>
      </x:c>
      <x:c r="F21" s="18" t="str">
        <x:f t="shared" si="0"/>
      </x:c>
      <x:c r="G21" s="18" t="str">
        <x:f t="shared" si="0"/>
      </x:c>
      <x:c r="H21" s="18" t="str">
        <x:f t="shared" si="0"/>
      </x:c>
      <x:c r="I21" s="18" t="str">
        <x:f t="shared" si="0"/>
      </x:c>
      <x:c r="J21" s="18" t="str">
        <x:f t="shared" si="0"/>
      </x:c>
      <x:c r="K21" s="18" t="str">
        <x:f t="shared" si="0"/>
      </x:c>
      <x:c r="L21" s="18" t="str">
        <x:f t="shared" si="0"/>
      </x:c>
      <x:c r="M21" s="18" t="str">
        <x:f t="shared" si="0"/>
      </x:c>
      <x:c r="N21" s="18" t="str">
        <x:f t="shared" si="0"/>
      </x:c>
      <x:c r="O21" s="18" t="str">
        <x:f t="shared" si="0"/>
      </x:c>
      <x:c r="P21" s="18" t="str">
        <x:f t="shared" si="0"/>
      </x:c>
      <x:c r="Q21" s="18" t="str">
        <x:f t="shared" si="0"/>
      </x:c>
      <x:c r="R21" s="18" t="str">
        <x:f t="shared" si="0"/>
      </x:c>
      <x:c r="S21" s="18" t="str">
        <x:f t="shared" si="0"/>
      </x:c>
      <x:c r="T21" s="18" t="str">
        <x:f t="shared" si="0"/>
      </x:c>
      <x:c r="U21" s="18" t="str">
        <x:f t="shared" si="0"/>
      </x:c>
      <x:c r="V21" s="18" t="str">
        <x:f t="shared" si="0"/>
      </x:c>
      <x:c r="W21" s="18" t="str">
        <x:f t="shared" si="0"/>
      </x:c>
      <x:c r="X21" s="18" t="str">
        <x:f t="shared" si="0"/>
      </x:c>
      <x:c r="Y21" s="18" t="str">
        <x:f t="shared" si="0"/>
      </x:c>
      <x:c r="Z21" s="18" t="str">
        <x:f t="shared" si="0"/>
      </x:c>
      <x:c r="AA21" s="18" t="str">
        <x:f t="shared" si="0"/>
      </x:c>
      <x:c r="AB21" s="18" t="str">
        <x:f t="shared" si="0"/>
      </x:c>
      <x:c r="AC21" s="18" t="str">
        <x:f t="shared" si="0"/>
      </x:c>
      <x:c r="AD21" s="18" t="str">
        <x:f t="shared" si="0"/>
      </x:c>
      <x:c r="AE21" s="18" t="str">
        <x:f t="shared" si="0"/>
      </x:c>
      <x:c r="AF21" s="19" t="str">
        <x:f t="shared" si="0"/>
      </x:c>
    </x:row>
    <x:row r="22" ht="36" customHeight="1">
      <x:c r="A22" s="17" t="s">
        <x:v>724</x:v>
      </x:c>
      <x:c r="B22" s="3" t="str">
        <x:f>IF(Master!C465="","",Master!C465)</x:f>
        <x:v>N/A</x:v>
      </x:c>
      <x:c r="C22" s="3" t="str">
        <x:f>IF(Master!D465="","",Master!D465)</x:f>
        <x:v>Yes: category grouping preserved</x:v>
      </x:c>
      <x:c r="D22" s="3" t="str">
        <x:f>IF(Master!E465="","",Master!E465)</x:f>
      </x:c>
      <x:c r="E22" s="3" t="str">
        <x:f>IF(Master!F465="","",Master!F465)</x:f>
      </x:c>
      <x:c r="F22" s="3" t="str">
        <x:f>IF(Master!G465="","",Master!G465)</x:f>
      </x:c>
      <x:c r="G22" s="3" t="str">
        <x:f>IF(Master!H465="","",Master!H465)</x:f>
      </x:c>
      <x:c r="H22" s="3" t="str">
        <x:f>IF(Master!I465="","",Master!I465)</x:f>
      </x:c>
      <x:c r="I22" s="3" t="str">
        <x:f>IF(Master!J465="","",Master!J465)</x:f>
      </x:c>
      <x:c r="J22" s="3" t="str">
        <x:f>IF(Master!K465="","",Master!K465)</x:f>
      </x:c>
      <x:c r="K22" s="3" t="str">
        <x:f>IF(Master!L465="","",Master!L465)</x:f>
        <x:v>No dedicated Discord server importer documented</x:v>
      </x:c>
      <x:c r="L22" s="3" t="str">
        <x:f>IF(Master!M465="","",Master!M465)</x:f>
      </x:c>
      <x:c r="M22" s="3" t="str">
        <x:f>IF(Master!N465="","",Master!N465)</x:f>
      </x:c>
      <x:c r="N22" s="3" t="str">
        <x:f>IF(Master!O465="","",Master!O465)</x:f>
      </x:c>
      <x:c r="O22" s="3" t="str">
        <x:f>IF(Master!P465="","",Master!P465)</x:f>
      </x:c>
      <x:c r="P22" s="3" t="str">
        <x:f>IF(Master!Q465="","",Master!Q465)</x:f>
      </x:c>
      <x:c r="Q22" s="3" t="str">
        <x:f>IF(Master!R465="","",Master!R465)</x:f>
      </x:c>
      <x:c r="R22" s="3" t="str">
        <x:f>IF(Master!S465="","",Master!S465)</x:f>
      </x:c>
      <x:c r="S22" s="3" t="str">
        <x:f>IF(Master!T465="","",Master!T465)</x:f>
      </x:c>
      <x:c r="T22" s="3" t="str">
        <x:f>IF(Master!U465="","",Master!U465)</x:f>
        <x:v>Yes</x:v>
      </x:c>
      <x:c r="U22" s="3" t="str">
        <x:f>IF(Master!V465="","",Master!V465)</x:f>
        <x:v>Yes: Discord template import preserves categories/order</x:v>
      </x:c>
      <x:c r="V22" s="3" t="str">
        <x:f>IF(Master!W465="","",Master!W465)</x:f>
      </x:c>
      <x:c r="W22" s="3" t="str">
        <x:f>IF(Master!X465="","",Master!X465)</x:f>
      </x:c>
      <x:c r="X22" s="3" t="str">
        <x:f>IF(Master!Y465="","",Master!Y465)</x:f>
      </x:c>
      <x:c r="Y22" s="3" t="str">
        <x:f>IF(Master!Z465="","",Master!Z465)</x:f>
      </x:c>
      <x:c r="Z22" s="3" t="str">
        <x:f>IF(Master!AA465="","",Master!AA465)</x:f>
      </x:c>
      <x:c r="AA22" s="6" t="str">
        <x:f>IF(Master!AB465="","",Master!AB465)</x:f>
      </x:c>
      <x:c r="AB22" s="3" t="str">
        <x:f>IF(Master!AC465="","",Master!AC465)</x:f>
      </x:c>
      <x:c r="AC22" s="3" t="str">
        <x:f>IF(Master!AD465="","",Master!AD465)</x:f>
      </x:c>
      <x:c r="AD22" s="3" t="str">
        <x:f>IF(Master!AE465="","",Master!AE465)</x:f>
      </x:c>
      <x:c r="AE22" s="3" t="str">
        <x:f>IF(Master!AF465="","",Master!AF465)</x:f>
      </x:c>
      <x:c r="AF22" s="8" t="str">
        <x:f>IF(Master!AG465="","",Master!AG465)</x:f>
      </x:c>
    </x:row>
    <x:row r="23" ht="36" customHeight="1">
      <x:c r="A23" s="17" t="s">
        <x:v>725</x:v>
      </x:c>
      <x:c r="B23" s="3" t="str">
        <x:f>IF(Master!C466="","",Master!C466)</x:f>
        <x:v>N/A</x:v>
      </x:c>
      <x:c r="C23" s="3" t="str">
        <x:f>IF(Master!D466="","",Master!D466)</x:f>
      </x:c>
      <x:c r="D23" s="3" t="str">
        <x:f>IF(Master!E466="","",Master!E466)</x:f>
      </x:c>
      <x:c r="E23" s="3" t="str">
        <x:f>IF(Master!F466="","",Master!F466)</x:f>
      </x:c>
      <x:c r="F23" s="3" t="str">
        <x:f>IF(Master!G466="","",Master!G466)</x:f>
      </x:c>
      <x:c r="G23" s="3" t="str">
        <x:f>IF(Master!H466="","",Master!H466)</x:f>
      </x:c>
      <x:c r="H23" s="3" t="str">
        <x:f>IF(Master!I466="","",Master!I466)</x:f>
      </x:c>
      <x:c r="I23" s="3" t="str">
        <x:f>IF(Master!J466="","",Master!J466)</x:f>
      </x:c>
      <x:c r="J23" s="3" t="str">
        <x:f>IF(Master!K466="","",Master!K466)</x:f>
      </x:c>
      <x:c r="K23" s="3" t="str">
        <x:f>IF(Master!L466="","",Master!L466)</x:f>
        <x:v>No dedicated Discord server importer documented</x:v>
      </x:c>
      <x:c r="L23" s="3" t="str">
        <x:f>IF(Master!M466="","",Master!M466)</x:f>
      </x:c>
      <x:c r="M23" s="3" t="str">
        <x:f>IF(Master!N466="","",Master!N466)</x:f>
      </x:c>
      <x:c r="N23" s="3" t="str">
        <x:f>IF(Master!O466="","",Master!O466)</x:f>
      </x:c>
      <x:c r="O23" s="3" t="str">
        <x:f>IF(Master!P466="","",Master!P466)</x:f>
      </x:c>
      <x:c r="P23" s="3" t="str">
        <x:f>IF(Master!Q466="","",Master!Q466)</x:f>
      </x:c>
      <x:c r="Q23" s="3" t="str">
        <x:f>IF(Master!R466="","",Master!R466)</x:f>
      </x:c>
      <x:c r="R23" s="3" t="str">
        <x:f>IF(Master!S466="","",Master!S466)</x:f>
      </x:c>
      <x:c r="S23" s="3" t="str">
        <x:f>IF(Master!T466="","",Master!T466)</x:f>
      </x:c>
      <x:c r="T23" s="3" t="str">
        <x:f>IF(Master!U466="","",Master!U466)</x:f>
      </x:c>
      <x:c r="U23" s="3" t="str">
        <x:f>IF(Master!V466="","",Master!V466)</x:f>
        <x:v>Yes: template import includes forum tags</x:v>
      </x:c>
      <x:c r="V23" s="3" t="str">
        <x:f>IF(Master!W466="","",Master!W466)</x:f>
      </x:c>
      <x:c r="W23" s="3" t="str">
        <x:f>IF(Master!X466="","",Master!X466)</x:f>
      </x:c>
      <x:c r="X23" s="3" t="str">
        <x:f>IF(Master!Y466="","",Master!Y466)</x:f>
      </x:c>
      <x:c r="Y23" s="3" t="str">
        <x:f>IF(Master!Z466="","",Master!Z466)</x:f>
      </x:c>
      <x:c r="Z23" s="3" t="str">
        <x:f>IF(Master!AA466="","",Master!AA466)</x:f>
      </x:c>
      <x:c r="AA23" s="6" t="str">
        <x:f>IF(Master!AB466="","",Master!AB466)</x:f>
      </x:c>
      <x:c r="AB23" s="3" t="str">
        <x:f>IF(Master!AC466="","",Master!AC466)</x:f>
      </x:c>
      <x:c r="AC23" s="3" t="str">
        <x:f>IF(Master!AD466="","",Master!AD466)</x:f>
      </x:c>
      <x:c r="AD23" s="3" t="str">
        <x:f>IF(Master!AE466="","",Master!AE466)</x:f>
      </x:c>
      <x:c r="AE23" s="3" t="str">
        <x:f>IF(Master!AF466="","",Master!AF466)</x:f>
      </x:c>
      <x:c r="AF23" s="8" t="str">
        <x:f>IF(Master!AG466="","",Master!AG466)</x:f>
      </x:c>
    </x:row>
    <x:row r="24" ht="36" customHeight="1">
      <x:c r="A24" s="17" t="s">
        <x:v>726</x:v>
      </x:c>
      <x:c r="B24" s="3" t="str">
        <x:f>IF(Master!C467="","",Master!C467)</x:f>
        <x:v>N/A</x:v>
      </x:c>
      <x:c r="C24" s="3" t="str">
        <x:f>IF(Master!D467="","",Master!D467)</x:f>
      </x:c>
      <x:c r="D24" s="3" t="str">
        <x:f>IF(Master!E467="","",Master!E467)</x:f>
      </x:c>
      <x:c r="E24" s="3" t="str">
        <x:f>IF(Master!F467="","",Master!F467)</x:f>
      </x:c>
      <x:c r="F24" s="3" t="str">
        <x:f>IF(Master!G467="","",Master!G467)</x:f>
      </x:c>
      <x:c r="G24" s="3" t="str">
        <x:f>IF(Master!H467="","",Master!H467)</x:f>
      </x:c>
      <x:c r="H24" s="3" t="str">
        <x:f>IF(Master!I467="","",Master!I467)</x:f>
      </x:c>
      <x:c r="I24" s="3" t="str">
        <x:f>IF(Master!J467="","",Master!J467)</x:f>
      </x:c>
      <x:c r="J24" s="3" t="str">
        <x:f>IF(Master!K467="","",Master!K467)</x:f>
      </x:c>
      <x:c r="K24" s="3" t="str">
        <x:f>IF(Master!L467="","",Master!L467)</x:f>
        <x:v>No Discord webhook-format compatibility claim; Kaede has its own incoming webhook model</x:v>
      </x:c>
      <x:c r="L24" s="3" t="str">
        <x:f>IF(Master!M467="","",Master!M467)</x:f>
      </x:c>
      <x:c r="M24" s="3" t="str">
        <x:f>IF(Master!N467="","",Master!N467)</x:f>
      </x:c>
      <x:c r="N24" s="3" t="str">
        <x:f>IF(Master!O467="","",Master!O467)</x:f>
      </x:c>
      <x:c r="O24" s="3" t="str">
        <x:f>IF(Master!P467="","",Master!P467)</x:f>
      </x:c>
      <x:c r="P24" s="3" t="str">
        <x:f>IF(Master!Q467="","",Master!Q467)</x:f>
      </x:c>
      <x:c r="Q24" s="3" t="str">
        <x:f>IF(Master!R467="","",Master!R467)</x:f>
      </x:c>
      <x:c r="R24" s="3" t="str">
        <x:f>IF(Master!S467="","",Master!S467)</x:f>
      </x:c>
      <x:c r="S24" s="3" t="str">
        <x:f>IF(Master!T467="","",Master!T467)</x:f>
      </x:c>
      <x:c r="T24" s="3" t="str">
        <x:f>IF(Master!U467="","",Master!U467)</x:f>
        <x:v>Yes: incoming Discord-compatible webhooks</x:v>
      </x:c>
      <x:c r="U24" s="3" t="str">
        <x:f>IF(Master!V467="","",Master!V467)</x:f>
        <x:v>Yes: incoming webhooks accept Discord format</x:v>
      </x:c>
      <x:c r="V24" s="3" t="str">
        <x:f>IF(Master!W467="","",Master!W467)</x:f>
      </x:c>
      <x:c r="W24" s="3" t="str">
        <x:f>IF(Master!X467="","",Master!X467)</x:f>
      </x:c>
      <x:c r="X24" s="3" t="str">
        <x:f>IF(Master!Y467="","",Master!Y467)</x:f>
      </x:c>
      <x:c r="Y24" s="3" t="str">
        <x:f>IF(Master!Z467="","",Master!Z467)</x:f>
      </x:c>
      <x:c r="Z24" s="3" t="str">
        <x:f>IF(Master!AA467="","",Master!AA467)</x:f>
      </x:c>
      <x:c r="AA24" s="6" t="str">
        <x:f>IF(Master!AB467="","",Master!AB467)</x:f>
      </x:c>
      <x:c r="AB24" s="3" t="str">
        <x:f>IF(Master!AC467="","",Master!AC467)</x:f>
      </x:c>
      <x:c r="AC24" s="3" t="str">
        <x:f>IF(Master!AD467="","",Master!AD467)</x:f>
      </x:c>
      <x:c r="AD24" s="3" t="str">
        <x:f>IF(Master!AE467="","",Master!AE467)</x:f>
      </x:c>
      <x:c r="AE24" s="3" t="str">
        <x:f>IF(Master!AF467="","",Master!AF467)</x:f>
      </x:c>
      <x:c r="AF24" s="8" t="str">
        <x:f>IF(Master!AG467="","",Master!AG467)</x:f>
      </x:c>
    </x:row>
    <x:row r="25" ht="36" customHeight="1">
      <x:c r="A25" s="17" t="s">
        <x:v>727</x:v>
      </x:c>
      <x:c r="B25" s="3" t="str">
        <x:f>IF(Master!C468="","",Master!C468)</x:f>
      </x:c>
      <x:c r="C25" s="3" t="str">
        <x:f>IF(Master!D468="","",Master!D468)</x:f>
      </x:c>
      <x:c r="D25" s="3" t="str">
        <x:f>IF(Master!E468="","",Master!E468)</x:f>
      </x:c>
      <x:c r="E25" s="3" t="str">
        <x:f>IF(Master!F468="","",Master!F468)</x:f>
      </x:c>
      <x:c r="F25" s="3" t="str">
        <x:f>IF(Master!G468="","",Master!G468)</x:f>
      </x:c>
      <x:c r="G25" s="3" t="str">
        <x:f>IF(Master!H468="","",Master!H468)</x:f>
      </x:c>
      <x:c r="H25" s="3" t="str">
        <x:f>IF(Master!I468="","",Master!I468)</x:f>
      </x:c>
      <x:c r="I25" s="3" t="str">
        <x:f>IF(Master!J468="","",Master!J468)</x:f>
      </x:c>
      <x:c r="J25" s="3" t="str">
        <x:f>IF(Master!K468="","",Master!K468)</x:f>
      </x:c>
      <x:c r="K25" s="3" t="str">
        <x:f>IF(Master!L468="","",Master!L468)</x:f>
        <x:v>No hosted↔self-host migration tooling documented</x:v>
      </x:c>
      <x:c r="L25" s="3" t="str">
        <x:f>IF(Master!M468="","",Master!M468)</x:f>
      </x:c>
      <x:c r="M25" s="3" t="str">
        <x:f>IF(Master!N468="","",Master!N468)</x:f>
      </x:c>
      <x:c r="N25" s="3" t="str">
        <x:f>IF(Master!O468="","",Master!O468)</x:f>
      </x:c>
      <x:c r="O25" s="3" t="str">
        <x:f>IF(Master!P468="","",Master!P468)</x:f>
      </x:c>
      <x:c r="P25" s="3" t="str">
        <x:f>IF(Master!Q468="","",Master!Q468)</x:f>
      </x:c>
      <x:c r="Q25" s="3" t="str">
        <x:f>IF(Master!R468="","",Master!R468)</x:f>
      </x:c>
      <x:c r="R25" s="3" t="str">
        <x:f>IF(Master!S468="","",Master!S468)</x:f>
      </x:c>
      <x:c r="S25" s="3" t="str">
        <x:f>IF(Master!T468="","",Master!T468)</x:f>
      </x:c>
      <x:c r="T25" s="3" t="str">
        <x:f>IF(Master!U468="","",Master!U468)</x:f>
        <x:v>No migration tooling claim provided</x:v>
      </x:c>
      <x:c r="U25" s="3" t="str">
        <x:f>IF(Master!V468="","",Master!V468)</x:f>
        <x:v>N/A: no public self-hosting</x:v>
      </x:c>
      <x:c r="V25" s="3" t="str">
        <x:f>IF(Master!W468="","",Master!W468)</x:f>
      </x:c>
      <x:c r="W25" s="3" t="str">
        <x:f>IF(Master!X468="","",Master!X468)</x:f>
      </x:c>
      <x:c r="X25" s="3" t="str">
        <x:f>IF(Master!Y468="","",Master!Y468)</x:f>
      </x:c>
      <x:c r="Y25" s="3" t="str">
        <x:f>IF(Master!Z468="","",Master!Z468)</x:f>
      </x:c>
      <x:c r="Z25" s="3" t="str">
        <x:f>IF(Master!AA468="","",Master!AA468)</x:f>
      </x:c>
      <x:c r="AA25" s="6" t="str">
        <x:f>IF(Master!AB468="","",Master!AB468)</x:f>
      </x:c>
      <x:c r="AB25" s="3" t="str">
        <x:f>IF(Master!AC468="","",Master!AC468)</x:f>
      </x:c>
      <x:c r="AC25" s="3" t="str">
        <x:f>IF(Master!AD468="","",Master!AD468)</x:f>
      </x:c>
      <x:c r="AD25" s="3" t="str">
        <x:f>IF(Master!AE468="","",Master!AE468)</x:f>
      </x:c>
      <x:c r="AE25" s="3" t="str">
        <x:f>IF(Master!AF468="","",Master!AF468)</x:f>
      </x:c>
      <x:c r="AF25" s="8" t="str">
        <x:f>IF(Master!AG468="","",Master!AG468)</x:f>
      </x:c>
    </x:row>
  </x:sheetData>
  <x:mergeCells>
    <x:mergeCell ref="A1:AF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Directory'!A1","Security &amp; Privacy"),"Security &amp; Privacy")</x:f>
        <x:v>Security &amp; Privacy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728</x:v>
      </x:c>
      <x:c r="B3" s="3" t="str">
        <x:f>IF(Master!C469="","",Master!C469)</x:f>
      </x:c>
      <x:c r="C3" s="3" t="str">
        <x:f>IF(Master!D469="","",Master!D469)</x:f>
        <x:v>TLS + Nostr relay transport</x:v>
      </x:c>
      <x:c r="D3" s="3" t="str">
        <x:f>IF(Master!E469="","",Master!E469)</x:f>
        <x:v>TLS required for network access</x:v>
      </x:c>
      <x:c r="E3" s="3" t="str">
        <x:f>IF(Master!F469="","",Master!F469)</x:f>
        <x:v>TLS</x:v>
      </x:c>
      <x:c r="F3" s="3" t="str">
        <x:f>IF(Master!G469="","",Master!G469)</x:f>
        <x:v>TLS in transit</x:v>
      </x:c>
      <x:c r="G3" s="3" t="str">
        <x:f>IF(Master!H469="","",Master!H469)</x:f>
        <x:v>Encrypted in transit; at rest for stored content</x:v>
      </x:c>
      <x:c r="H3" s="3" t="str">
        <x:f>IF(Master!I469="","",Master!I469)</x:f>
        <x:v>TLS in transit</x:v>
      </x:c>
      <x:c r="I3" s="3" t="str">
        <x:f>IF(Master!J469="","",Master!J469)</x:f>
        <x:v>TLS when deployed</x:v>
      </x:c>
      <x:c r="J3" s="3" t="str">
        <x:f>IF(Master!K469="","",Master!K469)</x:f>
        <x:v>TLS relays + end-to-end crypto</x:v>
      </x:c>
      <x:c r="K3" s="3" t="str">
        <x:f>IF(Master!L469="","",Master!L469)</x:f>
        <x:v>Yes: HTTPS/TLS required for production</x:v>
      </x:c>
      <x:c r="L3" s="3" t="str">
        <x:f>IF(Master!M469="","",Master!M469)</x:f>
        <x:v>TLS</x:v>
      </x:c>
      <x:c r="M3" s="3" t="str">
        <x:f>IF(Master!N469="","",Master!N469)</x:f>
        <x:v>TLS</x:v>
      </x:c>
      <x:c r="N3" s="3" t="str">
        <x:f>IF(Master!O469="","",Master!O469)</x:f>
        <x:v>HTTPS/TLS transport; implementation-dependent TLS configuration</x:v>
      </x:c>
      <x:c r="O3" s="3" t="str">
        <x:f>IF(Master!P469="","",Master!P469)</x:f>
        <x:v>TLS configurable; enterprise deployment-controlled</x:v>
      </x:c>
      <x:c r="P3" s="3" t="str">
        <x:f>IF(Master!Q469="","",Master!Q469)</x:f>
        <x:v>TLS</x:v>
      </x:c>
      <x:c r="Q3" s="3" t="str">
        <x:f>IF(Master!R469="","",Master!R469)</x:f>
        <x:v>TLS control channel + encrypted voice transport</x:v>
      </x:c>
      <x:c r="R3" s="3" t="str">
        <x:f>IF(Master!S469="","",Master!S469)</x:f>
        <x:v>TLS in transit</x:v>
      </x:c>
      <x:c r="S3" s="3" t="str">
        <x:f>IF(Master!T469="","",Master!T469)</x:f>
        <x:v>TLS/encrypted connections</x:v>
      </x:c>
      <x:c r="T3" s="3" t="str">
        <x:f>IF(Master!U469="","",Master!U469)</x:f>
        <x:v>Yes: TLS in transit; TLS 1.3 specifically not claimed</x:v>
      </x:c>
      <x:c r="U3" s="3" t="str">
        <x:f>IF(Master!V469="","",Master!V469)</x:f>
        <x:v>TLS</x:v>
      </x:c>
      <x:c r="V3" s="3" t="str">
        <x:f>IF(Master!W469="","",Master!W469)</x:f>
        <x:v>TLS in transit configurable</x:v>
      </x:c>
      <x:c r="W3" s="3" t="str">
        <x:f>IF(Master!X469="","",Master!X469)</x:f>
        <x:v>TLS</x:v>
      </x:c>
      <x:c r="X3" s="3" t="str">
        <x:f>IF(Master!Y469="","",Master!Y469)</x:f>
        <x:v>TLS in transit</x:v>
      </x:c>
      <x:c r="Y3" s="3" t="str">
        <x:f>IF(Master!Z469="","",Master!Z469)</x:f>
        <x:v>TLS when correctly deployed; operator-controlled</x:v>
      </x:c>
      <x:c r="Z3" s="3" t="str">
        <x:f>IF(Master!AA469="","",Master!AA469)</x:f>
        <x:v>TLS in transit</x:v>
      </x:c>
      <x:c r="AA3" s="6" t="str">
        <x:f>IF(Master!AB469="","",Master!AB469)</x:f>
        <x:v>Encrypted transport</x:v>
      </x:c>
      <x:c r="AB3" s="3" t="str">
        <x:f>IF(Master!AC469="","",Master!AC469)</x:f>
        <x:v>TLS</x:v>
      </x:c>
      <x:c r="AC3" s="3" t="str">
        <x:f>IF(Master!AD469="","",Master!AD469)</x:f>
        <x:v>TLS</x:v>
      </x:c>
      <x:c r="AD3" s="3" t="str">
        <x:f>IF(Master!AE469="","",Master!AE469)</x:f>
        <x:v>TLS</x:v>
      </x:c>
      <x:c r="AE3" s="3" t="str">
        <x:f>IF(Master!AF469="","",Master!AF469)</x:f>
        <x:v>TLS</x:v>
      </x:c>
      <x:c r="AF3" s="8" t="str">
        <x:f>IF(Master!AG469="","",Master!AG469)</x:f>
        <x:v>TLS in transit</x:v>
      </x:c>
    </x:row>
    <x:row r="4" ht="36" customHeight="1">
      <x:c r="A4" s="17" t="s">
        <x:v>729</x:v>
      </x:c>
      <x:c r="B4" s="3" t="str">
        <x:f>IF(Master!C470="","",Master!C470)</x:f>
        <x:v>No for text DMs; DM voice/video calls are E2EE</x:v>
      </x:c>
      <x:c r="C4" s="3" t="str">
        <x:f>IF(Master!D470="","",Master!D470)</x:f>
        <x:v>Yes: E2EE community/DM design</x:v>
      </x:c>
      <x:c r="D4" s="3" t="str">
        <x:f>IF(Master!E470="","",Master!E470)</x:f>
        <x:v>Yes: desktop server DMs can be E2EE; decentralized messenger always E2EE</x:v>
      </x:c>
      <x:c r="E4" s="3" t="str">
        <x:f>IF(Master!F470="","",Master!F470)</x:f>
        <x:v>No E2EE text claim</x:v>
      </x:c>
      <x:c r="F4" s="3" t="str">
        <x:f>IF(Master!G470="","",Master!G470)</x:f>
        <x:v>Yes: DM text E2EE by default</x:v>
      </x:c>
      <x:c r="G4" s="3" t="str">
        <x:f>IF(Master!H470="","",Master!H470)</x:f>
        <x:v>No: latest 2026 privacy policy says nothing is E2EE yet</x:v>
      </x:c>
      <x:c r="H4" s="3" t="str">
        <x:f>IF(Master!I470="","",Master!I470)</x:f>
        <x:v>No text E2EE claim</x:v>
      </x:c>
      <x:c r="I4" s="3" t="str">
        <x:f>IF(Master!J470="","",Master!J470)</x:f>
        <x:v>Yes: vodozemac-backed E2EE live</x:v>
      </x:c>
      <x:c r="J4" s="3" t="str">
        <x:f>IF(Master!K470="","",Master!K470)</x:f>
        <x:v>Yes</x:v>
      </x:c>
      <x:c r="K4" s="3" t="str">
        <x:f>IF(Master!L470="","",Master!L470)</x:f>
        <x:v>Yes: optional room/DM MLS 1.0</x:v>
      </x:c>
      <x:c r="L4" s="3" t="str">
        <x:f>IF(Master!M470="","",Master!M470)</x:f>
        <x:v>E2EE not yet verified/currently WIP</x:v>
      </x:c>
      <x:c r="M4" s="3" t="str">
        <x:f>IF(Master!N470="","",Master!N470)</x:f>
      </x:c>
      <x:c r="N4" s="3" t="str">
        <x:f>IF(Master!O470="","",Master!O470)</x:f>
        <x:v>Supported by Matrix E2EE; default behavior is client-dependent</x:v>
      </x:c>
      <x:c r="O4" s="3" t="str">
        <x:f>IF(Master!P470="","",Master!P470)</x:f>
        <x:v>No native E2EE for server-stored messages</x:v>
      </x:c>
      <x:c r="P4" s="3" t="str">
        <x:f>IF(Master!Q470="","",Master!Q470)</x:f>
        <x:v>E2EE claimed</x:v>
      </x:c>
      <x:c r="Q4" s="3" t="str">
        <x:f>IF(Master!R470="","",Master!R470)</x:f>
        <x:v>N/A: not a Discord-style persistent DM platform</x:v>
      </x:c>
      <x:c r="R4" s="3" t="str">
        <x:f>IF(Master!S470="","",Master!S470)</x:f>
        <x:v>No public default E2EE verified</x:v>
      </x:c>
      <x:c r="S4" s="3" t="str">
        <x:f>IF(Master!T470="","",Master!T470)</x:f>
        <x:v>No E2EE text claim</x:v>
      </x:c>
      <x:c r="T4" s="3" t="str">
        <x:f>IF(Master!U470="","",Master!U470)</x:f>
        <x:v>No: not marketed as an E2EE product feature</x:v>
      </x:c>
      <x:c r="U4" s="3" t="str">
        <x:f>IF(Master!V470="","",Master!V470)</x:f>
        <x:v>Yes: DM text E2EE (Signal-style X3DH/Double Ratchet)</x:v>
      </x:c>
      <x:c r="V4" s="3" t="str">
        <x:f>IF(Master!W470="","",Master!W470)</x:f>
        <x:v>E2EE available for certain conversations but deployment/client constraints apply</x:v>
      </x:c>
      <x:c r="W4" s="3" t="str">
        <x:f>IF(Master!X470="","",Master!X470)</x:f>
        <x:v>No E2EE chat claim verified</x:v>
      </x:c>
      <x:c r="X4" s="3" t="str">
        <x:f>IF(Master!Y470="","",Master!Y470)</x:f>
        <x:v>No text E2EE disclosed</x:v>
      </x:c>
      <x:c r="Y4" s="3" t="str">
        <x:f>IF(Master!Z470="","",Master!Z470)</x:f>
        <x:v>No documented default text E2EE</x:v>
      </x:c>
      <x:c r="Z4" s="3" t="str">
        <x:f>IF(Master!AA470="","",Master!AA470)</x:f>
        <x:v>No default text E2EE verified</x:v>
      </x:c>
      <x:c r="AA4" s="6" t="str">
        <x:f>IF(Master!AB470="","",Master!AB470)</x:f>
      </x:c>
      <x:c r="AB4" s="3" t="str">
        <x:f>IF(Master!AC470="","",Master!AC470)</x:f>
        <x:v>No default E2EE claim</x:v>
      </x:c>
      <x:c r="AC4" s="3" t="str">
        <x:f>IF(Master!AD470="","",Master!AD470)</x:f>
        <x:v>Default unencrypted; per-conversation E2EE planned/opt-in</x:v>
      </x:c>
      <x:c r="AD4" s="3" t="str">
        <x:f>IF(Master!AE470="","",Master!AE470)</x:f>
        <x:v>No E2EE text claim</x:v>
      </x:c>
      <x:c r="AE4" s="3" t="str">
        <x:f>IF(Master!AF470="","",Master!AF470)</x:f>
        <x:v>Server/operator controlled; E2EE not claimed</x:v>
      </x:c>
      <x:c r="AF4" s="8" t="str">
        <x:f>IF(Master!AG470="","",Master!AG470)</x:f>
        <x:v>No native E2EE for server-stored chat</x:v>
      </x:c>
    </x:row>
    <x:row r="5" ht="36" customHeight="1">
      <x:c r="A5" s="17" t="s">
        <x:v>730</x:v>
      </x:c>
      <x:c r="B5" s="3" t="str">
        <x:f>IF(Master!C471="","",Master!C471)</x:f>
        <x:v>No for text Group DMs; GDM voice/video calls are E2EE</x:v>
      </x:c>
      <x:c r="C5" s="3" t="str">
        <x:f>IF(Master!D471="","",Master!D471)</x:f>
      </x:c>
      <x:c r="D5" s="3" t="str">
        <x:f>IF(Master!E471="","",Master!E471)</x:f>
      </x:c>
      <x:c r="E5" s="3" t="str">
        <x:f>IF(Master!F471="","",Master!F471)</x:f>
        <x:v>No</x:v>
      </x:c>
      <x:c r="F5" s="3" t="str">
        <x:f>IF(Master!G471="","",Master!G471)</x:f>
      </x:c>
      <x:c r="G5" s="3" t="str">
        <x:f>IF(Master!H471="","",Master!H471)</x:f>
        <x:v>No</x:v>
      </x:c>
      <x:c r="H5" s="3" t="str">
        <x:f>IF(Master!I471="","",Master!I471)</x:f>
        <x:v>No text E2EE claim</x:v>
      </x:c>
      <x:c r="I5" s="3" t="str">
        <x:f>IF(Master!J471="","",Master!J471)</x:f>
        <x:v>Not publicly claimed</x:v>
      </x:c>
      <x:c r="J5" s="3" t="str">
        <x:f>IF(Master!K471="","",Master!K471)</x:f>
        <x:v>Yes</x:v>
      </x:c>
      <x:c r="K5" s="3" t="str">
        <x:f>IF(Master!L471="","",Master!L471)</x:f>
        <x:v>Yes: optional room/DM MLS 1.0</x:v>
      </x:c>
      <x:c r="L5" s="3" t="str">
        <x:f>IF(Master!M471="","",Master!M471)</x:f>
      </x:c>
      <x:c r="M5" s="3" t="str">
        <x:f>IF(Master!N471="","",Master!N471)</x:f>
      </x:c>
      <x:c r="N5" s="3" t="str">
        <x:f>IF(Master!O471="","",Master!O471)</x:f>
        <x:v>Supported in encrypted rooms; default client behavior varies</x:v>
      </x:c>
      <x:c r="O5" s="3" t="str">
        <x:f>IF(Master!P471="","",Master!P471)</x:f>
        <x:v>No</x:v>
      </x:c>
      <x:c r="P5" s="3" t="str">
        <x:f>IF(Master!Q471="","",Master!Q471)</x:f>
        <x:v>E2EE claimed</x:v>
      </x:c>
      <x:c r="Q5" s="3" t="str">
        <x:f>IF(Master!R471="","",Master!R471)</x:f>
        <x:v>N/A</x:v>
      </x:c>
      <x:c r="R5" s="3" t="str">
        <x:f>IF(Master!S471="","",Master!S471)</x:f>
        <x:v>No</x:v>
      </x:c>
      <x:c r="S5" s="3" t="str">
        <x:f>IF(Master!T471="","",Master!T471)</x:f>
        <x:v>No</x:v>
      </x:c>
      <x:c r="T5" s="3" t="str">
        <x:f>IF(Master!U471="","",Master!U471)</x:f>
        <x:v>No: not marketed as an E2EE product feature</x:v>
      </x:c>
      <x:c r="U5" s="3" t="str">
        <x:f>IF(Master!V471="","",Master!V471)</x:f>
        <x:v>No: group chats / Splinters are encrypted at rest, not E2EE</x:v>
      </x:c>
      <x:c r="V5" s="3" t="str">
        <x:f>IF(Master!W471="","",Master!W471)</x:f>
        <x:v>E2EE support exists; exact group behavior/version-dependent</x:v>
      </x:c>
      <x:c r="W5" s="3" t="str">
        <x:f>IF(Master!X471="","",Master!X471)</x:f>
        <x:v>No</x:v>
      </x:c>
      <x:c r="X5" s="3" t="str">
        <x:f>IF(Master!Y471="","",Master!Y471)</x:f>
        <x:v>No text E2EE disclosed</x:v>
      </x:c>
      <x:c r="Y5" s="3" t="str">
        <x:f>IF(Master!Z471="","",Master!Z471)</x:f>
        <x:v>No documented default text E2EE</x:v>
      </x:c>
      <x:c r="Z5" s="3" t="str">
        <x:f>IF(Master!AA471="","",Master!AA471)</x:f>
        <x:v>No default text E2EE verified</x:v>
      </x:c>
      <x:c r="AA5" s="6" t="str">
        <x:f>IF(Master!AB471="","",Master!AB471)</x:f>
      </x:c>
      <x:c r="AB5" s="3" t="str">
        <x:f>IF(Master!AC471="","",Master!AC471)</x:f>
        <x:v>No</x:v>
      </x:c>
      <x:c r="AC5" s="3" t="str">
        <x:f>IF(Master!AD471="","",Master!AD471)</x:f>
      </x:c>
      <x:c r="AD5" s="3" t="str">
        <x:f>IF(Master!AE471="","",Master!AE471)</x:f>
        <x:v>No</x:v>
      </x:c>
      <x:c r="AE5" s="3" t="str">
        <x:f>IF(Master!AF471="","",Master!AF471)</x:f>
      </x:c>
      <x:c r="AF5" s="8" t="str">
        <x:f>IF(Master!AG471="","",Master!AG471)</x:f>
        <x:v>No</x:v>
      </x:c>
    </x:row>
    <x:row r="6" ht="36" customHeight="1">
      <x:c r="A6" s="17" t="s">
        <x:v>731</x:v>
      </x:c>
      <x:c r="B6" s="3" t="str">
        <x:f>IF(Master!C472="","",Master!C472)</x:f>
        <x:v>No for text channels/rooms; voice/video channels are E2EE except Stage</x:v>
      </x:c>
      <x:c r="C6" s="3" t="str">
        <x:f>IF(Master!D472="","",Master!D472)</x:f>
        <x:v>Yes: encrypted communities</x:v>
      </x:c>
      <x:c r="D6" s="3" t="str">
        <x:f>IF(Master!E472="","",Master!E472)</x:f>
        <x:v>Server channels generally not E2EE</x:v>
      </x:c>
      <x:c r="E6" s="3" t="str">
        <x:f>IF(Master!F472="","",Master!F472)</x:f>
        <x:v>No</x:v>
      </x:c>
      <x:c r="F6" s="3" t="str">
        <x:f>IF(Master!G472="","",Master!G472)</x:f>
        <x:v>No: server/community text channels are plaintext to server</x:v>
      </x:c>
      <x:c r="G6" s="3" t="str">
        <x:f>IF(Master!H472="","",Master!H472)</x:f>
        <x:v>No</x:v>
      </x:c>
      <x:c r="H6" s="3" t="str">
        <x:f>IF(Master!I472="","",Master!I472)</x:f>
        <x:v>No channel text E2EE claim</x:v>
      </x:c>
      <x:c r="I6" s="3" t="str">
        <x:f>IF(Master!J472="","",Master!J472)</x:f>
        <x:v>No published channel E2EE claim</x:v>
      </x:c>
      <x:c r="J6" s="3" t="str">
        <x:f>IF(Master!K472="","",Master!K472)</x:f>
        <x:v>Encrypted private channels; public channels intentionally unencrypted</x:v>
      </x:c>
      <x:c r="K6" s="3" t="str">
        <x:f>IF(Master!L472="","",Master!L472)</x:f>
        <x:v>Yes: optional room/DM MLS 1.0</x:v>
      </x:c>
      <x:c r="L6" s="3" t="str">
        <x:f>IF(Master!M472="","",Master!M472)</x:f>
      </x:c>
      <x:c r="M6" s="3" t="str">
        <x:f>IF(Master!N472="","",Master!N472)</x:f>
      </x:c>
      <x:c r="N6" s="3" t="str">
        <x:f>IF(Master!O472="","",Master!O472)</x:f>
        <x:v>Supported for encrypted rooms; not every room is encrypted</x:v>
      </x:c>
      <x:c r="O6" s="3" t="str">
        <x:f>IF(Master!P472="","",Master!P472)</x:f>
        <x:v>No</x:v>
      </x:c>
      <x:c r="P6" s="3" t="str">
        <x:f>IF(Master!Q472="","",Master!Q472)</x:f>
      </x:c>
      <x:c r="Q6" s="3" t="str">
        <x:f>IF(Master!R472="","",Master!R472)</x:f>
        <x:v>N/A</x:v>
      </x:c>
      <x:c r="R6" s="3" t="str">
        <x:f>IF(Master!S472="","",Master!S472)</x:f>
        <x:v>No</x:v>
      </x:c>
      <x:c r="S6" s="3" t="str">
        <x:f>IF(Master!T472="","",Master!T472)</x:f>
        <x:v>No</x:v>
      </x:c>
      <x:c r="T6" s="3" t="str">
        <x:f>IF(Master!U472="","",Master!U472)</x:f>
        <x:v>No: not marketed as an E2EE product feature</x:v>
      </x:c>
      <x:c r="U6" s="3" t="str">
        <x:f>IF(Master!V472="","",Master!V472)</x:f>
        <x:v>No: Shard/community channel text is encrypted at rest, not E2EE</x:v>
      </x:c>
      <x:c r="V6" s="3" t="str">
        <x:f>IF(Master!W472="","",Master!W472)</x:f>
        <x:v>Encrypted rooms supported locally; federation documentation note E2EE is not supported across federated servers</x:v>
      </x:c>
      <x:c r="W6" s="3" t="str">
        <x:f>IF(Master!X472="","",Master!X472)</x:f>
        <x:v>No</x:v>
      </x:c>
      <x:c r="X6" s="3" t="str">
        <x:f>IF(Master!Y472="","",Master!Y472)</x:f>
        <x:v>No text E2EE disclosed</x:v>
      </x:c>
      <x:c r="Y6" s="3" t="str">
        <x:f>IF(Master!Z472="","",Master!Z472)</x:f>
        <x:v>No documented channel E2EE</x:v>
      </x:c>
      <x:c r="Z6" s="3" t="str">
        <x:f>IF(Master!AA472="","",Master!AA472)</x:f>
        <x:v>No default channel E2EE</x:v>
      </x:c>
      <x:c r="AA6" s="6" t="str">
        <x:f>IF(Master!AB472="","",Master!AB472)</x:f>
      </x:c>
      <x:c r="AB6" s="3" t="str">
        <x:f>IF(Master!AC472="","",Master!AC472)</x:f>
        <x:v>No</x:v>
      </x:c>
      <x:c r="AC6" s="3" t="str">
        <x:f>IF(Master!AD472="","",Master!AD472)</x:f>
      </x:c>
      <x:c r="AD6" s="3" t="str">
        <x:f>IF(Master!AE472="","",Master!AE472)</x:f>
        <x:v>No</x:v>
      </x:c>
      <x:c r="AE6" s="3" t="str">
        <x:f>IF(Master!AF472="","",Master!AF472)</x:f>
      </x:c>
      <x:c r="AF6" s="8" t="str">
        <x:f>IF(Master!AG472="","",Master!AG472)</x:f>
        <x:v>No</x:v>
      </x:c>
    </x:row>
    <x:row r="7" ht="36" customHeight="1">
      <x:c r="A7" s="17" t="s">
        <x:v>732</x:v>
      </x:c>
      <x:c r="B7" s="3" t="str">
        <x:f>IF(Master!C473="","",Master!C473)</x:f>
        <x:v>Yes by default for voice/video calls and Go Live; Stage channels excepted</x:v>
      </x:c>
      <x:c r="C7" s="3" t="str">
        <x:f>IF(Master!D473="","",Master!D473)</x:f>
      </x:c>
      <x:c r="D7" s="3" t="str">
        <x:f>IF(Master!E473="","",Master!E473)</x:f>
      </x:c>
      <x:c r="E7" s="3" t="str">
        <x:f>IF(Master!F473="","",Master!F473)</x:f>
      </x:c>
      <x:c r="F7" s="3" t="str">
        <x:f>IF(Master!G473="","",Master!G473)</x:f>
      </x:c>
      <x:c r="G7" s="3" t="str">
        <x:f>IF(Master!H473="","",Master!H473)</x:f>
        <x:v>No currently; voice/video E2EE in development</x:v>
      </x:c>
      <x:c r="H7" s="3" t="str">
        <x:f>IF(Master!I473="","",Master!I473)</x:f>
        <x:v>Voice E2EE claimed</x:v>
      </x:c>
      <x:c r="I7" s="3" t="str">
        <x:f>IF(Master!J473="","",Master!J473)</x:f>
        <x:v>Not publicly claimed</x:v>
      </x:c>
      <x:c r="J7" s="3" t="str">
        <x:f>IF(Master!K473="","",Master!K473)</x:f>
        <x:v>Olm+MLS+SFrame stated for media/messages</x:v>
      </x:c>
      <x:c r="K7" s="3" t="str">
        <x:f>IF(Master!L473="","",Master!L473)</x:f>
        <x:v>Yes: MLS policy also protects supported LiveKit microphone/camera/screen/screen-audio frames</x:v>
      </x:c>
      <x:c r="L7" s="3" t="str">
        <x:f>IF(Master!M473="","",Master!M473)</x:f>
      </x:c>
      <x:c r="M7" s="3" t="str">
        <x:f>IF(Master!N473="","",Master!N473)</x:f>
      </x:c>
      <x:c r="N7" s="3" t="str">
        <x:f>IF(Master!O473="","",Master!O473)</x:f>
        <x:v>MatrixRTC supports E2EE; client/media implementation matters</x:v>
      </x:c>
      <x:c r="O7" s="3" t="str">
        <x:f>IF(Master!P473="","",Master!P473)</x:f>
      </x:c>
      <x:c r="P7" s="3" t="str">
        <x:f>IF(Master!Q473="","",Master!Q473)</x:f>
        <x:v>E2EE claimed</x:v>
      </x:c>
      <x:c r="Q7" s="3" t="str">
        <x:f>IF(Master!R473="","",Master!R473)</x:f>
        <x:v>Voice encrypted in transit; not E2EE against server operator</x:v>
      </x:c>
      <x:c r="R7" s="3" t="str">
        <x:f>IF(Master!S473="","",Master!S473)</x:f>
      </x:c>
      <x:c r="S7" s="3" t="str">
        <x:f>IF(Master!T473="","",Master!T473)</x:f>
        <x:v>Calls use encrypted connections; E2EE not claimed</x:v>
      </x:c>
      <x:c r="T7" s="3" t="str">
        <x:f>IF(Master!U473="","",Master!U473)</x:f>
        <x:v>Not marketed as an E2EE product feature</x:v>
      </x:c>
      <x:c r="U7" s="3" t="str">
        <x:f>IF(Master!V473="","",Master!V473)</x:f>
        <x:v>Yes: direct voice/video/screen calls are documented as E2EE</x:v>
      </x:c>
      <x:c r="V7" s="3" t="str">
        <x:f>IF(Master!W473="","",Master!W473)</x:f>
        <x:v>Call-provider/deployment-dependent</x:v>
      </x:c>
      <x:c r="W7" s="3" t="str">
        <x:f>IF(Master!X473="","",Master!X473)</x:f>
      </x:c>
      <x:c r="X7" s="3" t="str">
        <x:f>IF(Master!Y473="","",Master!Y473)</x:f>
        <x:v>Calls transmitted in real time; E2EE not claimed in privacy policy</x:v>
      </x:c>
      <x:c r="Y7" s="3" t="str">
        <x:f>IF(Master!Z473="","",Master!Z473)</x:f>
      </x:c>
      <x:c r="Z7" s="3" t="str">
        <x:f>IF(Master!AA473="","",Master!AA473)</x:f>
      </x:c>
      <x:c r="AA7" s="6" t="str">
        <x:f>IF(Master!AB473="","",Master!AB473)</x:f>
      </x:c>
      <x:c r="AB7" s="3" t="str">
        <x:f>IF(Master!AC473="","",Master!AC473)</x:f>
      </x:c>
      <x:c r="AC7" s="3" t="str">
        <x:f>IF(Master!AD473="","",Master!AD473)</x:f>
      </x:c>
      <x:c r="AD7" s="3" t="str">
        <x:f>IF(Master!AE473="","",Master!AE473)</x:f>
      </x:c>
      <x:c r="AE7" s="3" t="str">
        <x:f>IF(Master!AF473="","",Master!AF473)</x:f>
      </x:c>
      <x:c r="AF7" s="8" t="str">
        <x:f>IF(Master!AG473="","",Master!AG473)</x:f>
        <x:v>External provider-dependent</x:v>
      </x:c>
    </x:row>
    <x:row r="8" ht="36" customHeight="1">
      <x:c r="A8" s="17" t="s">
        <x:v>733</x:v>
      </x:c>
      <x:c r="B8" s="3" t="str">
        <x:f>IF(Master!C474="","",Master!C474)</x:f>
        <x:v>Email + username + password + DOB on desktop; phone or email on mobile; verification may be required</x:v>
      </x:c>
      <x:c r="C8" s="3" t="str">
        <x:f>IF(Master!D474="","",Master!D474)</x:f>
        <x:v>Keypair/secret-based Nostr identity</x:v>
      </x:c>
      <x:c r="D8" s="3" t="str">
        <x:f>IF(Master!E474="","",Master!E474)</x:f>
        <x:v>Server account or key-based messenger identity</x:v>
      </x:c>
      <x:c r="E8" s="3" t="str">
        <x:f>IF(Master!F474="","",Master!F474)</x:f>
      </x:c>
      <x:c r="F8" s="3" t="str">
        <x:f>IF(Master!G474="","",Master!G474)</x:f>
      </x:c>
      <x:c r="G8" s="3" t="str">
        <x:f>IF(Master!H474="","",Master!H474)</x:f>
        <x:v>Email + username + password + DOB; phone verification may be triggered</x:v>
      </x:c>
      <x:c r="H8" s="3" t="str">
        <x:f>IF(Master!I474="","",Master!I474)</x:f>
        <x:v>Username + password; no email/phone/ID required</x:v>
      </x:c>
      <x:c r="I8" s="3" t="str">
        <x:f>IF(Master!J474="","",Master!J474)</x:f>
        <x:v>Email/password on Fermi hosted instance</x:v>
      </x:c>
      <x:c r="J8" s="3" t="str">
        <x:f>IF(Master!K474="","",Master!K474)</x:f>
        <x:v>No traditional account; Ed25519 key + 24-word recovery phrase</x:v>
      </x:c>
      <x:c r="K8" s="3" t="str">
        <x:f>IF(Master!L474="","",Master!L474)</x:f>
        <x:v>Official instance requires username/password/email; self-host can disable email</x:v>
      </x:c>
      <x:c r="L8" s="3" t="str">
        <x:f>IF(Master!M474="","",Master!M474)</x:f>
        <x:v>No email/phone required; secret-key identity</x:v>
      </x:c>
      <x:c r="M8" s="3" t="str">
        <x:f>IF(Master!N474="","",Master!N474)</x:f>
      </x:c>
      <x:c r="N8" s="3" t="str">
        <x:f>IF(Master!O474="","",Master!O474)</x:f>
        <x:v>Account on a homeserver; credential/SSO rules are server-dependent</x:v>
      </x:c>
      <x:c r="O8" s="3" t="str">
        <x:f>IF(Master!P474="","",Master!P474)</x:f>
        <x:v>Email/SSO/LDAP depending deployment</x:v>
      </x:c>
      <x:c r="P8" s="3" t="str">
        <x:f>IF(Master!Q474="","",Master!Q474)</x:f>
      </x:c>
      <x:c r="Q8" s="3" t="str">
        <x:f>IF(Master!R474="","",Master!R474)</x:f>
        <x:v>Username/certificate/password depending server</x:v>
      </x:c>
      <x:c r="R8" s="3" t="str">
        <x:f>IF(Master!S474="","",Master!S474)</x:f>
        <x:v>Email verification required for messaging</x:v>
      </x:c>
      <x:c r="S8" s="3" t="str">
        <x:f>IF(Master!T474="","",Master!T474)</x:f>
        <x:v>Email + username/password</x:v>
      </x:c>
      <x:c r="T8" s="3" t="str">
        <x:f>IF(Master!U474="","",Master!U474)</x:f>
        <x:v>Accounts via Clerk; exact mandatory fields not stated</x:v>
      </x:c>
      <x:c r="U8" s="3" t="str">
        <x:f>IF(Master!V474="","",Master!V474)</x:f>
        <x:v>Username + password only; no email/phone/ID</x:v>
      </x:c>
      <x:c r="V8" s="3" t="str">
        <x:f>IF(Master!W474="","",Master!W474)</x:f>
        <x:v>Email/SSO/LDAP depending deployment</x:v>
      </x:c>
      <x:c r="W8" s="3" t="str">
        <x:f>IF(Master!X474="","",Master!X474)</x:f>
        <x:v>Bluesky/ATProto identity by default</x:v>
      </x:c>
      <x:c r="X8" s="3" t="str">
        <x:f>IF(Master!Y474="","",Master!Y474)</x:f>
        <x:v>Username/email/password</x:v>
      </x:c>
      <x:c r="Y8" s="3" t="str">
        <x:f>IF(Master!Z474="","",Master!Z474)</x:f>
        <x:v>Operator-configurable account rules</x:v>
      </x:c>
      <x:c r="Z8" s="3" t="str">
        <x:f>IF(Master!AA474="","",Master!AA474)</x:f>
      </x:c>
      <x:c r="AA8" s="6" t="str">
        <x:f>IF(Master!AB474="","",Master!AB474)</x:f>
      </x:c>
      <x:c r="AB8" s="3" t="str">
        <x:f>IF(Master!AC474="","",Master!AC474)</x:f>
        <x:v>Email only; no phone/ID</x:v>
      </x:c>
      <x:c r="AC8" s="3" t="str">
        <x:f>IF(Master!AD474="","",Master!AD474)</x:f>
        <x:v>Device/account registration</x:v>
      </x:c>
      <x:c r="AD8" s="3" t="str">
        <x:f>IF(Master!AE474="","",Master!AE474)</x:f>
      </x:c>
      <x:c r="AE8" s="3" t="str">
        <x:f>IF(Master!AF474="","",Master!AF474)</x:f>
        <x:v>Email/password or account</x:v>
      </x:c>
      <x:c r="AF8" s="8" t="str">
        <x:f>IF(Master!AG474="","",Master!AG474)</x:f>
        <x:v>Email/SSO depending deployment</x:v>
      </x:c>
    </x:row>
    <x:row r="9" ht="36" customHeight="1">
      <x:c r="A9" s="17" t="s">
        <x:v>734</x:v>
      </x:c>
      <x:c r="B9" s="3" t="str">
        <x:f>IF(Master!C475="","",Master!C475)</x:f>
        <x:v>Generally retained while the account is active or as needed. Some data has fixed legal/safety retention periods. Inactive accounts may be deleted after 2 years.</x:v>
      </x:c>
      <x:c r="C9" s="3" t="str">
        <x:f>IF(Master!D475="","",Master!D475)</x:f>
        <x:v>Relay stores encrypted events</x:v>
      </x:c>
      <x:c r="D9" s="3" t="str">
        <x:f>IF(Master!E475="","",Master!E475)</x:f>
        <x:v>Operator controlled; messenger relay stores encrypted messages temporarily</x:v>
      </x:c>
      <x:c r="E9" s="3" t="str">
        <x:f>IF(Master!F475="","",Master!F475)</x:f>
      </x:c>
      <x:c r="F9" s="3" t="str">
        <x:f>IF(Master!G475="","",Master!G475)</x:f>
      </x:c>
      <x:c r="G9" s="3" t="str">
        <x:f>IF(Master!H475="","",Master!H475)</x:f>
        <x:v>Published retention policy</x:v>
      </x:c>
      <x:c r="H9" s="3" t="str">
        <x:f>IF(Master!I475="","",Master!I475)</x:f>
      </x:c>
      <x:c r="I9" s="3" t="str">
        <x:f>IF(Master!J475="","",Master!J475)</x:f>
        <x:v>Operator controlled</x:v>
      </x:c>
      <x:c r="J9" s="3" t="str">
        <x:f>IF(Master!K475="","",Master!K475)</x:f>
        <x:v>Data stored locally; relay stores no persistent content</x:v>
      </x:c>
      <x:c r="K9" s="3" t="str">
        <x:f>IF(Master!L475="","",Master!L475)</x:f>
        <x:v>Developer reports data retained until user deletes/requests deletion; operators have retention/purge jobs and configurable policies</x:v>
      </x:c>
      <x:c r="L9" s="3" t="str">
        <x:f>IF(Master!M475="","",Master!M475)</x:f>
        <x:v>Published privacy policy</x:v>
      </x:c>
      <x:c r="M9" s="3" t="str">
        <x:f>IF(Master!N475="","",Master!N475)</x:f>
      </x:c>
      <x:c r="N9" s="3" t="str">
        <x:f>IF(Master!O475="","",Master!O475)</x:f>
        <x:v>Homeserver-dependent</x:v>
      </x:c>
      <x:c r="O9" s="3" t="str">
        <x:f>IF(Master!P475="","",Master!P475)</x:f>
        <x:v>Deployment/admin controlled</x:v>
      </x:c>
      <x:c r="P9" s="3" t="str">
        <x:f>IF(Master!Q475="","",Master!Q475)</x:f>
      </x:c>
      <x:c r="Q9" s="3" t="str">
        <x:f>IF(Master!R475="","",Master!R475)</x:f>
        <x:v>Server/operator-controlled</x:v>
      </x:c>
      <x:c r="R9" s="3" t="str">
        <x:f>IF(Master!S475="","",Master!S475)</x:f>
      </x:c>
      <x:c r="S9" s="3" t="str">
        <x:f>IF(Master!T475="","",Master!T475)</x:f>
        <x:v>Published privacy policy</x:v>
      </x:c>
      <x:c r="T9" s="3" t="str">
        <x:f>IF(Master!U475="","",Master!U475)</x:f>
        <x:v>Message retention controls + data export; exact retention windows not stated</x:v>
      </x:c>
      <x:c r="U9" s="3" t="str">
        <x:f>IF(Master!V475="","",Master!V475)</x:f>
        <x:v>Deletion stated as hard delete</x:v>
      </x:c>
      <x:c r="V9" s="3" t="str">
        <x:f>IF(Master!W475="","",Master!W475)</x:f>
        <x:v>Admin/deployment policy</x:v>
      </x:c>
      <x:c r="W9" s="3" t="str">
        <x:f>IF(Master!X475="","",Master!X475)</x:f>
        <x:v>ATProto/provider dependent</x:v>
      </x:c>
      <x:c r="X9" s="3" t="str">
        <x:f>IF(Master!Y475="","",Master!Y475)</x:f>
      </x:c>
      <x:c r="Y9" s="3" t="str">
        <x:f>IF(Master!Z475="","",Master!Z475)</x:f>
        <x:v>Operator-controlled</x:v>
      </x:c>
      <x:c r="Z9" s="3" t="str">
        <x:f>IF(Master!AA475="","",Master!AA475)</x:f>
      </x:c>
      <x:c r="AA9" s="6" t="str">
        <x:f>IF(Master!AB475="","",Master!AB475)</x:f>
        <x:v>Operator/service-dependent</x:v>
      </x:c>
      <x:c r="AB9" s="3" t="str">
        <x:f>IF(Master!AC475="","",Master!AC475)</x:f>
      </x:c>
      <x:c r="AC9" s="3" t="str">
        <x:f>IF(Master!AD475="","",Master!AD475)</x:f>
      </x:c>
      <x:c r="AD9" s="3" t="str">
        <x:f>IF(Master!AE475="","",Master!AE475)</x:f>
      </x:c>
      <x:c r="AE9" s="3" t="str">
        <x:f>IF(Master!AF475="","",Master!AF475)</x:f>
        <x:v>Operator controlled</x:v>
      </x:c>
      <x:c r="AF9" s="8" t="str">
        <x:f>IF(Master!AG475="","",Master!AG475)</x:f>
        <x:v>Hosted/self-host policy-dependent</x:v>
      </x:c>
    </x:row>
    <x:row r="10" ht="36" customHeight="1">
      <x:c r="A10" s="17" t="s">
        <x:v>735</x:v>
      </x:c>
      <x:c r="B10" s="3" t="str">
        <x:f>IF(Master!C476="","",Master!C476)</x:f>
        <x:v>Yes: IP address is collected as device/use information</x:v>
      </x:c>
      <x:c r="C10" s="3" t="str">
        <x:f>IF(Master!D476="","",Master!D476)</x:f>
        <x:v>Relay sees metadata; content encrypted</x:v>
      </x:c>
      <x:c r="D10" s="3" t="str">
        <x:f>IF(Master!E476="","",Master!E476)</x:f>
        <x:v>Operator controlled; official messenger claims privacy model</x:v>
      </x:c>
      <x:c r="E10" s="3" t="str">
        <x:f>IF(Master!F476="","",Master!F476)</x:f>
      </x:c>
      <x:c r="F10" s="3" t="str">
        <x:f>IF(Master!G476="","",Master!G476)</x:f>
      </x:c>
      <x:c r="G10" s="3" t="str">
        <x:f>IF(Master!H476="","",Master!H476)</x:f>
        <x:v>IP/network data processed; approximate location derived</x:v>
      </x:c>
      <x:c r="H10" s="3" t="str">
        <x:f>IF(Master!I476="","",Master!I476)</x:f>
        <x:v>Operator/service dependent</x:v>
      </x:c>
      <x:c r="I10" s="3" t="str">
        <x:f>IF(Master!J476="","",Master!J476)</x:f>
        <x:v>Operator controlled</x:v>
      </x:c>
      <x:c r="J10" s="3" t="str">
        <x:f>IF(Master!K476="","",Master!K476)</x:f>
        <x:v>Official relay claims no IP logging; self-host operator could log metadata</x:v>
      </x:c>
      <x:c r="K10" s="3" t="str">
        <x:f>IF(Master!L476="","",Master!L476)</x:f>
        <x:v>Not publicly specified</x:v>
      </x:c>
      <x:c r="L10" s="3" t="str">
        <x:f>IF(Master!M476="","",Master!M476)</x:f>
      </x:c>
      <x:c r="M10" s="3" t="str">
        <x:f>IF(Master!N476="","",Master!N476)</x:f>
      </x:c>
      <x:c r="N10" s="3" t="str">
        <x:f>IF(Master!O476="","",Master!O476)</x:f>
        <x:v>Homeserver/operator sees IP/network metadata; exact logging is operator-dependent</x:v>
      </x:c>
      <x:c r="O10" s="3" t="str">
        <x:f>IF(Master!P476="","",Master!P476)</x:f>
        <x:v>Deployment/admin controlled</x:v>
      </x:c>
      <x:c r="P10" s="3" t="str">
        <x:f>IF(Master!Q476="","",Master!Q476)</x:f>
      </x:c>
      <x:c r="Q10" s="3" t="str">
        <x:f>IF(Master!R476="","",Master!R476)</x:f>
        <x:v>Server/operator-controlled</x:v>
      </x:c>
      <x:c r="R10" s="3" t="str">
        <x:f>IF(Master!S476="","",Master!S476)</x:f>
      </x:c>
      <x:c r="S10" s="3" t="str">
        <x:f>IF(Master!T476="","",Master!T476)</x:f>
      </x:c>
      <x:c r="T10" s="3" t="str">
        <x:f>IF(Master!U476="","",Master!U476)</x:f>
      </x:c>
      <x:c r="U10" s="3" t="str">
        <x:f>IF(Master!V476="","",Master!V476)</x:f>
      </x:c>
      <x:c r="V10" s="3" t="str">
        <x:f>IF(Master!W476="","",Master!W476)</x:f>
        <x:v>Admin/deployment policy</x:v>
      </x:c>
      <x:c r="W10" s="3" t="str">
        <x:f>IF(Master!X476="","",Master!X476)</x:f>
        <x:v>Provider dependent</x:v>
      </x:c>
      <x:c r="X10" s="3" t="str">
        <x:f>IF(Master!Y476="","",Master!Y476)</x:f>
        <x:v>Yes: device/network info including IP collected</x:v>
      </x:c>
      <x:c r="Y10" s="3" t="str">
        <x:f>IF(Master!Z476="","",Master!Z476)</x:f>
        <x:v>Operator-controlled</x:v>
      </x:c>
      <x:c r="Z10" s="3" t="str">
        <x:f>IF(Master!AA476="","",Master!AA476)</x:f>
      </x:c>
      <x:c r="AA10" s="6" t="str">
        <x:f>IF(Master!AB476="","",Master!AB476)</x:f>
        <x:v>Operator/service-dependent</x:v>
      </x:c>
      <x:c r="AB10" s="3" t="str">
        <x:f>IF(Master!AC476="","",Master!AC476)</x:f>
      </x:c>
      <x:c r="AC10" s="3" t="str">
        <x:f>IF(Master!AD476="","",Master!AD476)</x:f>
      </x:c>
      <x:c r="AD10" s="3" t="str">
        <x:f>IF(Master!AE476="","",Master!AE476)</x:f>
      </x:c>
      <x:c r="AE10" s="3" t="str">
        <x:f>IF(Master!AF476="","",Master!AF476)</x:f>
        <x:v>Operator controlled</x:v>
      </x:c>
      <x:c r="AF10" s="8" t="str">
        <x:f>IF(Master!AG476="","",Master!AG476)</x:f>
        <x:v>Hosted/operator dependent</x:v>
      </x:c>
    </x:row>
    <x:row r="11" ht="36" customHeight="1">
      <x:c r="A11" s="17" t="s">
        <x:v>736</x:v>
      </x:c>
      <x:c r="B11" s="3" t="str">
        <x:f>IF(Master!C477="","",Master!C477)</x:f>
      </x:c>
      <x:c r="C11" s="3" t="str">
        <x:f>IF(Master!D477="","",Master!D477)</x:f>
      </x:c>
      <x:c r="D11" s="3" t="str">
        <x:f>IF(Master!E477="","",Master!E477)</x:f>
      </x:c>
      <x:c r="E11" s="3" t="str">
        <x:f>IF(Master!F477="","",Master!F477)</x:f>
      </x:c>
      <x:c r="F11" s="3" t="str">
        <x:f>IF(Master!G477="","",Master!G477)</x:f>
      </x:c>
      <x:c r="G11" s="3" t="str">
        <x:f>IF(Master!H477="","",Master!H477)</x:f>
      </x:c>
      <x:c r="H11" s="3" t="str">
        <x:f>IF(Master!I477="","",Master!I477)</x:f>
      </x:c>
      <x:c r="I11" s="3" t="str">
        <x:f>IF(Master!J477="","",Master!J477)</x:f>
      </x:c>
      <x:c r="J11" s="3" t="str">
        <x:f>IF(Master!K477="","",Master!K477)</x:f>
      </x:c>
      <x:c r="K11" s="3" t="str">
        <x:f>IF(Master!L477="","",Master!L477)</x:f>
        <x:v>Not explicitly documented</x:v>
      </x:c>
      <x:c r="L11" s="3" t="str">
        <x:f>IF(Master!M477="","",Master!M477)</x:f>
      </x:c>
      <x:c r="M11" s="3" t="str">
        <x:f>IF(Master!N477="","",Master!N477)</x:f>
      </x:c>
      <x:c r="N11" s="3" t="str">
        <x:f>IF(Master!O477="","",Master!O477)</x:f>
        <x:v>Client/server-dependent</x:v>
      </x:c>
      <x:c r="O11" s="3" t="str">
        <x:f>IF(Master!P477="","",Master!P477)</x:f>
      </x:c>
      <x:c r="P11" s="3" t="str">
        <x:f>IF(Master!Q477="","",Master!Q477)</x:f>
      </x:c>
      <x:c r="Q11" s="3" t="str">
        <x:f>IF(Master!R477="","",Master!R477)</x:f>
        <x:v>N/A</x:v>
      </x:c>
      <x:c r="R11" s="3" t="str">
        <x:f>IF(Master!S477="","",Master!S477)</x:f>
      </x:c>
      <x:c r="S11" s="3" t="str">
        <x:f>IF(Master!T477="","",Master!T477)</x:f>
      </x:c>
      <x:c r="T11" s="3" t="str">
        <x:f>IF(Master!U477="","",Master!U477)</x:f>
      </x:c>
      <x:c r="U11" s="3" t="str">
        <x:f>IF(Master!V477="","",Master!V477)</x:f>
        <x:v>Yes: automatic EXIF stripping</x:v>
      </x:c>
      <x:c r="V11" s="3" t="str">
        <x:f>IF(Master!W477="","",Master!W477)</x:f>
      </x:c>
      <x:c r="W11" s="3" t="str">
        <x:f>IF(Master!X477="","",Master!X477)</x:f>
      </x:c>
      <x:c r="X11" s="3" t="str">
        <x:f>IF(Master!Y477="","",Master!Y477)</x:f>
      </x:c>
      <x:c r="Y11" s="3" t="str">
        <x:f>IF(Master!Z477="","",Master!Z477)</x:f>
      </x:c>
      <x:c r="Z11" s="3" t="str">
        <x:f>IF(Master!AA477="","",Master!AA477)</x:f>
      </x:c>
      <x:c r="AA11" s="6" t="str">
        <x:f>IF(Master!AB477="","",Master!AB477)</x:f>
      </x:c>
      <x:c r="AB11" s="3" t="str">
        <x:f>IF(Master!AC477="","",Master!AC477)</x:f>
      </x:c>
      <x:c r="AC11" s="3" t="str">
        <x:f>IF(Master!AD477="","",Master!AD477)</x:f>
      </x:c>
      <x:c r="AD11" s="3" t="str">
        <x:f>IF(Master!AE477="","",Master!AE477)</x:f>
      </x:c>
      <x:c r="AE11" s="3" t="str">
        <x:f>IF(Master!AF477="","",Master!AF477)</x:f>
      </x:c>
      <x:c r="AF11" s="8" t="str">
        <x:f>IF(Master!AG477="","",Master!AG477)</x:f>
      </x:c>
    </x:row>
    <x:row r="12" ht="36" customHeight="1">
      <x:c r="A12" s="17" t="s">
        <x:v>737</x:v>
      </x:c>
      <x:c r="B12" s="3" t="str">
        <x:f>IF(Master!C478="","",Master!C478)</x:f>
      </x:c>
      <x:c r="C12" s="3" t="str">
        <x:f>IF(Master!D478="","",Master!D478)</x:f>
        <x:v>Relay/operator/global</x:v>
      </x:c>
      <x:c r="D12" s="3" t="str">
        <x:f>IF(Master!E478="","",Master!E478)</x:f>
        <x:v>Self-host operator controlled</x:v>
      </x:c>
      <x:c r="E12" s="3" t="str">
        <x:f>IF(Master!F478="","",Master!F478)</x:f>
      </x:c>
      <x:c r="F12" s="3" t="str">
        <x:f>IF(Master!G478="","",Master!G478)</x:f>
        <x:v>Fenrid LLC (New Mexico, US); global infrastructure</x:v>
      </x:c>
      <x:c r="G12" s="3" t="str">
        <x:f>IF(Master!H478="","",Master!H478)</x:f>
        <x:v>Fluxer Platform AB (Sweden); most stored data hosted in New Jersey, US</x:v>
      </x:c>
      <x:c r="H12" s="3" t="str">
        <x:f>IF(Master!I478="","",Master!I478)</x:f>
        <x:v>Hosted + self-host operator dependent</x:v>
      </x:c>
      <x:c r="I12" s="3" t="str">
        <x:f>IF(Master!J478="","",Master!J478)</x:f>
        <x:v>Self-host/operator jurisdiction</x:v>
      </x:c>
      <x:c r="J12" s="3" t="str">
        <x:f>IF(Master!K478="","",Master!K478)</x:f>
        <x:v>Local-first; relay jurisdiction replaceable</x:v>
      </x:c>
      <x:c r="K12" s="3" t="str">
        <x:f>IF(Master!L478="","",Master!L478)</x:f>
        <x:v>Per developer report, the official deployment uses OVH core, Backblaze object storage, and Hivelocity LiveKit capacity for US-East and South America.</x:v>
      </x:c>
      <x:c r="L12" s="3" t="str">
        <x:f>IF(Master!M478="","",Master!M478)</x:f>
      </x:c>
      <x:c r="M12" s="3" t="str">
        <x:f>IF(Master!N478="","",Master!N478)</x:f>
        <x:v>Federated/self-host operator-dependent</x:v>
      </x:c>
      <x:c r="N12" s="3" t="str">
        <x:f>IF(Master!O478="","",Master!O478)</x:f>
        <x:v>Federated: jurisdiction/location depends on homeserver(s) participating in a room</x:v>
      </x:c>
      <x:c r="O12" s="3" t="str">
        <x:f>IF(Master!P478="","",Master!P478)</x:f>
        <x:v>Cloud or self-host jurisdiction</x:v>
      </x:c>
      <x:c r="P12" s="3" t="str">
        <x:f>IF(Master!Q478="","",Master!Q478)</x:f>
      </x:c>
      <x:c r="Q12" s="3" t="str">
        <x:f>IF(Master!R478="","",Master!R478)</x:f>
        <x:v>Self-hosted: operator-selected jurisdiction</x:v>
      </x:c>
      <x:c r="R12" s="3" t="str">
        <x:f>IF(Master!S478="","",Master!S478)</x:f>
      </x:c>
      <x:c r="S12" s="3" t="str">
        <x:f>IF(Master!T478="","",Master!T478)</x:f>
        <x:v>Regional data storage by user/community region</x:v>
      </x:c>
      <x:c r="T12" s="3" t="str">
        <x:f>IF(Master!U478="","",Master!U478)</x:f>
        <x:v>Hosted in São Paulo, Brazil; self-host location is operator-controlled</x:v>
      </x:c>
      <x:c r="U12" s="3" t="str">
        <x:f>IF(Master!V478="","",Master!V478)</x:f>
      </x:c>
      <x:c r="V12" s="3" t="str">
        <x:f>IF(Master!W478="","",Master!W478)</x:f>
        <x:v>Cloud or self-host jurisdiction</x:v>
      </x:c>
      <x:c r="W12" s="3" t="str">
        <x:f>IF(Master!X478="","",Master!X478)</x:f>
        <x:v>ATProto/PDS-dependent</x:v>
      </x:c>
      <x:c r="X12" s="3" t="str">
        <x:f>IF(Master!Y478="","",Master!Y478)</x:f>
        <x:v>Root Communications, Inc., United States</x:v>
      </x:c>
      <x:c r="Y12" s="3" t="str">
        <x:f>IF(Master!Z478="","",Master!Z478)</x:f>
        <x:v>Self-hosted: operator-selected jurisdiction</x:v>
      </x:c>
      <x:c r="Z12" s="3" t="str">
        <x:f>IF(Master!AA478="","",Master!AA478)</x:f>
        <x:v>Hosted service: Europe-oriented; self-host location is operator-controlled</x:v>
      </x:c>
      <x:c r="AA12" s="6" t="str">
        <x:f>IF(Master!AB478="","",Master!AB478)</x:f>
        <x:v>Self-hosted/hosted: jurisdiction depends operator/provider</x:v>
      </x:c>
      <x:c r="AB12" s="3" t="str">
        <x:f>IF(Master!AC478="","",Master!AC478)</x:f>
        <x:v>Hosted/self-host dependent</x:v>
      </x:c>
      <x:c r="AC12" s="3" t="str">
        <x:f>IF(Master!AD478="","",Master!AD478)</x:f>
        <x:v>Hosted/self-host dependent</x:v>
      </x:c>
      <x:c r="AD12" s="3" t="str">
        <x:f>IF(Master!AE478="","",Master!AE478)</x:f>
      </x:c>
      <x:c r="AE12" s="3" t="str">
        <x:f>IF(Master!AF478="","",Master!AF478)</x:f>
        <x:v>Self-host jurisdiction</x:v>
      </x:c>
      <x:c r="AF12" s="8" t="str">
        <x:f>IF(Master!AG478="","",Master!AG478)</x:f>
        <x:v>Cloud jurisdiction/provider; self-host operator-controlled</x:v>
      </x:c>
    </x:row>
    <x:row r="13" ht="21.950000762939453" customHeight="1">
      <x:c r="A13" s="18" t="s">
        <x:v>738</x:v>
      </x:c>
      <x:c r="B13" s="18" t="str">
        <x:f t="shared" ref="B13:AF13" si="0">IF(""="","","")</x:f>
      </x:c>
      <x:c r="C13" s="18" t="str">
        <x:f t="shared" si="0"/>
      </x:c>
      <x:c r="D13" s="18" t="str">
        <x:f t="shared" si="0"/>
      </x:c>
      <x:c r="E13" s="18" t="str">
        <x:f t="shared" si="0"/>
      </x:c>
      <x:c r="F13" s="18" t="str">
        <x:f t="shared" si="0"/>
      </x:c>
      <x:c r="G13" s="18" t="str">
        <x:f t="shared" si="0"/>
      </x:c>
      <x:c r="H13" s="18" t="str">
        <x:f t="shared" si="0"/>
      </x:c>
      <x:c r="I13" s="18" t="str">
        <x:f t="shared" si="0"/>
      </x:c>
      <x:c r="J13" s="18" t="str">
        <x:f t="shared" si="0"/>
      </x:c>
      <x:c r="K13" s="18" t="str">
        <x:f t="shared" si="0"/>
      </x:c>
      <x:c r="L13" s="18" t="str">
        <x:f t="shared" si="0"/>
      </x:c>
      <x:c r="M13" s="18" t="str">
        <x:f t="shared" si="0"/>
      </x:c>
      <x:c r="N13" s="18" t="str">
        <x:f t="shared" si="0"/>
      </x:c>
      <x:c r="O13" s="18" t="str">
        <x:f t="shared" si="0"/>
      </x:c>
      <x:c r="P13" s="18" t="str">
        <x:f t="shared" si="0"/>
      </x:c>
      <x:c r="Q13" s="18" t="str">
        <x:f t="shared" si="0"/>
      </x:c>
      <x:c r="R13" s="18" t="str">
        <x:f t="shared" si="0"/>
      </x:c>
      <x:c r="S13" s="18" t="str">
        <x:f t="shared" si="0"/>
      </x:c>
      <x:c r="T13" s="18" t="str">
        <x:f t="shared" si="0"/>
      </x:c>
      <x:c r="U13" s="18" t="str">
        <x:f t="shared" si="0"/>
      </x:c>
      <x:c r="V13" s="18" t="str">
        <x:f t="shared" si="0"/>
      </x:c>
      <x:c r="W13" s="18" t="str">
        <x:f t="shared" si="0"/>
      </x:c>
      <x:c r="X13" s="18" t="str">
        <x:f t="shared" si="0"/>
      </x:c>
      <x:c r="Y13" s="18" t="str">
        <x:f t="shared" si="0"/>
      </x:c>
      <x:c r="Z13" s="18" t="str">
        <x:f t="shared" si="0"/>
      </x:c>
      <x:c r="AA13" s="18" t="str">
        <x:f t="shared" si="0"/>
      </x:c>
      <x:c r="AB13" s="18" t="str">
        <x:f t="shared" si="0"/>
      </x:c>
      <x:c r="AC13" s="18" t="str">
        <x:f t="shared" si="0"/>
      </x:c>
      <x:c r="AD13" s="18" t="str">
        <x:f t="shared" si="0"/>
      </x:c>
      <x:c r="AE13" s="18" t="str">
        <x:f t="shared" si="0"/>
      </x:c>
      <x:c r="AF13" s="19" t="str">
        <x:f t="shared" si="0"/>
      </x:c>
    </x:row>
    <x:row r="14" ht="36" customHeight="1">
      <x:c r="A14" s="17" t="s">
        <x:v>739</x:v>
      </x:c>
      <x:c r="B14" s="3" t="str">
        <x:f>IF(Master!C500="","",Master!C500)</x:f>
        <x:v>Yes</x:v>
      </x:c>
      <x:c r="C14" s="3" t="str">
        <x:f>IF(Master!D500="","",Master!D500)</x:f>
      </x:c>
      <x:c r="D14" s="3" t="str">
        <x:f>IF(Master!E500="","",Master!E500)</x:f>
      </x:c>
      <x:c r="E14" s="3" t="str">
        <x:f>IF(Master!F500="","",Master!F500)</x:f>
      </x:c>
      <x:c r="F14" s="3" t="str">
        <x:f>IF(Master!G500="","",Master!G500)</x:f>
      </x:c>
      <x:c r="G14" s="3" t="str">
        <x:f>IF(Master!H500="","",Master!H500)</x:f>
        <x:v>Yes</x:v>
      </x:c>
      <x:c r="H14" s="3" t="str">
        <x:f>IF(Master!I500="","",Master!I500)</x:f>
      </x:c>
      <x:c r="I14" s="3" t="str">
        <x:f>IF(Master!J500="","",Master!J500)</x:f>
      </x:c>
      <x:c r="J14" s="3" t="str">
        <x:f>IF(Master!K500="","",Master!K500)</x:f>
      </x:c>
      <x:c r="K14" s="3" t="str">
        <x:f>IF(Master!L500="","",Master!L500)</x:f>
        <x:v>Partial: selected secrets/TOTP/signing material are encrypted, but universal plaintext-message database-at-rest encryption is not claimed</x:v>
      </x:c>
      <x:c r="L14" s="3" t="str">
        <x:f>IF(Master!M500="","",Master!M500)</x:f>
      </x:c>
      <x:c r="M14" s="3" t="str">
        <x:f>IF(Master!N500="","",Master!N500)</x:f>
      </x:c>
      <x:c r="N14" s="3" t="str">
        <x:f>IF(Master!O500="","",Master!O500)</x:f>
      </x:c>
      <x:c r="O14" s="3" t="str">
        <x:f>IF(Master!P500="","",Master!P500)</x:f>
      </x:c>
      <x:c r="P14" s="3" t="str">
        <x:f>IF(Master!Q500="","",Master!Q500)</x:f>
      </x:c>
      <x:c r="Q14" s="3" t="str">
        <x:f>IF(Master!R500="","",Master!R500)</x:f>
      </x:c>
      <x:c r="R14" s="3" t="str">
        <x:f>IF(Master!S500="","",Master!S500)</x:f>
      </x:c>
      <x:c r="S14" s="3" t="str">
        <x:f>IF(Master!T500="","",Master!T500)</x:f>
      </x:c>
      <x:c r="T14" s="3" t="str">
        <x:f>IF(Master!U500="","",Master!U500)</x:f>
      </x:c>
      <x:c r="U14" s="3" t="str">
        <x:f>IF(Master!V500="","",Master!V500)</x:f>
        <x:v>Yes</x:v>
      </x:c>
      <x:c r="V14" s="3" t="str">
        <x:f>IF(Master!W500="","",Master!W500)</x:f>
      </x:c>
      <x:c r="W14" s="3" t="str">
        <x:f>IF(Master!X500="","",Master!X500)</x:f>
      </x:c>
      <x:c r="X14" s="3" t="str">
        <x:f>IF(Master!Y500="","",Master!Y500)</x:f>
      </x:c>
      <x:c r="Y14" s="3" t="str">
        <x:f>IF(Master!Z500="","",Master!Z500)</x:f>
      </x:c>
      <x:c r="Z14" s="3" t="str">
        <x:f>IF(Master!AA500="","",Master!AA500)</x:f>
      </x:c>
      <x:c r="AA14" s="6" t="str">
        <x:f>IF(Master!AB500="","",Master!AB500)</x:f>
      </x:c>
      <x:c r="AB14" s="3" t="str">
        <x:f>IF(Master!AC500="","",Master!AC500)</x:f>
      </x:c>
      <x:c r="AC14" s="3" t="str">
        <x:f>IF(Master!AD500="","",Master!AD500)</x:f>
      </x:c>
      <x:c r="AD14" s="3" t="str">
        <x:f>IF(Master!AE500="","",Master!AE500)</x:f>
      </x:c>
      <x:c r="AE14" s="3" t="str">
        <x:f>IF(Master!AF500="","",Master!AF500)</x:f>
      </x:c>
      <x:c r="AF14" s="8" t="str">
        <x:f>IF(Master!AG500="","",Master!AG500)</x:f>
      </x:c>
    </x:row>
    <x:row r="15" ht="36" customHeight="1">
      <x:c r="A15" s="17" t="s">
        <x:v>740</x:v>
      </x:c>
      <x:c r="B15" s="3" t="str">
        <x:f>IF(Master!C507="","",Master!C507)</x:f>
        <x:v>Yes for text</x:v>
      </x:c>
      <x:c r="C15" s="3" t="str">
        <x:f>IF(Master!D507="","",Master!D507)</x:f>
        <x:v>No for encrypted message bodies</x:v>
      </x:c>
      <x:c r="D15" s="3" t="str">
        <x:f>IF(Master!E507="","",Master!E507)</x:f>
        <x:v>Server can read normal channel text; encrypted DMs are ciphertext</x:v>
      </x:c>
      <x:c r="E15" s="3" t="str">
        <x:f>IF(Master!F507="","",Master!F507)</x:f>
        <x:v>Yes for text</x:v>
      </x:c>
      <x:c r="F15" s="3" t="str">
        <x:f>IF(Master!G507="","",Master!G507)</x:f>
        <x:v>No for encrypted DM plaintext in normal flow; yes for community channels</x:v>
      </x:c>
      <x:c r="G15" s="3" t="str">
        <x:f>IF(Master!H507="","",Master!H507)</x:f>
        <x:v>Yes</x:v>
      </x:c>
      <x:c r="H15" s="3" t="str">
        <x:f>IF(Master!I507="","",Master!I507)</x:f>
        <x:v>Yes for text on hosted/self-host server</x:v>
      </x:c>
      <x:c r="I15" s="3" t="str">
        <x:f>IF(Master!J507="","",Master!J507)</x:f>
        <x:v>Yes</x:v>
      </x:c>
      <x:c r="J15" s="3" t="str">
        <x:f>IF(Master!K507="","",Master!K507)</x:f>
        <x:v>No for private plaintext</x:v>
      </x:c>
      <x:c r="K15" s="3" t="str">
        <x:f>IF(Master!L507="","",Master!L507)</x:f>
        <x:v>Plaintext rooms: yes. Active MLS rooms: no message/file/media plaintext is available to honest-but-curious servers.</x:v>
      </x:c>
      <x:c r="L15" s="3" t="str">
        <x:f>IF(Master!M507="","",Master!M507)</x:f>
        <x:v>Yes for current server-readable content</x:v>
      </x:c>
      <x:c r="M15" s="3" t="str">
        <x:f>IF(Master!N507="","",Master!N507)</x:f>
        <x:v>Depends encrypted content type</x:v>
      </x:c>
      <x:c r="N15" s="3" t="str">
        <x:f>IF(Master!O507="","",Master!O507)</x:f>
        <x:v>Not for correctly E2EE-encrypted events; homeserver still stores ciphertext and metadata</x:v>
      </x:c>
      <x:c r="O15" s="3" t="str">
        <x:f>IF(Master!P507="","",Master!P507)</x:f>
        <x:v>Yes</x:v>
      </x:c>
      <x:c r="P15" s="3" t="str">
        <x:f>IF(Master!Q507="","",Master!Q507)</x:f>
      </x:c>
      <x:c r="Q15" s="3" t="str">
        <x:f>IF(Master!R507="","",Master!R507)</x:f>
        <x:v>N/A for persistent chat; server handles voice routing</x:v>
      </x:c>
      <x:c r="R15" s="3" t="str">
        <x:f>IF(Master!S507="","",Master!S507)</x:f>
        <x:v>Yes for hosted text</x:v>
      </x:c>
      <x:c r="S15" s="3" t="str">
        <x:f>IF(Master!T507="","",Master!T507)</x:f>
        <x:v>Yes for text</x:v>
      </x:c>
      <x:c r="T15" s="3" t="str">
        <x:f>IF(Master!U507="","",Master!U507)</x:f>
        <x:v>No E2EE product claim; exact hosted-message access policy not stated in the response</x:v>
      </x:c>
      <x:c r="U15" s="3" t="str">
        <x:f>IF(Master!V507="","",Master!V507)</x:f>
        <x:v>Cannot read E2EE DM plaintext; can process Shard/community plaintext</x:v>
      </x:c>
      <x:c r="V15" s="3" t="str">
        <x:f>IF(Master!W507="","",Master!W507)</x:f>
        <x:v>Not for local E2EE message bodies when functioning; server still sees metadata</x:v>
      </x:c>
      <x:c r="W15" s="3" t="str">
        <x:f>IF(Master!X507="","",Master!X507)</x:f>
        <x:v>Potentially visible to hosting services</x:v>
      </x:c>
      <x:c r="X15" s="3" t="str">
        <x:f>IF(Master!Y507="","",Master!Y507)</x:f>
        <x:v>Yes for stored text</x:v>
      </x:c>
      <x:c r="Y15" s="3" t="str">
        <x:f>IF(Master!Z507="","",Master!Z507)</x:f>
        <x:v>Yes unless operator adds extra encryption</x:v>
      </x:c>
      <x:c r="Z15" s="3" t="str">
        <x:f>IF(Master!AA507="","",Master!AA507)</x:f>
        <x:v>Yes for normal text</x:v>
      </x:c>
      <x:c r="AA15" s="6" t="str">
        <x:f>IF(Master!AB507="","",Master!AB507)</x:f>
      </x:c>
      <x:c r="AB15" s="3" t="str">
        <x:f>IF(Master!AC507="","",Master!AC507)</x:f>
        <x:v>Yes</x:v>
      </x:c>
      <x:c r="AC15" s="3" t="str">
        <x:f>IF(Master!AD507="","",Master!AD507)</x:f>
        <x:v>Yes for unencrypted content</x:v>
      </x:c>
      <x:c r="AD15" s="3" t="str">
        <x:f>IF(Master!AE507="","",Master!AE507)</x:f>
        <x:v>Yes</x:v>
      </x:c>
      <x:c r="AE15" s="3" t="str">
        <x:f>IF(Master!AF507="","",Master!AF507)</x:f>
        <x:v>Server operator may access text unless separate E2EE exists</x:v>
      </x:c>
      <x:c r="AF15" s="8" t="str">
        <x:f>IF(Master!AG507="","",Master!AG507)</x:f>
        <x:v>Yes</x:v>
      </x:c>
    </x:row>
    <x:row r="16" ht="36" customHeight="1">
      <x:c r="A16" s="17" t="s">
        <x:v>741</x:v>
      </x:c>
      <x:c r="B16" s="3" t="str">
        <x:f>IF(Master!C517="","",Master!C517)</x:f>
        <x:v>Yes: IP address is collected as device/use information</x:v>
      </x:c>
      <x:c r="C16" s="3" t="str">
        <x:f>IF(Master!D517="","",Master!D517)</x:f>
        <x:v>Relay sees metadata; content encrypted</x:v>
      </x:c>
      <x:c r="D16" s="3" t="str">
        <x:f>IF(Master!E517="","",Master!E517)</x:f>
        <x:v>Operator controlled; official messenger claims privacy model</x:v>
      </x:c>
      <x:c r="E16" s="3" t="str">
        <x:f>IF(Master!F517="","",Master!F517)</x:f>
      </x:c>
      <x:c r="F16" s="3" t="str">
        <x:f>IF(Master!G517="","",Master!G517)</x:f>
      </x:c>
      <x:c r="G16" s="3" t="str">
        <x:f>IF(Master!H517="","",Master!H517)</x:f>
        <x:v>IP/network data processed; approximate location derived</x:v>
      </x:c>
      <x:c r="H16" s="3" t="str">
        <x:f>IF(Master!I517="","",Master!I517)</x:f>
        <x:v>Operator/service dependent</x:v>
      </x:c>
      <x:c r="I16" s="3" t="str">
        <x:f>IF(Master!J517="","",Master!J517)</x:f>
        <x:v>Operator controlled</x:v>
      </x:c>
      <x:c r="J16" s="3" t="str">
        <x:f>IF(Master!K517="","",Master!K517)</x:f>
        <x:v>Official relay claims no IP logging; self-host operator could log metadata</x:v>
      </x:c>
      <x:c r="K16" s="3" t="str">
        <x:f>IF(Master!L517="","",Master!L517)</x:f>
        <x:v>Not publicly specified</x:v>
      </x:c>
      <x:c r="L16" s="3" t="str">
        <x:f>IF(Master!M517="","",Master!M517)</x:f>
      </x:c>
      <x:c r="M16" s="3" t="str">
        <x:f>IF(Master!N517="","",Master!N517)</x:f>
      </x:c>
      <x:c r="N16" s="3" t="str">
        <x:f>IF(Master!O517="","",Master!O517)</x:f>
        <x:v>Homeserver/operator sees IP/network metadata; exact logging is operator-dependent</x:v>
      </x:c>
      <x:c r="O16" s="3" t="str">
        <x:f>IF(Master!P517="","",Master!P517)</x:f>
        <x:v>Deployment/admin controlled</x:v>
      </x:c>
      <x:c r="P16" s="3" t="str">
        <x:f>IF(Master!Q517="","",Master!Q517)</x:f>
      </x:c>
      <x:c r="Q16" s="3" t="str">
        <x:f>IF(Master!R517="","",Master!R517)</x:f>
        <x:v>Server/operator-controlled</x:v>
      </x:c>
      <x:c r="R16" s="3" t="str">
        <x:f>IF(Master!S517="","",Master!S517)</x:f>
      </x:c>
      <x:c r="S16" s="3" t="str">
        <x:f>IF(Master!T517="","",Master!T517)</x:f>
      </x:c>
      <x:c r="T16" s="3" t="str">
        <x:f>IF(Master!U517="","",Master!U517)</x:f>
      </x:c>
      <x:c r="U16" s="3" t="str">
        <x:f>IF(Master!V517="","",Master!V517)</x:f>
      </x:c>
      <x:c r="V16" s="3" t="str">
        <x:f>IF(Master!W517="","",Master!W517)</x:f>
        <x:v>Admin/deployment policy</x:v>
      </x:c>
      <x:c r="W16" s="3" t="str">
        <x:f>IF(Master!X517="","",Master!X517)</x:f>
        <x:v>Provider dependent</x:v>
      </x:c>
      <x:c r="X16" s="3" t="str">
        <x:f>IF(Master!Y517="","",Master!Y517)</x:f>
        <x:v>Yes: device/network info including IP collected</x:v>
      </x:c>
      <x:c r="Y16" s="3" t="str">
        <x:f>IF(Master!Z517="","",Master!Z517)</x:f>
        <x:v>Operator-controlled</x:v>
      </x:c>
      <x:c r="Z16" s="3" t="str">
        <x:f>IF(Master!AA517="","",Master!AA517)</x:f>
      </x:c>
      <x:c r="AA16" s="6" t="str">
        <x:f>IF(Master!AB517="","",Master!AB517)</x:f>
        <x:v>Operator/service-dependent</x:v>
      </x:c>
      <x:c r="AB16" s="3" t="str">
        <x:f>IF(Master!AC517="","",Master!AC517)</x:f>
      </x:c>
      <x:c r="AC16" s="3" t="str">
        <x:f>IF(Master!AD517="","",Master!AD517)</x:f>
      </x:c>
      <x:c r="AD16" s="3" t="str">
        <x:f>IF(Master!AE517="","",Master!AE517)</x:f>
      </x:c>
      <x:c r="AE16" s="3" t="str">
        <x:f>IF(Master!AF517="","",Master!AF517)</x:f>
        <x:v>Operator controlled</x:v>
      </x:c>
      <x:c r="AF16" s="8" t="str">
        <x:f>IF(Master!AG517="","",Master!AG517)</x:f>
        <x:v>Hosted/operator dependent</x:v>
      </x:c>
    </x:row>
    <x:row r="17" ht="36" customHeight="1">
      <x:c r="A17" s="17" t="s">
        <x:v>742</x:v>
      </x:c>
      <x:c r="B17" s="3" t="str">
        <x:f>IF(Master!C518="","",Master!C518)</x:f>
      </x:c>
      <x:c r="C17" s="3" t="str">
        <x:f>IF(Master!D518="","",Master!D518)</x:f>
      </x:c>
      <x:c r="D17" s="3" t="str">
        <x:f>IF(Master!E518="","",Master!E518)</x:f>
      </x:c>
      <x:c r="E17" s="3" t="str">
        <x:f>IF(Master!F518="","",Master!F518)</x:f>
      </x:c>
      <x:c r="F17" s="3" t="str">
        <x:f>IF(Master!G518="","",Master!G518)</x:f>
      </x:c>
      <x:c r="G17" s="3" t="str">
        <x:f>IF(Master!H518="","",Master!H518)</x:f>
      </x:c>
      <x:c r="H17" s="3" t="str">
        <x:f>IF(Master!I518="","",Master!I518)</x:f>
      </x:c>
      <x:c r="I17" s="3" t="str">
        <x:f>IF(Master!J518="","",Master!J518)</x:f>
      </x:c>
      <x:c r="J17" s="3" t="str">
        <x:f>IF(Master!K518="","",Master!K518)</x:f>
      </x:c>
      <x:c r="K17" s="3" t="str">
        <x:f>IF(Master!L518="","",Master!L518)</x:f>
        <x:v>Not publicly specified</x:v>
      </x:c>
      <x:c r="L17" s="3" t="str">
        <x:f>IF(Master!M518="","",Master!M518)</x:f>
      </x:c>
      <x:c r="M17" s="3" t="str">
        <x:f>IF(Master!N518="","",Master!N518)</x:f>
      </x:c>
      <x:c r="N17" s="3" t="str">
        <x:f>IF(Master!O518="","",Master!O518)</x:f>
      </x:c>
      <x:c r="O17" s="3" t="str">
        <x:f>IF(Master!P518="","",Master!P518)</x:f>
      </x:c>
      <x:c r="P17" s="3" t="str">
        <x:f>IF(Master!Q518="","",Master!Q518)</x:f>
      </x:c>
      <x:c r="Q17" s="3" t="str">
        <x:f>IF(Master!R518="","",Master!R518)</x:f>
      </x:c>
      <x:c r="R17" s="3" t="str">
        <x:f>IF(Master!S518="","",Master!S518)</x:f>
      </x:c>
      <x:c r="S17" s="3" t="str">
        <x:f>IF(Master!T518="","",Master!T518)</x:f>
      </x:c>
      <x:c r="T17" s="3" t="str">
        <x:f>IF(Master!U518="","",Master!U518)</x:f>
      </x:c>
      <x:c r="U17" s="3" t="str">
        <x:f>IF(Master!V518="","",Master!V518)</x:f>
        <x:v>48 hours / HMAC fingerprint</x:v>
      </x:c>
      <x:c r="V17" s="3" t="str">
        <x:f>IF(Master!W518="","",Master!W518)</x:f>
      </x:c>
      <x:c r="W17" s="3" t="str">
        <x:f>IF(Master!X518="","",Master!X518)</x:f>
      </x:c>
      <x:c r="X17" s="3" t="str">
        <x:f>IF(Master!Y518="","",Master!Y518)</x:f>
      </x:c>
      <x:c r="Y17" s="3" t="str">
        <x:f>IF(Master!Z518="","",Master!Z518)</x:f>
      </x:c>
      <x:c r="Z17" s="3" t="str">
        <x:f>IF(Master!AA518="","",Master!AA518)</x:f>
      </x:c>
      <x:c r="AA17" s="6" t="str">
        <x:f>IF(Master!AB518="","",Master!AB518)</x:f>
      </x:c>
      <x:c r="AB17" s="3" t="str">
        <x:f>IF(Master!AC518="","",Master!AC518)</x:f>
      </x:c>
      <x:c r="AC17" s="3" t="str">
        <x:f>IF(Master!AD518="","",Master!AD518)</x:f>
      </x:c>
      <x:c r="AD17" s="3" t="str">
        <x:f>IF(Master!AE518="","",Master!AE518)</x:f>
      </x:c>
      <x:c r="AE17" s="3" t="str">
        <x:f>IF(Master!AF518="","",Master!AF518)</x:f>
      </x:c>
      <x:c r="AF17" s="8" t="str">
        <x:f>IF(Master!AG518="","",Master!AG518)</x:f>
      </x:c>
    </x:row>
    <x:row r="18" ht="36" customHeight="1">
      <x:c r="A18" s="17" t="s">
        <x:v>569</x:v>
      </x:c>
      <x:c r="B18" s="3" t="str">
        <x:f>IF(Master!C309="","",Master!C309)</x:f>
      </x:c>
      <x:c r="C18" s="3" t="str">
        <x:f>IF(Master!D309="","",Master!D309)</x:f>
      </x:c>
      <x:c r="D18" s="3" t="str">
        <x:f>IF(Master!E309="","",Master!E309)</x:f>
      </x:c>
      <x:c r="E18" s="3" t="str">
        <x:f>IF(Master!F309="","",Master!F309)</x:f>
      </x:c>
      <x:c r="F18" s="3" t="str">
        <x:f>IF(Master!G309="","",Master!G309)</x:f>
      </x:c>
      <x:c r="G18" s="3" t="str">
        <x:f>IF(Master!H309="","",Master!H309)</x:f>
      </x:c>
      <x:c r="H18" s="3" t="str">
        <x:f>IF(Master!I309="","",Master!I309)</x:f>
      </x:c>
      <x:c r="I18" s="3" t="str">
        <x:f>IF(Master!J309="","",Master!J309)</x:f>
      </x:c>
      <x:c r="J18" s="3" t="str">
        <x:f>IF(Master!K309="","",Master!K309)</x:f>
      </x:c>
      <x:c r="K18" s="3" t="str">
        <x:f>IF(Master!L309="","",Master!L309)</x:f>
        <x:v>Not explicitly documented</x:v>
      </x:c>
      <x:c r="L18" s="3" t="str">
        <x:f>IF(Master!M309="","",Master!M309)</x:f>
      </x:c>
      <x:c r="M18" s="3" t="str">
        <x:f>IF(Master!N309="","",Master!N309)</x:f>
      </x:c>
      <x:c r="N18" s="3" t="str">
        <x:f>IF(Master!O309="","",Master!O309)</x:f>
        <x:v>Client/server-dependent</x:v>
      </x:c>
      <x:c r="O18" s="3" t="str">
        <x:f>IF(Master!P309="","",Master!P309)</x:f>
      </x:c>
      <x:c r="P18" s="3" t="str">
        <x:f>IF(Master!Q309="","",Master!Q309)</x:f>
      </x:c>
      <x:c r="Q18" s="3" t="str">
        <x:f>IF(Master!R309="","",Master!R309)</x:f>
        <x:v>N/A</x:v>
      </x:c>
      <x:c r="R18" s="3" t="str">
        <x:f>IF(Master!S309="","",Master!S309)</x:f>
      </x:c>
      <x:c r="S18" s="3" t="str">
        <x:f>IF(Master!T309="","",Master!T309)</x:f>
      </x:c>
      <x:c r="T18" s="3" t="str">
        <x:f>IF(Master!U309="","",Master!U309)</x:f>
      </x:c>
      <x:c r="U18" s="3" t="str">
        <x:f>IF(Master!V309="","",Master!V309)</x:f>
        <x:v>Yes: automatic EXIF stripping</x:v>
      </x:c>
      <x:c r="V18" s="3" t="str">
        <x:f>IF(Master!W309="","",Master!W309)</x:f>
      </x:c>
      <x:c r="W18" s="3" t="str">
        <x:f>IF(Master!X309="","",Master!X309)</x:f>
      </x:c>
      <x:c r="X18" s="3" t="str">
        <x:f>IF(Master!Y309="","",Master!Y309)</x:f>
      </x:c>
      <x:c r="Y18" s="3" t="str">
        <x:f>IF(Master!Z309="","",Master!Z309)</x:f>
      </x:c>
      <x:c r="Z18" s="3" t="str">
        <x:f>IF(Master!AA309="","",Master!AA309)</x:f>
      </x:c>
      <x:c r="AA18" s="6" t="str">
        <x:f>IF(Master!AB309="","",Master!AB309)</x:f>
      </x:c>
      <x:c r="AB18" s="3" t="str">
        <x:f>IF(Master!AC309="","",Master!AC309)</x:f>
      </x:c>
      <x:c r="AC18" s="3" t="str">
        <x:f>IF(Master!AD309="","",Master!AD309)</x:f>
      </x:c>
      <x:c r="AD18" s="3" t="str">
        <x:f>IF(Master!AE309="","",Master!AE309)</x:f>
      </x:c>
      <x:c r="AE18" s="3" t="str">
        <x:f>IF(Master!AF309="","",Master!AF309)</x:f>
      </x:c>
      <x:c r="AF18" s="8" t="str">
        <x:f>IF(Master!AG309="","",Master!AG309)</x:f>
      </x:c>
    </x:row>
    <x:row r="19" ht="36" customHeight="1">
      <x:c r="A19" s="17" t="s">
        <x:v>743</x:v>
      </x:c>
      <x:c r="B19" s="3" t="str">
        <x:f>IF(Master!C523="","",Master!C523)</x:f>
      </x:c>
      <x:c r="C19" s="3" t="str">
        <x:f>IF(Master!D523="","",Master!D523)</x:f>
        <x:v>Operator-selected</x:v>
      </x:c>
      <x:c r="D19" s="3" t="str">
        <x:f>IF(Master!E523="","",Master!E523)</x:f>
        <x:v>Operator-selected</x:v>
      </x:c>
      <x:c r="E19" s="3" t="str">
        <x:f>IF(Master!F523="","",Master!F523)</x:f>
      </x:c>
      <x:c r="F19" s="3" t="str">
        <x:f>IF(Master!G523="","",Master!G523)</x:f>
      </x:c>
      <x:c r="G19" s="3" t="str">
        <x:f>IF(Master!H523="","",Master!H523)</x:f>
      </x:c>
      <x:c r="H19" s="3" t="str">
        <x:f>IF(Master!I523="","",Master!I523)</x:f>
        <x:v>Operator-selected</x:v>
      </x:c>
      <x:c r="I19" s="3" t="str">
        <x:f>IF(Master!J523="","",Master!J523)</x:f>
        <x:v>Operator-selected</x:v>
      </x:c>
      <x:c r="J19" s="3" t="str">
        <x:f>IF(Master!K523="","",Master!K523)</x:f>
      </x:c>
      <x:c r="K19" s="3" t="str">
        <x:f>IF(Master!L523="","",Master!L523)</x:f>
        <x:v>Self-host: operator chooses region/providers; official hosted service does not document per-user region selection</x:v>
      </x:c>
      <x:c r="L19" s="3" t="str">
        <x:f>IF(Master!M523="","",Master!M523)</x:f>
      </x:c>
      <x:c r="M19" s="3" t="str">
        <x:f>IF(Master!N523="","",Master!N523)</x:f>
        <x:v>Operator-selected</x:v>
      </x:c>
      <x:c r="N19" s="3" t="str">
        <x:f>IF(Master!O523="","",Master!O523)</x:f>
      </x:c>
      <x:c r="O19" s="3" t="str">
        <x:f>IF(Master!P523="","",Master!P523)</x:f>
        <x:v>Operator-selected</x:v>
      </x:c>
      <x:c r="P19" s="3" t="str">
        <x:f>IF(Master!Q523="","",Master!Q523)</x:f>
      </x:c>
      <x:c r="Q19" s="3" t="str">
        <x:f>IF(Master!R523="","",Master!R523)</x:f>
        <x:v>Operator-selected</x:v>
      </x:c>
      <x:c r="R19" s="3" t="str">
        <x:f>IF(Master!S523="","",Master!S523)</x:f>
      </x:c>
      <x:c r="S19" s="3" t="str">
        <x:f>IF(Master!T523="","",Master!T523)</x:f>
        <x:v>Yes</x:v>
      </x:c>
      <x:c r="T19" s="3" t="str">
        <x:f>IF(Master!U523="","",Master!U523)</x:f>
        <x:v>Hosted service is in São Paulo; self-hosters choose their own region</x:v>
      </x:c>
      <x:c r="U19" s="3" t="str">
        <x:f>IF(Master!V523="","",Master!V523)</x:f>
      </x:c>
      <x:c r="V19" s="3" t="str">
        <x:f>IF(Master!W523="","",Master!W523)</x:f>
        <x:v>Operator-selected</x:v>
      </x:c>
      <x:c r="W19" s="3" t="str">
        <x:f>IF(Master!X523="","",Master!X523)</x:f>
      </x:c>
      <x:c r="X19" s="3" t="str">
        <x:f>IF(Master!Y523="","",Master!Y523)</x:f>
      </x:c>
      <x:c r="Y19" s="3" t="str">
        <x:f>IF(Master!Z523="","",Master!Z523)</x:f>
        <x:v>Operator-selected</x:v>
      </x:c>
      <x:c r="Z19" s="3" t="str">
        <x:f>IF(Master!AA523="","",Master!AA523)</x:f>
        <x:v>Operator-selected</x:v>
      </x:c>
      <x:c r="AA19" s="6" t="str">
        <x:f>IF(Master!AB523="","",Master!AB523)</x:f>
        <x:v>Operator-selected</x:v>
      </x:c>
      <x:c r="AB19" s="3" t="str">
        <x:f>IF(Master!AC523="","",Master!AC523)</x:f>
        <x:v>Operator-selected</x:v>
      </x:c>
      <x:c r="AC19" s="3" t="str">
        <x:f>IF(Master!AD523="","",Master!AD523)</x:f>
        <x:v>Operator-selected</x:v>
      </x:c>
      <x:c r="AD19" s="3" t="str">
        <x:f>IF(Master!AE523="","",Master!AE523)</x:f>
      </x:c>
      <x:c r="AE19" s="3" t="str">
        <x:f>IF(Master!AF523="","",Master!AF523)</x:f>
        <x:v>Operator-selected</x:v>
      </x:c>
      <x:c r="AF19" s="8" t="str">
        <x:f>IF(Master!AG523="","",Master!AG523)</x:f>
        <x:v>Operator-selected</x:v>
      </x:c>
    </x:row>
  </x:sheetData>
  <x:mergeCells>
    <x:mergeCell ref="A1:AF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Directory'!A1","Encryption Details"),"Encryption Details")</x:f>
        <x:v>Encryption Details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744</x:v>
      </x:c>
      <x:c r="B3" s="3" t="str">
        <x:f>IF(Master!C479="","",Master!C479)</x:f>
        <x:v>No (text)</x:v>
      </x:c>
      <x:c r="C3" s="3" t="str">
        <x:f>IF(Master!D479="","",Master!D479)</x:f>
        <x:v>Yes</x:v>
      </x:c>
      <x:c r="D3" s="3" t="str">
        <x:f>IF(Master!E479="","",Master!E479)</x:f>
        <x:v>Yes for desktop server DMs when enabled; messenger always yes</x:v>
      </x:c>
      <x:c r="E3" s="3" t="str">
        <x:f>IF(Master!F479="","",Master!F479)</x:f>
        <x:v>No default text E2EE verified</x:v>
      </x:c>
      <x:c r="F3" s="3" t="str">
        <x:f>IF(Master!G479="","",Master!G479)</x:f>
        <x:v>Yes</x:v>
      </x:c>
      <x:c r="G3" s="3" t="str">
        <x:f>IF(Master!H479="","",Master!H479)</x:f>
        <x:v>No</x:v>
      </x:c>
      <x:c r="H3" s="3" t="str">
        <x:f>IF(Master!I479="","",Master!I479)</x:f>
        <x:v>No</x:v>
      </x:c>
      <x:c r="I3" s="3" t="str">
        <x:f>IF(Master!J479="","",Master!J479)</x:f>
        <x:v>No</x:v>
      </x:c>
      <x:c r="J3" s="3" t="str">
        <x:f>IF(Master!K479="","",Master!K479)</x:f>
        <x:v>Yes</x:v>
      </x:c>
      <x:c r="K3" s="3" t="str">
        <x:f>IF(Master!L479="","",Master!L479)</x:f>
        <x:v>Yes: optional room/DM MLS 1.0</x:v>
      </x:c>
      <x:c r="L3" s="3" t="str">
        <x:f>IF(Master!M479="","",Master!M479)</x:f>
      </x:c>
      <x:c r="M3" s="3" t="str">
        <x:f>IF(Master!N479="","",Master!N479)</x:f>
      </x:c>
      <x:c r="N3" s="3" t="str">
        <x:f>IF(Master!O479="","",Master!O479)</x:f>
        <x:v>Supported; default depends on client/room</x:v>
      </x:c>
      <x:c r="O3" s="3" t="str">
        <x:f>IF(Master!P479="","",Master!P479)</x:f>
        <x:v>No</x:v>
      </x:c>
      <x:c r="P3" s="3" t="str">
        <x:f>IF(Master!Q479="","",Master!Q479)</x:f>
        <x:v>E2EE claimed</x:v>
      </x:c>
      <x:c r="Q3" s="3" t="str">
        <x:f>IF(Master!R479="","",Master!R479)</x:f>
        <x:v>N/A</x:v>
      </x:c>
      <x:c r="R3" s="3" t="str">
        <x:f>IF(Master!S479="","",Master!S479)</x:f>
        <x:v>No default E2EE verified</x:v>
      </x:c>
      <x:c r="S3" s="3" t="str">
        <x:f>IF(Master!T479="","",Master!T479)</x:f>
        <x:v>No</x:v>
      </x:c>
      <x:c r="T3" s="3" t="str">
        <x:f>IF(Master!U479="","",Master!U479)</x:f>
        <x:v>No: not marketed as E2EE</x:v>
      </x:c>
      <x:c r="U3" s="3" t="str">
        <x:f>IF(Master!V479="","",Master!V479)</x:f>
        <x:v>Yes</x:v>
      </x:c>
      <x:c r="V3" s="3" t="str">
        <x:f>IF(Master!W479="","",Master!W479)</x:f>
        <x:v>Available in supported E2EE conversations</x:v>
      </x:c>
      <x:c r="W3" s="3" t="str">
        <x:f>IF(Master!X479="","",Master!X479)</x:f>
        <x:v>No default E2EE verified</x:v>
      </x:c>
      <x:c r="X3" s="3" t="str">
        <x:f>IF(Master!Y479="","",Master!Y479)</x:f>
        <x:v>No claim / treated as server-readable</x:v>
      </x:c>
      <x:c r="Y3" s="3" t="str">
        <x:f>IF(Master!Z479="","",Master!Z479)</x:f>
        <x:v>No documented default</x:v>
      </x:c>
      <x:c r="Z3" s="3" t="str">
        <x:f>IF(Master!AA479="","",Master!AA479)</x:f>
        <x:v>No default E2EE verified</x:v>
      </x:c>
      <x:c r="AA3" s="6" t="str">
        <x:f>IF(Master!AB479="","",Master!AB479)</x:f>
      </x:c>
      <x:c r="AB3" s="3" t="str">
        <x:f>IF(Master!AC479="","",Master!AC479)</x:f>
        <x:v>No default E2EE claim</x:v>
      </x:c>
      <x:c r="AC3" s="3" t="str">
        <x:f>IF(Master!AD479="","",Master!AD479)</x:f>
        <x:v>No by default</x:v>
      </x:c>
      <x:c r="AD3" s="3" t="str">
        <x:f>IF(Master!AE479="","",Master!AE479)</x:f>
        <x:v>No</x:v>
      </x:c>
      <x:c r="AE3" s="3" t="str">
        <x:f>IF(Master!AF479="","",Master!AF479)</x:f>
      </x:c>
      <x:c r="AF3" s="8" t="str">
        <x:f>IF(Master!AG479="","",Master!AG479)</x:f>
        <x:v>No</x:v>
      </x:c>
    </x:row>
    <x:row r="4" ht="36" customHeight="1">
      <x:c r="A4" s="17" t="s">
        <x:v>745</x:v>
      </x:c>
      <x:c r="B4" s="3" t="str">
        <x:f>IF(Master!C480="","",Master!C480)</x:f>
        <x:v>No (text)</x:v>
      </x:c>
      <x:c r="C4" s="3" t="str">
        <x:f>IF(Master!D480="","",Master!D480)</x:f>
        <x:v>Yes</x:v>
      </x:c>
      <x:c r="D4" s="3" t="str">
        <x:f>IF(Master!E480="","",Master!E480)</x:f>
      </x:c>
      <x:c r="E4" s="3" t="str">
        <x:f>IF(Master!F480="","",Master!F480)</x:f>
        <x:v>No</x:v>
      </x:c>
      <x:c r="F4" s="3" t="str">
        <x:f>IF(Master!G480="","",Master!G480)</x:f>
      </x:c>
      <x:c r="G4" s="3" t="str">
        <x:f>IF(Master!H480="","",Master!H480)</x:f>
        <x:v>No</x:v>
      </x:c>
      <x:c r="H4" s="3" t="str">
        <x:f>IF(Master!I480="","",Master!I480)</x:f>
        <x:v>No</x:v>
      </x:c>
      <x:c r="I4" s="3" t="str">
        <x:f>IF(Master!J480="","",Master!J480)</x:f>
        <x:v>No</x:v>
      </x:c>
      <x:c r="J4" s="3" t="str">
        <x:f>IF(Master!K480="","",Master!K480)</x:f>
        <x:v>Yes</x:v>
      </x:c>
      <x:c r="K4" s="3" t="str">
        <x:f>IF(Master!L480="","",Master!L480)</x:f>
        <x:v>Yes: optional room/DM MLS 1.0</x:v>
      </x:c>
      <x:c r="L4" s="3" t="str">
        <x:f>IF(Master!M480="","",Master!M480)</x:f>
      </x:c>
      <x:c r="M4" s="3" t="str">
        <x:f>IF(Master!N480="","",Master!N480)</x:f>
      </x:c>
      <x:c r="N4" s="3" t="str">
        <x:f>IF(Master!O480="","",Master!O480)</x:f>
        <x:v>Supported in encrypted rooms</x:v>
      </x:c>
      <x:c r="O4" s="3" t="str">
        <x:f>IF(Master!P480="","",Master!P480)</x:f>
        <x:v>No</x:v>
      </x:c>
      <x:c r="P4" s="3" t="str">
        <x:f>IF(Master!Q480="","",Master!Q480)</x:f>
        <x:v>E2EE claimed</x:v>
      </x:c>
      <x:c r="Q4" s="3" t="str">
        <x:f>IF(Master!R480="","",Master!R480)</x:f>
        <x:v>N/A</x:v>
      </x:c>
      <x:c r="R4" s="3" t="str">
        <x:f>IF(Master!S480="","",Master!S480)</x:f>
        <x:v>No</x:v>
      </x:c>
      <x:c r="S4" s="3" t="str">
        <x:f>IF(Master!T480="","",Master!T480)</x:f>
        <x:v>No</x:v>
      </x:c>
      <x:c r="T4" s="3" t="str">
        <x:f>IF(Master!U480="","",Master!U480)</x:f>
        <x:v>No: not marketed as E2EE</x:v>
      </x:c>
      <x:c r="U4" s="3" t="str">
        <x:f>IF(Master!V480="","",Master!V480)</x:f>
        <x:v>No: Splinters/group chats are server-readable after decryption</x:v>
      </x:c>
      <x:c r="V4" s="3" t="str">
        <x:f>IF(Master!W480="","",Master!W480)</x:f>
        <x:v>Available with limitations/version-dependent</x:v>
      </x:c>
      <x:c r="W4" s="3" t="str">
        <x:f>IF(Master!X480="","",Master!X480)</x:f>
        <x:v>No</x:v>
      </x:c>
      <x:c r="X4" s="3" t="str">
        <x:f>IF(Master!Y480="","",Master!Y480)</x:f>
        <x:v>No claim</x:v>
      </x:c>
      <x:c r="Y4" s="3" t="str">
        <x:f>IF(Master!Z480="","",Master!Z480)</x:f>
        <x:v>No documented default</x:v>
      </x:c>
      <x:c r="Z4" s="3" t="str">
        <x:f>IF(Master!AA480="","",Master!AA480)</x:f>
        <x:v>No default E2EE verified</x:v>
      </x:c>
      <x:c r="AA4" s="6" t="str">
        <x:f>IF(Master!AB480="","",Master!AB480)</x:f>
      </x:c>
      <x:c r="AB4" s="3" t="str">
        <x:f>IF(Master!AC480="","",Master!AC480)</x:f>
        <x:v>No</x:v>
      </x:c>
      <x:c r="AC4" s="3" t="str">
        <x:f>IF(Master!AD480="","",Master!AD480)</x:f>
      </x:c>
      <x:c r="AD4" s="3" t="str">
        <x:f>IF(Master!AE480="","",Master!AE480)</x:f>
        <x:v>No</x:v>
      </x:c>
      <x:c r="AE4" s="3" t="str">
        <x:f>IF(Master!AF480="","",Master!AF480)</x:f>
      </x:c>
      <x:c r="AF4" s="8" t="str">
        <x:f>IF(Master!AG480="","",Master!AG480)</x:f>
        <x:v>No</x:v>
      </x:c>
    </x:row>
    <x:row r="5" ht="36" customHeight="1">
      <x:c r="A5" s="17" t="s">
        <x:v>746</x:v>
      </x:c>
      <x:c r="B5" s="3" t="str">
        <x:f>IF(Master!C481="","",Master!C481)</x:f>
        <x:v>No (text)</x:v>
      </x:c>
      <x:c r="C5" s="3" t="str">
        <x:f>IF(Master!D481="","",Master!D481)</x:f>
        <x:v>Yes</x:v>
      </x:c>
      <x:c r="D5" s="3" t="str">
        <x:f>IF(Master!E481="","",Master!E481)</x:f>
        <x:v>No for normal server channels</x:v>
      </x:c>
      <x:c r="E5" s="3" t="str">
        <x:f>IF(Master!F481="","",Master!F481)</x:f>
        <x:v>No</x:v>
      </x:c>
      <x:c r="F5" s="3" t="str">
        <x:f>IF(Master!G481="","",Master!G481)</x:f>
        <x:v>No</x:v>
      </x:c>
      <x:c r="G5" s="3" t="str">
        <x:f>IF(Master!H481="","",Master!H481)</x:f>
        <x:v>No</x:v>
      </x:c>
      <x:c r="H5" s="3" t="str">
        <x:f>IF(Master!I481="","",Master!I481)</x:f>
        <x:v>No</x:v>
      </x:c>
      <x:c r="I5" s="3" t="str">
        <x:f>IF(Master!J481="","",Master!J481)</x:f>
        <x:v>No</x:v>
      </x:c>
      <x:c r="J5" s="3" t="str">
        <x:f>IF(Master!K481="","",Master!K481)</x:f>
        <x:v>Yes for private channels; public channels are intentionally plaintext/public</x:v>
      </x:c>
      <x:c r="K5" s="3" t="str">
        <x:f>IF(Master!L481="","",Master!L481)</x:f>
        <x:v>Yes: optional room/DM MLS 1.0</x:v>
      </x:c>
      <x:c r="L5" s="3" t="str">
        <x:f>IF(Master!M481="","",Master!M481)</x:f>
      </x:c>
      <x:c r="M5" s="3" t="str">
        <x:f>IF(Master!N481="","",Master!N481)</x:f>
      </x:c>
      <x:c r="N5" s="3" t="str">
        <x:f>IF(Master!O481="","",Master!O481)</x:f>
        <x:v>Supported in encrypted rooms</x:v>
      </x:c>
      <x:c r="O5" s="3" t="str">
        <x:f>IF(Master!P481="","",Master!P481)</x:f>
        <x:v>No</x:v>
      </x:c>
      <x:c r="P5" s="3" t="str">
        <x:f>IF(Master!Q481="","",Master!Q481)</x:f>
      </x:c>
      <x:c r="Q5" s="3" t="str">
        <x:f>IF(Master!R481="","",Master!R481)</x:f>
        <x:v>N/A</x:v>
      </x:c>
      <x:c r="R5" s="3" t="str">
        <x:f>IF(Master!S481="","",Master!S481)</x:f>
        <x:v>No</x:v>
      </x:c>
      <x:c r="S5" s="3" t="str">
        <x:f>IF(Master!T481="","",Master!T481)</x:f>
        <x:v>No</x:v>
      </x:c>
      <x:c r="T5" s="3" t="str">
        <x:f>IF(Master!U481="","",Master!U481)</x:f>
        <x:v>No: not marketed as E2EE</x:v>
      </x:c>
      <x:c r="U5" s="3" t="str">
        <x:f>IF(Master!V481="","",Master!V481)</x:f>
        <x:v>No: community channels are encrypted at rest, not E2EE</x:v>
      </x:c>
      <x:c r="V5" s="3" t="str">
        <x:f>IF(Master!W481="","",Master!W481)</x:f>
        <x:v>Available for encrypted rooms; federation has limitations</x:v>
      </x:c>
      <x:c r="W5" s="3" t="str">
        <x:f>IF(Master!X481="","",Master!X481)</x:f>
        <x:v>No</x:v>
      </x:c>
      <x:c r="X5" s="3" t="str">
        <x:f>IF(Master!Y481="","",Master!Y481)</x:f>
        <x:v>No claim</x:v>
      </x:c>
      <x:c r="Y5" s="3" t="str">
        <x:f>IF(Master!Z481="","",Master!Z481)</x:f>
        <x:v>No documented default</x:v>
      </x:c>
      <x:c r="Z5" s="3" t="str">
        <x:f>IF(Master!AA481="","",Master!AA481)</x:f>
        <x:v>No</x:v>
      </x:c>
      <x:c r="AA5" s="6" t="str">
        <x:f>IF(Master!AB481="","",Master!AB481)</x:f>
      </x:c>
      <x:c r="AB5" s="3" t="str">
        <x:f>IF(Master!AC481="","",Master!AC481)</x:f>
        <x:v>No</x:v>
      </x:c>
      <x:c r="AC5" s="3" t="str">
        <x:f>IF(Master!AD481="","",Master!AD481)</x:f>
        <x:v>No by default</x:v>
      </x:c>
      <x:c r="AD5" s="3" t="str">
        <x:f>IF(Master!AE481="","",Master!AE481)</x:f>
        <x:v>No</x:v>
      </x:c>
      <x:c r="AE5" s="3" t="str">
        <x:f>IF(Master!AF481="","",Master!AF481)</x:f>
      </x:c>
      <x:c r="AF5" s="8" t="str">
        <x:f>IF(Master!AG481="","",Master!AG481)</x:f>
        <x:v>No</x:v>
      </x:c>
    </x:row>
    <x:row r="6" ht="36" customHeight="1">
      <x:c r="A6" s="17" t="s">
        <x:v>747</x:v>
      </x:c>
      <x:c r="B6" s="3" t="str">
        <x:f>IF(Master!C482="","",Master!C482)</x:f>
        <x:v>Yes by default for calls/Go Live via DAVE</x:v>
      </x:c>
      <x:c r="C6" s="3" t="str">
        <x:f>IF(Master!D482="","",Master!D482)</x:f>
      </x:c>
      <x:c r="D6" s="3" t="str">
        <x:f>IF(Master!E482="","",Master!E482)</x:f>
      </x:c>
      <x:c r="E6" s="3" t="str">
        <x:f>IF(Master!F482="","",Master!F482)</x:f>
      </x:c>
      <x:c r="F6" s="3" t="str">
        <x:f>IF(Master!G482="","",Master!G482)</x:f>
      </x:c>
      <x:c r="G6" s="3" t="str">
        <x:f>IF(Master!H482="","",Master!H482)</x:f>
        <x:v>No currently</x:v>
      </x:c>
      <x:c r="H6" s="3" t="str">
        <x:f>IF(Master!I482="","",Master!I482)</x:f>
        <x:v>Yes: voice claimed E2EE</x:v>
      </x:c>
      <x:c r="I6" s="3" t="str">
        <x:f>IF(Master!J482="","",Master!J482)</x:f>
        <x:v>No currently</x:v>
      </x:c>
      <x:c r="J6" s="3" t="str">
        <x:f>IF(Master!K482="","",Master!K482)</x:f>
        <x:v>Yes/SFrame claim</x:v>
      </x:c>
      <x:c r="K6" s="3" t="str">
        <x:f>IF(Master!L482="","",Master!L482)</x:f>
        <x:v>Yes: MLS policy also protects supported LiveKit microphone/camera/screen/screen-audio frames</x:v>
      </x:c>
      <x:c r="L6" s="3" t="str">
        <x:f>IF(Master!M482="","",Master!M482)</x:f>
      </x:c>
      <x:c r="M6" s="3" t="str">
        <x:f>IF(Master!N482="","",Master!N482)</x:f>
      </x:c>
      <x:c r="N6" s="3" t="str">
        <x:f>IF(Master!O482="","",Master!O482)</x:f>
        <x:v>Supported by MatrixRTC/capable clients</x:v>
      </x:c>
      <x:c r="O6" s="3" t="str">
        <x:f>IF(Master!P482="","",Master!P482)</x:f>
        <x:v>Not generally E2EE against server; deployment media security applies</x:v>
      </x:c>
      <x:c r="P6" s="3" t="str">
        <x:f>IF(Master!Q482="","",Master!Q482)</x:f>
        <x:v>E2EE claimed</x:v>
      </x:c>
      <x:c r="Q6" s="3" t="str">
        <x:f>IF(Master!R482="","",Master!R482)</x:f>
        <x:v>No: media is encrypted to server, not E2EE against server operator</x:v>
      </x:c>
      <x:c r="R6" s="3" t="str">
        <x:f>IF(Master!S482="","",Master!S482)</x:f>
      </x:c>
      <x:c r="S6" s="3" t="str">
        <x:f>IF(Master!T482="","",Master!T482)</x:f>
        <x:v>Encrypted transport; E2EE not claimed</x:v>
      </x:c>
      <x:c r="T6" s="3" t="str">
        <x:f>IF(Master!U482="","",Master!U482)</x:f>
        <x:v>Not marketed as an E2EE product feature</x:v>
      </x:c>
      <x:c r="U6" s="3" t="str">
        <x:f>IF(Master!V482="","",Master!V482)</x:f>
        <x:v>Yes: direct calls</x:v>
      </x:c>
      <x:c r="V6" s="3" t="str">
        <x:f>IF(Master!W482="","",Master!W482)</x:f>
        <x:v>Provider/deployment-dependent</x:v>
      </x:c>
      <x:c r="W6" s="3" t="str">
        <x:f>IF(Master!X482="","",Master!X482)</x:f>
        <x:v>N/A</x:v>
      </x:c>
      <x:c r="X6" s="3" t="str">
        <x:f>IF(Master!Y482="","",Master!Y482)</x:f>
        <x:v>No E2EE claim in privacy policy</x:v>
      </x:c>
      <x:c r="Y6" s="3" t="str">
        <x:f>IF(Master!Z482="","",Master!Z482)</x:f>
      </x:c>
      <x:c r="Z6" s="3" t="str">
        <x:f>IF(Master!AA482="","",Master!AA482)</x:f>
      </x:c>
      <x:c r="AA6" s="6" t="str">
        <x:f>IF(Master!AB482="","",Master!AB482)</x:f>
      </x:c>
      <x:c r="AB6" s="3" t="str">
        <x:f>IF(Master!AC482="","",Master!AC482)</x:f>
      </x:c>
      <x:c r="AC6" s="3" t="str">
        <x:f>IF(Master!AD482="","",Master!AD482)</x:f>
      </x:c>
      <x:c r="AD6" s="3" t="str">
        <x:f>IF(Master!AE482="","",Master!AE482)</x:f>
      </x:c>
      <x:c r="AE6" s="3" t="str">
        <x:f>IF(Master!AF482="","",Master!AF482)</x:f>
      </x:c>
      <x:c r="AF6" s="8" t="str">
        <x:f>IF(Master!AG482="","",Master!AG482)</x:f>
        <x:v>External provider-dependent</x:v>
      </x:c>
    </x:row>
    <x:row r="7" ht="36" customHeight="1">
      <x:c r="A7" s="17" t="s">
        <x:v>748</x:v>
      </x:c>
      <x:c r="B7" s="3" t="str">
        <x:f>IF(Master!C483="","",Master!C483)</x:f>
        <x:v>Yes by default for calls/Go Live via DAVE</x:v>
      </x:c>
      <x:c r="C7" s="3" t="str">
        <x:f>IF(Master!D483="","",Master!D483)</x:f>
      </x:c>
      <x:c r="D7" s="3" t="str">
        <x:f>IF(Master!E483="","",Master!E483)</x:f>
      </x:c>
      <x:c r="E7" s="3" t="str">
        <x:f>IF(Master!F483="","",Master!F483)</x:f>
      </x:c>
      <x:c r="F7" s="3" t="str">
        <x:f>IF(Master!G483="","",Master!G483)</x:f>
      </x:c>
      <x:c r="G7" s="3" t="str">
        <x:f>IF(Master!H483="","",Master!H483)</x:f>
        <x:v>No currently</x:v>
      </x:c>
      <x:c r="H7" s="3" t="str">
        <x:f>IF(Master!I483="","",Master!I483)</x:f>
      </x:c>
      <x:c r="I7" s="3" t="str">
        <x:f>IF(Master!J483="","",Master!J483)</x:f>
        <x:v>No currently</x:v>
      </x:c>
      <x:c r="J7" s="3" t="str">
        <x:f>IF(Master!K483="","",Master!K483)</x:f>
        <x:v>Yes/SFrame claim</x:v>
      </x:c>
      <x:c r="K7" s="3" t="str">
        <x:f>IF(Master!L483="","",Master!L483)</x:f>
        <x:v>Yes: MLS policy also protects supported LiveKit microphone/camera/screen/screen-audio frames</x:v>
      </x:c>
      <x:c r="L7" s="3" t="str">
        <x:f>IF(Master!M483="","",Master!M483)</x:f>
      </x:c>
      <x:c r="M7" s="3" t="str">
        <x:f>IF(Master!N483="","",Master!N483)</x:f>
      </x:c>
      <x:c r="N7" s="3" t="str">
        <x:f>IF(Master!O483="","",Master!O483)</x:f>
        <x:v>Supported by MatrixRTC/capable clients</x:v>
      </x:c>
      <x:c r="O7" s="3" t="str">
        <x:f>IF(Master!P483="","",Master!P483)</x:f>
        <x:v>Same</x:v>
      </x:c>
      <x:c r="P7" s="3" t="str">
        <x:f>IF(Master!Q483="","",Master!Q483)</x:f>
        <x:v>E2EE claimed</x:v>
      </x:c>
      <x:c r="Q7" s="3" t="str">
        <x:f>IF(Master!R483="","",Master!R483)</x:f>
        <x:v>N/A</x:v>
      </x:c>
      <x:c r="R7" s="3" t="str">
        <x:f>IF(Master!S483="","",Master!S483)</x:f>
      </x:c>
      <x:c r="S7" s="3" t="str">
        <x:f>IF(Master!T483="","",Master!T483)</x:f>
        <x:v>Encrypted transport; E2EE not claimed</x:v>
      </x:c>
      <x:c r="T7" s="3" t="str">
        <x:f>IF(Master!U483="","",Master!U483)</x:f>
        <x:v>Not marketed as an E2EE product feature</x:v>
      </x:c>
      <x:c r="U7" s="3" t="str">
        <x:f>IF(Master!V483="","",Master!V483)</x:f>
        <x:v>Yes: direct calls</x:v>
      </x:c>
      <x:c r="V7" s="3" t="str">
        <x:f>IF(Master!W483="","",Master!W483)</x:f>
        <x:v>Provider/deployment-dependent</x:v>
      </x:c>
      <x:c r="W7" s="3" t="str">
        <x:f>IF(Master!X483="","",Master!X483)</x:f>
        <x:v>N/A</x:v>
      </x:c>
      <x:c r="X7" s="3" t="str">
        <x:f>IF(Master!Y483="","",Master!Y483)</x:f>
        <x:v>No E2EE claim</x:v>
      </x:c>
      <x:c r="Y7" s="3" t="str">
        <x:f>IF(Master!Z483="","",Master!Z483)</x:f>
      </x:c>
      <x:c r="Z7" s="3" t="str">
        <x:f>IF(Master!AA483="","",Master!AA483)</x:f>
      </x:c>
      <x:c r="AA7" s="6" t="str">
        <x:f>IF(Master!AB483="","",Master!AB483)</x:f>
      </x:c>
      <x:c r="AB7" s="3" t="str">
        <x:f>IF(Master!AC483="","",Master!AC483)</x:f>
      </x:c>
      <x:c r="AC7" s="3" t="str">
        <x:f>IF(Master!AD483="","",Master!AD483)</x:f>
      </x:c>
      <x:c r="AD7" s="3" t="str">
        <x:f>IF(Master!AE483="","",Master!AE483)</x:f>
      </x:c>
      <x:c r="AE7" s="3" t="str">
        <x:f>IF(Master!AF483="","",Master!AF483)</x:f>
      </x:c>
      <x:c r="AF7" s="8" t="str">
        <x:f>IF(Master!AG483="","",Master!AG483)</x:f>
        <x:v>External provider-dependent</x:v>
      </x:c>
    </x:row>
    <x:row r="8" ht="36" customHeight="1">
      <x:c r="A8" s="17" t="s">
        <x:v>749</x:v>
      </x:c>
      <x:c r="B8" s="3" t="str">
        <x:f>IF(Master!C484="","",Master!C484)</x:f>
        <x:v>Yes by default for Go Live; Stage exception</x:v>
      </x:c>
      <x:c r="C8" s="3" t="str">
        <x:f>IF(Master!D484="","",Master!D484)</x:f>
      </x:c>
      <x:c r="D8" s="3" t="str">
        <x:f>IF(Master!E484="","",Master!E484)</x:f>
      </x:c>
      <x:c r="E8" s="3" t="str">
        <x:f>IF(Master!F484="","",Master!F484)</x:f>
      </x:c>
      <x:c r="F8" s="3" t="str">
        <x:f>IF(Master!G484="","",Master!G484)</x:f>
      </x:c>
      <x:c r="G8" s="3" t="str">
        <x:f>IF(Master!H484="","",Master!H484)</x:f>
        <x:v>No currently</x:v>
      </x:c>
      <x:c r="H8" s="3" t="str">
        <x:f>IF(Master!I484="","",Master!I484)</x:f>
      </x:c>
      <x:c r="I8" s="3" t="str">
        <x:f>IF(Master!J484="","",Master!J484)</x:f>
        <x:v>No currently</x:v>
      </x:c>
      <x:c r="J8" s="3" t="str">
        <x:f>IF(Master!K484="","",Master!K484)</x:f>
      </x:c>
      <x:c r="K8" s="3" t="str">
        <x:f>IF(Master!L484="","",Master!L484)</x:f>
        <x:v>Yes: MLS policy also protects supported LiveKit microphone/camera/screen/screen-audio frames</x:v>
      </x:c>
      <x:c r="L8" s="3" t="str">
        <x:f>IF(Master!M484="","",Master!M484)</x:f>
      </x:c>
      <x:c r="M8" s="3" t="str">
        <x:f>IF(Master!N484="","",Master!N484)</x:f>
      </x:c>
      <x:c r="N8" s="3" t="str">
        <x:f>IF(Master!O484="","",Master!O484)</x:f>
        <x:v>Supported by MatrixRTC/capable clients</x:v>
      </x:c>
      <x:c r="O8" s="3" t="str">
        <x:f>IF(Master!P484="","",Master!P484)</x:f>
        <x:v>Same</x:v>
      </x:c>
      <x:c r="P8" s="3" t="str">
        <x:f>IF(Master!Q484="","",Master!Q484)</x:f>
      </x:c>
      <x:c r="Q8" s="3" t="str">
        <x:f>IF(Master!R484="","",Master!R484)</x:f>
        <x:v>N/A</x:v>
      </x:c>
      <x:c r="R8" s="3" t="str">
        <x:f>IF(Master!S484="","",Master!S484)</x:f>
      </x:c>
      <x:c r="S8" s="3" t="str">
        <x:f>IF(Master!T484="","",Master!T484)</x:f>
      </x:c>
      <x:c r="T8" s="3" t="str">
        <x:f>IF(Master!U484="","",Master!U484)</x:f>
        <x:v>Not marketed as an E2EE product feature</x:v>
      </x:c>
      <x:c r="U8" s="3" t="str">
        <x:f>IF(Master!V484="","",Master!V484)</x:f>
        <x:v>Yes: direct screen sharing/calls</x:v>
      </x:c>
      <x:c r="V8" s="3" t="str">
        <x:f>IF(Master!W484="","",Master!W484)</x:f>
        <x:v>Provider/deployment-dependent</x:v>
      </x:c>
      <x:c r="W8" s="3" t="str">
        <x:f>IF(Master!X484="","",Master!X484)</x:f>
        <x:v>N/A</x:v>
      </x:c>
      <x:c r="X8" s="3" t="str">
        <x:f>IF(Master!Y484="","",Master!Y484)</x:f>
        <x:v>No E2EE claim</x:v>
      </x:c>
      <x:c r="Y8" s="3" t="str">
        <x:f>IF(Master!Z484="","",Master!Z484)</x:f>
      </x:c>
      <x:c r="Z8" s="3" t="str">
        <x:f>IF(Master!AA484="","",Master!AA484)</x:f>
      </x:c>
      <x:c r="AA8" s="6" t="str">
        <x:f>IF(Master!AB484="","",Master!AB484)</x:f>
      </x:c>
      <x:c r="AB8" s="3" t="str">
        <x:f>IF(Master!AC484="","",Master!AC484)</x:f>
      </x:c>
      <x:c r="AC8" s="3" t="str">
        <x:f>IF(Master!AD484="","",Master!AD484)</x:f>
      </x:c>
      <x:c r="AD8" s="3" t="str">
        <x:f>IF(Master!AE484="","",Master!AE484)</x:f>
      </x:c>
      <x:c r="AE8" s="3" t="str">
        <x:f>IF(Master!AF484="","",Master!AF484)</x:f>
      </x:c>
      <x:c r="AF8" s="8" t="str">
        <x:f>IF(Master!AG484="","",Master!AG484)</x:f>
        <x:v>External provider-dependent</x:v>
      </x:c>
    </x:row>
    <x:row r="9" ht="36" customHeight="1">
      <x:c r="A9" s="17" t="s">
        <x:v>750</x:v>
      </x:c>
      <x:c r="B9" s="3" t="str">
        <x:f>IF(Master!C485="","",Master!C485)</x:f>
        <x:v>Mandatory for supported voice/video; text not E2EE</x:v>
      </x:c>
      <x:c r="C9" s="3" t="str">
        <x:f>IF(Master!D485="","",Master!D485)</x:f>
        <x:v>E2EE by default for communities</x:v>
      </x:c>
      <x:c r="D9" s="3" t="str">
        <x:f>IF(Master!E485="","",Master!E485)</x:f>
        <x:v>Messenger mandatory; server DM encryption optional</x:v>
      </x:c>
      <x:c r="E9" s="3" t="str">
        <x:f>IF(Master!F485="","",Master!F485)</x:f>
      </x:c>
      <x:c r="F9" s="3" t="str">
        <x:f>IF(Master!G485="","",Master!G485)</x:f>
        <x:v>DM encryption is intended/default; media status is evolving</x:v>
      </x:c>
      <x:c r="G9" s="3" t="str">
        <x:f>IF(Master!H485="","",Master!H485)</x:f>
        <x:v>Not E2EE as of 2026-09-13 privacy policy</x:v>
      </x:c>
      <x:c r="H9" s="3" t="str">
        <x:f>IF(Master!I485="","",Master!I485)</x:f>
        <x:v>Voice only / text not claimed E2EE</x:v>
      </x:c>
      <x:c r="I9" s="3" t="str">
        <x:f>IF(Master!J485="","",Master!J485)</x:f>
        <x:v>No E2EE currently</x:v>
      </x:c>
      <x:c r="J9" s="3" t="str">
        <x:f>IF(Master!K485="","",Master!K485)</x:f>
        <x:v>Mandatory for private communication; public channels intentionally not</x:v>
      </x:c>
      <x:c r="K9" s="3" t="str">
        <x:f>IF(Master!L485="","",Master!L485)</x:f>
        <x:v>Optional, room-level; activation is fail-closed and irreversible for future content once active</x:v>
      </x:c>
      <x:c r="L9" s="3" t="str">
        <x:f>IF(Master!M485="","",Master!M485)</x:f>
        <x:v>E2EE WIP; TLS today</x:v>
      </x:c>
      <x:c r="M9" s="3" t="str">
        <x:f>IF(Master!N485="","",Master!N485)</x:f>
        <x:v>Mixed/eligible content</x:v>
      </x:c>
      <x:c r="N9" s="3" t="str">
        <x:f>IF(Master!O485="","",Master!O485)</x:f>
        <x:v>Optional at protocol level; many clients default private chats to encrypted</x:v>
      </x:c>
      <x:c r="O9" s="3" t="str">
        <x:f>IF(Master!P485="","",Master!P485)</x:f>
        <x:v>Server-side enterprise collaboration model</x:v>
      </x:c>
      <x:c r="P9" s="3" t="str">
        <x:f>IF(Master!Q485="","",Master!Q485)</x:f>
        <x:v>Claimed zero-knowledge/E2EE</x:v>
      </x:c>
      <x:c r="Q9" s="3" t="str">
        <x:f>IF(Master!R485="","",Master!R485)</x:f>
        <x:v>Transport encryption</x:v>
      </x:c>
      <x:c r="R9" s="3" t="str">
        <x:f>IF(Master!S485="","",Master!S485)</x:f>
      </x:c>
      <x:c r="S9" s="3" t="str">
        <x:f>IF(Master!T485="","",Master!T485)</x:f>
        <x:v>Transport encryption</x:v>
      </x:c>
      <x:c r="T9" s="3" t="str">
        <x:f>IF(Master!U485="","",Master!U485)</x:f>
        <x:v>TLS in transit; no E2EE product claim</x:v>
      </x:c>
      <x:c r="U9" s="3" t="str">
        <x:f>IF(Master!V485="","",Master!V485)</x:f>
        <x:v>DM E2EE is default; Shard text is not E2EE</x:v>
      </x:c>
      <x:c r="V9" s="3" t="str">
        <x:f>IF(Master!W485="","",Master!W485)</x:f>
        <x:v>Optional/room-dependent</x:v>
      </x:c>
      <x:c r="W9" s="3" t="str">
        <x:f>IF(Master!X485="","",Master!X485)</x:f>
        <x:v>No E2EE verified</x:v>
      </x:c>
      <x:c r="X9" s="3" t="str">
        <x:f>IF(Master!Y485="","",Master!Y485)</x:f>
        <x:v>Transport encryption only</x:v>
      </x:c>
      <x:c r="Y9" s="3" t="str">
        <x:f>IF(Master!Z485="","",Master!Z485)</x:f>
        <x:v>No platform-wide E2EE guarantee</x:v>
      </x:c>
      <x:c r="Z9" s="3" t="str">
        <x:f>IF(Master!AA485="","",Master!AA485)</x:f>
      </x:c>
      <x:c r="AA9" s="6" t="str">
        <x:f>IF(Master!AB485="","",Master!AB485)</x:f>
      </x:c>
      <x:c r="AB9" s="3" t="str">
        <x:f>IF(Master!AC485="","",Master!AC485)</x:f>
        <x:v>Transport/server-side</x:v>
      </x:c>
      <x:c r="AC9" s="3" t="str">
        <x:f>IF(Master!AD485="","",Master!AD485)</x:f>
        <x:v>Per-conversation opt-in planned; default unencrypted</x:v>
      </x:c>
      <x:c r="AD9" s="3" t="str">
        <x:f>IF(Master!AE485="","",Master!AE485)</x:f>
        <x:v>Transport encryption</x:v>
      </x:c>
      <x:c r="AE9" s="3" t="str">
        <x:f>IF(Master!AF485="","",Master!AF485)</x:f>
        <x:v>Transport/self-host privacy model</x:v>
      </x:c>
      <x:c r="AF9" s="8" t="str">
        <x:f>IF(Master!AG485="","",Master!AG485)</x:f>
        <x:v>Server-stored chat, no native E2EE</x:v>
      </x:c>
    </x:row>
    <x:row r="10" ht="36" customHeight="1">
      <x:c r="A10" s="17" t="s">
        <x:v>751</x:v>
      </x:c>
      <x:c r="B10" s="3" t="str">
        <x:f>IF(Master!C486="","",Master!C486)</x:f>
        <x:v>Yes for text</x:v>
      </x:c>
      <x:c r="C10" s="3" t="str">
        <x:f>IF(Master!D486="","",Master!D486)</x:f>
        <x:v>No for encrypted message bodies</x:v>
      </x:c>
      <x:c r="D10" s="3" t="str">
        <x:f>IF(Master!E486="","",Master!E486)</x:f>
        <x:v>Server can read normal channel text; encrypted DMs are ciphertext</x:v>
      </x:c>
      <x:c r="E10" s="3" t="str">
        <x:f>IF(Master!F486="","",Master!F486)</x:f>
        <x:v>Yes for text</x:v>
      </x:c>
      <x:c r="F10" s="3" t="str">
        <x:f>IF(Master!G486="","",Master!G486)</x:f>
        <x:v>No for encrypted DM plaintext in normal flow; yes for community channels</x:v>
      </x:c>
      <x:c r="G10" s="3" t="str">
        <x:f>IF(Master!H486="","",Master!H486)</x:f>
        <x:v>Yes</x:v>
      </x:c>
      <x:c r="H10" s="3" t="str">
        <x:f>IF(Master!I486="","",Master!I486)</x:f>
        <x:v>Yes for text on hosted/self-host server</x:v>
      </x:c>
      <x:c r="I10" s="3" t="str">
        <x:f>IF(Master!J486="","",Master!J486)</x:f>
        <x:v>Yes</x:v>
      </x:c>
      <x:c r="J10" s="3" t="str">
        <x:f>IF(Master!K486="","",Master!K486)</x:f>
        <x:v>No for private plaintext</x:v>
      </x:c>
      <x:c r="K10" s="3" t="str">
        <x:f>IF(Master!L486="","",Master!L486)</x:f>
        <x:v>Plaintext rooms: yes. Active MLS rooms: no message/file/media plaintext is available to honest-but-curious servers.</x:v>
      </x:c>
      <x:c r="L10" s="3" t="str">
        <x:f>IF(Master!M486="","",Master!M486)</x:f>
        <x:v>Yes for current server-readable content</x:v>
      </x:c>
      <x:c r="M10" s="3" t="str">
        <x:f>IF(Master!N486="","",Master!N486)</x:f>
        <x:v>Depends encrypted content type</x:v>
      </x:c>
      <x:c r="N10" s="3" t="str">
        <x:f>IF(Master!O486="","",Master!O486)</x:f>
        <x:v>Not for correctly E2EE-encrypted events; homeserver still stores ciphertext and metadata</x:v>
      </x:c>
      <x:c r="O10" s="3" t="str">
        <x:f>IF(Master!P486="","",Master!P486)</x:f>
        <x:v>Yes</x:v>
      </x:c>
      <x:c r="P10" s="3" t="str">
        <x:f>IF(Master!Q486="","",Master!Q486)</x:f>
      </x:c>
      <x:c r="Q10" s="3" t="str">
        <x:f>IF(Master!R486="","",Master!R486)</x:f>
        <x:v>N/A for persistent chat; server handles voice routing</x:v>
      </x:c>
      <x:c r="R10" s="3" t="str">
        <x:f>IF(Master!S486="","",Master!S486)</x:f>
        <x:v>Yes for hosted text</x:v>
      </x:c>
      <x:c r="S10" s="3" t="str">
        <x:f>IF(Master!T486="","",Master!T486)</x:f>
        <x:v>Yes for text</x:v>
      </x:c>
      <x:c r="T10" s="3" t="str">
        <x:f>IF(Master!U486="","",Master!U486)</x:f>
        <x:v>No E2EE product claim; exact access policy not stated</x:v>
      </x:c>
      <x:c r="U10" s="3" t="str">
        <x:f>IF(Master!V486="","",Master!V486)</x:f>
        <x:v>No for E2EE DM plaintext; yes for Shard/community channel plaintext</x:v>
      </x:c>
      <x:c r="V10" s="3" t="str">
        <x:f>IF(Master!W486="","",Master!W486)</x:f>
        <x:v>Not for local E2EE message bodies when functioning; server still sees metadata</x:v>
      </x:c>
      <x:c r="W10" s="3" t="str">
        <x:f>IF(Master!X486="","",Master!X486)</x:f>
        <x:v>Potentially visible to hosting services</x:v>
      </x:c>
      <x:c r="X10" s="3" t="str">
        <x:f>IF(Master!Y486="","",Master!Y486)</x:f>
        <x:v>Yes for stored text</x:v>
      </x:c>
      <x:c r="Y10" s="3" t="str">
        <x:f>IF(Master!Z486="","",Master!Z486)</x:f>
        <x:v>Yes unless operator adds extra encryption</x:v>
      </x:c>
      <x:c r="Z10" s="3" t="str">
        <x:f>IF(Master!AA486="","",Master!AA486)</x:f>
        <x:v>Yes for normal text</x:v>
      </x:c>
      <x:c r="AA10" s="6" t="str">
        <x:f>IF(Master!AB486="","",Master!AB486)</x:f>
      </x:c>
      <x:c r="AB10" s="3" t="str">
        <x:f>IF(Master!AC486="","",Master!AC486)</x:f>
        <x:v>Yes</x:v>
      </x:c>
      <x:c r="AC10" s="3" t="str">
        <x:f>IF(Master!AD486="","",Master!AD486)</x:f>
        <x:v>Yes for unencrypted content</x:v>
      </x:c>
      <x:c r="AD10" s="3" t="str">
        <x:f>IF(Master!AE486="","",Master!AE486)</x:f>
        <x:v>Yes</x:v>
      </x:c>
      <x:c r="AE10" s="3" t="str">
        <x:f>IF(Master!AF486="","",Master!AF486)</x:f>
        <x:v>Server operator may access text unless separate E2EE exists</x:v>
      </x:c>
      <x:c r="AF10" s="8" t="str">
        <x:f>IF(Master!AG486="","",Master!AG486)</x:f>
        <x:v>Yes</x:v>
      </x:c>
    </x:row>
    <x:row r="11" ht="36" customHeight="1">
      <x:c r="A11" s="17" t="s">
        <x:v>752</x:v>
      </x:c>
      <x:c r="B11" s="3" t="str">
        <x:f>IF(Master!C487="","",Master!C487)</x:f>
        <x:v>DAVE keys negotiated by clients; text stored server-side</x:v>
      </x:c>
      <x:c r="C11" s="3" t="str">
        <x:f>IF(Master!D487="","",Master!D487)</x:f>
        <x:v>User-held Nostr keys</x:v>
      </x:c>
      <x:c r="D11" s="3" t="str">
        <x:f>IF(Master!E487="","",Master!E487)</x:f>
        <x:v>Device-generated key</x:v>
      </x:c>
      <x:c r="E11" s="3" t="str">
        <x:f>IF(Master!F487="","",Master!F487)</x:f>
        <x:v>Server-side</x:v>
      </x:c>
      <x:c r="F11" s="3" t="str">
        <x:f>IF(Master!G487="","",Master!G487)</x:f>
        <x:v>Passphrase-derived account key + per-message encryption keys; server stores public key/ciphertext</x:v>
      </x:c>
      <x:c r="G11" s="3" t="str">
        <x:f>IF(Master!H487="","",Master!H487)</x:f>
        <x:v>Server-side storage; transport/at-rest encryption</x:v>
      </x:c>
      <x:c r="H11" s="3" t="str">
        <x:f>IF(Master!I487="","",Master!I487)</x:f>
      </x:c>
      <x:c r="I11" s="3" t="str">
        <x:f>IF(Master!J487="","",Master!J487)</x:f>
        <x:v>Server/operator</x:v>
      </x:c>
      <x:c r="J11" s="3" t="str">
        <x:f>IF(Master!K487="","",Master!K487)</x:f>
        <x:v>User-held Ed25519/device keys</x:v>
      </x:c>
      <x:c r="K11" s="3" t="str">
        <x:f>IF(Master!L487="","",Master!L487)</x:f>
        <x:v>Client-held MLS identity/vault; server stores public credentials and encrypted portable state but not MLS group secrets/private keys</x:v>
      </x:c>
      <x:c r="L11" s="3" t="str">
        <x:f>IF(Master!M487="","",Master!M487)</x:f>
      </x:c>
      <x:c r="M11" s="3" t="str">
        <x:f>IF(Master!N487="","",Master!N487)</x:f>
      </x:c>
      <x:c r="N11" s="3" t="str">
        <x:f>IF(Master!O487="","",Master!O487)</x:f>
        <x:v>Client-held device keys; cross-signing/key backup implementations defined by Matrix</x:v>
      </x:c>
      <x:c r="O11" s="3" t="str">
        <x:f>IF(Master!P487="","",Master!P487)</x:f>
        <x:v>Server-side / deployment-controlled</x:v>
      </x:c>
      <x:c r="P11" s="3" t="str">
        <x:f>IF(Master!Q487="","",Master!Q487)</x:f>
      </x:c>
      <x:c r="Q11" s="3" t="str">
        <x:f>IF(Master!R487="","",Master!R487)</x:f>
        <x:v>TLS/certificate/server session model</x:v>
      </x:c>
      <x:c r="R11" s="3" t="str">
        <x:f>IF(Master!S487="","",Master!S487)</x:f>
        <x:v>Server-side</x:v>
      </x:c>
      <x:c r="S11" s="3" t="str">
        <x:f>IF(Master!T487="","",Master!T487)</x:f>
        <x:v>Server-side</x:v>
      </x:c>
      <x:c r="T11" s="3" t="str">
        <x:f>IF(Master!U487="","",Master!U487)</x:f>
        <x:v>Server-side</x:v>
      </x:c>
      <x:c r="U11" s="3" t="str">
        <x:f>IF(Master!V487="","",Master!V487)</x:f>
        <x:v>User device / Rift Key roots the encryption keys</x:v>
      </x:c>
      <x:c r="V11" s="3" t="str">
        <x:f>IF(Master!W487="","",Master!W487)</x:f>
        <x:v>Client keys for E2EE; exact implementation/version-dependent</x:v>
      </x:c>
      <x:c r="W11" s="3" t="str">
        <x:f>IF(Master!X487="","",Master!X487)</x:f>
        <x:v>ATProto/PDS</x:v>
      </x:c>
      <x:c r="X11" s="3" t="str">
        <x:f>IF(Master!Y487="","",Master!Y487)</x:f>
        <x:v>Server-managed</x:v>
      </x:c>
      <x:c r="Y11" s="3" t="str">
        <x:f>IF(Master!Z487="","",Master!Z487)</x:f>
        <x:v>Operator-controlled</x:v>
      </x:c>
      <x:c r="Z11" s="3" t="str">
        <x:f>IF(Master!AA487="","",Master!AA487)</x:f>
      </x:c>
      <x:c r="AA11" s="6" t="str">
        <x:f>IF(Master!AB487="","",Master!AB487)</x:f>
        <x:v>Proprietary</x:v>
      </x:c>
      <x:c r="AB11" s="3" t="str">
        <x:f>IF(Master!AC487="","",Master!AC487)</x:f>
        <x:v>Server-side</x:v>
      </x:c>
      <x:c r="AC11" s="3" t="str">
        <x:f>IF(Master!AD487="","",Master!AD487)</x:f>
      </x:c>
      <x:c r="AD11" s="3" t="str">
        <x:f>IF(Master!AE487="","",Master!AE487)</x:f>
        <x:v>Server-side</x:v>
      </x:c>
      <x:c r="AE11" s="3" t="str">
        <x:f>IF(Master!AF487="","",Master!AF487)</x:f>
      </x:c>
      <x:c r="AF11" s="8" t="str">
        <x:f>IF(Master!AG487="","",Master!AG487)</x:f>
        <x:v>Server-side</x:v>
      </x:c>
    </x:row>
    <x:row r="12" ht="36" customHeight="1">
      <x:c r="A12" s="17" t="s">
        <x:v>753</x:v>
      </x:c>
      <x:c r="B12" s="3" t="str">
        <x:f>IF(Master!C488="","",Master!C488)</x:f>
        <x:v>DAVE design; exact ratchet properties depend spec</x:v>
      </x:c>
      <x:c r="C12" s="3" t="str">
        <x:f>IF(Master!D488="","",Master!D488)</x:f>
      </x:c>
      <x:c r="D12" s="3" t="str">
        <x:f>IF(Master!E488="","",Master!E488)</x:f>
      </x:c>
      <x:c r="E12" s="3" t="str">
        <x:f>IF(Master!F488="","",Master!F488)</x:f>
      </x:c>
      <x:c r="F12" s="3" t="str">
        <x:f>IF(Master!G488="","",Master!G488)</x:f>
        <x:v>Not Signal Double Ratchet; founder explicitly says mature Signal-level forward secrecy is not claimed</x:v>
      </x:c>
      <x:c r="G12" s="3" t="str">
        <x:f>IF(Master!H488="","",Master!H488)</x:f>
        <x:v>N/A currently</x:v>
      </x:c>
      <x:c r="H12" s="3" t="str">
        <x:f>IF(Master!I488="","",Master!I488)</x:f>
      </x:c>
      <x:c r="I12" s="3" t="str">
        <x:f>IF(Master!J488="","",Master!J488)</x:f>
        <x:v>N/A</x:v>
      </x:c>
      <x:c r="J12" s="3" t="str">
        <x:f>IF(Master!K488="","",Master!K488)</x:f>
        <x:v>Olm/MLS/SFrame design</x:v>
      </x:c>
      <x:c r="K12" s="3" t="str">
        <x:f>IF(Master!L488="","",Master!L488)</x:f>
        <x:v>Yes: MLS 1.0 epochs/rekeys; membership/device changes force rekey before writes resume</x:v>
      </x:c>
      <x:c r="L12" s="3" t="str">
        <x:f>IF(Master!M488="","",Master!M488)</x:f>
      </x:c>
      <x:c r="M12" s="3" t="str">
        <x:f>IF(Master!N488="","",Master!N488)</x:f>
      </x:c>
      <x:c r="N12" s="3" t="str">
        <x:f>IF(Master!O488="","",Master!O488)</x:f>
        <x:v>Megolm/Olm-era designs and newer crypto work; properties vary by room/media protocol</x:v>
      </x:c>
      <x:c r="O12" s="3" t="str">
        <x:f>IF(Master!P488="","",Master!P488)</x:f>
        <x:v>N/A</x:v>
      </x:c>
      <x:c r="P12" s="3" t="str">
        <x:f>IF(Master!Q488="","",Master!Q488)</x:f>
      </x:c>
      <x:c r="Q12" s="3" t="str">
        <x:f>IF(Master!R488="","",Master!R488)</x:f>
        <x:v>N/A</x:v>
      </x:c>
      <x:c r="R12" s="3" t="str">
        <x:f>IF(Master!S488="","",Master!S488)</x:f>
        <x:v>N/A</x:v>
      </x:c>
      <x:c r="S12" s="3" t="str">
        <x:f>IF(Master!T488="","",Master!T488)</x:f>
        <x:v>N/A</x:v>
      </x:c>
      <x:c r="T12" s="3" t="str">
        <x:f>IF(Master!U488="","",Master!U488)</x:f>
        <x:v>N/A</x:v>
      </x:c>
      <x:c r="U12" s="3" t="str">
        <x:f>IF(Master!V488="","",Master!V488)</x:f>
        <x:v>Yes: X3DH / Double Ratchet design</x:v>
      </x:c>
      <x:c r="V12" s="3" t="str">
        <x:f>IF(Master!W488="","",Master!W488)</x:f>
        <x:v>Version-dependent</x:v>
      </x:c>
      <x:c r="W12" s="3" t="str">
        <x:f>IF(Master!X488="","",Master!X488)</x:f>
        <x:v>N/A</x:v>
      </x:c>
      <x:c r="X12" s="3" t="str">
        <x:f>IF(Master!Y488="","",Master!Y488)</x:f>
      </x:c>
      <x:c r="Y12" s="3" t="str">
        <x:f>IF(Master!Z488="","",Master!Z488)</x:f>
      </x:c>
      <x:c r="Z12" s="3" t="str">
        <x:f>IF(Master!AA488="","",Master!AA488)</x:f>
      </x:c>
      <x:c r="AA12" s="6" t="str">
        <x:f>IF(Master!AB488="","",Master!AB488)</x:f>
      </x:c>
      <x:c r="AB12" s="3" t="str">
        <x:f>IF(Master!AC488="","",Master!AC488)</x:f>
        <x:v>N/A</x:v>
      </x:c>
      <x:c r="AC12" s="3" t="str">
        <x:f>IF(Master!AD488="","",Master!AD488)</x:f>
      </x:c>
      <x:c r="AD12" s="3" t="str">
        <x:f>IF(Master!AE488="","",Master!AE488)</x:f>
        <x:v>N/A</x:v>
      </x:c>
      <x:c r="AE12" s="3" t="str">
        <x:f>IF(Master!AF488="","",Master!AF488)</x:f>
      </x:c>
      <x:c r="AF12" s="8" t="str">
        <x:f>IF(Master!AG488="","",Master!AG488)</x:f>
        <x:v>N/A</x:v>
      </x:c>
    </x:row>
    <x:row r="13" ht="36" customHeight="1">
      <x:c r="A13" s="17" t="s">
        <x:v>754</x:v>
      </x:c>
      <x:c r="B13" s="3" t="str">
        <x:f>IF(Master!C489="","",Master!C489)</x:f>
        <x:v>Yes for DAVE-compatible clients</x:v>
      </x:c>
      <x:c r="C13" s="3" t="str">
        <x:f>IF(Master!D489="","",Master!D489)</x:f>
      </x:c>
      <x:c r="D13" s="3" t="str">
        <x:f>IF(Master!E489="","",Master!E489)</x:f>
        <x:v>Yes: multi-device sync described</x:v>
      </x:c>
      <x:c r="E13" s="3" t="str">
        <x:f>IF(Master!F489="","",Master!F489)</x:f>
      </x:c>
      <x:c r="F13" s="3" t="str">
        <x:f>IF(Master!G489="","",Master!G489)</x:f>
      </x:c>
      <x:c r="G13" s="3" t="str">
        <x:f>IF(Master!H489="","",Master!H489)</x:f>
        <x:v>N/A currently</x:v>
      </x:c>
      <x:c r="H13" s="3" t="str">
        <x:f>IF(Master!I489="","",Master!I489)</x:f>
      </x:c>
      <x:c r="I13" s="3" t="str">
        <x:f>IF(Master!J489="","",Master!J489)</x:f>
        <x:v>N/A</x:v>
      </x:c>
      <x:c r="J13" s="3" t="str">
        <x:f>IF(Master!K489="","",Master!K489)</x:f>
        <x:v>Multi-device supported</x:v>
      </x:c>
      <x:c r="K13" s="3" t="str">
        <x:f>IF(Master!L489="","",Master!L489)</x:f>
        <x:v>Yes: portable encrypted account state supports multiple signed-in clients with serialized MLS state updates</x:v>
      </x:c>
      <x:c r="L13" s="3" t="str">
        <x:f>IF(Master!M489="","",Master!M489)</x:f>
      </x:c>
      <x:c r="M13" s="3" t="str">
        <x:f>IF(Master!N489="","",Master!N489)</x:f>
      </x:c>
      <x:c r="N13" s="3" t="str">
        <x:f>IF(Master!O489="","",Master!O489)</x:f>
        <x:v>Yes: designed for multi-device keys</x:v>
      </x:c>
      <x:c r="O13" s="3" t="str">
        <x:f>IF(Master!P489="","",Master!P489)</x:f>
        <x:v>N/A</x:v>
      </x:c>
      <x:c r="P13" s="3" t="str">
        <x:f>IF(Master!Q489="","",Master!Q489)</x:f>
      </x:c>
      <x:c r="Q13" s="3" t="str">
        <x:f>IF(Master!R489="","",Master!R489)</x:f>
        <x:v>N/A</x:v>
      </x:c>
      <x:c r="R13" s="3" t="str">
        <x:f>IF(Master!S489="","",Master!S489)</x:f>
        <x:v>N/A</x:v>
      </x:c>
      <x:c r="S13" s="3" t="str">
        <x:f>IF(Master!T489="","",Master!T489)</x:f>
        <x:v>N/A</x:v>
      </x:c>
      <x:c r="T13" s="3" t="str">
        <x:f>IF(Master!U489="","",Master!U489)</x:f>
        <x:v>N/A</x:v>
      </x:c>
      <x:c r="U13" s="3" t="str">
        <x:f>IF(Master!V489="","",Master!V489)</x:f>
        <x:v>Yes: per-device keys, cross-device authentication</x:v>
      </x:c>
      <x:c r="V13" s="3" t="str">
        <x:f>IF(Master!W489="","",Master!W489)</x:f>
        <x:v>Version-dependent</x:v>
      </x:c>
      <x:c r="W13" s="3" t="str">
        <x:f>IF(Master!X489="","",Master!X489)</x:f>
        <x:v>N/A</x:v>
      </x:c>
      <x:c r="X13" s="3" t="str">
        <x:f>IF(Master!Y489="","",Master!Y489)</x:f>
      </x:c>
      <x:c r="Y13" s="3" t="str">
        <x:f>IF(Master!Z489="","",Master!Z489)</x:f>
      </x:c>
      <x:c r="Z13" s="3" t="str">
        <x:f>IF(Master!AA489="","",Master!AA489)</x:f>
      </x:c>
      <x:c r="AA13" s="6" t="str">
        <x:f>IF(Master!AB489="","",Master!AB489)</x:f>
      </x:c>
      <x:c r="AB13" s="3" t="str">
        <x:f>IF(Master!AC489="","",Master!AC489)</x:f>
        <x:v>N/A</x:v>
      </x:c>
      <x:c r="AC13" s="3" t="str">
        <x:f>IF(Master!AD489="","",Master!AD489)</x:f>
      </x:c>
      <x:c r="AD13" s="3" t="str">
        <x:f>IF(Master!AE489="","",Master!AE489)</x:f>
        <x:v>N/A</x:v>
      </x:c>
      <x:c r="AE13" s="3" t="str">
        <x:f>IF(Master!AF489="","",Master!AF489)</x:f>
      </x:c>
      <x:c r="AF13" s="8" t="str">
        <x:f>IF(Master!AG489="","",Master!AG489)</x:f>
        <x:v>N/A</x:v>
      </x:c>
    </x:row>
    <x:row r="14" ht="36" customHeight="1">
      <x:c r="A14" s="17" t="s">
        <x:v>755</x:v>
      </x:c>
      <x:c r="B14" s="3" t="str">
        <x:f>IF(Master!C490="","",Master!C490)</x:f>
        <x:v>No: metadata remains visible</x:v>
      </x:c>
      <x:c r="C14" s="3" t="str">
        <x:f>IF(Master!D490="","",Master!D490)</x:f>
        <x:v>No: relay metadata remains</x:v>
      </x:c>
      <x:c r="D14" s="3" t="str">
        <x:f>IF(Master!E490="","",Master!E490)</x:f>
        <x:v>No: home server sees routing metadata</x:v>
      </x:c>
      <x:c r="E14" s="3" t="str">
        <x:f>IF(Master!F490="","",Master!F490)</x:f>
        <x:v>No</x:v>
      </x:c>
      <x:c r="F14" s="3" t="str">
        <x:f>IF(Master!G490="","",Master!G490)</x:f>
        <x:v>No: delivery/relationship metadata remains</x:v>
      </x:c>
      <x:c r="G14" s="3" t="str">
        <x:f>IF(Master!H490="","",Master!H490)</x:f>
        <x:v>No</x:v>
      </x:c>
      <x:c r="H14" s="3" t="str">
        <x:f>IF(Master!I490="","",Master!I490)</x:f>
        <x:v>No</x:v>
      </x:c>
      <x:c r="I14" s="3" t="str">
        <x:f>IF(Master!J490="","",Master!J490)</x:f>
        <x:v>No</x:v>
      </x:c>
      <x:c r="J14" s="3" t="str">
        <x:f>IF(Master!K490="","",Master!K490)</x:f>
        <x:v>No: relay metadata/timing can exist</x:v>
      </x:c>
      <x:c r="K14" s="3" t="str">
        <x:f>IF(Master!L490="","",Master!L490)</x:f>
        <x:v>No: routing metadata, participants, timestamps, sizes, delivery activity and track kinds remain visible</x:v>
      </x:c>
      <x:c r="L14" s="3" t="str">
        <x:f>IF(Master!M490="","",Master!M490)</x:f>
        <x:v>No</x:v>
      </x:c>
      <x:c r="M14" s="3" t="str">
        <x:f>IF(Master!N490="","",Master!N490)</x:f>
        <x:v>No</x:v>
      </x:c>
      <x:c r="N14" s="3" t="str">
        <x:f>IF(Master!O490="","",Master!O490)</x:f>
        <x:v>No: homeserver/federation metadata remains visible</x:v>
      </x:c>
      <x:c r="O14" s="3" t="str">
        <x:f>IF(Master!P490="","",Master!P490)</x:f>
        <x:v>No</x:v>
      </x:c>
      <x:c r="P14" s="3" t="str">
        <x:f>IF(Master!Q490="","",Master!Q490)</x:f>
        <x:v>No</x:v>
      </x:c>
      <x:c r="Q14" s="3" t="str">
        <x:f>IF(Master!R490="","",Master!R490)</x:f>
        <x:v>No</x:v>
      </x:c>
      <x:c r="R14" s="3" t="str">
        <x:f>IF(Master!S490="","",Master!S490)</x:f>
        <x:v>No</x:v>
      </x:c>
      <x:c r="S14" s="3" t="str">
        <x:f>IF(Master!T490="","",Master!T490)</x:f>
        <x:v>No</x:v>
      </x:c>
      <x:c r="T14" s="3" t="str">
        <x:f>IF(Master!U490="","",Master!U490)</x:f>
        <x:v>No</x:v>
      </x:c>
      <x:c r="U14" s="3" t="str">
        <x:f>IF(Master!V490="","",Master!V490)</x:f>
        <x:v>No: metadata/routing information is not hidden by E2EE</x:v>
      </x:c>
      <x:c r="V14" s="3" t="str">
        <x:f>IF(Master!W490="","",Master!W490)</x:f>
        <x:v>No</x:v>
      </x:c>
      <x:c r="W14" s="3" t="str">
        <x:f>IF(Master!X490="","",Master!X490)</x:f>
        <x:v>No</x:v>
      </x:c>
      <x:c r="X14" s="3" t="str">
        <x:f>IF(Master!Y490="","",Master!Y490)</x:f>
        <x:v>No</x:v>
      </x:c>
      <x:c r="Y14" s="3" t="str">
        <x:f>IF(Master!Z490="","",Master!Z490)</x:f>
        <x:v>No</x:v>
      </x:c>
      <x:c r="Z14" s="3" t="str">
        <x:f>IF(Master!AA490="","",Master!AA490)</x:f>
        <x:v>No</x:v>
      </x:c>
      <x:c r="AA14" s="6" t="str">
        <x:f>IF(Master!AB490="","",Master!AB490)</x:f>
      </x:c>
      <x:c r="AB14" s="3" t="str">
        <x:f>IF(Master!AC490="","",Master!AC490)</x:f>
        <x:v>No</x:v>
      </x:c>
      <x:c r="AC14" s="3" t="str">
        <x:f>IF(Master!AD490="","",Master!AD490)</x:f>
        <x:v>No</x:v>
      </x:c>
      <x:c r="AD14" s="3" t="str">
        <x:f>IF(Master!AE490="","",Master!AE490)</x:f>
        <x:v>No</x:v>
      </x:c>
      <x:c r="AE14" s="3" t="str">
        <x:f>IF(Master!AF490="","",Master!AF490)</x:f>
        <x:v>No</x:v>
      </x:c>
      <x:c r="AF14" s="8" t="str">
        <x:f>IF(Master!AG490="","",Master!AG490)</x:f>
        <x:v>No</x:v>
      </x:c>
    </x:row>
    <x:row r="15" ht="36" customHeight="1">
      <x:c r="A15" s="17" t="s">
        <x:v>756</x:v>
      </x:c>
      <x:c r="B15" s="3" t="str">
        <x:f>IF(Master!C491="","",Master!C491)</x:f>
        <x:v>Yes: DAVE design public</x:v>
      </x:c>
      <x:c r="C15" s="3" t="str">
        <x:f>IF(Master!D491="","",Master!D491)</x:f>
        <x:v>Open protocol/code</x:v>
      </x:c>
      <x:c r="D15" s="3" t="str">
        <x:f>IF(Master!E491="","",Master!E491)</x:f>
        <x:v>public documentation/source</x:v>
      </x:c>
      <x:c r="E15" s="3" t="str">
        <x:f>IF(Master!F491="","",Master!F491)</x:f>
        <x:v>No public E2EE protocol</x:v>
      </x:c>
      <x:c r="F15" s="3" t="str">
        <x:f>IF(Master!G491="","",Master!G491)</x:f>
        <x:v>Yes: founder publishes design boundaries/primitives</x:v>
      </x:c>
      <x:c r="G15" s="3" t="str">
        <x:f>IF(Master!H491="","",Master!H491)</x:f>
        <x:v>E2EE roadmap/design discussion public, but not deployed as policy baseline</x:v>
      </x:c>
      <x:c r="H15" s="3" t="str">
        <x:f>IF(Master!I491="","",Master!I491)</x:f>
        <x:v>No public cryptographic design found</x:v>
      </x:c>
      <x:c r="I15" s="3" t="str">
        <x:f>IF(Master!J491="","",Master!J491)</x:f>
        <x:v>No public E2EE design</x:v>
      </x:c>
      <x:c r="J15" s="3" t="str">
        <x:f>IF(Master!K491="","",Master!K491)</x:f>
        <x:v>Whitepaper/source public</x:v>
      </x:c>
      <x:c r="K15" s="3" t="str">
        <x:f>IF(Master!L491="","",Master!L491)</x:f>
        <x:v>Yes: public E2EE contract documents threat model, MLS suite and rollout gates</x:v>
      </x:c>
      <x:c r="L15" s="3" t="str">
        <x:f>IF(Master!M491="","",Master!M491)</x:f>
        <x:v>No public mature E2EE design verified</x:v>
      </x:c>
      <x:c r="M15" s="3" t="str">
        <x:f>IF(Master!N491="","",Master!N491)</x:f>
      </x:c>
      <x:c r="N15" s="3" t="str">
        <x:f>IF(Master!O491="","",Master!O491)</x:f>
        <x:v>Yes: open specification/MSC process</x:v>
      </x:c>
      <x:c r="O15" s="3" t="str">
        <x:f>IF(Master!P491="","",Master!P491)</x:f>
        <x:v>Open-source implementation for core messaging</x:v>
      </x:c>
      <x:c r="P15" s="3" t="str">
        <x:f>IF(Master!Q491="","",Master!Q491)</x:f>
      </x:c>
      <x:c r="Q15" s="3" t="str">
        <x:f>IF(Master!R491="","",Master!R491)</x:f>
        <x:v>Public protocol/source</x:v>
      </x:c>
      <x:c r="R15" s="3" t="str">
        <x:f>IF(Master!S491="","",Master!S491)</x:f>
        <x:v>No public E2EE design</x:v>
      </x:c>
      <x:c r="S15" s="3" t="str">
        <x:f>IF(Master!T491="","",Master!T491)</x:f>
        <x:v>No public E2EE design</x:v>
      </x:c>
      <x:c r="T15" s="3" t="str">
        <x:f>IF(Master!U491="","",Master!U491)</x:f>
        <x:v>No</x:v>
      </x:c>
      <x:c r="U15" s="3" t="str">
        <x:f>IF(Master!V491="","",Master!V491)</x:f>
        <x:v>Yes: protocol model publicly described</x:v>
      </x:c>
      <x:c r="V15" s="3" t="str">
        <x:f>IF(Master!W491="","",Master!W491)</x:f>
        <x:v>Public implementation/documentation</x:v>
      </x:c>
      <x:c r="W15" s="3" t="str">
        <x:f>IF(Master!X491="","",Master!X491)</x:f>
        <x:v>No</x:v>
      </x:c>
      <x:c r="X15" s="3" t="str">
        <x:f>IF(Master!Y491="","",Master!Y491)</x:f>
        <x:v>No public crypto protocol</x:v>
      </x:c>
      <x:c r="Y15" s="3" t="str">
        <x:f>IF(Master!Z491="","",Master!Z491)</x:f>
        <x:v>No mature platform-wide crypto design verified</x:v>
      </x:c>
      <x:c r="Z15" s="3" t="str">
        <x:f>IF(Master!AA491="","",Master!AA491)</x:f>
        <x:v>No public text-E2EE design verified</x:v>
      </x:c>
      <x:c r="AA15" s="6" t="str">
        <x:f>IF(Master!AB491="","",Master!AB491)</x:f>
        <x:v>Limited public details</x:v>
      </x:c>
      <x:c r="AB15" s="3" t="str">
        <x:f>IF(Master!AC491="","",Master!AC491)</x:f>
        <x:v>No public E2EE design</x:v>
      </x:c>
      <x:c r="AC15" s="3" t="str">
        <x:f>IF(Master!AD491="","",Master!AD491)</x:f>
      </x:c>
      <x:c r="AD15" s="3" t="str">
        <x:f>IF(Master!AE491="","",Master!AE491)</x:f>
        <x:v>No public E2EE design</x:v>
      </x:c>
      <x:c r="AE15" s="3" t="str">
        <x:f>IF(Master!AF491="","",Master!AF491)</x:f>
        <x:v>No public crypto design</x:v>
      </x:c>
      <x:c r="AF15" s="8" t="str">
        <x:f>IF(Master!AG491="","",Master!AG491)</x:f>
        <x:v>Open source but no E2EE protocol</x:v>
      </x:c>
    </x:row>
    <x:row r="16" ht="36" customHeight="1">
      <x:c r="A16" s="17" t="s">
        <x:v>757</x:v>
      </x:c>
      <x:c r="B16" s="3" t="str">
        <x:f>IF(Master!C492="","",Master!C492)</x:f>
        <x:v>Trail of Bits reviews of DAVE (2024/2025)</x:v>
      </x:c>
      <x:c r="C16" s="3" t="str">
        <x:f>IF(Master!D492="","",Master!D492)</x:f>
      </x:c>
      <x:c r="D16" s="3" t="str">
        <x:f>IF(Master!E492="","",Master!E492)</x:f>
      </x:c>
      <x:c r="E16" s="3" t="str">
        <x:f>IF(Master!F492="","",Master!F492)</x:f>
        <x:v>No audit verified</x:v>
      </x:c>
      <x:c r="F16" s="3" t="str">
        <x:f>IF(Master!G492="","",Master!G492)</x:f>
        <x:v>No independent audit published</x:v>
      </x:c>
      <x:c r="G16" s="3" t="str">
        <x:f>IF(Master!H492="","",Master!H492)</x:f>
        <x:v>No comprehensive audit verified</x:v>
      </x:c>
      <x:c r="H16" s="3" t="str">
        <x:f>IF(Master!I492="","",Master!I492)</x:f>
      </x:c>
      <x:c r="I16" s="3" t="str">
        <x:f>IF(Master!J492="","",Master!J492)</x:f>
        <x:v>No</x:v>
      </x:c>
      <x:c r="J16" s="3" t="str">
        <x:f>IF(Master!K492="","",Master!K492)</x:f>
      </x:c>
      <x:c r="K16" s="3" t="str">
        <x:f>IF(Master!L492="","",Master!L492)</x:f>
        <x:v>No independent cryptographic audit published; documentation lists external review as a remaining release gate.</x:v>
      </x:c>
      <x:c r="L16" s="3" t="str">
        <x:f>IF(Master!M492="","",Master!M492)</x:f>
        <x:v>No independent audit verified</x:v>
      </x:c>
      <x:c r="M16" s="3" t="str">
        <x:f>IF(Master!N492="","",Master!N492)</x:f>
      </x:c>
      <x:c r="N16" s="3" t="str">
        <x:f>IF(Master!O492="","",Master!O492)</x:f>
        <x:v>Multiple implementation/protocol audits; no single universal client audit</x:v>
      </x:c>
      <x:c r="O16" s="3" t="str">
        <x:f>IF(Master!P492="","",Master!P492)</x:f>
        <x:v>Security certifications/audits vary by offering</x:v>
      </x:c>
      <x:c r="P16" s="3" t="str">
        <x:f>IF(Master!Q492="","",Master!Q492)</x:f>
      </x:c>
      <x:c r="Q16" s="3" t="str">
        <x:f>IF(Master!R492="","",Master!R492)</x:f>
      </x:c>
      <x:c r="R16" s="3" t="str">
        <x:f>IF(Master!S492="","",Master!S492)</x:f>
      </x:c>
      <x:c r="S16" s="3" t="str">
        <x:f>IF(Master!T492="","",Master!T492)</x:f>
      </x:c>
      <x:c r="T16" s="3" t="str">
        <x:f>IF(Master!U492="","",Master!U492)</x:f>
        <x:v>None published</x:v>
      </x:c>
      <x:c r="U16" s="3" t="str">
        <x:f>IF(Master!V492="","",Master!V492)</x:f>
        <x:v>No independent audit yet; Rift says audits are planned</x:v>
      </x:c>
      <x:c r="V16" s="3" t="str">
        <x:f>IF(Master!W492="","",Master!W492)</x:f>
      </x:c>
      <x:c r="W16" s="3" t="str">
        <x:f>IF(Master!X492="","",Master!X492)</x:f>
      </x:c>
      <x:c r="X16" s="3" t="str">
        <x:f>IF(Master!Y492="","",Master!Y492)</x:f>
        <x:v>No public audit verified</x:v>
      </x:c>
      <x:c r="Y16" s="3" t="str">
        <x:f>IF(Master!Z492="","",Master!Z492)</x:f>
        <x:v>No</x:v>
      </x:c>
      <x:c r="Z16" s="3" t="str">
        <x:f>IF(Master!AA492="","",Master!AA492)</x:f>
        <x:v>No comprehensive crypto audit verified</x:v>
      </x:c>
      <x:c r="AA16" s="6" t="str">
        <x:f>IF(Master!AB492="","",Master!AB492)</x:f>
      </x:c>
      <x:c r="AB16" s="3" t="str">
        <x:f>IF(Master!AC492="","",Master!AC492)</x:f>
      </x:c>
      <x:c r="AC16" s="3" t="str">
        <x:f>IF(Master!AD492="","",Master!AD492)</x:f>
        <x:v>No audit verified</x:v>
      </x:c>
      <x:c r="AD16" s="3" t="str">
        <x:f>IF(Master!AE492="","",Master!AE492)</x:f>
      </x:c>
      <x:c r="AE16" s="3" t="str">
        <x:f>IF(Master!AF492="","",Master!AF492)</x:f>
      </x:c>
      <x:c r="AF16" s="8" t="str">
        <x:f>IF(Master!AG492="","",Master!AG492)</x:f>
      </x:c>
    </x:row>
    <x:row r="17" ht="36" customHeight="1">
      <x:c r="A17" s="17" t="s">
        <x:v>758</x:v>
      </x:c>
      <x:c r="B17" s="3" t="str">
        <x:f>IF(Master!C493="","",Master!C493)</x:f>
        <x:v>Discord text chat remains server-readable even though voice/video is now E2EE.</x:v>
      </x:c>
      <x:c r="C17" s="3" t="str">
        <x:f>IF(Master!D493="","",Master!D493)</x:f>
      </x:c>
      <x:c r="D17" s="3" t="str">
        <x:f>IF(Master!E493="","",Master!E493)</x:f>
        <x:v>Encryption depends on which DCTS messaging mode is used.</x:v>
      </x:c>
      <x:c r="E17" s="3" t="str">
        <x:f>IF(Master!F493="","",Master!F493)</x:f>
        <x:v>Security details are sparse; do not infer E2EE from WebRTC/LiveKit.</x:v>
      </x:c>
      <x:c r="F17" s="3" t="str">
        <x:f>IF(Master!G493="","",Master!G493)</x:f>
        <x:v>Fenrid itself cautions that its home-grown design is not equivalent to Signal's mature ratchet protocol.</x:v>
      </x:c>
      <x:c r="G17" s="3" t="str">
        <x:f>IF(Master!H493="","",Master!H493)</x:f>
        <x:v>Latest privacy policy explicitly says nothing on Fluxer is E2EE yet; voice/video E2EE is in development.</x:v>
      </x:c>
      <x:c r="H17" s="3" t="str">
        <x:f>IF(Master!I493="","",Master!I493)</x:f>
        <x:v>Voice E2EE is claimed; do not extend that claim to text messages.</x:v>
      </x:c>
      <x:c r="I17" s="3" t="str">
        <x:f>IF(Master!J493="","",Master!J493)</x:f>
        <x:v>Project discussions explicitly say E2EE is not currently implemented.</x:v>
      </x:c>
      <x:c r="J17" s="3" t="str">
        <x:f>IF(Master!K493="","",Master!K493)</x:f>
      </x:c>
      <x:c r="K17" s="3" t="str">
        <x:f>IF(Master!L493="","",Master!L493)</x:f>
        <x:v>MLS 1.0 RFC 9420; mandatory suite MLS_128_DHKEMX25519_AES128GCM_SHA256_Ed25519</x:v>
      </x:c>
      <x:c r="L17" s="3" t="str">
        <x:f>IF(Master!M493="","",Master!M493)</x:f>
        <x:v>Do not treat privacy-first marketing as proof of deployed E2EE.</x:v>
      </x:c>
      <x:c r="M17" s="3" t="str">
        <x:f>IF(Master!N493="","",Master!N493)</x:f>
        <x:v>Treat E2EE claims as feature-scope specific, not universal.</x:v>
      </x:c>
      <x:c r="N17" s="3" t="str">
        <x:f>IF(Master!O493="","",Master!O493)</x:f>
        <x:v>Matrix supports E2EE, but whether a room is encrypted and how UX works is client/homeserver-dependent.</x:v>
      </x:c>
      <x:c r="O17" s="3" t="str">
        <x:f>IF(Master!P493="","",Master!P493)</x:f>
        <x:v>Self-hosting can keep plaintext under your organization's control, but is not E2EE.</x:v>
      </x:c>
      <x:c r="P17" s="3" t="str">
        <x:f>IF(Master!Q493="","",Master!Q493)</x:f>
        <x:v>Marketing and repository materials claim E2EE; verify room-level defaults before high-stakes use.</x:v>
      </x:c>
      <x:c r="Q17" s="3" t="str">
        <x:f>IF(Master!R493="","",Master!R493)</x:f>
        <x:v>Strong encrypted transport is not the same as E2EE from client to client.</x:v>
      </x:c>
      <x:c r="R17" s="3" t="str">
        <x:f>IF(Master!S493="","",Master!S493)</x:f>
        <x:v>No default E2EE was verified.</x:v>
      </x:c>
      <x:c r="S17" s="3" t="str">
        <x:f>IF(Master!T493="","",Master!T493)</x:f>
        <x:v>The privacy policy says calls use encrypted connections; this does not establish E2EE.</x:v>
      </x:c>
      <x:c r="T17" s="3" t="str">
        <x:f>IF(Master!U493="","",Master!U493)</x:f>
        <x:v>TLS in transit. pqp does not market E2EE as a product feature.</x:v>
      </x:c>
      <x:c r="U17" s="3" t="str">
        <x:f>IF(Master!V493="","",Master!V493)</x:f>
        <x:v>DM text and direct calls are E2EE; Shard/community text and Splinters are not.</x:v>
      </x:c>
      <x:c r="V17" s="3" t="str">
        <x:f>IF(Master!W493="","",Master!W493)</x:f>
        <x:v>Federation documentation explicitly says E2EE is not supported across federated servers.</x:v>
      </x:c>
      <x:c r="W17" s="3" t="str">
        <x:f>IF(Master!X493="","",Master!X493)</x:f>
        <x:v>Privacy inherits ATProto/server design rather than E2EE.</x:v>
      </x:c>
      <x:c r="X17" s="3" t="str">
        <x:f>IF(Master!Y493="","",Master!Y493)</x:f>
        <x:v>The privacy policy says calls are real-time and not stored, but does not claim E2EE.</x:v>
      </x:c>
      <x:c r="Y17" s="3" t="str">
        <x:f>IF(Master!Z493="","",Master!Z493)</x:f>
        <x:v>Self-hosting changes who you trust; it does not automatically create end-to-end encryption.</x:v>
      </x:c>
      <x:c r="Z17" s="3" t="str">
        <x:f>IF(Master!AA493="","",Master!AA493)</x:f>
        <x:v>Do not infer LiveKit's E2EE capability means Stoat currently enables E2EE.</x:v>
      </x:c>
      <x:c r="AA17" s="6" t="str">
        <x:f>IF(Master!AB493="","",Master!AB493)</x:f>
      </x:c>
      <x:c r="AB17" s="3" t="str">
        <x:f>IF(Master!AC493="","",Master!AC493)</x:f>
        <x:v>Privacy focus is data policy/open source/self-hosting rather than E2EE messaging.</x:v>
      </x:c>
      <x:c r="AC17" s="3" t="str">
        <x:f>IF(Master!AD493="","",Master!AD493)</x:f>
        <x:v>Developer states E2EE is per-conversation opt-in and default is currently unencrypted.</x:v>
      </x:c>
      <x:c r="AD17" s="3" t="str">
        <x:f>IF(Master!AE493="","",Master!AE493)</x:f>
        <x:v>Security model is typical hosted app; no E2EE claim verified.</x:v>
      </x:c>
      <x:c r="AE17" s="3" t="str">
        <x:f>IF(Master!AF493="","",Master!AF493)</x:f>
        <x:v>Self-hosting/data sovereignty is the main privacy control, not verified E2EE.</x:v>
      </x:c>
      <x:c r="AF17" s="8" t="str">
        <x:f>IF(Master!AG493="","",Master!AG493)</x:f>
        <x:v>Zulip prioritizes searchable server-side team history rather than E2EE chat.</x:v>
      </x:c>
    </x:row>
    <x:row r="18" ht="21.950000762939453" customHeight="1">
      <x:c r="A18" s="18" t="s">
        <x:v>759</x:v>
      </x:c>
      <x:c r="B18" s="18" t="str">
        <x:f t="shared" ref="B18:AF18" si="0">IF(""="","","")</x:f>
      </x:c>
      <x:c r="C18" s="18" t="str">
        <x:f t="shared" si="0"/>
      </x:c>
      <x:c r="D18" s="18" t="str">
        <x:f t="shared" si="0"/>
      </x:c>
      <x:c r="E18" s="18" t="str">
        <x:f t="shared" si="0"/>
      </x:c>
      <x:c r="F18" s="18" t="str">
        <x:f t="shared" si="0"/>
      </x:c>
      <x:c r="G18" s="18" t="str">
        <x:f t="shared" si="0"/>
      </x:c>
      <x:c r="H18" s="18" t="str">
        <x:f t="shared" si="0"/>
      </x:c>
      <x:c r="I18" s="18" t="str">
        <x:f t="shared" si="0"/>
      </x:c>
      <x:c r="J18" s="18" t="str">
        <x:f t="shared" si="0"/>
      </x:c>
      <x:c r="K18" s="18" t="str">
        <x:f t="shared" si="0"/>
      </x:c>
      <x:c r="L18" s="18" t="str">
        <x:f t="shared" si="0"/>
      </x:c>
      <x:c r="M18" s="18" t="str">
        <x:f t="shared" si="0"/>
      </x:c>
      <x:c r="N18" s="18" t="str">
        <x:f t="shared" si="0"/>
      </x:c>
      <x:c r="O18" s="18" t="str">
        <x:f t="shared" si="0"/>
      </x:c>
      <x:c r="P18" s="18" t="str">
        <x:f t="shared" si="0"/>
      </x:c>
      <x:c r="Q18" s="18" t="str">
        <x:f t="shared" si="0"/>
      </x:c>
      <x:c r="R18" s="18" t="str">
        <x:f t="shared" si="0"/>
      </x:c>
      <x:c r="S18" s="18" t="str">
        <x:f t="shared" si="0"/>
      </x:c>
      <x:c r="T18" s="18" t="str">
        <x:f t="shared" si="0"/>
      </x:c>
      <x:c r="U18" s="18" t="str">
        <x:f t="shared" si="0"/>
      </x:c>
      <x:c r="V18" s="18" t="str">
        <x:f t="shared" si="0"/>
      </x:c>
      <x:c r="W18" s="18" t="str">
        <x:f t="shared" si="0"/>
      </x:c>
      <x:c r="X18" s="18" t="str">
        <x:f t="shared" si="0"/>
      </x:c>
      <x:c r="Y18" s="18" t="str">
        <x:f t="shared" si="0"/>
      </x:c>
      <x:c r="Z18" s="18" t="str">
        <x:f t="shared" si="0"/>
      </x:c>
      <x:c r="AA18" s="18" t="str">
        <x:f t="shared" si="0"/>
      </x:c>
      <x:c r="AB18" s="18" t="str">
        <x:f t="shared" si="0"/>
      </x:c>
      <x:c r="AC18" s="18" t="str">
        <x:f t="shared" si="0"/>
      </x:c>
      <x:c r="AD18" s="18" t="str">
        <x:f t="shared" si="0"/>
      </x:c>
      <x:c r="AE18" s="18" t="str">
        <x:f t="shared" si="0"/>
      </x:c>
      <x:c r="AF18" s="19" t="str">
        <x:f t="shared" si="0"/>
      </x:c>
    </x:row>
    <x:row r="19" ht="36" customHeight="1">
      <x:c r="A19" s="17" t="s">
        <x:v>760</x:v>
      </x:c>
      <x:c r="B19" s="3" t="str">
        <x:f>IF(Master!C494="","",Master!C494)</x:f>
        <x:v>Voice/video media E2EE; text attachments not DM-text E2EE</x:v>
      </x:c>
      <x:c r="C19" s="3" t="str">
        <x:f>IF(Master!D494="","",Master!D494)</x:f>
      </x:c>
      <x:c r="D19" s="3" t="str">
        <x:f>IF(Master!E494="","",Master!E494)</x:f>
      </x:c>
      <x:c r="E19" s="3" t="str">
        <x:f>IF(Master!F494="","",Master!F494)</x:f>
      </x:c>
      <x:c r="F19" s="3" t="str">
        <x:f>IF(Master!G494="","",Master!G494)</x:f>
      </x:c>
      <x:c r="G19" s="3" t="str">
        <x:f>IF(Master!H494="","",Master!H494)</x:f>
      </x:c>
      <x:c r="H19" s="3" t="str">
        <x:f>IF(Master!I494="","",Master!I494)</x:f>
      </x:c>
      <x:c r="I19" s="3" t="str">
        <x:f>IF(Master!J494="","",Master!J494)</x:f>
      </x:c>
      <x:c r="J19" s="3" t="str">
        <x:f>IF(Master!K494="","",Master!K494)</x:f>
      </x:c>
      <x:c r="K19" s="3" t="str">
        <x:f>IF(Master!L494="","",Master!L494)</x:f>
        <x:v>Yes: encrypted chunked AEAD attachment format; filenames/MIME/previews stay in encrypted manifest</x:v>
      </x:c>
      <x:c r="L19" s="3" t="str">
        <x:f>IF(Master!M494="","",Master!M494)</x:f>
      </x:c>
      <x:c r="M19" s="3" t="str">
        <x:f>IF(Master!N494="","",Master!N494)</x:f>
      </x:c>
      <x:c r="N19" s="3" t="str">
        <x:f>IF(Master!O494="","",Master!O494)</x:f>
        <x:v>Yes in encrypted rooms (client-dependent)</x:v>
      </x:c>
      <x:c r="O19" s="3" t="str">
        <x:f>IF(Master!P494="","",Master!P494)</x:f>
      </x:c>
      <x:c r="P19" s="3" t="str">
        <x:f>IF(Master!Q494="","",Master!Q494)</x:f>
      </x:c>
      <x:c r="Q19" s="3" t="str">
        <x:f>IF(Master!R494="","",Master!R494)</x:f>
      </x:c>
      <x:c r="R19" s="3" t="str">
        <x:f>IF(Master!S494="","",Master!S494)</x:f>
      </x:c>
      <x:c r="S19" s="3" t="str">
        <x:f>IF(Master!T494="","",Master!T494)</x:f>
      </x:c>
      <x:c r="T19" s="3" t="str">
        <x:f>IF(Master!U494="","",Master!U494)</x:f>
      </x:c>
      <x:c r="U19" s="3" t="str">
        <x:f>IF(Master!V494="","",Master!V494)</x:f>
        <x:v>E2EE in DMs</x:v>
      </x:c>
      <x:c r="V19" s="3" t="str">
        <x:f>IF(Master!W494="","",Master!W494)</x:f>
      </x:c>
      <x:c r="W19" s="3" t="str">
        <x:f>IF(Master!X494="","",Master!X494)</x:f>
      </x:c>
      <x:c r="X19" s="3" t="str">
        <x:f>IF(Master!Y494="","",Master!Y494)</x:f>
      </x:c>
      <x:c r="Y19" s="3" t="str">
        <x:f>IF(Master!Z494="","",Master!Z494)</x:f>
      </x:c>
      <x:c r="Z19" s="3" t="str">
        <x:f>IF(Master!AA494="","",Master!AA494)</x:f>
      </x:c>
      <x:c r="AA19" s="6" t="str">
        <x:f>IF(Master!AB494="","",Master!AB494)</x:f>
      </x:c>
      <x:c r="AB19" s="3" t="str">
        <x:f>IF(Master!AC494="","",Master!AC494)</x:f>
      </x:c>
      <x:c r="AC19" s="3" t="str">
        <x:f>IF(Master!AD494="","",Master!AD494)</x:f>
      </x:c>
      <x:c r="AD19" s="3" t="str">
        <x:f>IF(Master!AE494="","",Master!AE494)</x:f>
      </x:c>
      <x:c r="AE19" s="3" t="str">
        <x:f>IF(Master!AF494="","",Master!AF494)</x:f>
      </x:c>
      <x:c r="AF19" s="8" t="str">
        <x:f>IF(Master!AG494="","",Master!AG494)</x:f>
      </x:c>
    </x:row>
    <x:row r="20" ht="36" customHeight="1">
      <x:c r="A20" s="17" t="s">
        <x:v>761</x:v>
      </x:c>
      <x:c r="B20" s="3" t="str">
        <x:f>IF(Master!C495="","",Master!C495)</x:f>
        <x:v>DAVE verification mechanisms exist for calls</x:v>
      </x:c>
      <x:c r="C20" s="3" t="str">
        <x:f>IF(Master!D495="","",Master!D495)</x:f>
      </x:c>
      <x:c r="D20" s="3" t="str">
        <x:f>IF(Master!E495="","",Master!E495)</x:f>
      </x:c>
      <x:c r="E20" s="3" t="str">
        <x:f>IF(Master!F495="","",Master!F495)</x:f>
      </x:c>
      <x:c r="F20" s="3" t="str">
        <x:f>IF(Master!G495="","",Master!G495)</x:f>
      </x:c>
      <x:c r="G20" s="3" t="str">
        <x:f>IF(Master!H495="","",Master!H495)</x:f>
      </x:c>
      <x:c r="H20" s="3" t="str">
        <x:f>IF(Master!I495="","",Master!I495)</x:f>
      </x:c>
      <x:c r="I20" s="3" t="str">
        <x:f>IF(Master!J495="","",Master!J495)</x:f>
      </x:c>
      <x:c r="J20" s="3" t="str">
        <x:f>IF(Master!K495="","",Master!K495)</x:f>
      </x:c>
      <x:c r="K20" s="3" t="str">
        <x:f>IF(Master!L495="","",Master!L495)</x:f>
        <x:v>Yes: room safety number comparison is the identity-verification step</x:v>
      </x:c>
      <x:c r="L20" s="3" t="str">
        <x:f>IF(Master!M495="","",Master!M495)</x:f>
      </x:c>
      <x:c r="M20" s="3" t="str">
        <x:f>IF(Master!N495="","",Master!N495)</x:f>
      </x:c>
      <x:c r="N20" s="3" t="str">
        <x:f>IF(Master!O495="","",Master!O495)</x:f>
        <x:v>Yes: client-dependent cross-signing/device verification</x:v>
      </x:c>
      <x:c r="O20" s="3" t="str">
        <x:f>IF(Master!P495="","",Master!P495)</x:f>
      </x:c>
      <x:c r="P20" s="3" t="str">
        <x:f>IF(Master!Q495="","",Master!Q495)</x:f>
      </x:c>
      <x:c r="Q20" s="3" t="str">
        <x:f>IF(Master!R495="","",Master!R495)</x:f>
      </x:c>
      <x:c r="R20" s="3" t="str">
        <x:f>IF(Master!S495="","",Master!S495)</x:f>
      </x:c>
      <x:c r="S20" s="3" t="str">
        <x:f>IF(Master!T495="","",Master!T495)</x:f>
      </x:c>
      <x:c r="T20" s="3" t="str">
        <x:f>IF(Master!U495="","",Master!U495)</x:f>
      </x:c>
      <x:c r="U20" s="3" t="str">
        <x:f>IF(Master!V495="","",Master!V495)</x:f>
      </x:c>
      <x:c r="V20" s="3" t="str">
        <x:f>IF(Master!W495="","",Master!W495)</x:f>
      </x:c>
      <x:c r="W20" s="3" t="str">
        <x:f>IF(Master!X495="","",Master!X495)</x:f>
      </x:c>
      <x:c r="X20" s="3" t="str">
        <x:f>IF(Master!Y495="","",Master!Y495)</x:f>
      </x:c>
      <x:c r="Y20" s="3" t="str">
        <x:f>IF(Master!Z495="","",Master!Z495)</x:f>
      </x:c>
      <x:c r="Z20" s="3" t="str">
        <x:f>IF(Master!AA495="","",Master!AA495)</x:f>
      </x:c>
      <x:c r="AA20" s="6" t="str">
        <x:f>IF(Master!AB495="","",Master!AB495)</x:f>
      </x:c>
      <x:c r="AB20" s="3" t="str">
        <x:f>IF(Master!AC495="","",Master!AC495)</x:f>
      </x:c>
      <x:c r="AC20" s="3" t="str">
        <x:f>IF(Master!AD495="","",Master!AD495)</x:f>
      </x:c>
      <x:c r="AD20" s="3" t="str">
        <x:f>IF(Master!AE495="","",Master!AE495)</x:f>
      </x:c>
      <x:c r="AE20" s="3" t="str">
        <x:f>IF(Master!AF495="","",Master!AF495)</x:f>
      </x:c>
      <x:c r="AF20" s="8" t="str">
        <x:f>IF(Master!AG495="","",Master!AG495)</x:f>
      </x:c>
    </x:row>
    <x:row r="21" ht="36" customHeight="1">
      <x:c r="A21" s="17" t="s">
        <x:v>762</x:v>
      </x:c>
      <x:c r="B21" s="3" t="str">
        <x:f>IF(Master!C496="","",Master!C496)</x:f>
        <x:v>N/A for non-E2EE text</x:v>
      </x:c>
      <x:c r="C21" s="3" t="str">
        <x:f>IF(Master!D496="","",Master!D496)</x:f>
      </x:c>
      <x:c r="D21" s="3" t="str">
        <x:f>IF(Master!E496="","",Master!E496)</x:f>
      </x:c>
      <x:c r="E21" s="3" t="str">
        <x:f>IF(Master!F496="","",Master!F496)</x:f>
      </x:c>
      <x:c r="F21" s="3" t="str">
        <x:f>IF(Master!G496="","",Master!G496)</x:f>
      </x:c>
      <x:c r="G21" s="3" t="str">
        <x:f>IF(Master!H496="","",Master!H496)</x:f>
      </x:c>
      <x:c r="H21" s="3" t="str">
        <x:f>IF(Master!I496="","",Master!I496)</x:f>
      </x:c>
      <x:c r="I21" s="3" t="str">
        <x:f>IF(Master!J496="","",Master!J496)</x:f>
      </x:c>
      <x:c r="J21" s="3" t="str">
        <x:f>IF(Master!K496="","",Master!K496)</x:f>
      </x:c>
      <x:c r="K21" s="3" t="str">
        <x:f>IF(Master!L496="","",Master!L496)</x:f>
        <x:v>Yes: encrypted recovery/vault flow exists; synchronized plaintext cache is bounded to newest 2,000 messages or 8 MiB</x:v>
      </x:c>
      <x:c r="L21" s="3" t="str">
        <x:f>IF(Master!M496="","",Master!M496)</x:f>
      </x:c>
      <x:c r="M21" s="3" t="str">
        <x:f>IF(Master!N496="","",Master!N496)</x:f>
      </x:c>
      <x:c r="N21" s="3" t="str">
        <x:f>IF(Master!O496="","",Master!O496)</x:f>
        <x:v>Client/provider dependent</x:v>
      </x:c>
      <x:c r="O21" s="3" t="str">
        <x:f>IF(Master!P496="","",Master!P496)</x:f>
      </x:c>
      <x:c r="P21" s="3" t="str">
        <x:f>IF(Master!Q496="","",Master!Q496)</x:f>
      </x:c>
      <x:c r="Q21" s="3" t="str">
        <x:f>IF(Master!R496="","",Master!R496)</x:f>
      </x:c>
      <x:c r="R21" s="3" t="str">
        <x:f>IF(Master!S496="","",Master!S496)</x:f>
      </x:c>
      <x:c r="S21" s="3" t="str">
        <x:f>IF(Master!T496="","",Master!T496)</x:f>
      </x:c>
      <x:c r="T21" s="3" t="str">
        <x:f>IF(Master!U496="","",Master!U496)</x:f>
      </x:c>
      <x:c r="U21" s="3" t="str">
        <x:f>IF(Master!V496="","",Master!V496)</x:f>
      </x:c>
      <x:c r="V21" s="3" t="str">
        <x:f>IF(Master!W496="","",Master!W496)</x:f>
      </x:c>
      <x:c r="W21" s="3" t="str">
        <x:f>IF(Master!X496="","",Master!X496)</x:f>
      </x:c>
      <x:c r="X21" s="3" t="str">
        <x:f>IF(Master!Y496="","",Master!Y496)</x:f>
      </x:c>
      <x:c r="Y21" s="3" t="str">
        <x:f>IF(Master!Z496="","",Master!Z496)</x:f>
      </x:c>
      <x:c r="Z21" s="3" t="str">
        <x:f>IF(Master!AA496="","",Master!AA496)</x:f>
      </x:c>
      <x:c r="AA21" s="6" t="str">
        <x:f>IF(Master!AB496="","",Master!AB496)</x:f>
      </x:c>
      <x:c r="AB21" s="3" t="str">
        <x:f>IF(Master!AC496="","",Master!AC496)</x:f>
      </x:c>
      <x:c r="AC21" s="3" t="str">
        <x:f>IF(Master!AD496="","",Master!AD496)</x:f>
      </x:c>
      <x:c r="AD21" s="3" t="str">
        <x:f>IF(Master!AE496="","",Master!AE496)</x:f>
      </x:c>
      <x:c r="AE21" s="3" t="str">
        <x:f>IF(Master!AF496="","",Master!AF496)</x:f>
      </x:c>
      <x:c r="AF21" s="8" t="str">
        <x:f>IF(Master!AG496="","",Master!AG496)</x:f>
      </x:c>
    </x:row>
    <x:row r="22" ht="36" customHeight="1">
      <x:c r="A22" s="17" t="s">
        <x:v>763</x:v>
      </x:c>
      <x:c r="B22" s="3" t="str">
        <x:f>IF(Master!C497="","",Master!C497)</x:f>
        <x:v>N/A: text not E2EE</x:v>
      </x:c>
      <x:c r="C22" s="3" t="str">
        <x:f>IF(Master!D497="","",Master!D497)</x:f>
      </x:c>
      <x:c r="D22" s="3" t="str">
        <x:f>IF(Master!E497="","",Master!E497)</x:f>
      </x:c>
      <x:c r="E22" s="3" t="str">
        <x:f>IF(Master!F497="","",Master!F497)</x:f>
      </x:c>
      <x:c r="F22" s="3" t="str">
        <x:f>IF(Master!G497="","",Master!G497)</x:f>
      </x:c>
      <x:c r="G22" s="3" t="str">
        <x:f>IF(Master!H497="","",Master!H497)</x:f>
      </x:c>
      <x:c r="H22" s="3" t="str">
        <x:f>IF(Master!I497="","",Master!I497)</x:f>
      </x:c>
      <x:c r="I22" s="3" t="str">
        <x:f>IF(Master!J497="","",Master!J497)</x:f>
      </x:c>
      <x:c r="J22" s="3" t="str">
        <x:f>IF(Master!K497="","",Master!K497)</x:f>
      </x:c>
      <x:c r="K22" s="3" t="str">
        <x:f>IF(Master!L497="","",Master!L497)</x:f>
        <x:v>No: server-side plaintext search is disabled for E2EE channels</x:v>
      </x:c>
      <x:c r="L22" s="3" t="str">
        <x:f>IF(Master!M497="","",Master!M497)</x:f>
      </x:c>
      <x:c r="M22" s="3" t="str">
        <x:f>IF(Master!N497="","",Master!N497)</x:f>
      </x:c>
      <x:c r="N22" s="3" t="str">
        <x:f>IF(Master!O497="","",Master!O497)</x:f>
        <x:v>Generally limited/client-side depending implementation</x:v>
      </x:c>
      <x:c r="O22" s="3" t="str">
        <x:f>IF(Master!P497="","",Master!P497)</x:f>
      </x:c>
      <x:c r="P22" s="3" t="str">
        <x:f>IF(Master!Q497="","",Master!Q497)</x:f>
      </x:c>
      <x:c r="Q22" s="3" t="str">
        <x:f>IF(Master!R497="","",Master!R497)</x:f>
      </x:c>
      <x:c r="R22" s="3" t="str">
        <x:f>IF(Master!S497="","",Master!S497)</x:f>
      </x:c>
      <x:c r="S22" s="3" t="str">
        <x:f>IF(Master!T497="","",Master!T497)</x:f>
      </x:c>
      <x:c r="T22" s="3" t="str">
        <x:f>IF(Master!U497="","",Master!U497)</x:f>
      </x:c>
      <x:c r="U22" s="3" t="str">
        <x:f>IF(Master!V497="","",Master!V497)</x:f>
      </x:c>
      <x:c r="V22" s="3" t="str">
        <x:f>IF(Master!W497="","",Master!W497)</x:f>
      </x:c>
      <x:c r="W22" s="3" t="str">
        <x:f>IF(Master!X497="","",Master!X497)</x:f>
      </x:c>
      <x:c r="X22" s="3" t="str">
        <x:f>IF(Master!Y497="","",Master!Y497)</x:f>
      </x:c>
      <x:c r="Y22" s="3" t="str">
        <x:f>IF(Master!Z497="","",Master!Z497)</x:f>
      </x:c>
      <x:c r="Z22" s="3" t="str">
        <x:f>IF(Master!AA497="","",Master!AA497)</x:f>
      </x:c>
      <x:c r="AA22" s="6" t="str">
        <x:f>IF(Master!AB497="","",Master!AB497)</x:f>
      </x:c>
      <x:c r="AB22" s="3" t="str">
        <x:f>IF(Master!AC497="","",Master!AC497)</x:f>
      </x:c>
      <x:c r="AC22" s="3" t="str">
        <x:f>IF(Master!AD497="","",Master!AD497)</x:f>
      </x:c>
      <x:c r="AD22" s="3" t="str">
        <x:f>IF(Master!AE497="","",Master!AE497)</x:f>
      </x:c>
      <x:c r="AE22" s="3" t="str">
        <x:f>IF(Master!AF497="","",Master!AF497)</x:f>
      </x:c>
      <x:c r="AF22" s="8" t="str">
        <x:f>IF(Master!AG497="","",Master!AG497)</x:f>
      </x:c>
    </x:row>
  </x:sheetData>
  <x:mergeCells>
    <x:mergeCell ref="A1:AF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Directory'!A1","Encryption &amp; Privacy: Atomic Matrix"),"Encryption &amp; Privacy: Atomic Matrix")</x:f>
        <x:v>Encryption &amp; Privacy: Atomic Matrix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764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765</x:v>
      </x:c>
      <x:c r="B4" s="3" t="str">
        <x:f>IF(Master!C498="","",Master!C498)</x:f>
      </x:c>
      <x:c r="C4" s="3" t="str">
        <x:f>IF(Master!D498="","",Master!D498)</x:f>
        <x:v>TLS + Nostr relay transport</x:v>
      </x:c>
      <x:c r="D4" s="3" t="str">
        <x:f>IF(Master!E498="","",Master!E498)</x:f>
        <x:v>TLS required for network access</x:v>
      </x:c>
      <x:c r="E4" s="3" t="str">
        <x:f>IF(Master!F498="","",Master!F498)</x:f>
        <x:v>TLS</x:v>
      </x:c>
      <x:c r="F4" s="3" t="str">
        <x:f>IF(Master!G498="","",Master!G498)</x:f>
        <x:v>TLS in transit</x:v>
      </x:c>
      <x:c r="G4" s="3" t="str">
        <x:f>IF(Master!H498="","",Master!H498)</x:f>
        <x:v>Encrypted in transit; at rest for stored content</x:v>
      </x:c>
      <x:c r="H4" s="3" t="str">
        <x:f>IF(Master!I498="","",Master!I498)</x:f>
        <x:v>TLS in transit</x:v>
      </x:c>
      <x:c r="I4" s="3" t="str">
        <x:f>IF(Master!J498="","",Master!J498)</x:f>
        <x:v>TLS when deployed</x:v>
      </x:c>
      <x:c r="J4" s="3" t="str">
        <x:f>IF(Master!K498="","",Master!K498)</x:f>
        <x:v>TLS relays + end-to-end crypto</x:v>
      </x:c>
      <x:c r="K4" s="3" t="str">
        <x:f>IF(Master!L498="","",Master!L498)</x:f>
        <x:v>Yes: HTTPS/TLS required for production</x:v>
      </x:c>
      <x:c r="L4" s="3" t="str">
        <x:f>IF(Master!M498="","",Master!M498)</x:f>
        <x:v>TLS</x:v>
      </x:c>
      <x:c r="M4" s="3" t="str">
        <x:f>IF(Master!N498="","",Master!N498)</x:f>
        <x:v>TLS</x:v>
      </x:c>
      <x:c r="N4" s="3" t="str">
        <x:f>IF(Master!O498="","",Master!O498)</x:f>
        <x:v>HTTPS/TLS transport; implementation-dependent TLS configuration</x:v>
      </x:c>
      <x:c r="O4" s="3" t="str">
        <x:f>IF(Master!P498="","",Master!P498)</x:f>
        <x:v>TLS configurable; enterprise deployment-controlled</x:v>
      </x:c>
      <x:c r="P4" s="3" t="str">
        <x:f>IF(Master!Q498="","",Master!Q498)</x:f>
        <x:v>TLS</x:v>
      </x:c>
      <x:c r="Q4" s="3" t="str">
        <x:f>IF(Master!R498="","",Master!R498)</x:f>
        <x:v>TLS control channel + encrypted voice transport</x:v>
      </x:c>
      <x:c r="R4" s="3" t="str">
        <x:f>IF(Master!S498="","",Master!S498)</x:f>
        <x:v>TLS in transit</x:v>
      </x:c>
      <x:c r="S4" s="3" t="str">
        <x:f>IF(Master!T498="","",Master!T498)</x:f>
        <x:v>TLS/encrypted connections</x:v>
      </x:c>
      <x:c r="T4" s="3" t="str">
        <x:f>IF(Master!U498="","",Master!U498)</x:f>
        <x:v>Yes</x:v>
      </x:c>
      <x:c r="U4" s="3" t="str">
        <x:f>IF(Master!V498="","",Master!V498)</x:f>
        <x:v>TLS</x:v>
      </x:c>
      <x:c r="V4" s="3" t="str">
        <x:f>IF(Master!W498="","",Master!W498)</x:f>
        <x:v>TLS in transit configurable</x:v>
      </x:c>
      <x:c r="W4" s="3" t="str">
        <x:f>IF(Master!X498="","",Master!X498)</x:f>
        <x:v>TLS</x:v>
      </x:c>
      <x:c r="X4" s="3" t="str">
        <x:f>IF(Master!Y498="","",Master!Y498)</x:f>
        <x:v>TLS in transit</x:v>
      </x:c>
      <x:c r="Y4" s="3" t="str">
        <x:f>IF(Master!Z498="","",Master!Z498)</x:f>
        <x:v>TLS when correctly deployed; operator-controlled</x:v>
      </x:c>
      <x:c r="Z4" s="3" t="str">
        <x:f>IF(Master!AA498="","",Master!AA498)</x:f>
        <x:v>TLS in transit</x:v>
      </x:c>
      <x:c r="AA4" s="6" t="str">
        <x:f>IF(Master!AB498="","",Master!AB498)</x:f>
        <x:v>Encrypted transport</x:v>
      </x:c>
      <x:c r="AB4" s="3" t="str">
        <x:f>IF(Master!AC498="","",Master!AC498)</x:f>
        <x:v>TLS</x:v>
      </x:c>
      <x:c r="AC4" s="3" t="str">
        <x:f>IF(Master!AD498="","",Master!AD498)</x:f>
        <x:v>TLS</x:v>
      </x:c>
      <x:c r="AD4" s="3" t="str">
        <x:f>IF(Master!AE498="","",Master!AE498)</x:f>
        <x:v>TLS</x:v>
      </x:c>
      <x:c r="AE4" s="3" t="str">
        <x:f>IF(Master!AF498="","",Master!AF498)</x:f>
        <x:v>TLS</x:v>
      </x:c>
      <x:c r="AF4" s="8" t="str">
        <x:f>IF(Master!AG498="","",Master!AG498)</x:f>
        <x:v>TLS in transit</x:v>
      </x:c>
    </x:row>
    <x:row r="5" ht="36" customHeight="1">
      <x:c r="A5" s="17" t="s">
        <x:v>766</x:v>
      </x:c>
      <x:c r="B5" s="3" t="str">
        <x:f>IF(Master!C499="","",Master!C499)</x:f>
        <x:v>Yes</x:v>
      </x:c>
      <x:c r="C5" s="3" t="str">
        <x:f>IF(Master!D499="","",Master!D499)</x:f>
      </x:c>
      <x:c r="D5" s="3" t="str">
        <x:f>IF(Master!E499="","",Master!E499)</x:f>
      </x:c>
      <x:c r="E5" s="3" t="str">
        <x:f>IF(Master!F499="","",Master!F499)</x:f>
      </x:c>
      <x:c r="F5" s="3" t="str">
        <x:f>IF(Master!G499="","",Master!G499)</x:f>
      </x:c>
      <x:c r="G5" s="3" t="str">
        <x:f>IF(Master!H499="","",Master!H499)</x:f>
      </x:c>
      <x:c r="H5" s="3" t="str">
        <x:f>IF(Master!I499="","",Master!I499)</x:f>
      </x:c>
      <x:c r="I5" s="3" t="str">
        <x:f>IF(Master!J499="","",Master!J499)</x:f>
      </x:c>
      <x:c r="J5" s="3" t="str">
        <x:f>IF(Master!K499="","",Master!K499)</x:f>
      </x:c>
      <x:c r="K5" s="3" t="str">
        <x:f>IF(Master!L499="","",Master!L499)</x:f>
        <x:v>TLS required; TLS 1.3 is not explicitly pinned in the reviewed Kaede documentation</x:v>
      </x:c>
      <x:c r="L5" s="3" t="str">
        <x:f>IF(Master!M499="","",Master!M499)</x:f>
      </x:c>
      <x:c r="M5" s="3" t="str">
        <x:f>IF(Master!N499="","",Master!N499)</x:f>
      </x:c>
      <x:c r="N5" s="3" t="str">
        <x:f>IF(Master!O499="","",Master!O499)</x:f>
      </x:c>
      <x:c r="O5" s="3" t="str">
        <x:f>IF(Master!P499="","",Master!P499)</x:f>
      </x:c>
      <x:c r="P5" s="3" t="str">
        <x:f>IF(Master!Q499="","",Master!Q499)</x:f>
      </x:c>
      <x:c r="Q5" s="3" t="str">
        <x:f>IF(Master!R499="","",Master!R499)</x:f>
      </x:c>
      <x:c r="R5" s="3" t="str">
        <x:f>IF(Master!S499="","",Master!S499)</x:f>
      </x:c>
      <x:c r="S5" s="3" t="str">
        <x:f>IF(Master!T499="","",Master!T499)</x:f>
      </x:c>
      <x:c r="T5" s="3" t="str">
        <x:f>IF(Master!U499="","",Master!U499)</x:f>
        <x:v>No: TLS is claimed, specific TLS version is not</x:v>
      </x:c>
      <x:c r="U5" s="3" t="str">
        <x:f>IF(Master!V499="","",Master!V499)</x:f>
      </x:c>
      <x:c r="V5" s="3" t="str">
        <x:f>IF(Master!W499="","",Master!W499)</x:f>
      </x:c>
      <x:c r="W5" s="3" t="str">
        <x:f>IF(Master!X499="","",Master!X499)</x:f>
      </x:c>
      <x:c r="X5" s="3" t="str">
        <x:f>IF(Master!Y499="","",Master!Y499)</x:f>
      </x:c>
      <x:c r="Y5" s="3" t="str">
        <x:f>IF(Master!Z499="","",Master!Z499)</x:f>
      </x:c>
      <x:c r="Z5" s="3" t="str">
        <x:f>IF(Master!AA499="","",Master!AA499)</x:f>
      </x:c>
      <x:c r="AA5" s="6" t="str">
        <x:f>IF(Master!AB499="","",Master!AB499)</x:f>
      </x:c>
      <x:c r="AB5" s="3" t="str">
        <x:f>IF(Master!AC499="","",Master!AC499)</x:f>
      </x:c>
      <x:c r="AC5" s="3" t="str">
        <x:f>IF(Master!AD499="","",Master!AD499)</x:f>
      </x:c>
      <x:c r="AD5" s="3" t="str">
        <x:f>IF(Master!AE499="","",Master!AE499)</x:f>
      </x:c>
      <x:c r="AE5" s="3" t="str">
        <x:f>IF(Master!AF499="","",Master!AF499)</x:f>
      </x:c>
      <x:c r="AF5" s="8" t="str">
        <x:f>IF(Master!AG499="","",Master!AG499)</x:f>
      </x:c>
    </x:row>
    <x:row r="6" ht="36" customHeight="1">
      <x:c r="A6" s="17" t="s">
        <x:v>739</x:v>
      </x:c>
      <x:c r="B6" s="3" t="str">
        <x:f>IF(Master!C500="","",Master!C500)</x:f>
        <x:v>Yes</x:v>
      </x:c>
      <x:c r="C6" s="3" t="str">
        <x:f>IF(Master!D500="","",Master!D500)</x:f>
      </x:c>
      <x:c r="D6" s="3" t="str">
        <x:f>IF(Master!E500="","",Master!E500)</x:f>
      </x:c>
      <x:c r="E6" s="3" t="str">
        <x:f>IF(Master!F500="","",Master!F500)</x:f>
      </x:c>
      <x:c r="F6" s="3" t="str">
        <x:f>IF(Master!G500="","",Master!G500)</x:f>
      </x:c>
      <x:c r="G6" s="3" t="str">
        <x:f>IF(Master!H500="","",Master!H500)</x:f>
        <x:v>Yes</x:v>
      </x:c>
      <x:c r="H6" s="3" t="str">
        <x:f>IF(Master!I500="","",Master!I500)</x:f>
      </x:c>
      <x:c r="I6" s="3" t="str">
        <x:f>IF(Master!J500="","",Master!J500)</x:f>
      </x:c>
      <x:c r="J6" s="3" t="str">
        <x:f>IF(Master!K500="","",Master!K500)</x:f>
      </x:c>
      <x:c r="K6" s="3" t="str">
        <x:f>IF(Master!L500="","",Master!L500)</x:f>
        <x:v>Partial: selected secrets/TOTP/signing material are encrypted, but universal plaintext-message database-at-rest encryption is not claimed</x:v>
      </x:c>
      <x:c r="L6" s="3" t="str">
        <x:f>IF(Master!M500="","",Master!M500)</x:f>
      </x:c>
      <x:c r="M6" s="3" t="str">
        <x:f>IF(Master!N500="","",Master!N500)</x:f>
      </x:c>
      <x:c r="N6" s="3" t="str">
        <x:f>IF(Master!O500="","",Master!O500)</x:f>
      </x:c>
      <x:c r="O6" s="3" t="str">
        <x:f>IF(Master!P500="","",Master!P500)</x:f>
      </x:c>
      <x:c r="P6" s="3" t="str">
        <x:f>IF(Master!Q500="","",Master!Q500)</x:f>
      </x:c>
      <x:c r="Q6" s="3" t="str">
        <x:f>IF(Master!R500="","",Master!R500)</x:f>
      </x:c>
      <x:c r="R6" s="3" t="str">
        <x:f>IF(Master!S500="","",Master!S500)</x:f>
      </x:c>
      <x:c r="S6" s="3" t="str">
        <x:f>IF(Master!T500="","",Master!T500)</x:f>
      </x:c>
      <x:c r="T6" s="3" t="str">
        <x:f>IF(Master!U500="","",Master!U500)</x:f>
      </x:c>
      <x:c r="U6" s="3" t="str">
        <x:f>IF(Master!V500="","",Master!V500)</x:f>
        <x:v>Yes</x:v>
      </x:c>
      <x:c r="V6" s="3" t="str">
        <x:f>IF(Master!W500="","",Master!W500)</x:f>
      </x:c>
      <x:c r="W6" s="3" t="str">
        <x:f>IF(Master!X500="","",Master!X500)</x:f>
      </x:c>
      <x:c r="X6" s="3" t="str">
        <x:f>IF(Master!Y500="","",Master!Y500)</x:f>
      </x:c>
      <x:c r="Y6" s="3" t="str">
        <x:f>IF(Master!Z500="","",Master!Z500)</x:f>
      </x:c>
      <x:c r="Z6" s="3" t="str">
        <x:f>IF(Master!AA500="","",Master!AA500)</x:f>
      </x:c>
      <x:c r="AA6" s="6" t="str">
        <x:f>IF(Master!AB500="","",Master!AB500)</x:f>
      </x:c>
      <x:c r="AB6" s="3" t="str">
        <x:f>IF(Master!AC500="","",Master!AC500)</x:f>
      </x:c>
      <x:c r="AC6" s="3" t="str">
        <x:f>IF(Master!AD500="","",Master!AD500)</x:f>
      </x:c>
      <x:c r="AD6" s="3" t="str">
        <x:f>IF(Master!AE500="","",Master!AE500)</x:f>
      </x:c>
      <x:c r="AE6" s="3" t="str">
        <x:f>IF(Master!AF500="","",Master!AF500)</x:f>
      </x:c>
      <x:c r="AF6" s="8" t="str">
        <x:f>IF(Master!AG500="","",Master!AG500)</x:f>
      </x:c>
    </x:row>
    <x:row r="7" ht="23.100000381469727" customHeight="1">
      <x:c r="A7" s="17" t="s">
        <x:v>767</x:v>
      </x:c>
      <x:c r="B7" s="4" t="str">
        <x:f>IF(Master!C501="","",Master!C501)</x:f>
      </x:c>
      <x:c r="C7" s="4" t="str">
        <x:f>IF(Master!D501="","",Master!D501)</x:f>
      </x:c>
      <x:c r="D7" s="4" t="str">
        <x:f>IF(Master!E501="","",Master!E501)</x:f>
      </x:c>
      <x:c r="E7" s="4" t="str">
        <x:f>IF(Master!F501="","",Master!F501)</x:f>
      </x:c>
      <x:c r="F7" s="4" t="str">
        <x:f>IF(Master!G501="","",Master!G501)</x:f>
      </x:c>
      <x:c r="G7" s="4" t="str">
        <x:f>IF(Master!H501="","",Master!H501)</x:f>
      </x:c>
      <x:c r="H7" s="4" t="str">
        <x:f>IF(Master!I501="","",Master!I501)</x:f>
      </x:c>
      <x:c r="I7" s="4" t="str">
        <x:f>IF(Master!J501="","",Master!J501)</x:f>
      </x:c>
      <x:c r="J7" s="4" t="str">
        <x:f>IF(Master!K501="","",Master!K501)</x:f>
      </x:c>
      <x:c r="K7" s="4" t="str">
        <x:f>IF(Master!L501="","",Master!L501)</x:f>
        <x:v>Yes: optional room/DM MLS 1.0</x:v>
      </x:c>
      <x:c r="L7" s="4" t="str">
        <x:f>IF(Master!M501="","",Master!M501)</x:f>
      </x:c>
      <x:c r="M7" s="4" t="str">
        <x:f>IF(Master!N501="","",Master!N501)</x:f>
      </x:c>
      <x:c r="N7" s="4" t="str">
        <x:f>IF(Master!O501="","",Master!O501)</x:f>
      </x:c>
      <x:c r="O7" s="4" t="str">
        <x:f>IF(Master!P501="","",Master!P501)</x:f>
      </x:c>
      <x:c r="P7" s="4" t="str">
        <x:f>IF(Master!Q501="","",Master!Q501)</x:f>
      </x:c>
      <x:c r="Q7" s="4" t="str">
        <x:f>IF(Master!R501="","",Master!R501)</x:f>
      </x:c>
      <x:c r="R7" s="4" t="str">
        <x:f>IF(Master!S501="","",Master!S501)</x:f>
      </x:c>
      <x:c r="S7" s="4" t="str">
        <x:f>IF(Master!T501="","",Master!T501)</x:f>
      </x:c>
      <x:c r="T7" s="4" t="str">
        <x:f>IF(Master!U501="","",Master!U501)</x:f>
      </x:c>
      <x:c r="U7" s="4" t="str">
        <x:f>IF(Master!V501="","",Master!V501)</x:f>
        <x:v>DMs E2EE - Other text encrypted at rest</x:v>
      </x:c>
      <x:c r="V7" s="4" t="str">
        <x:f>IF(Master!W501="","",Master!W501)</x:f>
      </x:c>
      <x:c r="W7" s="4" t="str">
        <x:f>IF(Master!X501="","",Master!X501)</x:f>
      </x:c>
      <x:c r="X7" s="4" t="str">
        <x:f>IF(Master!Y501="","",Master!Y501)</x:f>
      </x:c>
      <x:c r="Y7" s="4" t="str">
        <x:f>IF(Master!Z501="","",Master!Z501)</x:f>
      </x:c>
      <x:c r="Z7" s="4" t="str">
        <x:f>IF(Master!AA501="","",Master!AA501)</x:f>
      </x:c>
      <x:c r="AA7" s="5" t="str">
        <x:f>IF(Master!AB501="","",Master!AB501)</x:f>
      </x:c>
      <x:c r="AB7" s="4" t="str">
        <x:f>IF(Master!AC501="","",Master!AC501)</x:f>
      </x:c>
      <x:c r="AC7" s="4" t="str">
        <x:f>IF(Master!AD501="","",Master!AD501)</x:f>
      </x:c>
      <x:c r="AD7" s="4" t="str">
        <x:f>IF(Master!AE501="","",Master!AE501)</x:f>
      </x:c>
      <x:c r="AE7" s="4" t="str">
        <x:f>IF(Master!AF501="","",Master!AF501)</x:f>
      </x:c>
      <x:c r="AF7" s="8" t="str">
        <x:f>IF(Master!AG501="","",Master!AG501)</x:f>
      </x:c>
    </x:row>
    <x:row r="8" ht="36" customHeight="1">
      <x:c r="A8" s="17" t="s">
        <x:v>768</x:v>
      </x:c>
      <x:c r="B8" s="3" t="str">
        <x:f>IF(Master!C502="","",Master!C502)</x:f>
        <x:v>No (text)</x:v>
      </x:c>
      <x:c r="C8" s="3" t="str">
        <x:f>IF(Master!D502="","",Master!D502)</x:f>
        <x:v>Yes</x:v>
      </x:c>
      <x:c r="D8" s="3" t="str">
        <x:f>IF(Master!E502="","",Master!E502)</x:f>
        <x:v>Yes for desktop server DMs when enabled; messenger always yes</x:v>
      </x:c>
      <x:c r="E8" s="3" t="str">
        <x:f>IF(Master!F502="","",Master!F502)</x:f>
        <x:v>No default text E2EE verified</x:v>
      </x:c>
      <x:c r="F8" s="3" t="str">
        <x:f>IF(Master!G502="","",Master!G502)</x:f>
        <x:v>Yes</x:v>
      </x:c>
      <x:c r="G8" s="3" t="str">
        <x:f>IF(Master!H502="","",Master!H502)</x:f>
        <x:v>No</x:v>
      </x:c>
      <x:c r="H8" s="3" t="str">
        <x:f>IF(Master!I502="","",Master!I502)</x:f>
        <x:v>No</x:v>
      </x:c>
      <x:c r="I8" s="3" t="str">
        <x:f>IF(Master!J502="","",Master!J502)</x:f>
        <x:v>No</x:v>
      </x:c>
      <x:c r="J8" s="3" t="str">
        <x:f>IF(Master!K502="","",Master!K502)</x:f>
        <x:v>Yes</x:v>
      </x:c>
      <x:c r="K8" s="3" t="str">
        <x:f>IF(Master!L502="","",Master!L502)</x:f>
        <x:v>Yes: optional room/DM MLS 1.0</x:v>
      </x:c>
      <x:c r="L8" s="3" t="str">
        <x:f>IF(Master!M502="","",Master!M502)</x:f>
      </x:c>
      <x:c r="M8" s="3" t="str">
        <x:f>IF(Master!N502="","",Master!N502)</x:f>
      </x:c>
      <x:c r="N8" s="3" t="str">
        <x:f>IF(Master!O502="","",Master!O502)</x:f>
        <x:v>Supported; default depends on client/room</x:v>
      </x:c>
      <x:c r="O8" s="3" t="str">
        <x:f>IF(Master!P502="","",Master!P502)</x:f>
        <x:v>No</x:v>
      </x:c>
      <x:c r="P8" s="3" t="str">
        <x:f>IF(Master!Q502="","",Master!Q502)</x:f>
        <x:v>E2EE claimed</x:v>
      </x:c>
      <x:c r="Q8" s="3" t="str">
        <x:f>IF(Master!R502="","",Master!R502)</x:f>
        <x:v>N/A</x:v>
      </x:c>
      <x:c r="R8" s="3" t="str">
        <x:f>IF(Master!S502="","",Master!S502)</x:f>
        <x:v>No default E2EE verified</x:v>
      </x:c>
      <x:c r="S8" s="3" t="str">
        <x:f>IF(Master!T502="","",Master!T502)</x:f>
        <x:v>No</x:v>
      </x:c>
      <x:c r="T8" s="3" t="str">
        <x:f>IF(Master!U502="","",Master!U502)</x:f>
        <x:v>No: not marketed as E2EE</x:v>
      </x:c>
      <x:c r="U8" s="3" t="str">
        <x:f>IF(Master!V502="","",Master!V502)</x:f>
        <x:v>Yes: Signal-style X3DH/Double Ratchet</x:v>
      </x:c>
      <x:c r="V8" s="3" t="str">
        <x:f>IF(Master!W502="","",Master!W502)</x:f>
        <x:v>Available in supported E2EE conversations</x:v>
      </x:c>
      <x:c r="W8" s="3" t="str">
        <x:f>IF(Master!X502="","",Master!X502)</x:f>
        <x:v>No default E2EE verified</x:v>
      </x:c>
      <x:c r="X8" s="3" t="str">
        <x:f>IF(Master!Y502="","",Master!Y502)</x:f>
        <x:v>No claim / treated as server-readable</x:v>
      </x:c>
      <x:c r="Y8" s="3" t="str">
        <x:f>IF(Master!Z502="","",Master!Z502)</x:f>
        <x:v>No documented default</x:v>
      </x:c>
      <x:c r="Z8" s="3" t="str">
        <x:f>IF(Master!AA502="","",Master!AA502)</x:f>
        <x:v>No default E2EE verified</x:v>
      </x:c>
      <x:c r="AA8" s="6" t="str">
        <x:f>IF(Master!AB502="","",Master!AB502)</x:f>
      </x:c>
      <x:c r="AB8" s="3" t="str">
        <x:f>IF(Master!AC502="","",Master!AC502)</x:f>
        <x:v>No default E2EE claim</x:v>
      </x:c>
      <x:c r="AC8" s="3" t="str">
        <x:f>IF(Master!AD502="","",Master!AD502)</x:f>
        <x:v>No by default</x:v>
      </x:c>
      <x:c r="AD8" s="3" t="str">
        <x:f>IF(Master!AE502="","",Master!AE502)</x:f>
        <x:v>No</x:v>
      </x:c>
      <x:c r="AE8" s="3" t="str">
        <x:f>IF(Master!AF502="","",Master!AF502)</x:f>
      </x:c>
      <x:c r="AF8" s="8" t="str">
        <x:f>IF(Master!AG502="","",Master!AG502)</x:f>
        <x:v>No</x:v>
      </x:c>
    </x:row>
    <x:row r="9" ht="36" customHeight="1">
      <x:c r="A9" s="17" t="s">
        <x:v>769</x:v>
      </x:c>
      <x:c r="B9" s="3" t="str">
        <x:f>IF(Master!C503="","",Master!C503)</x:f>
        <x:v>No (text)</x:v>
      </x:c>
      <x:c r="C9" s="3" t="str">
        <x:f>IF(Master!D503="","",Master!D503)</x:f>
        <x:v>Yes</x:v>
      </x:c>
      <x:c r="D9" s="3" t="str">
        <x:f>IF(Master!E503="","",Master!E503)</x:f>
      </x:c>
      <x:c r="E9" s="3" t="str">
        <x:f>IF(Master!F503="","",Master!F503)</x:f>
        <x:v>No</x:v>
      </x:c>
      <x:c r="F9" s="3" t="str">
        <x:f>IF(Master!G503="","",Master!G503)</x:f>
      </x:c>
      <x:c r="G9" s="3" t="str">
        <x:f>IF(Master!H503="","",Master!H503)</x:f>
        <x:v>No</x:v>
      </x:c>
      <x:c r="H9" s="3" t="str">
        <x:f>IF(Master!I503="","",Master!I503)</x:f>
        <x:v>No</x:v>
      </x:c>
      <x:c r="I9" s="3" t="str">
        <x:f>IF(Master!J503="","",Master!J503)</x:f>
        <x:v>No</x:v>
      </x:c>
      <x:c r="J9" s="3" t="str">
        <x:f>IF(Master!K503="","",Master!K503)</x:f>
        <x:v>Yes</x:v>
      </x:c>
      <x:c r="K9" s="3" t="str">
        <x:f>IF(Master!L503="","",Master!L503)</x:f>
        <x:v>Yes: optional room/DM MLS 1.0</x:v>
      </x:c>
      <x:c r="L9" s="3" t="str">
        <x:f>IF(Master!M503="","",Master!M503)</x:f>
      </x:c>
      <x:c r="M9" s="3" t="str">
        <x:f>IF(Master!N503="","",Master!N503)</x:f>
      </x:c>
      <x:c r="N9" s="3" t="str">
        <x:f>IF(Master!O503="","",Master!O503)</x:f>
        <x:v>Supported in encrypted rooms</x:v>
      </x:c>
      <x:c r="O9" s="3" t="str">
        <x:f>IF(Master!P503="","",Master!P503)</x:f>
        <x:v>No</x:v>
      </x:c>
      <x:c r="P9" s="3" t="str">
        <x:f>IF(Master!Q503="","",Master!Q503)</x:f>
        <x:v>E2EE claimed</x:v>
      </x:c>
      <x:c r="Q9" s="3" t="str">
        <x:f>IF(Master!R503="","",Master!R503)</x:f>
        <x:v>N/A</x:v>
      </x:c>
      <x:c r="R9" s="3" t="str">
        <x:f>IF(Master!S503="","",Master!S503)</x:f>
        <x:v>No</x:v>
      </x:c>
      <x:c r="S9" s="3" t="str">
        <x:f>IF(Master!T503="","",Master!T503)</x:f>
        <x:v>No</x:v>
      </x:c>
      <x:c r="T9" s="3" t="str">
        <x:f>IF(Master!U503="","",Master!U503)</x:f>
        <x:v>No: not marketed as E2EE</x:v>
      </x:c>
      <x:c r="U9" s="3" t="str">
        <x:f>IF(Master!V503="","",Master!V503)</x:f>
        <x:v>No: Splinters encrypted at rest, not E2EE</x:v>
      </x:c>
      <x:c r="V9" s="3" t="str">
        <x:f>IF(Master!W503="","",Master!W503)</x:f>
        <x:v>Available with limitations/version-dependent</x:v>
      </x:c>
      <x:c r="W9" s="3" t="str">
        <x:f>IF(Master!X503="","",Master!X503)</x:f>
        <x:v>No</x:v>
      </x:c>
      <x:c r="X9" s="3" t="str">
        <x:f>IF(Master!Y503="","",Master!Y503)</x:f>
        <x:v>No claim</x:v>
      </x:c>
      <x:c r="Y9" s="3" t="str">
        <x:f>IF(Master!Z503="","",Master!Z503)</x:f>
        <x:v>No documented default</x:v>
      </x:c>
      <x:c r="Z9" s="3" t="str">
        <x:f>IF(Master!AA503="","",Master!AA503)</x:f>
        <x:v>No default E2EE verified</x:v>
      </x:c>
      <x:c r="AA9" s="6" t="str">
        <x:f>IF(Master!AB503="","",Master!AB503)</x:f>
      </x:c>
      <x:c r="AB9" s="3" t="str">
        <x:f>IF(Master!AC503="","",Master!AC503)</x:f>
        <x:v>No</x:v>
      </x:c>
      <x:c r="AC9" s="3" t="str">
        <x:f>IF(Master!AD503="","",Master!AD503)</x:f>
      </x:c>
      <x:c r="AD9" s="3" t="str">
        <x:f>IF(Master!AE503="","",Master!AE503)</x:f>
        <x:v>No</x:v>
      </x:c>
      <x:c r="AE9" s="3" t="str">
        <x:f>IF(Master!AF503="","",Master!AF503)</x:f>
      </x:c>
      <x:c r="AF9" s="8" t="str">
        <x:f>IF(Master!AG503="","",Master!AG503)</x:f>
        <x:v>No</x:v>
      </x:c>
    </x:row>
    <x:row r="10" ht="36" customHeight="1">
      <x:c r="A10" s="17" t="s">
        <x:v>770</x:v>
      </x:c>
      <x:c r="B10" s="3" t="str">
        <x:f>IF(Master!C504="","",Master!C504)</x:f>
        <x:v>No (text)</x:v>
      </x:c>
      <x:c r="C10" s="3" t="str">
        <x:f>IF(Master!D504="","",Master!D504)</x:f>
        <x:v>Yes</x:v>
      </x:c>
      <x:c r="D10" s="3" t="str">
        <x:f>IF(Master!E504="","",Master!E504)</x:f>
        <x:v>No for normal server channels</x:v>
      </x:c>
      <x:c r="E10" s="3" t="str">
        <x:f>IF(Master!F504="","",Master!F504)</x:f>
        <x:v>No</x:v>
      </x:c>
      <x:c r="F10" s="3" t="str">
        <x:f>IF(Master!G504="","",Master!G504)</x:f>
        <x:v>No</x:v>
      </x:c>
      <x:c r="G10" s="3" t="str">
        <x:f>IF(Master!H504="","",Master!H504)</x:f>
        <x:v>No</x:v>
      </x:c>
      <x:c r="H10" s="3" t="str">
        <x:f>IF(Master!I504="","",Master!I504)</x:f>
        <x:v>No</x:v>
      </x:c>
      <x:c r="I10" s="3" t="str">
        <x:f>IF(Master!J504="","",Master!J504)</x:f>
        <x:v>No</x:v>
      </x:c>
      <x:c r="J10" s="3" t="str">
        <x:f>IF(Master!K504="","",Master!K504)</x:f>
        <x:v>Yes for private channels; public channels are intentionally plaintext/public</x:v>
      </x:c>
      <x:c r="K10" s="3" t="str">
        <x:f>IF(Master!L504="","",Master!L504)</x:f>
        <x:v>Yes: optional room/DM MLS 1.0</x:v>
      </x:c>
      <x:c r="L10" s="3" t="str">
        <x:f>IF(Master!M504="","",Master!M504)</x:f>
      </x:c>
      <x:c r="M10" s="3" t="str">
        <x:f>IF(Master!N504="","",Master!N504)</x:f>
      </x:c>
      <x:c r="N10" s="3" t="str">
        <x:f>IF(Master!O504="","",Master!O504)</x:f>
        <x:v>Supported in encrypted rooms</x:v>
      </x:c>
      <x:c r="O10" s="3" t="str">
        <x:f>IF(Master!P504="","",Master!P504)</x:f>
        <x:v>No</x:v>
      </x:c>
      <x:c r="P10" s="3" t="str">
        <x:f>IF(Master!Q504="","",Master!Q504)</x:f>
      </x:c>
      <x:c r="Q10" s="3" t="str">
        <x:f>IF(Master!R504="","",Master!R504)</x:f>
        <x:v>N/A</x:v>
      </x:c>
      <x:c r="R10" s="3" t="str">
        <x:f>IF(Master!S504="","",Master!S504)</x:f>
        <x:v>No</x:v>
      </x:c>
      <x:c r="S10" s="3" t="str">
        <x:f>IF(Master!T504="","",Master!T504)</x:f>
        <x:v>No</x:v>
      </x:c>
      <x:c r="T10" s="3" t="str">
        <x:f>IF(Master!U504="","",Master!U504)</x:f>
        <x:v>No: not marketed as E2EE</x:v>
      </x:c>
      <x:c r="U10" s="3" t="str">
        <x:f>IF(Master!V504="","",Master!V504)</x:f>
        <x:v>No: Shard/community channels encrypted at rest</x:v>
      </x:c>
      <x:c r="V10" s="3" t="str">
        <x:f>IF(Master!W504="","",Master!W504)</x:f>
        <x:v>Available for encrypted rooms; federation has limitations</x:v>
      </x:c>
      <x:c r="W10" s="3" t="str">
        <x:f>IF(Master!X504="","",Master!X504)</x:f>
        <x:v>No</x:v>
      </x:c>
      <x:c r="X10" s="3" t="str">
        <x:f>IF(Master!Y504="","",Master!Y504)</x:f>
        <x:v>No claim</x:v>
      </x:c>
      <x:c r="Y10" s="3" t="str">
        <x:f>IF(Master!Z504="","",Master!Z504)</x:f>
        <x:v>No documented default</x:v>
      </x:c>
      <x:c r="Z10" s="3" t="str">
        <x:f>IF(Master!AA504="","",Master!AA504)</x:f>
        <x:v>No</x:v>
      </x:c>
      <x:c r="AA10" s="6" t="str">
        <x:f>IF(Master!AB504="","",Master!AB504)</x:f>
      </x:c>
      <x:c r="AB10" s="3" t="str">
        <x:f>IF(Master!AC504="","",Master!AC504)</x:f>
        <x:v>No</x:v>
      </x:c>
      <x:c r="AC10" s="3" t="str">
        <x:f>IF(Master!AD504="","",Master!AD504)</x:f>
        <x:v>No by default</x:v>
      </x:c>
      <x:c r="AD10" s="3" t="str">
        <x:f>IF(Master!AE504="","",Master!AE504)</x:f>
        <x:v>No</x:v>
      </x:c>
      <x:c r="AE10" s="3" t="str">
        <x:f>IF(Master!AF504="","",Master!AF504)</x:f>
      </x:c>
      <x:c r="AF10" s="8" t="str">
        <x:f>IF(Master!AG504="","",Master!AG504)</x:f>
        <x:v>No</x:v>
      </x:c>
    </x:row>
    <x:row r="11" ht="36" customHeight="1">
      <x:c r="A11" s="17" t="s">
        <x:v>771</x:v>
      </x:c>
      <x:c r="B11" s="3" t="str">
        <x:f>IF(Master!C505="","",Master!C505)</x:f>
        <x:v>No</x:v>
      </x:c>
      <x:c r="C11" s="3" t="str">
        <x:f>IF(Master!D505="","",Master!D505)</x:f>
      </x:c>
      <x:c r="D11" s="3" t="str">
        <x:f>IF(Master!E505="","",Master!E505)</x:f>
      </x:c>
      <x:c r="E11" s="3" t="str">
        <x:f>IF(Master!F505="","",Master!F505)</x:f>
      </x:c>
      <x:c r="F11" s="3" t="str">
        <x:f>IF(Master!G505="","",Master!G505)</x:f>
        <x:v>No</x:v>
      </x:c>
      <x:c r="G11" s="3" t="str">
        <x:f>IF(Master!H505="","",Master!H505)</x:f>
        <x:v>No</x:v>
      </x:c>
      <x:c r="H11" s="3" t="str">
        <x:f>IF(Master!I505="","",Master!I505)</x:f>
      </x:c>
      <x:c r="I11" s="3" t="str">
        <x:f>IF(Master!J505="","",Master!J505)</x:f>
      </x:c>
      <x:c r="J11" s="3" t="str">
        <x:f>IF(Master!K505="","",Master!K505)</x:f>
        <x:v>Optional / room-dependent</x:v>
      </x:c>
      <x:c r="K11" s="3" t="str">
        <x:f>IF(Master!L505="","",Master!L505)</x:f>
        <x:v>Yes: optional room/DM MLS 1.0</x:v>
      </x:c>
      <x:c r="L11" s="3" t="str">
        <x:f>IF(Master!M505="","",Master!M505)</x:f>
      </x:c>
      <x:c r="M11" s="3" t="str">
        <x:f>IF(Master!N505="","",Master!N505)</x:f>
      </x:c>
      <x:c r="N11" s="3" t="str">
        <x:f>IF(Master!O505="","",Master!O505)</x:f>
        <x:v>Optional / room-dependent</x:v>
      </x:c>
      <x:c r="O11" s="3" t="str">
        <x:f>IF(Master!P505="","",Master!P505)</x:f>
        <x:v>No</x:v>
      </x:c>
      <x:c r="P11" s="3" t="str">
        <x:f>IF(Master!Q505="","",Master!Q505)</x:f>
      </x:c>
      <x:c r="Q11" s="3" t="str">
        <x:f>IF(Master!R505="","",Master!R505)</x:f>
      </x:c>
      <x:c r="R11" s="3" t="str">
        <x:f>IF(Master!S505="","",Master!S505)</x:f>
      </x:c>
      <x:c r="S11" s="3" t="str">
        <x:f>IF(Master!T505="","",Master!T505)</x:f>
      </x:c>
      <x:c r="T11" s="3" t="str">
        <x:f>IF(Master!U505="","",Master!U505)</x:f>
      </x:c>
      <x:c r="U11" s="3" t="str">
        <x:f>IF(Master!V505="","",Master!V505)</x:f>
        <x:v>No</x:v>
      </x:c>
      <x:c r="V11" s="3" t="str">
        <x:f>IF(Master!W505="","",Master!W505)</x:f>
        <x:v>Optional / room-dependent</x:v>
      </x:c>
      <x:c r="W11" s="3" t="str">
        <x:f>IF(Master!X505="","",Master!X505)</x:f>
      </x:c>
      <x:c r="X11" s="3" t="str">
        <x:f>IF(Master!Y505="","",Master!Y505)</x:f>
        <x:v>No</x:v>
      </x:c>
      <x:c r="Y11" s="3" t="str">
        <x:f>IF(Master!Z505="","",Master!Z505)</x:f>
      </x:c>
      <x:c r="Z11" s="3" t="str">
        <x:f>IF(Master!AA505="","",Master!AA505)</x:f>
      </x:c>
      <x:c r="AA11" s="6" t="str">
        <x:f>IF(Master!AB505="","",Master!AB505)</x:f>
      </x:c>
      <x:c r="AB11" s="3" t="str">
        <x:f>IF(Master!AC505="","",Master!AC505)</x:f>
      </x:c>
      <x:c r="AC11" s="3" t="str">
        <x:f>IF(Master!AD505="","",Master!AD505)</x:f>
      </x:c>
      <x:c r="AD11" s="3" t="str">
        <x:f>IF(Master!AE505="","",Master!AE505)</x:f>
      </x:c>
      <x:c r="AE11" s="3" t="str">
        <x:f>IF(Master!AF505="","",Master!AF505)</x:f>
      </x:c>
      <x:c r="AF11" s="8" t="str">
        <x:f>IF(Master!AG505="","",Master!AG505)</x:f>
        <x:v>No</x:v>
      </x:c>
    </x:row>
    <x:row r="12" ht="36" customHeight="1">
      <x:c r="A12" s="17" t="s">
        <x:v>772</x:v>
      </x:c>
      <x:c r="B12" s="3" t="str">
        <x:f>IF(Master!C506="","",Master!C506)</x:f>
        <x:v>Mandatory for supported voice/video; text not E2EE</x:v>
      </x:c>
      <x:c r="C12" s="3" t="str">
        <x:f>IF(Master!D506="","",Master!D506)</x:f>
        <x:v>E2EE by default for communities</x:v>
      </x:c>
      <x:c r="D12" s="3" t="str">
        <x:f>IF(Master!E506="","",Master!E506)</x:f>
        <x:v>Messenger mandatory; server DM encryption optional</x:v>
      </x:c>
      <x:c r="E12" s="3" t="str">
        <x:f>IF(Master!F506="","",Master!F506)</x:f>
      </x:c>
      <x:c r="F12" s="3" t="str">
        <x:f>IF(Master!G506="","",Master!G506)</x:f>
        <x:v>DM encryption is intended/default; media status is evolving</x:v>
      </x:c>
      <x:c r="G12" s="3" t="str">
        <x:f>IF(Master!H506="","",Master!H506)</x:f>
        <x:v>Not E2EE as of 2026-09-13 privacy policy</x:v>
      </x:c>
      <x:c r="H12" s="3" t="str">
        <x:f>IF(Master!I506="","",Master!I506)</x:f>
        <x:v>Voice only / text not claimed E2EE</x:v>
      </x:c>
      <x:c r="I12" s="3" t="str">
        <x:f>IF(Master!J506="","",Master!J506)</x:f>
        <x:v>No E2EE currently</x:v>
      </x:c>
      <x:c r="J12" s="3" t="str">
        <x:f>IF(Master!K506="","",Master!K506)</x:f>
        <x:v>Mandatory for private communication; public channels intentionally not</x:v>
      </x:c>
      <x:c r="K12" s="3" t="str">
        <x:f>IF(Master!L506="","",Master!L506)</x:f>
        <x:v>Optional, room-level; activation is fail-closed and irreversible for future content once active</x:v>
      </x:c>
      <x:c r="L12" s="3" t="str">
        <x:f>IF(Master!M506="","",Master!M506)</x:f>
        <x:v>E2EE WIP; TLS today</x:v>
      </x:c>
      <x:c r="M12" s="3" t="str">
        <x:f>IF(Master!N506="","",Master!N506)</x:f>
        <x:v>Mixed/eligible content</x:v>
      </x:c>
      <x:c r="N12" s="3" t="str">
        <x:f>IF(Master!O506="","",Master!O506)</x:f>
        <x:v>Optional at protocol level; many clients default private chats to encrypted</x:v>
      </x:c>
      <x:c r="O12" s="3" t="str">
        <x:f>IF(Master!P506="","",Master!P506)</x:f>
        <x:v>Server-side enterprise collaboration model</x:v>
      </x:c>
      <x:c r="P12" s="3" t="str">
        <x:f>IF(Master!Q506="","",Master!Q506)</x:f>
        <x:v>Claimed zero-knowledge/E2EE</x:v>
      </x:c>
      <x:c r="Q12" s="3" t="str">
        <x:f>IF(Master!R506="","",Master!R506)</x:f>
        <x:v>Transport encryption</x:v>
      </x:c>
      <x:c r="R12" s="3" t="str">
        <x:f>IF(Master!S506="","",Master!S506)</x:f>
      </x:c>
      <x:c r="S12" s="3" t="str">
        <x:f>IF(Master!T506="","",Master!T506)</x:f>
        <x:v>Transport encryption</x:v>
      </x:c>
      <x:c r="T12" s="3" t="str">
        <x:f>IF(Master!U506="","",Master!U506)</x:f>
        <x:v>No E2EE product claim</x:v>
      </x:c>
      <x:c r="U12" s="3" t="str">
        <x:f>IF(Master!V506="","",Master!V506)</x:f>
        <x:v>Default for DMs/direct calls; not used for Shard channels</x:v>
      </x:c>
      <x:c r="V12" s="3" t="str">
        <x:f>IF(Master!W506="","",Master!W506)</x:f>
        <x:v>Optional/room-dependent</x:v>
      </x:c>
      <x:c r="W12" s="3" t="str">
        <x:f>IF(Master!X506="","",Master!X506)</x:f>
        <x:v>No E2EE verified</x:v>
      </x:c>
      <x:c r="X12" s="3" t="str">
        <x:f>IF(Master!Y506="","",Master!Y506)</x:f>
        <x:v>Transport encryption only</x:v>
      </x:c>
      <x:c r="Y12" s="3" t="str">
        <x:f>IF(Master!Z506="","",Master!Z506)</x:f>
        <x:v>No platform-wide E2EE guarantee</x:v>
      </x:c>
      <x:c r="Z12" s="3" t="str">
        <x:f>IF(Master!AA506="","",Master!AA506)</x:f>
      </x:c>
      <x:c r="AA12" s="6" t="str">
        <x:f>IF(Master!AB506="","",Master!AB506)</x:f>
      </x:c>
      <x:c r="AB12" s="3" t="str">
        <x:f>IF(Master!AC506="","",Master!AC506)</x:f>
        <x:v>Transport/server-side</x:v>
      </x:c>
      <x:c r="AC12" s="3" t="str">
        <x:f>IF(Master!AD506="","",Master!AD506)</x:f>
        <x:v>Per-conversation opt-in planned; default unencrypted</x:v>
      </x:c>
      <x:c r="AD12" s="3" t="str">
        <x:f>IF(Master!AE506="","",Master!AE506)</x:f>
        <x:v>Transport encryption</x:v>
      </x:c>
      <x:c r="AE12" s="3" t="str">
        <x:f>IF(Master!AF506="","",Master!AF506)</x:f>
        <x:v>Transport/self-host privacy model</x:v>
      </x:c>
      <x:c r="AF12" s="8" t="str">
        <x:f>IF(Master!AG506="","",Master!AG506)</x:f>
        <x:v>Server-stored chat, no native E2EE</x:v>
      </x:c>
    </x:row>
    <x:row r="13" ht="36" customHeight="1">
      <x:c r="A13" s="17" t="s">
        <x:v>740</x:v>
      </x:c>
      <x:c r="B13" s="3" t="str">
        <x:f>IF(Master!C507="","",Master!C507)</x:f>
        <x:v>Yes for text</x:v>
      </x:c>
      <x:c r="C13" s="3" t="str">
        <x:f>IF(Master!D507="","",Master!D507)</x:f>
        <x:v>No for encrypted message bodies</x:v>
      </x:c>
      <x:c r="D13" s="3" t="str">
        <x:f>IF(Master!E507="","",Master!E507)</x:f>
        <x:v>Server can read normal channel text; encrypted DMs are ciphertext</x:v>
      </x:c>
      <x:c r="E13" s="3" t="str">
        <x:f>IF(Master!F507="","",Master!F507)</x:f>
        <x:v>Yes for text</x:v>
      </x:c>
      <x:c r="F13" s="3" t="str">
        <x:f>IF(Master!G507="","",Master!G507)</x:f>
        <x:v>No for encrypted DM plaintext in normal flow; yes for community channels</x:v>
      </x:c>
      <x:c r="G13" s="3" t="str">
        <x:f>IF(Master!H507="","",Master!H507)</x:f>
        <x:v>Yes</x:v>
      </x:c>
      <x:c r="H13" s="3" t="str">
        <x:f>IF(Master!I507="","",Master!I507)</x:f>
        <x:v>Yes for text on hosted/self-host server</x:v>
      </x:c>
      <x:c r="I13" s="3" t="str">
        <x:f>IF(Master!J507="","",Master!J507)</x:f>
        <x:v>Yes</x:v>
      </x:c>
      <x:c r="J13" s="3" t="str">
        <x:f>IF(Master!K507="","",Master!K507)</x:f>
        <x:v>No for private plaintext</x:v>
      </x:c>
      <x:c r="K13" s="3" t="str">
        <x:f>IF(Master!L507="","",Master!L507)</x:f>
        <x:v>Plaintext rooms: yes. Active MLS rooms: no message/file/media plaintext is available to honest-but-curious servers.</x:v>
      </x:c>
      <x:c r="L13" s="3" t="str">
        <x:f>IF(Master!M507="","",Master!M507)</x:f>
        <x:v>Yes for current server-readable content</x:v>
      </x:c>
      <x:c r="M13" s="3" t="str">
        <x:f>IF(Master!N507="","",Master!N507)</x:f>
        <x:v>Depends encrypted content type</x:v>
      </x:c>
      <x:c r="N13" s="3" t="str">
        <x:f>IF(Master!O507="","",Master!O507)</x:f>
        <x:v>Not for correctly E2EE-encrypted events; homeserver still stores ciphertext and metadata</x:v>
      </x:c>
      <x:c r="O13" s="3" t="str">
        <x:f>IF(Master!P507="","",Master!P507)</x:f>
        <x:v>Yes</x:v>
      </x:c>
      <x:c r="P13" s="3" t="str">
        <x:f>IF(Master!Q507="","",Master!Q507)</x:f>
      </x:c>
      <x:c r="Q13" s="3" t="str">
        <x:f>IF(Master!R507="","",Master!R507)</x:f>
        <x:v>N/A for persistent chat; server handles voice routing</x:v>
      </x:c>
      <x:c r="R13" s="3" t="str">
        <x:f>IF(Master!S507="","",Master!S507)</x:f>
        <x:v>Yes for hosted text</x:v>
      </x:c>
      <x:c r="S13" s="3" t="str">
        <x:f>IF(Master!T507="","",Master!T507)</x:f>
        <x:v>Yes for text</x:v>
      </x:c>
      <x:c r="T13" s="3" t="str">
        <x:f>IF(Master!U507="","",Master!U507)</x:f>
        <x:v>No E2EE product claim; exact hosted-message access policy not stated in the response</x:v>
      </x:c>
      <x:c r="U13" s="3" t="str">
        <x:f>IF(Master!V507="","",Master!V507)</x:f>
        <x:v>Cannot read E2EE DM plaintext; can process Shard/community plaintext</x:v>
      </x:c>
      <x:c r="V13" s="3" t="str">
        <x:f>IF(Master!W507="","",Master!W507)</x:f>
        <x:v>Not for local E2EE message bodies when functioning; server still sees metadata</x:v>
      </x:c>
      <x:c r="W13" s="3" t="str">
        <x:f>IF(Master!X507="","",Master!X507)</x:f>
        <x:v>Potentially visible to hosting services</x:v>
      </x:c>
      <x:c r="X13" s="3" t="str">
        <x:f>IF(Master!Y507="","",Master!Y507)</x:f>
        <x:v>Yes for stored text</x:v>
      </x:c>
      <x:c r="Y13" s="3" t="str">
        <x:f>IF(Master!Z507="","",Master!Z507)</x:f>
        <x:v>Yes unless operator adds extra encryption</x:v>
      </x:c>
      <x:c r="Z13" s="3" t="str">
        <x:f>IF(Master!AA507="","",Master!AA507)</x:f>
        <x:v>Yes for normal text</x:v>
      </x:c>
      <x:c r="AA13" s="6" t="str">
        <x:f>IF(Master!AB507="","",Master!AB507)</x:f>
      </x:c>
      <x:c r="AB13" s="3" t="str">
        <x:f>IF(Master!AC507="","",Master!AC507)</x:f>
        <x:v>Yes</x:v>
      </x:c>
      <x:c r="AC13" s="3" t="str">
        <x:f>IF(Master!AD507="","",Master!AD507)</x:f>
        <x:v>Yes for unencrypted content</x:v>
      </x:c>
      <x:c r="AD13" s="3" t="str">
        <x:f>IF(Master!AE507="","",Master!AE507)</x:f>
        <x:v>Yes</x:v>
      </x:c>
      <x:c r="AE13" s="3" t="str">
        <x:f>IF(Master!AF507="","",Master!AF507)</x:f>
        <x:v>Server operator may access text unless separate E2EE exists</x:v>
      </x:c>
      <x:c r="AF13" s="8" t="str">
        <x:f>IF(Master!AG507="","",Master!AG507)</x:f>
        <x:v>Yes</x:v>
      </x:c>
    </x:row>
    <x:row r="14" ht="21.950000762939453" customHeight="1">
      <x:c r="A14" s="18" t="s">
        <x:v>773</x:v>
      </x:c>
      <x:c r="B14" s="18" t="str">
        <x:f t="shared" ref="B14:AF14" si="1">IF(""="","","")</x:f>
      </x:c>
      <x:c r="C14" s="18" t="str">
        <x:f t="shared" si="1"/>
      </x:c>
      <x:c r="D14" s="18" t="str">
        <x:f t="shared" si="1"/>
      </x:c>
      <x:c r="E14" s="18" t="str">
        <x:f t="shared" si="1"/>
      </x:c>
      <x:c r="F14" s="18" t="str">
        <x:f t="shared" si="1"/>
      </x:c>
      <x:c r="G14" s="18" t="str">
        <x:f t="shared" si="1"/>
      </x:c>
      <x:c r="H14" s="18" t="str">
        <x:f t="shared" si="1"/>
      </x:c>
      <x:c r="I14" s="18" t="str">
        <x:f t="shared" si="1"/>
      </x:c>
      <x:c r="J14" s="18" t="str">
        <x:f t="shared" si="1"/>
      </x:c>
      <x:c r="K14" s="18" t="str">
        <x:f t="shared" si="1"/>
      </x:c>
      <x:c r="L14" s="18" t="str">
        <x:f t="shared" si="1"/>
      </x:c>
      <x:c r="M14" s="18" t="str">
        <x:f t="shared" si="1"/>
      </x:c>
      <x:c r="N14" s="18" t="str">
        <x:f t="shared" si="1"/>
      </x:c>
      <x:c r="O14" s="18" t="str">
        <x:f t="shared" si="1"/>
      </x:c>
      <x:c r="P14" s="18" t="str">
        <x:f t="shared" si="1"/>
      </x:c>
      <x:c r="Q14" s="18" t="str">
        <x:f t="shared" si="1"/>
      </x:c>
      <x:c r="R14" s="18" t="str">
        <x:f t="shared" si="1"/>
      </x:c>
      <x:c r="S14" s="18" t="str">
        <x:f t="shared" si="1"/>
      </x:c>
      <x:c r="T14" s="18" t="str">
        <x:f t="shared" si="1"/>
      </x:c>
      <x:c r="U14" s="18" t="str">
        <x:f t="shared" si="1"/>
      </x:c>
      <x:c r="V14" s="18" t="str">
        <x:f t="shared" si="1"/>
      </x:c>
      <x:c r="W14" s="18" t="str">
        <x:f t="shared" si="1"/>
      </x:c>
      <x:c r="X14" s="18" t="str">
        <x:f t="shared" si="1"/>
      </x:c>
      <x:c r="Y14" s="18" t="str">
        <x:f t="shared" si="1"/>
      </x:c>
      <x:c r="Z14" s="18" t="str">
        <x:f t="shared" si="1"/>
      </x:c>
      <x:c r="AA14" s="18" t="str">
        <x:f t="shared" si="1"/>
      </x:c>
      <x:c r="AB14" s="18" t="str">
        <x:f t="shared" si="1"/>
      </x:c>
      <x:c r="AC14" s="18" t="str">
        <x:f t="shared" si="1"/>
      </x:c>
      <x:c r="AD14" s="18" t="str">
        <x:f t="shared" si="1"/>
      </x:c>
      <x:c r="AE14" s="18" t="str">
        <x:f t="shared" si="1"/>
      </x:c>
      <x:c r="AF14" s="19" t="str">
        <x:f t="shared" si="1"/>
      </x:c>
    </x:row>
    <x:row r="15" ht="36" customHeight="1">
      <x:c r="A15" s="17" t="s">
        <x:v>774</x:v>
      </x:c>
      <x:c r="B15" s="3" t="str">
        <x:f>IF(Master!C508="","",Master!C508)</x:f>
        <x:v>Yes by default for calls/Go Live via DAVE</x:v>
      </x:c>
      <x:c r="C15" s="3" t="str">
        <x:f>IF(Master!D508="","",Master!D508)</x:f>
      </x:c>
      <x:c r="D15" s="3" t="str">
        <x:f>IF(Master!E508="","",Master!E508)</x:f>
      </x:c>
      <x:c r="E15" s="3" t="str">
        <x:f>IF(Master!F508="","",Master!F508)</x:f>
      </x:c>
      <x:c r="F15" s="3" t="str">
        <x:f>IF(Master!G508="","",Master!G508)</x:f>
      </x:c>
      <x:c r="G15" s="3" t="str">
        <x:f>IF(Master!H508="","",Master!H508)</x:f>
        <x:v>No currently</x:v>
      </x:c>
      <x:c r="H15" s="3" t="str">
        <x:f>IF(Master!I508="","",Master!I508)</x:f>
        <x:v>Yes: voice claimed E2EE</x:v>
      </x:c>
      <x:c r="I15" s="3" t="str">
        <x:f>IF(Master!J508="","",Master!J508)</x:f>
        <x:v>No currently</x:v>
      </x:c>
      <x:c r="J15" s="3" t="str">
        <x:f>IF(Master!K508="","",Master!K508)</x:f>
        <x:v>Yes/SFrame claim</x:v>
      </x:c>
      <x:c r="K15" s="3" t="str">
        <x:f>IF(Master!L508="","",Master!L508)</x:f>
        <x:v>Yes: MLS policy also protects supported LiveKit microphone/camera/screen/screen-audio frames</x:v>
      </x:c>
      <x:c r="L15" s="3" t="str">
        <x:f>IF(Master!M508="","",Master!M508)</x:f>
      </x:c>
      <x:c r="M15" s="3" t="str">
        <x:f>IF(Master!N508="","",Master!N508)</x:f>
      </x:c>
      <x:c r="N15" s="3" t="str">
        <x:f>IF(Master!O508="","",Master!O508)</x:f>
        <x:v>Supported by MatrixRTC/capable clients</x:v>
      </x:c>
      <x:c r="O15" s="3" t="str">
        <x:f>IF(Master!P508="","",Master!P508)</x:f>
        <x:v>Not generally E2EE against server; deployment media security applies</x:v>
      </x:c>
      <x:c r="P15" s="3" t="str">
        <x:f>IF(Master!Q508="","",Master!Q508)</x:f>
        <x:v>E2EE claimed</x:v>
      </x:c>
      <x:c r="Q15" s="3" t="str">
        <x:f>IF(Master!R508="","",Master!R508)</x:f>
        <x:v>No: media is encrypted to server, not E2EE against server operator</x:v>
      </x:c>
      <x:c r="R15" s="3" t="str">
        <x:f>IF(Master!S508="","",Master!S508)</x:f>
      </x:c>
      <x:c r="S15" s="3" t="str">
        <x:f>IF(Master!T508="","",Master!T508)</x:f>
        <x:v>Encrypted transport; E2EE not claimed</x:v>
      </x:c>
      <x:c r="T15" s="3" t="str">
        <x:f>IF(Master!U508="","",Master!U508)</x:f>
        <x:v>Not marketed as E2EE</x:v>
      </x:c>
      <x:c r="U15" s="3" t="str">
        <x:f>IF(Master!V508="","",Master!V508)</x:f>
        <x:v>Yes: direct calls</x:v>
      </x:c>
      <x:c r="V15" s="3" t="str">
        <x:f>IF(Master!W508="","",Master!W508)</x:f>
        <x:v>Provider/deployment-dependent</x:v>
      </x:c>
      <x:c r="W15" s="3" t="str">
        <x:f>IF(Master!X508="","",Master!X508)</x:f>
        <x:v>N/A</x:v>
      </x:c>
      <x:c r="X15" s="3" t="str">
        <x:f>IF(Master!Y508="","",Master!Y508)</x:f>
        <x:v>No E2EE claim in privacy policy</x:v>
      </x:c>
      <x:c r="Y15" s="3" t="str">
        <x:f>IF(Master!Z508="","",Master!Z508)</x:f>
      </x:c>
      <x:c r="Z15" s="3" t="str">
        <x:f>IF(Master!AA508="","",Master!AA508)</x:f>
      </x:c>
      <x:c r="AA15" s="6" t="str">
        <x:f>IF(Master!AB508="","",Master!AB508)</x:f>
      </x:c>
      <x:c r="AB15" s="3" t="str">
        <x:f>IF(Master!AC508="","",Master!AC508)</x:f>
      </x:c>
      <x:c r="AC15" s="3" t="str">
        <x:f>IF(Master!AD508="","",Master!AD508)</x:f>
      </x:c>
      <x:c r="AD15" s="3" t="str">
        <x:f>IF(Master!AE508="","",Master!AE508)</x:f>
      </x:c>
      <x:c r="AE15" s="3" t="str">
        <x:f>IF(Master!AF508="","",Master!AF508)</x:f>
      </x:c>
      <x:c r="AF15" s="8" t="str">
        <x:f>IF(Master!AG508="","",Master!AG508)</x:f>
        <x:v>External provider-dependent</x:v>
      </x:c>
    </x:row>
    <x:row r="16" ht="36" customHeight="1">
      <x:c r="A16" s="17" t="s">
        <x:v>775</x:v>
      </x:c>
      <x:c r="B16" s="3" t="str">
        <x:f>IF(Master!C509="","",Master!C509)</x:f>
        <x:v>Yes by default for calls/Go Live via DAVE</x:v>
      </x:c>
      <x:c r="C16" s="3" t="str">
        <x:f>IF(Master!D509="","",Master!D509)</x:f>
      </x:c>
      <x:c r="D16" s="3" t="str">
        <x:f>IF(Master!E509="","",Master!E509)</x:f>
      </x:c>
      <x:c r="E16" s="3" t="str">
        <x:f>IF(Master!F509="","",Master!F509)</x:f>
      </x:c>
      <x:c r="F16" s="3" t="str">
        <x:f>IF(Master!G509="","",Master!G509)</x:f>
      </x:c>
      <x:c r="G16" s="3" t="str">
        <x:f>IF(Master!H509="","",Master!H509)</x:f>
        <x:v>No currently</x:v>
      </x:c>
      <x:c r="H16" s="3" t="str">
        <x:f>IF(Master!I509="","",Master!I509)</x:f>
      </x:c>
      <x:c r="I16" s="3" t="str">
        <x:f>IF(Master!J509="","",Master!J509)</x:f>
        <x:v>No currently</x:v>
      </x:c>
      <x:c r="J16" s="3" t="str">
        <x:f>IF(Master!K509="","",Master!K509)</x:f>
        <x:v>Yes/SFrame claim</x:v>
      </x:c>
      <x:c r="K16" s="3" t="str">
        <x:f>IF(Master!L509="","",Master!L509)</x:f>
        <x:v>Yes: MLS policy also protects supported LiveKit microphone/camera/screen/screen-audio frames</x:v>
      </x:c>
      <x:c r="L16" s="3" t="str">
        <x:f>IF(Master!M509="","",Master!M509)</x:f>
      </x:c>
      <x:c r="M16" s="3" t="str">
        <x:f>IF(Master!N509="","",Master!N509)</x:f>
      </x:c>
      <x:c r="N16" s="3" t="str">
        <x:f>IF(Master!O509="","",Master!O509)</x:f>
        <x:v>Supported by MatrixRTC/capable clients</x:v>
      </x:c>
      <x:c r="O16" s="3" t="str">
        <x:f>IF(Master!P509="","",Master!P509)</x:f>
        <x:v>Same</x:v>
      </x:c>
      <x:c r="P16" s="3" t="str">
        <x:f>IF(Master!Q509="","",Master!Q509)</x:f>
        <x:v>E2EE claimed</x:v>
      </x:c>
      <x:c r="Q16" s="3" t="str">
        <x:f>IF(Master!R509="","",Master!R509)</x:f>
        <x:v>N/A</x:v>
      </x:c>
      <x:c r="R16" s="3" t="str">
        <x:f>IF(Master!S509="","",Master!S509)</x:f>
      </x:c>
      <x:c r="S16" s="3" t="str">
        <x:f>IF(Master!T509="","",Master!T509)</x:f>
        <x:v>Encrypted transport; E2EE not claimed</x:v>
      </x:c>
      <x:c r="T16" s="3" t="str">
        <x:f>IF(Master!U509="","",Master!U509)</x:f>
        <x:v>Not marketed as E2EE</x:v>
      </x:c>
      <x:c r="U16" s="3" t="str">
        <x:f>IF(Master!V509="","",Master!V509)</x:f>
        <x:v>Yes: direct calls</x:v>
      </x:c>
      <x:c r="V16" s="3" t="str">
        <x:f>IF(Master!W509="","",Master!W509)</x:f>
        <x:v>Provider/deployment-dependent</x:v>
      </x:c>
      <x:c r="W16" s="3" t="str">
        <x:f>IF(Master!X509="","",Master!X509)</x:f>
        <x:v>N/A</x:v>
      </x:c>
      <x:c r="X16" s="3" t="str">
        <x:f>IF(Master!Y509="","",Master!Y509)</x:f>
        <x:v>No E2EE claim</x:v>
      </x:c>
      <x:c r="Y16" s="3" t="str">
        <x:f>IF(Master!Z509="","",Master!Z509)</x:f>
      </x:c>
      <x:c r="Z16" s="3" t="str">
        <x:f>IF(Master!AA509="","",Master!AA509)</x:f>
      </x:c>
      <x:c r="AA16" s="6" t="str">
        <x:f>IF(Master!AB509="","",Master!AB509)</x:f>
      </x:c>
      <x:c r="AB16" s="3" t="str">
        <x:f>IF(Master!AC509="","",Master!AC509)</x:f>
      </x:c>
      <x:c r="AC16" s="3" t="str">
        <x:f>IF(Master!AD509="","",Master!AD509)</x:f>
      </x:c>
      <x:c r="AD16" s="3" t="str">
        <x:f>IF(Master!AE509="","",Master!AE509)</x:f>
      </x:c>
      <x:c r="AE16" s="3" t="str">
        <x:f>IF(Master!AF509="","",Master!AF509)</x:f>
      </x:c>
      <x:c r="AF16" s="8" t="str">
        <x:f>IF(Master!AG509="","",Master!AG509)</x:f>
        <x:v>External provider-dependent</x:v>
      </x:c>
    </x:row>
    <x:row r="17" ht="36" customHeight="1">
      <x:c r="A17" s="17" t="s">
        <x:v>776</x:v>
      </x:c>
      <x:c r="B17" s="3" t="str">
        <x:f>IF(Master!C510="","",Master!C510)</x:f>
        <x:v>Yes by default for Go Live; Stage exception</x:v>
      </x:c>
      <x:c r="C17" s="3" t="str">
        <x:f>IF(Master!D510="","",Master!D510)</x:f>
      </x:c>
      <x:c r="D17" s="3" t="str">
        <x:f>IF(Master!E510="","",Master!E510)</x:f>
      </x:c>
      <x:c r="E17" s="3" t="str">
        <x:f>IF(Master!F510="","",Master!F510)</x:f>
      </x:c>
      <x:c r="F17" s="3" t="str">
        <x:f>IF(Master!G510="","",Master!G510)</x:f>
      </x:c>
      <x:c r="G17" s="3" t="str">
        <x:f>IF(Master!H510="","",Master!H510)</x:f>
        <x:v>No currently</x:v>
      </x:c>
      <x:c r="H17" s="3" t="str">
        <x:f>IF(Master!I510="","",Master!I510)</x:f>
      </x:c>
      <x:c r="I17" s="3" t="str">
        <x:f>IF(Master!J510="","",Master!J510)</x:f>
        <x:v>No currently</x:v>
      </x:c>
      <x:c r="J17" s="3" t="str">
        <x:f>IF(Master!K510="","",Master!K510)</x:f>
      </x:c>
      <x:c r="K17" s="3" t="str">
        <x:f>IF(Master!L510="","",Master!L510)</x:f>
        <x:v>Yes: MLS policy also protects supported LiveKit microphone/camera/screen/screen-audio frames</x:v>
      </x:c>
      <x:c r="L17" s="3" t="str">
        <x:f>IF(Master!M510="","",Master!M510)</x:f>
      </x:c>
      <x:c r="M17" s="3" t="str">
        <x:f>IF(Master!N510="","",Master!N510)</x:f>
      </x:c>
      <x:c r="N17" s="3" t="str">
        <x:f>IF(Master!O510="","",Master!O510)</x:f>
        <x:v>Supported by MatrixRTC/capable clients</x:v>
      </x:c>
      <x:c r="O17" s="3" t="str">
        <x:f>IF(Master!P510="","",Master!P510)</x:f>
        <x:v>Same</x:v>
      </x:c>
      <x:c r="P17" s="3" t="str">
        <x:f>IF(Master!Q510="","",Master!Q510)</x:f>
      </x:c>
      <x:c r="Q17" s="3" t="str">
        <x:f>IF(Master!R510="","",Master!R510)</x:f>
        <x:v>N/A</x:v>
      </x:c>
      <x:c r="R17" s="3" t="str">
        <x:f>IF(Master!S510="","",Master!S510)</x:f>
      </x:c>
      <x:c r="S17" s="3" t="str">
        <x:f>IF(Master!T510="","",Master!T510)</x:f>
      </x:c>
      <x:c r="T17" s="3" t="str">
        <x:f>IF(Master!U510="","",Master!U510)</x:f>
        <x:v>Not marketed as E2EE</x:v>
      </x:c>
      <x:c r="U17" s="3" t="str">
        <x:f>IF(Master!V510="","",Master!V510)</x:f>
        <x:v>Yes: direct calls</x:v>
      </x:c>
      <x:c r="V17" s="3" t="str">
        <x:f>IF(Master!W510="","",Master!W510)</x:f>
        <x:v>Provider/deployment-dependent</x:v>
      </x:c>
      <x:c r="W17" s="3" t="str">
        <x:f>IF(Master!X510="","",Master!X510)</x:f>
        <x:v>N/A</x:v>
      </x:c>
      <x:c r="X17" s="3" t="str">
        <x:f>IF(Master!Y510="","",Master!Y510)</x:f>
        <x:v>No E2EE claim</x:v>
      </x:c>
      <x:c r="Y17" s="3" t="str">
        <x:f>IF(Master!Z510="","",Master!Z510)</x:f>
      </x:c>
      <x:c r="Z17" s="3" t="str">
        <x:f>IF(Master!AA510="","",Master!AA510)</x:f>
      </x:c>
      <x:c r="AA17" s="6" t="str">
        <x:f>IF(Master!AB510="","",Master!AB510)</x:f>
      </x:c>
      <x:c r="AB17" s="3" t="str">
        <x:f>IF(Master!AC510="","",Master!AC510)</x:f>
      </x:c>
      <x:c r="AC17" s="3" t="str">
        <x:f>IF(Master!AD510="","",Master!AD510)</x:f>
      </x:c>
      <x:c r="AD17" s="3" t="str">
        <x:f>IF(Master!AE510="","",Master!AE510)</x:f>
      </x:c>
      <x:c r="AE17" s="3" t="str">
        <x:f>IF(Master!AF510="","",Master!AF510)</x:f>
      </x:c>
      <x:c r="AF17" s="8" t="str">
        <x:f>IF(Master!AG510="","",Master!AG510)</x:f>
        <x:v>External provider-dependent</x:v>
      </x:c>
    </x:row>
    <x:row r="18" ht="23.100000381469727" customHeight="1">
      <x:c r="A18" s="17" t="s">
        <x:v>777</x:v>
      </x:c>
      <x:c r="B18" s="4" t="str">
        <x:f>IF(Master!C511="","",Master!C511)</x:f>
      </x:c>
      <x:c r="C18" s="4" t="str">
        <x:f>IF(Master!D511="","",Master!D511)</x:f>
      </x:c>
      <x:c r="D18" s="4" t="str">
        <x:f>IF(Master!E511="","",Master!E511)</x:f>
      </x:c>
      <x:c r="E18" s="4" t="str">
        <x:f>IF(Master!F511="","",Master!F511)</x:f>
      </x:c>
      <x:c r="F18" s="4" t="str">
        <x:f>IF(Master!G511="","",Master!G511)</x:f>
      </x:c>
      <x:c r="G18" s="4" t="str">
        <x:f>IF(Master!H511="","",Master!H511)</x:f>
      </x:c>
      <x:c r="H18" s="4" t="str">
        <x:f>IF(Master!I511="","",Master!I511)</x:f>
      </x:c>
      <x:c r="I18" s="4" t="str">
        <x:f>IF(Master!J511="","",Master!J511)</x:f>
      </x:c>
      <x:c r="J18" s="4" t="str">
        <x:f>IF(Master!K511="","",Master!K511)</x:f>
      </x:c>
      <x:c r="K18" s="4" t="str">
        <x:f>IF(Master!L511="","",Master!L511)</x:f>
        <x:v>MLS 1.0 RFC 9420; mandatory suite MLS_128_DHKEMX25519_AES128GCM_SHA256_Ed25519</x:v>
      </x:c>
      <x:c r="L18" s="4" t="str">
        <x:f>IF(Master!M511="","",Master!M511)</x:f>
      </x:c>
      <x:c r="M18" s="4" t="str">
        <x:f>IF(Master!N511="","",Master!N511)</x:f>
      </x:c>
      <x:c r="N18" s="4" t="str">
        <x:f>IF(Master!O511="","",Master!O511)</x:f>
      </x:c>
      <x:c r="O18" s="4" t="str">
        <x:f>IF(Master!P511="","",Master!P511)</x:f>
      </x:c>
      <x:c r="P18" s="4" t="str">
        <x:f>IF(Master!Q511="","",Master!Q511)</x:f>
      </x:c>
      <x:c r="Q18" s="4" t="str">
        <x:f>IF(Master!R511="","",Master!R511)</x:f>
      </x:c>
      <x:c r="R18" s="4" t="str">
        <x:f>IF(Master!S511="","",Master!S511)</x:f>
      </x:c>
      <x:c r="S18" s="4" t="str">
        <x:f>IF(Master!T511="","",Master!T511)</x:f>
      </x:c>
      <x:c r="T18" s="4" t="str">
        <x:f>IF(Master!U511="","",Master!U511)</x:f>
      </x:c>
      <x:c r="U18" s="4" t="str">
        <x:f>IF(Master!V511="","",Master!V511)</x:f>
      </x:c>
      <x:c r="V18" s="4" t="str">
        <x:f>IF(Master!W511="","",Master!W511)</x:f>
      </x:c>
      <x:c r="W18" s="4" t="str">
        <x:f>IF(Master!X511="","",Master!X511)</x:f>
      </x:c>
      <x:c r="X18" s="4" t="str">
        <x:f>IF(Master!Y511="","",Master!Y511)</x:f>
      </x:c>
      <x:c r="Y18" s="4" t="str">
        <x:f>IF(Master!Z511="","",Master!Z511)</x:f>
      </x:c>
      <x:c r="Z18" s="4" t="str">
        <x:f>IF(Master!AA511="","",Master!AA511)</x:f>
      </x:c>
      <x:c r="AA18" s="5" t="str">
        <x:f>IF(Master!AB511="","",Master!AB511)</x:f>
      </x:c>
      <x:c r="AB18" s="4" t="str">
        <x:f>IF(Master!AC511="","",Master!AC511)</x:f>
      </x:c>
      <x:c r="AC18" s="4" t="str">
        <x:f>IF(Master!AD511="","",Master!AD511)</x:f>
      </x:c>
      <x:c r="AD18" s="4" t="str">
        <x:f>IF(Master!AE511="","",Master!AE511)</x:f>
      </x:c>
      <x:c r="AE18" s="4" t="str">
        <x:f>IF(Master!AF511="","",Master!AF511)</x:f>
      </x:c>
      <x:c r="AF18" s="8" t="str">
        <x:f>IF(Master!AG511="","",Master!AG511)</x:f>
      </x:c>
    </x:row>
    <x:row r="19" ht="36" customHeight="1">
      <x:c r="A19" s="17" t="s">
        <x:v>778</x:v>
      </x:c>
      <x:c r="B19" s="3" t="str">
        <x:f>IF(Master!C512="","",Master!C512)</x:f>
        <x:v>No</x:v>
      </x:c>
      <x:c r="C19" s="3" t="str">
        <x:f>IF(Master!D512="","",Master!D512)</x:f>
        <x:v>Yes</x:v>
      </x:c>
      <x:c r="D19" s="3" t="str">
        <x:f>IF(Master!E512="","",Master!E512)</x:f>
        <x:v>Yes</x:v>
      </x:c>
      <x:c r="E19" s="3" t="str">
        <x:f>IF(Master!F512="","",Master!F512)</x:f>
        <x:v>No</x:v>
      </x:c>
      <x:c r="F19" s="3" t="str">
        <x:f>IF(Master!G512="","",Master!G512)</x:f>
        <x:v>Yes</x:v>
      </x:c>
      <x:c r="G19" s="3" t="str">
        <x:f>IF(Master!H512="","",Master!H512)</x:f>
        <x:v>No</x:v>
      </x:c>
      <x:c r="H19" s="3" t="str">
        <x:f>IF(Master!I512="","",Master!I512)</x:f>
      </x:c>
      <x:c r="I19" s="3" t="str">
        <x:f>IF(Master!J512="","",Master!J512)</x:f>
      </x:c>
      <x:c r="J19" s="3" t="str">
        <x:f>IF(Master!K512="","",Master!K512)</x:f>
        <x:v>Yes</x:v>
      </x:c>
      <x:c r="K19" s="3" t="str">
        <x:f>IF(Master!L512="","",Master!L512)</x:f>
        <x:v>Client-held MLS identity/vault; server stores public credentials and encrypted portable state but not MLS group secrets/private keys</x:v>
      </x:c>
      <x:c r="L19" s="3" t="str">
        <x:f>IF(Master!M512="","",Master!M512)</x:f>
      </x:c>
      <x:c r="M19" s="3" t="str">
        <x:f>IF(Master!N512="","",Master!N512)</x:f>
      </x:c>
      <x:c r="N19" s="3" t="str">
        <x:f>IF(Master!O512="","",Master!O512)</x:f>
        <x:v>Yes</x:v>
      </x:c>
      <x:c r="O19" s="3" t="str">
        <x:f>IF(Master!P512="","",Master!P512)</x:f>
        <x:v>No</x:v>
      </x:c>
      <x:c r="P19" s="3" t="str">
        <x:f>IF(Master!Q512="","",Master!Q512)</x:f>
      </x:c>
      <x:c r="Q19" s="3" t="str">
        <x:f>IF(Master!R512="","",Master!R512)</x:f>
      </x:c>
      <x:c r="R19" s="3" t="str">
        <x:f>IF(Master!S512="","",Master!S512)</x:f>
        <x:v>No</x:v>
      </x:c>
      <x:c r="S19" s="3" t="str">
        <x:f>IF(Master!T512="","",Master!T512)</x:f>
        <x:v>No</x:v>
      </x:c>
      <x:c r="T19" s="3" t="str">
        <x:f>IF(Master!U512="","",Master!U512)</x:f>
        <x:v>No</x:v>
      </x:c>
      <x:c r="U19" s="3" t="str">
        <x:f>IF(Master!V512="","",Master!V512)</x:f>
        <x:v>Yes: Rift Key/device key model</x:v>
      </x:c>
      <x:c r="V19" s="3" t="str">
        <x:f>IF(Master!W512="","",Master!W512)</x:f>
      </x:c>
      <x:c r="W19" s="3" t="str">
        <x:f>IF(Master!X512="","",Master!X512)</x:f>
      </x:c>
      <x:c r="X19" s="3" t="str">
        <x:f>IF(Master!Y512="","",Master!Y512)</x:f>
        <x:v>No</x:v>
      </x:c>
      <x:c r="Y19" s="3" t="str">
        <x:f>IF(Master!Z512="","",Master!Z512)</x:f>
      </x:c>
      <x:c r="Z19" s="3" t="str">
        <x:f>IF(Master!AA512="","",Master!AA512)</x:f>
        <x:v>No</x:v>
      </x:c>
      <x:c r="AA19" s="6" t="str">
        <x:f>IF(Master!AB512="","",Master!AB512)</x:f>
      </x:c>
      <x:c r="AB19" s="3" t="str">
        <x:f>IF(Master!AC512="","",Master!AC512)</x:f>
        <x:v>No</x:v>
      </x:c>
      <x:c r="AC19" s="3" t="str">
        <x:f>IF(Master!AD512="","",Master!AD512)</x:f>
      </x:c>
      <x:c r="AD19" s="3" t="str">
        <x:f>IF(Master!AE512="","",Master!AE512)</x:f>
        <x:v>No</x:v>
      </x:c>
      <x:c r="AE19" s="3" t="str">
        <x:f>IF(Master!AF512="","",Master!AF512)</x:f>
      </x:c>
      <x:c r="AF19" s="8" t="str">
        <x:f>IF(Master!AG512="","",Master!AG512)</x:f>
        <x:v>No</x:v>
      </x:c>
    </x:row>
    <x:row r="20" ht="36" customHeight="1">
      <x:c r="A20" s="17" t="s">
        <x:v>779</x:v>
      </x:c>
      <x:c r="B20" s="3" t="str">
        <x:f>IF(Master!C489="","",Master!C489)</x:f>
        <x:v>Yes for DAVE-compatible clients</x:v>
      </x:c>
      <x:c r="C20" s="3" t="str">
        <x:f>IF(Master!D489="","",Master!D489)</x:f>
      </x:c>
      <x:c r="D20" s="3" t="str">
        <x:f>IF(Master!E489="","",Master!E489)</x:f>
        <x:v>Yes: multi-device sync described</x:v>
      </x:c>
      <x:c r="E20" s="3" t="str">
        <x:f>IF(Master!F489="","",Master!F489)</x:f>
      </x:c>
      <x:c r="F20" s="3" t="str">
        <x:f>IF(Master!G489="","",Master!G489)</x:f>
      </x:c>
      <x:c r="G20" s="3" t="str">
        <x:f>IF(Master!H489="","",Master!H489)</x:f>
        <x:v>N/A currently</x:v>
      </x:c>
      <x:c r="H20" s="3" t="str">
        <x:f>IF(Master!I489="","",Master!I489)</x:f>
      </x:c>
      <x:c r="I20" s="3" t="str">
        <x:f>IF(Master!J489="","",Master!J489)</x:f>
        <x:v>N/A</x:v>
      </x:c>
      <x:c r="J20" s="3" t="str">
        <x:f>IF(Master!K489="","",Master!K489)</x:f>
        <x:v>Multi-device supported</x:v>
      </x:c>
      <x:c r="K20" s="3" t="str">
        <x:f>IF(Master!L489="","",Master!L489)</x:f>
        <x:v>Yes: portable encrypted account state supports multiple signed-in clients with serialized MLS state updates</x:v>
      </x:c>
      <x:c r="L20" s="3" t="str">
        <x:f>IF(Master!M489="","",Master!M489)</x:f>
      </x:c>
      <x:c r="M20" s="3" t="str">
        <x:f>IF(Master!N489="","",Master!N489)</x:f>
      </x:c>
      <x:c r="N20" s="3" t="str">
        <x:f>IF(Master!O489="","",Master!O489)</x:f>
        <x:v>Yes: designed for multi-device keys</x:v>
      </x:c>
      <x:c r="O20" s="3" t="str">
        <x:f>IF(Master!P489="","",Master!P489)</x:f>
        <x:v>N/A</x:v>
      </x:c>
      <x:c r="P20" s="3" t="str">
        <x:f>IF(Master!Q489="","",Master!Q489)</x:f>
      </x:c>
      <x:c r="Q20" s="3" t="str">
        <x:f>IF(Master!R489="","",Master!R489)</x:f>
        <x:v>N/A</x:v>
      </x:c>
      <x:c r="R20" s="3" t="str">
        <x:f>IF(Master!S489="","",Master!S489)</x:f>
        <x:v>N/A</x:v>
      </x:c>
      <x:c r="S20" s="3" t="str">
        <x:f>IF(Master!T489="","",Master!T489)</x:f>
        <x:v>N/A</x:v>
      </x:c>
      <x:c r="T20" s="3" t="str">
        <x:f>IF(Master!U489="","",Master!U489)</x:f>
        <x:v>N/A</x:v>
      </x:c>
      <x:c r="U20" s="3" t="str">
        <x:f>IF(Master!V489="","",Master!V489)</x:f>
        <x:v>Yes: per-device keys, cross-device authentication</x:v>
      </x:c>
      <x:c r="V20" s="3" t="str">
        <x:f>IF(Master!W489="","",Master!W489)</x:f>
        <x:v>Version-dependent</x:v>
      </x:c>
      <x:c r="W20" s="3" t="str">
        <x:f>IF(Master!X489="","",Master!X489)</x:f>
        <x:v>N/A</x:v>
      </x:c>
      <x:c r="X20" s="3" t="str">
        <x:f>IF(Master!Y489="","",Master!Y489)</x:f>
      </x:c>
      <x:c r="Y20" s="3" t="str">
        <x:f>IF(Master!Z489="","",Master!Z489)</x:f>
      </x:c>
      <x:c r="Z20" s="3" t="str">
        <x:f>IF(Master!AA489="","",Master!AA489)</x:f>
      </x:c>
      <x:c r="AA20" s="6" t="str">
        <x:f>IF(Master!AB489="","",Master!AB489)</x:f>
      </x:c>
      <x:c r="AB20" s="3" t="str">
        <x:f>IF(Master!AC489="","",Master!AC489)</x:f>
        <x:v>N/A</x:v>
      </x:c>
      <x:c r="AC20" s="3" t="str">
        <x:f>IF(Master!AD489="","",Master!AD489)</x:f>
      </x:c>
      <x:c r="AD20" s="3" t="str">
        <x:f>IF(Master!AE489="","",Master!AE489)</x:f>
        <x:v>N/A</x:v>
      </x:c>
      <x:c r="AE20" s="3" t="str">
        <x:f>IF(Master!AF489="","",Master!AF489)</x:f>
      </x:c>
      <x:c r="AF20" s="8" t="str">
        <x:f>IF(Master!AG489="","",Master!AG489)</x:f>
        <x:v>N/A</x:v>
      </x:c>
    </x:row>
    <x:row r="21" ht="36" customHeight="1">
      <x:c r="A21" s="17" t="s">
        <x:v>780</x:v>
      </x:c>
      <x:c r="B21" s="3" t="str">
        <x:f>IF(Master!C513="","",Master!C513)</x:f>
        <x:v>DAVE design; exact ratchet properties depend spec</x:v>
      </x:c>
      <x:c r="C21" s="3" t="str">
        <x:f>IF(Master!D513="","",Master!D513)</x:f>
      </x:c>
      <x:c r="D21" s="3" t="str">
        <x:f>IF(Master!E513="","",Master!E513)</x:f>
      </x:c>
      <x:c r="E21" s="3" t="str">
        <x:f>IF(Master!F513="","",Master!F513)</x:f>
      </x:c>
      <x:c r="F21" s="3" t="str">
        <x:f>IF(Master!G513="","",Master!G513)</x:f>
        <x:v>Not Signal Double Ratchet; founder explicitly says mature Signal-level forward secrecy is not claimed</x:v>
      </x:c>
      <x:c r="G21" s="3" t="str">
        <x:f>IF(Master!H513="","",Master!H513)</x:f>
        <x:v>N/A currently</x:v>
      </x:c>
      <x:c r="H21" s="3" t="str">
        <x:f>IF(Master!I513="","",Master!I513)</x:f>
      </x:c>
      <x:c r="I21" s="3" t="str">
        <x:f>IF(Master!J513="","",Master!J513)</x:f>
        <x:v>N/A</x:v>
      </x:c>
      <x:c r="J21" s="3" t="str">
        <x:f>IF(Master!K513="","",Master!K513)</x:f>
        <x:v>Olm/MLS/SFrame design</x:v>
      </x:c>
      <x:c r="K21" s="3" t="str">
        <x:f>IF(Master!L513="","",Master!L513)</x:f>
        <x:v>Yes: MLS 1.0 epochs/rekeys; membership/device changes force rekey before writes resume</x:v>
      </x:c>
      <x:c r="L21" s="3" t="str">
        <x:f>IF(Master!M513="","",Master!M513)</x:f>
      </x:c>
      <x:c r="M21" s="3" t="str">
        <x:f>IF(Master!N513="","",Master!N513)</x:f>
      </x:c>
      <x:c r="N21" s="3" t="str">
        <x:f>IF(Master!O513="","",Master!O513)</x:f>
        <x:v>Megolm/Olm-era designs and newer crypto work; properties vary by room/media protocol</x:v>
      </x:c>
      <x:c r="O21" s="3" t="str">
        <x:f>IF(Master!P513="","",Master!P513)</x:f>
        <x:v>N/A</x:v>
      </x:c>
      <x:c r="P21" s="3" t="str">
        <x:f>IF(Master!Q513="","",Master!Q513)</x:f>
      </x:c>
      <x:c r="Q21" s="3" t="str">
        <x:f>IF(Master!R513="","",Master!R513)</x:f>
        <x:v>N/A</x:v>
      </x:c>
      <x:c r="R21" s="3" t="str">
        <x:f>IF(Master!S513="","",Master!S513)</x:f>
        <x:v>N/A</x:v>
      </x:c>
      <x:c r="S21" s="3" t="str">
        <x:f>IF(Master!T513="","",Master!T513)</x:f>
        <x:v>N/A</x:v>
      </x:c>
      <x:c r="T21" s="3" t="str">
        <x:f>IF(Master!U513="","",Master!U513)</x:f>
        <x:v>N/A</x:v>
      </x:c>
      <x:c r="U21" s="3" t="str">
        <x:f>IF(Master!V513="","",Master!V513)</x:f>
        <x:v>Yes: X3DH / Double Ratchet</x:v>
      </x:c>
      <x:c r="V21" s="3" t="str">
        <x:f>IF(Master!W513="","",Master!W513)</x:f>
        <x:v>Version-dependent</x:v>
      </x:c>
      <x:c r="W21" s="3" t="str">
        <x:f>IF(Master!X513="","",Master!X513)</x:f>
        <x:v>N/A</x:v>
      </x:c>
      <x:c r="X21" s="3" t="str">
        <x:f>IF(Master!Y513="","",Master!Y513)</x:f>
      </x:c>
      <x:c r="Y21" s="3" t="str">
        <x:f>IF(Master!Z513="","",Master!Z513)</x:f>
      </x:c>
      <x:c r="Z21" s="3" t="str">
        <x:f>IF(Master!AA513="","",Master!AA513)</x:f>
      </x:c>
      <x:c r="AA21" s="6" t="str">
        <x:f>IF(Master!AB513="","",Master!AB513)</x:f>
      </x:c>
      <x:c r="AB21" s="3" t="str">
        <x:f>IF(Master!AC513="","",Master!AC513)</x:f>
        <x:v>N/A</x:v>
      </x:c>
      <x:c r="AC21" s="3" t="str">
        <x:f>IF(Master!AD513="","",Master!AD513)</x:f>
      </x:c>
      <x:c r="AD21" s="3" t="str">
        <x:f>IF(Master!AE513="","",Master!AE513)</x:f>
        <x:v>N/A</x:v>
      </x:c>
      <x:c r="AE21" s="3" t="str">
        <x:f>IF(Master!AF513="","",Master!AF513)</x:f>
      </x:c>
      <x:c r="AF21" s="8" t="str">
        <x:f>IF(Master!AG513="","",Master!AG513)</x:f>
        <x:v>N/A</x:v>
      </x:c>
    </x:row>
    <x:row r="22" ht="36" customHeight="1">
      <x:c r="A22" s="17" t="s">
        <x:v>781</x:v>
      </x:c>
      <x:c r="B22" s="3" t="str">
        <x:f>IF(Master!C514="","",Master!C514)</x:f>
        <x:v>No: metadata remains visible</x:v>
      </x:c>
      <x:c r="C22" s="3" t="str">
        <x:f>IF(Master!D514="","",Master!D514)</x:f>
        <x:v>No: relay metadata remains</x:v>
      </x:c>
      <x:c r="D22" s="3" t="str">
        <x:f>IF(Master!E514="","",Master!E514)</x:f>
        <x:v>No: home server sees routing metadata</x:v>
      </x:c>
      <x:c r="E22" s="3" t="str">
        <x:f>IF(Master!F514="","",Master!F514)</x:f>
        <x:v>No</x:v>
      </x:c>
      <x:c r="F22" s="3" t="str">
        <x:f>IF(Master!G514="","",Master!G514)</x:f>
        <x:v>No: delivery/relationship metadata remains</x:v>
      </x:c>
      <x:c r="G22" s="3" t="str">
        <x:f>IF(Master!H514="","",Master!H514)</x:f>
        <x:v>No</x:v>
      </x:c>
      <x:c r="H22" s="3" t="str">
        <x:f>IF(Master!I514="","",Master!I514)</x:f>
        <x:v>No</x:v>
      </x:c>
      <x:c r="I22" s="3" t="str">
        <x:f>IF(Master!J514="","",Master!J514)</x:f>
        <x:v>No</x:v>
      </x:c>
      <x:c r="J22" s="3" t="str">
        <x:f>IF(Master!K514="","",Master!K514)</x:f>
        <x:v>No: relay metadata/timing can exist</x:v>
      </x:c>
      <x:c r="K22" s="3" t="str">
        <x:f>IF(Master!L514="","",Master!L514)</x:f>
        <x:v>No: routing metadata, participants, timestamps, sizes, delivery activity and track kinds remain visible</x:v>
      </x:c>
      <x:c r="L22" s="3" t="str">
        <x:f>IF(Master!M514="","",Master!M514)</x:f>
        <x:v>No</x:v>
      </x:c>
      <x:c r="M22" s="3" t="str">
        <x:f>IF(Master!N514="","",Master!N514)</x:f>
        <x:v>No</x:v>
      </x:c>
      <x:c r="N22" s="3" t="str">
        <x:f>IF(Master!O514="","",Master!O514)</x:f>
        <x:v>No: homeserver/federation metadata remains visible</x:v>
      </x:c>
      <x:c r="O22" s="3" t="str">
        <x:f>IF(Master!P514="","",Master!P514)</x:f>
        <x:v>No</x:v>
      </x:c>
      <x:c r="P22" s="3" t="str">
        <x:f>IF(Master!Q514="","",Master!Q514)</x:f>
        <x:v>No</x:v>
      </x:c>
      <x:c r="Q22" s="3" t="str">
        <x:f>IF(Master!R514="","",Master!R514)</x:f>
        <x:v>No</x:v>
      </x:c>
      <x:c r="R22" s="3" t="str">
        <x:f>IF(Master!S514="","",Master!S514)</x:f>
        <x:v>No</x:v>
      </x:c>
      <x:c r="S22" s="3" t="str">
        <x:f>IF(Master!T514="","",Master!T514)</x:f>
        <x:v>No</x:v>
      </x:c>
      <x:c r="T22" s="3" t="str">
        <x:f>IF(Master!U514="","",Master!U514)</x:f>
        <x:v>No</x:v>
      </x:c>
      <x:c r="U22" s="3" t="str">
        <x:f>IF(Master!V514="","",Master!V514)</x:f>
        <x:v>No: metadata/routing information is not hidden by E2EE</x:v>
      </x:c>
      <x:c r="V22" s="3" t="str">
        <x:f>IF(Master!W514="","",Master!W514)</x:f>
        <x:v>No</x:v>
      </x:c>
      <x:c r="W22" s="3" t="str">
        <x:f>IF(Master!X514="","",Master!X514)</x:f>
        <x:v>No</x:v>
      </x:c>
      <x:c r="X22" s="3" t="str">
        <x:f>IF(Master!Y514="","",Master!Y514)</x:f>
        <x:v>No</x:v>
      </x:c>
      <x:c r="Y22" s="3" t="str">
        <x:f>IF(Master!Z514="","",Master!Z514)</x:f>
        <x:v>No</x:v>
      </x:c>
      <x:c r="Z22" s="3" t="str">
        <x:f>IF(Master!AA514="","",Master!AA514)</x:f>
        <x:v>No</x:v>
      </x:c>
      <x:c r="AA22" s="6" t="str">
        <x:f>IF(Master!AB514="","",Master!AB514)</x:f>
      </x:c>
      <x:c r="AB22" s="3" t="str">
        <x:f>IF(Master!AC514="","",Master!AC514)</x:f>
        <x:v>No</x:v>
      </x:c>
      <x:c r="AC22" s="3" t="str">
        <x:f>IF(Master!AD514="","",Master!AD514)</x:f>
        <x:v>No</x:v>
      </x:c>
      <x:c r="AD22" s="3" t="str">
        <x:f>IF(Master!AE514="","",Master!AE514)</x:f>
        <x:v>No</x:v>
      </x:c>
      <x:c r="AE22" s="3" t="str">
        <x:f>IF(Master!AF514="","",Master!AF514)</x:f>
        <x:v>No</x:v>
      </x:c>
      <x:c r="AF22" s="8" t="str">
        <x:f>IF(Master!AG514="","",Master!AG514)</x:f>
        <x:v>No</x:v>
      </x:c>
    </x:row>
    <x:row r="23" ht="36" customHeight="1">
      <x:c r="A23" s="17" t="s">
        <x:v>782</x:v>
      </x:c>
      <x:c r="B23" s="3" t="str">
        <x:f>IF(Master!C515="","",Master!C515)</x:f>
        <x:v>Yes: DAVE design public</x:v>
      </x:c>
      <x:c r="C23" s="3" t="str">
        <x:f>IF(Master!D515="","",Master!D515)</x:f>
        <x:v>Open protocol/code</x:v>
      </x:c>
      <x:c r="D23" s="3" t="str">
        <x:f>IF(Master!E515="","",Master!E515)</x:f>
        <x:v>public documentation/source</x:v>
      </x:c>
      <x:c r="E23" s="3" t="str">
        <x:f>IF(Master!F515="","",Master!F515)</x:f>
        <x:v>No public E2EE protocol</x:v>
      </x:c>
      <x:c r="F23" s="3" t="str">
        <x:f>IF(Master!G515="","",Master!G515)</x:f>
        <x:v>Yes: founder publishes design boundaries/primitives</x:v>
      </x:c>
      <x:c r="G23" s="3" t="str">
        <x:f>IF(Master!H515="","",Master!H515)</x:f>
        <x:v>E2EE roadmap/design discussion public, but not deployed as policy baseline</x:v>
      </x:c>
      <x:c r="H23" s="3" t="str">
        <x:f>IF(Master!I515="","",Master!I515)</x:f>
        <x:v>No public cryptographic design found</x:v>
      </x:c>
      <x:c r="I23" s="3" t="str">
        <x:f>IF(Master!J515="","",Master!J515)</x:f>
        <x:v>No public E2EE design</x:v>
      </x:c>
      <x:c r="J23" s="3" t="str">
        <x:f>IF(Master!K515="","",Master!K515)</x:f>
        <x:v>Whitepaper/source public</x:v>
      </x:c>
      <x:c r="K23" s="3" t="str">
        <x:f>IF(Master!L515="","",Master!L515)</x:f>
        <x:v>Yes: public E2EE contract documents threat model, MLS suite and rollout gates</x:v>
      </x:c>
      <x:c r="L23" s="3" t="str">
        <x:f>IF(Master!M515="","",Master!M515)</x:f>
        <x:v>No public mature E2EE design verified</x:v>
      </x:c>
      <x:c r="M23" s="3" t="str">
        <x:f>IF(Master!N515="","",Master!N515)</x:f>
      </x:c>
      <x:c r="N23" s="3" t="str">
        <x:f>IF(Master!O515="","",Master!O515)</x:f>
        <x:v>Yes: open specification/MSC process</x:v>
      </x:c>
      <x:c r="O23" s="3" t="str">
        <x:f>IF(Master!P515="","",Master!P515)</x:f>
        <x:v>Open-source implementation for core messaging</x:v>
      </x:c>
      <x:c r="P23" s="3" t="str">
        <x:f>IF(Master!Q515="","",Master!Q515)</x:f>
      </x:c>
      <x:c r="Q23" s="3" t="str">
        <x:f>IF(Master!R515="","",Master!R515)</x:f>
        <x:v>Public protocol/source</x:v>
      </x:c>
      <x:c r="R23" s="3" t="str">
        <x:f>IF(Master!S515="","",Master!S515)</x:f>
        <x:v>No public E2EE design</x:v>
      </x:c>
      <x:c r="S23" s="3" t="str">
        <x:f>IF(Master!T515="","",Master!T515)</x:f>
        <x:v>No public E2EE design</x:v>
      </x:c>
      <x:c r="T23" s="3" t="str">
        <x:f>IF(Master!U515="","",Master!U515)</x:f>
        <x:v>No</x:v>
      </x:c>
      <x:c r="U23" s="3" t="str">
        <x:f>IF(Master!V515="","",Master!V515)</x:f>
        <x:v>Yes: protocol model described publicly</x:v>
      </x:c>
      <x:c r="V23" s="3" t="str">
        <x:f>IF(Master!W515="","",Master!W515)</x:f>
        <x:v>Public implementation/documentation</x:v>
      </x:c>
      <x:c r="W23" s="3" t="str">
        <x:f>IF(Master!X515="","",Master!X515)</x:f>
        <x:v>No</x:v>
      </x:c>
      <x:c r="X23" s="3" t="str">
        <x:f>IF(Master!Y515="","",Master!Y515)</x:f>
        <x:v>No public crypto protocol</x:v>
      </x:c>
      <x:c r="Y23" s="3" t="str">
        <x:f>IF(Master!Z515="","",Master!Z515)</x:f>
        <x:v>No mature platform-wide crypto design verified</x:v>
      </x:c>
      <x:c r="Z23" s="3" t="str">
        <x:f>IF(Master!AA515="","",Master!AA515)</x:f>
        <x:v>No public text-E2EE design verified</x:v>
      </x:c>
      <x:c r="AA23" s="6" t="str">
        <x:f>IF(Master!AB515="","",Master!AB515)</x:f>
        <x:v>Limited public details</x:v>
      </x:c>
      <x:c r="AB23" s="3" t="str">
        <x:f>IF(Master!AC515="","",Master!AC515)</x:f>
        <x:v>No public E2EE design</x:v>
      </x:c>
      <x:c r="AC23" s="3" t="str">
        <x:f>IF(Master!AD515="","",Master!AD515)</x:f>
      </x:c>
      <x:c r="AD23" s="3" t="str">
        <x:f>IF(Master!AE515="","",Master!AE515)</x:f>
        <x:v>No public E2EE design</x:v>
      </x:c>
      <x:c r="AE23" s="3" t="str">
        <x:f>IF(Master!AF515="","",Master!AF515)</x:f>
        <x:v>No public crypto design</x:v>
      </x:c>
      <x:c r="AF23" s="8" t="str">
        <x:f>IF(Master!AG515="","",Master!AG515)</x:f>
        <x:v>Open source but no E2EE protocol</x:v>
      </x:c>
    </x:row>
    <x:row r="24" ht="36" customHeight="1">
      <x:c r="A24" s="17" t="s">
        <x:v>783</x:v>
      </x:c>
      <x:c r="B24" s="3" t="str">
        <x:f>IF(Master!C516="","",Master!C516)</x:f>
        <x:v>Trail of Bits reviews of DAVE (2024/2025)</x:v>
      </x:c>
      <x:c r="C24" s="3" t="str">
        <x:f>IF(Master!D516="","",Master!D516)</x:f>
      </x:c>
      <x:c r="D24" s="3" t="str">
        <x:f>IF(Master!E516="","",Master!E516)</x:f>
      </x:c>
      <x:c r="E24" s="3" t="str">
        <x:f>IF(Master!F516="","",Master!F516)</x:f>
        <x:v>No audit verified</x:v>
      </x:c>
      <x:c r="F24" s="3" t="str">
        <x:f>IF(Master!G516="","",Master!G516)</x:f>
        <x:v>No independent audit published</x:v>
      </x:c>
      <x:c r="G24" s="3" t="str">
        <x:f>IF(Master!H516="","",Master!H516)</x:f>
        <x:v>No comprehensive audit verified</x:v>
      </x:c>
      <x:c r="H24" s="3" t="str">
        <x:f>IF(Master!I516="","",Master!I516)</x:f>
      </x:c>
      <x:c r="I24" s="3" t="str">
        <x:f>IF(Master!J516="","",Master!J516)</x:f>
        <x:v>No</x:v>
      </x:c>
      <x:c r="J24" s="3" t="str">
        <x:f>IF(Master!K516="","",Master!K516)</x:f>
      </x:c>
      <x:c r="K24" s="3" t="str">
        <x:f>IF(Master!L516="","",Master!L516)</x:f>
        <x:v>No independent cryptographic audit published; documentation lists external review as a remaining release gate.</x:v>
      </x:c>
      <x:c r="L24" s="3" t="str">
        <x:f>IF(Master!M516="","",Master!M516)</x:f>
        <x:v>No independent audit verified</x:v>
      </x:c>
      <x:c r="M24" s="3" t="str">
        <x:f>IF(Master!N516="","",Master!N516)</x:f>
      </x:c>
      <x:c r="N24" s="3" t="str">
        <x:f>IF(Master!O516="","",Master!O516)</x:f>
        <x:v>Multiple implementation/protocol audits; no single universal client audit</x:v>
      </x:c>
      <x:c r="O24" s="3" t="str">
        <x:f>IF(Master!P516="","",Master!P516)</x:f>
        <x:v>Security certifications/audits vary by offering</x:v>
      </x:c>
      <x:c r="P24" s="3" t="str">
        <x:f>IF(Master!Q516="","",Master!Q516)</x:f>
      </x:c>
      <x:c r="Q24" s="3" t="str">
        <x:f>IF(Master!R516="","",Master!R516)</x:f>
      </x:c>
      <x:c r="R24" s="3" t="str">
        <x:f>IF(Master!S516="","",Master!S516)</x:f>
      </x:c>
      <x:c r="S24" s="3" t="str">
        <x:f>IF(Master!T516="","",Master!T516)</x:f>
      </x:c>
      <x:c r="T24" s="3" t="str">
        <x:f>IF(Master!U516="","",Master!U516)</x:f>
        <x:v>None published</x:v>
      </x:c>
      <x:c r="U24" s="3" t="str">
        <x:f>IF(Master!V516="","",Master!V516)</x:f>
        <x:v>No: audits listed as future work</x:v>
      </x:c>
      <x:c r="V24" s="3" t="str">
        <x:f>IF(Master!W516="","",Master!W516)</x:f>
      </x:c>
      <x:c r="W24" s="3" t="str">
        <x:f>IF(Master!X516="","",Master!X516)</x:f>
      </x:c>
      <x:c r="X24" s="3" t="str">
        <x:f>IF(Master!Y516="","",Master!Y516)</x:f>
        <x:v>No public audit verified</x:v>
      </x:c>
      <x:c r="Y24" s="3" t="str">
        <x:f>IF(Master!Z516="","",Master!Z516)</x:f>
        <x:v>No</x:v>
      </x:c>
      <x:c r="Z24" s="3" t="str">
        <x:f>IF(Master!AA516="","",Master!AA516)</x:f>
        <x:v>No comprehensive crypto audit verified</x:v>
      </x:c>
      <x:c r="AA24" s="6" t="str">
        <x:f>IF(Master!AB516="","",Master!AB516)</x:f>
      </x:c>
      <x:c r="AB24" s="3" t="str">
        <x:f>IF(Master!AC516="","",Master!AC516)</x:f>
      </x:c>
      <x:c r="AC24" s="3" t="str">
        <x:f>IF(Master!AD516="","",Master!AD516)</x:f>
        <x:v>No audit verified</x:v>
      </x:c>
      <x:c r="AD24" s="3" t="str">
        <x:f>IF(Master!AE516="","",Master!AE516)</x:f>
      </x:c>
      <x:c r="AE24" s="3" t="str">
        <x:f>IF(Master!AF516="","",Master!AF516)</x:f>
      </x:c>
      <x:c r="AF24" s="8" t="str">
        <x:f>IF(Master!AG516="","",Master!AG516)</x:f>
      </x:c>
    </x:row>
    <x:row r="25" ht="21.950000762939453" customHeight="1">
      <x:c r="A25" s="18" t="s">
        <x:v>738</x:v>
      </x:c>
      <x:c r="B25" s="18" t="str">
        <x:f t="shared" ref="B25:AF25" si="2">IF(""="","","")</x:f>
      </x:c>
      <x:c r="C25" s="18" t="str">
        <x:f t="shared" si="2"/>
      </x:c>
      <x:c r="D25" s="18" t="str">
        <x:f t="shared" si="2"/>
      </x:c>
      <x:c r="E25" s="18" t="str">
        <x:f t="shared" si="2"/>
      </x:c>
      <x:c r="F25" s="18" t="str">
        <x:f t="shared" si="2"/>
      </x:c>
      <x:c r="G25" s="18" t="str">
        <x:f t="shared" si="2"/>
      </x:c>
      <x:c r="H25" s="18" t="str">
        <x:f t="shared" si="2"/>
      </x:c>
      <x:c r="I25" s="18" t="str">
        <x:f t="shared" si="2"/>
      </x:c>
      <x:c r="J25" s="18" t="str">
        <x:f t="shared" si="2"/>
      </x:c>
      <x:c r="K25" s="18" t="str">
        <x:f t="shared" si="2"/>
      </x:c>
      <x:c r="L25" s="18" t="str">
        <x:f t="shared" si="2"/>
      </x:c>
      <x:c r="M25" s="18" t="str">
        <x:f t="shared" si="2"/>
      </x:c>
      <x:c r="N25" s="18" t="str">
        <x:f t="shared" si="2"/>
      </x:c>
      <x:c r="O25" s="18" t="str">
        <x:f t="shared" si="2"/>
      </x:c>
      <x:c r="P25" s="18" t="str">
        <x:f t="shared" si="2"/>
      </x:c>
      <x:c r="Q25" s="18" t="str">
        <x:f t="shared" si="2"/>
      </x:c>
      <x:c r="R25" s="18" t="str">
        <x:f t="shared" si="2"/>
      </x:c>
      <x:c r="S25" s="18" t="str">
        <x:f t="shared" si="2"/>
      </x:c>
      <x:c r="T25" s="18" t="str">
        <x:f t="shared" si="2"/>
      </x:c>
      <x:c r="U25" s="18" t="str">
        <x:f t="shared" si="2"/>
      </x:c>
      <x:c r="V25" s="18" t="str">
        <x:f t="shared" si="2"/>
      </x:c>
      <x:c r="W25" s="18" t="str">
        <x:f t="shared" si="2"/>
      </x:c>
      <x:c r="X25" s="18" t="str">
        <x:f t="shared" si="2"/>
      </x:c>
      <x:c r="Y25" s="18" t="str">
        <x:f t="shared" si="2"/>
      </x:c>
      <x:c r="Z25" s="18" t="str">
        <x:f t="shared" si="2"/>
      </x:c>
      <x:c r="AA25" s="18" t="str">
        <x:f t="shared" si="2"/>
      </x:c>
      <x:c r="AB25" s="18" t="str">
        <x:f t="shared" si="2"/>
      </x:c>
      <x:c r="AC25" s="18" t="str">
        <x:f t="shared" si="2"/>
      </x:c>
      <x:c r="AD25" s="18" t="str">
        <x:f t="shared" si="2"/>
      </x:c>
      <x:c r="AE25" s="18" t="str">
        <x:f t="shared" si="2"/>
      </x:c>
      <x:c r="AF25" s="19" t="str">
        <x:f t="shared" si="2"/>
      </x:c>
    </x:row>
    <x:row r="26" ht="36" customHeight="1">
      <x:c r="A26" s="17" t="s">
        <x:v>741</x:v>
      </x:c>
      <x:c r="B26" s="3" t="str">
        <x:f>IF(Master!C517="","",Master!C517)</x:f>
        <x:v>Yes: IP address is collected as device/use information</x:v>
      </x:c>
      <x:c r="C26" s="3" t="str">
        <x:f>IF(Master!D517="","",Master!D517)</x:f>
        <x:v>Relay sees metadata; content encrypted</x:v>
      </x:c>
      <x:c r="D26" s="3" t="str">
        <x:f>IF(Master!E517="","",Master!E517)</x:f>
        <x:v>Operator controlled; official messenger claims privacy model</x:v>
      </x:c>
      <x:c r="E26" s="3" t="str">
        <x:f>IF(Master!F517="","",Master!F517)</x:f>
      </x:c>
      <x:c r="F26" s="3" t="str">
        <x:f>IF(Master!G517="","",Master!G517)</x:f>
      </x:c>
      <x:c r="G26" s="3" t="str">
        <x:f>IF(Master!H517="","",Master!H517)</x:f>
        <x:v>IP/network data processed; approximate location derived</x:v>
      </x:c>
      <x:c r="H26" s="3" t="str">
        <x:f>IF(Master!I517="","",Master!I517)</x:f>
        <x:v>Operator/service dependent</x:v>
      </x:c>
      <x:c r="I26" s="3" t="str">
        <x:f>IF(Master!J517="","",Master!J517)</x:f>
        <x:v>Operator controlled</x:v>
      </x:c>
      <x:c r="J26" s="3" t="str">
        <x:f>IF(Master!K517="","",Master!K517)</x:f>
        <x:v>Official relay claims no IP logging; self-host operator could log metadata</x:v>
      </x:c>
      <x:c r="K26" s="3" t="str">
        <x:f>IF(Master!L517="","",Master!L517)</x:f>
        <x:v>Not publicly specified</x:v>
      </x:c>
      <x:c r="L26" s="3" t="str">
        <x:f>IF(Master!M517="","",Master!M517)</x:f>
      </x:c>
      <x:c r="M26" s="3" t="str">
        <x:f>IF(Master!N517="","",Master!N517)</x:f>
      </x:c>
      <x:c r="N26" s="3" t="str">
        <x:f>IF(Master!O517="","",Master!O517)</x:f>
        <x:v>Homeserver/operator sees IP/network metadata; exact logging is operator-dependent</x:v>
      </x:c>
      <x:c r="O26" s="3" t="str">
        <x:f>IF(Master!P517="","",Master!P517)</x:f>
        <x:v>Deployment/admin controlled</x:v>
      </x:c>
      <x:c r="P26" s="3" t="str">
        <x:f>IF(Master!Q517="","",Master!Q517)</x:f>
      </x:c>
      <x:c r="Q26" s="3" t="str">
        <x:f>IF(Master!R517="","",Master!R517)</x:f>
        <x:v>Server/operator-controlled</x:v>
      </x:c>
      <x:c r="R26" s="3" t="str">
        <x:f>IF(Master!S517="","",Master!S517)</x:f>
      </x:c>
      <x:c r="S26" s="3" t="str">
        <x:f>IF(Master!T517="","",Master!T517)</x:f>
      </x:c>
      <x:c r="T26" s="3" t="str">
        <x:f>IF(Master!U517="","",Master!U517)</x:f>
      </x:c>
      <x:c r="U26" s="3" t="str">
        <x:f>IF(Master!V517="","",Master!V517)</x:f>
      </x:c>
      <x:c r="V26" s="3" t="str">
        <x:f>IF(Master!W517="","",Master!W517)</x:f>
        <x:v>Admin/deployment policy</x:v>
      </x:c>
      <x:c r="W26" s="3" t="str">
        <x:f>IF(Master!X517="","",Master!X517)</x:f>
        <x:v>Provider dependent</x:v>
      </x:c>
      <x:c r="X26" s="3" t="str">
        <x:f>IF(Master!Y517="","",Master!Y517)</x:f>
        <x:v>Yes: device/network info including IP collected</x:v>
      </x:c>
      <x:c r="Y26" s="3" t="str">
        <x:f>IF(Master!Z517="","",Master!Z517)</x:f>
        <x:v>Operator-controlled</x:v>
      </x:c>
      <x:c r="Z26" s="3" t="str">
        <x:f>IF(Master!AA517="","",Master!AA517)</x:f>
      </x:c>
      <x:c r="AA26" s="6" t="str">
        <x:f>IF(Master!AB517="","",Master!AB517)</x:f>
        <x:v>Operator/service-dependent</x:v>
      </x:c>
      <x:c r="AB26" s="3" t="str">
        <x:f>IF(Master!AC517="","",Master!AC517)</x:f>
      </x:c>
      <x:c r="AC26" s="3" t="str">
        <x:f>IF(Master!AD517="","",Master!AD517)</x:f>
      </x:c>
      <x:c r="AD26" s="3" t="str">
        <x:f>IF(Master!AE517="","",Master!AE517)</x:f>
      </x:c>
      <x:c r="AE26" s="3" t="str">
        <x:f>IF(Master!AF517="","",Master!AF517)</x:f>
        <x:v>Operator controlled</x:v>
      </x:c>
      <x:c r="AF26" s="8" t="str">
        <x:f>IF(Master!AG517="","",Master!AG517)</x:f>
        <x:v>Hosted/operator dependent</x:v>
      </x:c>
    </x:row>
    <x:row r="27" ht="36" customHeight="1">
      <x:c r="A27" s="17" t="s">
        <x:v>742</x:v>
      </x:c>
      <x:c r="B27" s="3" t="str">
        <x:f>IF(Master!C518="","",Master!C518)</x:f>
      </x:c>
      <x:c r="C27" s="3" t="str">
        <x:f>IF(Master!D518="","",Master!D518)</x:f>
      </x:c>
      <x:c r="D27" s="3" t="str">
        <x:f>IF(Master!E518="","",Master!E518)</x:f>
      </x:c>
      <x:c r="E27" s="3" t="str">
        <x:f>IF(Master!F518="","",Master!F518)</x:f>
      </x:c>
      <x:c r="F27" s="3" t="str">
        <x:f>IF(Master!G518="","",Master!G518)</x:f>
      </x:c>
      <x:c r="G27" s="3" t="str">
        <x:f>IF(Master!H518="","",Master!H518)</x:f>
      </x:c>
      <x:c r="H27" s="3" t="str">
        <x:f>IF(Master!I518="","",Master!I518)</x:f>
      </x:c>
      <x:c r="I27" s="3" t="str">
        <x:f>IF(Master!J518="","",Master!J518)</x:f>
      </x:c>
      <x:c r="J27" s="3" t="str">
        <x:f>IF(Master!K518="","",Master!K518)</x:f>
      </x:c>
      <x:c r="K27" s="3" t="str">
        <x:f>IF(Master!L518="","",Master!L518)</x:f>
        <x:v>Not publicly specified</x:v>
      </x:c>
      <x:c r="L27" s="3" t="str">
        <x:f>IF(Master!M518="","",Master!M518)</x:f>
      </x:c>
      <x:c r="M27" s="3" t="str">
        <x:f>IF(Master!N518="","",Master!N518)</x:f>
      </x:c>
      <x:c r="N27" s="3" t="str">
        <x:f>IF(Master!O518="","",Master!O518)</x:f>
      </x:c>
      <x:c r="O27" s="3" t="str">
        <x:f>IF(Master!P518="","",Master!P518)</x:f>
      </x:c>
      <x:c r="P27" s="3" t="str">
        <x:f>IF(Master!Q518="","",Master!Q518)</x:f>
      </x:c>
      <x:c r="Q27" s="3" t="str">
        <x:f>IF(Master!R518="","",Master!R518)</x:f>
      </x:c>
      <x:c r="R27" s="3" t="str">
        <x:f>IF(Master!S518="","",Master!S518)</x:f>
      </x:c>
      <x:c r="S27" s="3" t="str">
        <x:f>IF(Master!T518="","",Master!T518)</x:f>
      </x:c>
      <x:c r="T27" s="3" t="str">
        <x:f>IF(Master!U518="","",Master!U518)</x:f>
      </x:c>
      <x:c r="U27" s="3" t="str">
        <x:f>IF(Master!V518="","",Master!V518)</x:f>
        <x:v>48 hours / HMAC fingerprint</x:v>
      </x:c>
      <x:c r="V27" s="3" t="str">
        <x:f>IF(Master!W518="","",Master!W518)</x:f>
      </x:c>
      <x:c r="W27" s="3" t="str">
        <x:f>IF(Master!X518="","",Master!X518)</x:f>
      </x:c>
      <x:c r="X27" s="3" t="str">
        <x:f>IF(Master!Y518="","",Master!Y518)</x:f>
      </x:c>
      <x:c r="Y27" s="3" t="str">
        <x:f>IF(Master!Z518="","",Master!Z518)</x:f>
      </x:c>
      <x:c r="Z27" s="3" t="str">
        <x:f>IF(Master!AA518="","",Master!AA518)</x:f>
      </x:c>
      <x:c r="AA27" s="6" t="str">
        <x:f>IF(Master!AB518="","",Master!AB518)</x:f>
      </x:c>
      <x:c r="AB27" s="3" t="str">
        <x:f>IF(Master!AC518="","",Master!AC518)</x:f>
      </x:c>
      <x:c r="AC27" s="3" t="str">
        <x:f>IF(Master!AD518="","",Master!AD518)</x:f>
      </x:c>
      <x:c r="AD27" s="3" t="str">
        <x:f>IF(Master!AE518="","",Master!AE518)</x:f>
      </x:c>
      <x:c r="AE27" s="3" t="str">
        <x:f>IF(Master!AF518="","",Master!AF518)</x:f>
      </x:c>
      <x:c r="AF27" s="8" t="str">
        <x:f>IF(Master!AG518="","",Master!AG518)</x:f>
      </x:c>
    </x:row>
    <x:row r="28" ht="36" customHeight="1">
      <x:c r="A28" s="17" t="s">
        <x:v>569</x:v>
      </x:c>
      <x:c r="B28" s="3" t="str">
        <x:f>IF(Master!C309="","",Master!C309)</x:f>
      </x:c>
      <x:c r="C28" s="3" t="str">
        <x:f>IF(Master!D309="","",Master!D309)</x:f>
      </x:c>
      <x:c r="D28" s="3" t="str">
        <x:f>IF(Master!E309="","",Master!E309)</x:f>
      </x:c>
      <x:c r="E28" s="3" t="str">
        <x:f>IF(Master!F309="","",Master!F309)</x:f>
      </x:c>
      <x:c r="F28" s="3" t="str">
        <x:f>IF(Master!G309="","",Master!G309)</x:f>
      </x:c>
      <x:c r="G28" s="3" t="str">
        <x:f>IF(Master!H309="","",Master!H309)</x:f>
      </x:c>
      <x:c r="H28" s="3" t="str">
        <x:f>IF(Master!I309="","",Master!I309)</x:f>
      </x:c>
      <x:c r="I28" s="3" t="str">
        <x:f>IF(Master!J309="","",Master!J309)</x:f>
      </x:c>
      <x:c r="J28" s="3" t="str">
        <x:f>IF(Master!K309="","",Master!K309)</x:f>
      </x:c>
      <x:c r="K28" s="3" t="str">
        <x:f>IF(Master!L309="","",Master!L309)</x:f>
        <x:v>Not explicitly documented</x:v>
      </x:c>
      <x:c r="L28" s="3" t="str">
        <x:f>IF(Master!M309="","",Master!M309)</x:f>
      </x:c>
      <x:c r="M28" s="3" t="str">
        <x:f>IF(Master!N309="","",Master!N309)</x:f>
      </x:c>
      <x:c r="N28" s="3" t="str">
        <x:f>IF(Master!O309="","",Master!O309)</x:f>
        <x:v>Client/server-dependent</x:v>
      </x:c>
      <x:c r="O28" s="3" t="str">
        <x:f>IF(Master!P309="","",Master!P309)</x:f>
      </x:c>
      <x:c r="P28" s="3" t="str">
        <x:f>IF(Master!Q309="","",Master!Q309)</x:f>
      </x:c>
      <x:c r="Q28" s="3" t="str">
        <x:f>IF(Master!R309="","",Master!R309)</x:f>
        <x:v>N/A</x:v>
      </x:c>
      <x:c r="R28" s="3" t="str">
        <x:f>IF(Master!S309="","",Master!S309)</x:f>
      </x:c>
      <x:c r="S28" s="3" t="str">
        <x:f>IF(Master!T309="","",Master!T309)</x:f>
      </x:c>
      <x:c r="T28" s="3" t="str">
        <x:f>IF(Master!U309="","",Master!U309)</x:f>
      </x:c>
      <x:c r="U28" s="3" t="str">
        <x:f>IF(Master!V309="","",Master!V309)</x:f>
        <x:v>Yes: automatic EXIF stripping</x:v>
      </x:c>
      <x:c r="V28" s="3" t="str">
        <x:f>IF(Master!W309="","",Master!W309)</x:f>
      </x:c>
      <x:c r="W28" s="3" t="str">
        <x:f>IF(Master!X309="","",Master!X309)</x:f>
      </x:c>
      <x:c r="X28" s="3" t="str">
        <x:f>IF(Master!Y309="","",Master!Y309)</x:f>
      </x:c>
      <x:c r="Y28" s="3" t="str">
        <x:f>IF(Master!Z309="","",Master!Z309)</x:f>
      </x:c>
      <x:c r="Z28" s="3" t="str">
        <x:f>IF(Master!AA309="","",Master!AA309)</x:f>
      </x:c>
      <x:c r="AA28" s="6" t="str">
        <x:f>IF(Master!AB309="","",Master!AB309)</x:f>
      </x:c>
      <x:c r="AB28" s="3" t="str">
        <x:f>IF(Master!AC309="","",Master!AC309)</x:f>
      </x:c>
      <x:c r="AC28" s="3" t="str">
        <x:f>IF(Master!AD309="","",Master!AD309)</x:f>
      </x:c>
      <x:c r="AD28" s="3" t="str">
        <x:f>IF(Master!AE309="","",Master!AE309)</x:f>
      </x:c>
      <x:c r="AE28" s="3" t="str">
        <x:f>IF(Master!AF309="","",Master!AF309)</x:f>
      </x:c>
      <x:c r="AF28" s="8" t="str">
        <x:f>IF(Master!AG309="","",Master!AG309)</x:f>
      </x:c>
    </x:row>
    <x:row r="29" ht="36" customHeight="1">
      <x:c r="A29" s="17" t="s">
        <x:v>784</x:v>
      </x:c>
      <x:c r="B29" s="3" t="str">
        <x:f>IF(Master!C519="","",Master!C519)</x:f>
        <x:v>Generally no</x:v>
      </x:c>
      <x:c r="C29" s="3" t="str">
        <x:f>IF(Master!D519="","",Master!D519)</x:f>
      </x:c>
      <x:c r="D29" s="3" t="str">
        <x:f>IF(Master!E519="","",Master!E519)</x:f>
      </x:c>
      <x:c r="E29" s="3" t="str">
        <x:f>IF(Master!F519="","",Master!F519)</x:f>
      </x:c>
      <x:c r="F29" s="3" t="str">
        <x:f>IF(Master!G519="","",Master!G519)</x:f>
      </x:c>
      <x:c r="G29" s="3" t="str">
        <x:f>IF(Master!H519="","",Master!H519)</x:f>
      </x:c>
      <x:c r="H29" s="3" t="str">
        <x:f>IF(Master!I519="","",Master!I519)</x:f>
      </x:c>
      <x:c r="I29" s="3" t="str">
        <x:f>IF(Master!J519="","",Master!J519)</x:f>
      </x:c>
      <x:c r="J29" s="3" t="str">
        <x:f>IF(Master!K519="","",Master!K519)</x:f>
      </x:c>
      <x:c r="K29" s="3" t="str">
        <x:f>IF(Master!L519="","",Master!L519)</x:f>
        <x:v>No native recording documented</x:v>
      </x:c>
      <x:c r="L29" s="3" t="str">
        <x:f>IF(Master!M519="","",Master!M519)</x:f>
      </x:c>
      <x:c r="M29" s="3" t="str">
        <x:f>IF(Master!N519="","",Master!N519)</x:f>
      </x:c>
      <x:c r="N29" s="3" t="str">
        <x:f>IF(Master!O519="","",Master!O519)</x:f>
      </x:c>
      <x:c r="O29" s="3" t="str">
        <x:f>IF(Master!P519="","",Master!P519)</x:f>
      </x:c>
      <x:c r="P29" s="3" t="str">
        <x:f>IF(Master!Q519="","",Master!Q519)</x:f>
      </x:c>
      <x:c r="Q29" s="3" t="str">
        <x:f>IF(Master!R519="","",Master!R519)</x:f>
        <x:v>Generally no</x:v>
      </x:c>
      <x:c r="R29" s="3" t="str">
        <x:f>IF(Master!S519="","",Master!S519)</x:f>
      </x:c>
      <x:c r="S29" s="3" t="str">
        <x:f>IF(Master!T519="","",Master!T519)</x:f>
      </x:c>
      <x:c r="T29" s="3" t="str">
        <x:f>IF(Master!U519="","",Master!U519)</x:f>
      </x:c>
      <x:c r="U29" s="3" t="str">
        <x:f>IF(Master!V519="","",Master!V519)</x:f>
        <x:v>Generally no</x:v>
      </x:c>
      <x:c r="V29" s="3" t="str">
        <x:f>IF(Master!W519="","",Master!W519)</x:f>
      </x:c>
      <x:c r="W29" s="3" t="str">
        <x:f>IF(Master!X519="","",Master!X519)</x:f>
      </x:c>
      <x:c r="X29" s="3" t="str">
        <x:f>IF(Master!Y519="","",Master!Y519)</x:f>
        <x:v>Generally no</x:v>
      </x:c>
      <x:c r="Y29" s="3" t="str">
        <x:f>IF(Master!Z519="","",Master!Z519)</x:f>
      </x:c>
      <x:c r="Z29" s="3" t="str">
        <x:f>IF(Master!AA519="","",Master!AA519)</x:f>
      </x:c>
      <x:c r="AA29" s="6" t="str">
        <x:f>IF(Master!AB519="","",Master!AB519)</x:f>
      </x:c>
      <x:c r="AB29" s="3" t="str">
        <x:f>IF(Master!AC519="","",Master!AC519)</x:f>
      </x:c>
      <x:c r="AC29" s="3" t="str">
        <x:f>IF(Master!AD519="","",Master!AD519)</x:f>
      </x:c>
      <x:c r="AD29" s="3" t="str">
        <x:f>IF(Master!AE519="","",Master!AE519)</x:f>
      </x:c>
      <x:c r="AE29" s="3" t="str">
        <x:f>IF(Master!AF519="","",Master!AF519)</x:f>
      </x:c>
      <x:c r="AF29" s="8" t="str">
        <x:f>IF(Master!AG519="","",Master!AG519)</x:f>
      </x:c>
    </x:row>
    <x:row r="30" ht="36" customHeight="1">
      <x:c r="A30" s="17" t="s">
        <x:v>785</x:v>
      </x:c>
      <x:c r="B30" s="3" t="str">
        <x:f>IF(Master!C520="","",Master!C520)</x:f>
        <x:v>Generally no</x:v>
      </x:c>
      <x:c r="C30" s="3" t="str">
        <x:f>IF(Master!D520="","",Master!D520)</x:f>
      </x:c>
      <x:c r="D30" s="3" t="str">
        <x:f>IF(Master!E520="","",Master!E520)</x:f>
      </x:c>
      <x:c r="E30" s="3" t="str">
        <x:f>IF(Master!F520="","",Master!F520)</x:f>
      </x:c>
      <x:c r="F30" s="3" t="str">
        <x:f>IF(Master!G520="","",Master!G520)</x:f>
      </x:c>
      <x:c r="G30" s="3" t="str">
        <x:f>IF(Master!H520="","",Master!H520)</x:f>
      </x:c>
      <x:c r="H30" s="3" t="str">
        <x:f>IF(Master!I520="","",Master!I520)</x:f>
      </x:c>
      <x:c r="I30" s="3" t="str">
        <x:f>IF(Master!J520="","",Master!J520)</x:f>
      </x:c>
      <x:c r="J30" s="3" t="str">
        <x:f>IF(Master!K520="","",Master!K520)</x:f>
      </x:c>
      <x:c r="K30" s="3" t="str">
        <x:f>IF(Master!L520="","",Master!L520)</x:f>
        <x:v>No native recording documented</x:v>
      </x:c>
      <x:c r="L30" s="3" t="str">
        <x:f>IF(Master!M520="","",Master!M520)</x:f>
      </x:c>
      <x:c r="M30" s="3" t="str">
        <x:f>IF(Master!N520="","",Master!N520)</x:f>
      </x:c>
      <x:c r="N30" s="3" t="str">
        <x:f>IF(Master!O520="","",Master!O520)</x:f>
      </x:c>
      <x:c r="O30" s="3" t="str">
        <x:f>IF(Master!P520="","",Master!P520)</x:f>
      </x:c>
      <x:c r="P30" s="3" t="str">
        <x:f>IF(Master!Q520="","",Master!Q520)</x:f>
      </x:c>
      <x:c r="Q30" s="3" t="str">
        <x:f>IF(Master!R520="","",Master!R520)</x:f>
      </x:c>
      <x:c r="R30" s="3" t="str">
        <x:f>IF(Master!S520="","",Master!S520)</x:f>
      </x:c>
      <x:c r="S30" s="3" t="str">
        <x:f>IF(Master!T520="","",Master!T520)</x:f>
      </x:c>
      <x:c r="T30" s="3" t="str">
        <x:f>IF(Master!U520="","",Master!U520)</x:f>
      </x:c>
      <x:c r="U30" s="3" t="str">
        <x:f>IF(Master!V520="","",Master!V520)</x:f>
        <x:v>Generally no</x:v>
      </x:c>
      <x:c r="V30" s="3" t="str">
        <x:f>IF(Master!W520="","",Master!W520)</x:f>
      </x:c>
      <x:c r="W30" s="3" t="str">
        <x:f>IF(Master!X520="","",Master!X520)</x:f>
      </x:c>
      <x:c r="X30" s="3" t="str">
        <x:f>IF(Master!Y520="","",Master!Y520)</x:f>
        <x:v>Generally no</x:v>
      </x:c>
      <x:c r="Y30" s="3" t="str">
        <x:f>IF(Master!Z520="","",Master!Z520)</x:f>
      </x:c>
      <x:c r="Z30" s="3" t="str">
        <x:f>IF(Master!AA520="","",Master!AA520)</x:f>
      </x:c>
      <x:c r="AA30" s="6" t="str">
        <x:f>IF(Master!AB520="","",Master!AB520)</x:f>
      </x:c>
      <x:c r="AB30" s="3" t="str">
        <x:f>IF(Master!AC520="","",Master!AC520)</x:f>
      </x:c>
      <x:c r="AC30" s="3" t="str">
        <x:f>IF(Master!AD520="","",Master!AD520)</x:f>
      </x:c>
      <x:c r="AD30" s="3" t="str">
        <x:f>IF(Master!AE520="","",Master!AE520)</x:f>
      </x:c>
      <x:c r="AE30" s="3" t="str">
        <x:f>IF(Master!AF520="","",Master!AF520)</x:f>
      </x:c>
      <x:c r="AF30" s="8" t="str">
        <x:f>IF(Master!AG520="","",Master!AG520)</x:f>
      </x:c>
    </x:row>
    <x:row r="31" ht="36" customHeight="1">
      <x:c r="A31" s="17" t="s">
        <x:v>786</x:v>
      </x:c>
      <x:c r="B31" s="3" t="str">
        <x:f>IF(Master!C521="","",Master!C521)</x:f>
        <x:v>Generally retained while the account is active or as needed. Some data has fixed legal/safety retention periods. Inactive accounts may be deleted after 2 years.</x:v>
      </x:c>
      <x:c r="C31" s="3" t="str">
        <x:f>IF(Master!D521="","",Master!D521)</x:f>
        <x:v>Relay stores encrypted events</x:v>
      </x:c>
      <x:c r="D31" s="3" t="str">
        <x:f>IF(Master!E521="","",Master!E521)</x:f>
        <x:v>Operator controlled; messenger relay stores encrypted messages temporarily</x:v>
      </x:c>
      <x:c r="E31" s="3" t="str">
        <x:f>IF(Master!F521="","",Master!F521)</x:f>
      </x:c>
      <x:c r="F31" s="3" t="str">
        <x:f>IF(Master!G521="","",Master!G521)</x:f>
      </x:c>
      <x:c r="G31" s="3" t="str">
        <x:f>IF(Master!H521="","",Master!H521)</x:f>
        <x:v>Published retention policy</x:v>
      </x:c>
      <x:c r="H31" s="3" t="str">
        <x:f>IF(Master!I521="","",Master!I521)</x:f>
      </x:c>
      <x:c r="I31" s="3" t="str">
        <x:f>IF(Master!J521="","",Master!J521)</x:f>
        <x:v>Operator controlled</x:v>
      </x:c>
      <x:c r="J31" s="3" t="str">
        <x:f>IF(Master!K521="","",Master!K521)</x:f>
        <x:v>Data stored locally; relay stores no persistent content</x:v>
      </x:c>
      <x:c r="K31" s="3" t="str">
        <x:f>IF(Master!L521="","",Master!L521)</x:f>
        <x:v>Developer reports message/content retention until user deletion/request; operator jobs enforce configured cleanup</x:v>
      </x:c>
      <x:c r="L31" s="3" t="str">
        <x:f>IF(Master!M521="","",Master!M521)</x:f>
        <x:v>Published privacy policy</x:v>
      </x:c>
      <x:c r="M31" s="3" t="str">
        <x:f>IF(Master!N521="","",Master!N521)</x:f>
      </x:c>
      <x:c r="N31" s="3" t="str">
        <x:f>IF(Master!O521="","",Master!O521)</x:f>
        <x:v>Homeserver-dependent</x:v>
      </x:c>
      <x:c r="O31" s="3" t="str">
        <x:f>IF(Master!P521="","",Master!P521)</x:f>
        <x:v>Deployment/admin controlled</x:v>
      </x:c>
      <x:c r="P31" s="3" t="str">
        <x:f>IF(Master!Q521="","",Master!Q521)</x:f>
      </x:c>
      <x:c r="Q31" s="3" t="str">
        <x:f>IF(Master!R521="","",Master!R521)</x:f>
        <x:v>Server/operator-controlled</x:v>
      </x:c>
      <x:c r="R31" s="3" t="str">
        <x:f>IF(Master!S521="","",Master!S521)</x:f>
      </x:c>
      <x:c r="S31" s="3" t="str">
        <x:f>IF(Master!T521="","",Master!T521)</x:f>
        <x:v>Published privacy policy</x:v>
      </x:c>
      <x:c r="T31" s="3" t="str">
        <x:f>IF(Master!U521="","",Master!U521)</x:f>
        <x:v>Retention controls exist; default window not publicly stated</x:v>
      </x:c>
      <x:c r="U31" s="3" t="str">
        <x:f>IF(Master!V521="","",Master!V521)</x:f>
        <x:v>Deletion stated as hard delete</x:v>
      </x:c>
      <x:c r="V31" s="3" t="str">
        <x:f>IF(Master!W521="","",Master!W521)</x:f>
        <x:v>Admin/deployment policy</x:v>
      </x:c>
      <x:c r="W31" s="3" t="str">
        <x:f>IF(Master!X521="","",Master!X521)</x:f>
        <x:v>ATProto/provider dependent</x:v>
      </x:c>
      <x:c r="X31" s="3" t="str">
        <x:f>IF(Master!Y521="","",Master!Y521)</x:f>
      </x:c>
      <x:c r="Y31" s="3" t="str">
        <x:f>IF(Master!Z521="","",Master!Z521)</x:f>
        <x:v>Operator-controlled</x:v>
      </x:c>
      <x:c r="Z31" s="3" t="str">
        <x:f>IF(Master!AA521="","",Master!AA521)</x:f>
      </x:c>
      <x:c r="AA31" s="6" t="str">
        <x:f>IF(Master!AB521="","",Master!AB521)</x:f>
        <x:v>Operator/service-dependent</x:v>
      </x:c>
      <x:c r="AB31" s="3" t="str">
        <x:f>IF(Master!AC521="","",Master!AC521)</x:f>
      </x:c>
      <x:c r="AC31" s="3" t="str">
        <x:f>IF(Master!AD521="","",Master!AD521)</x:f>
      </x:c>
      <x:c r="AD31" s="3" t="str">
        <x:f>IF(Master!AE521="","",Master!AE521)</x:f>
      </x:c>
      <x:c r="AE31" s="3" t="str">
        <x:f>IF(Master!AF521="","",Master!AF521)</x:f>
        <x:v>Operator controlled</x:v>
      </x:c>
      <x:c r="AF31" s="8" t="str">
        <x:f>IF(Master!AG521="","",Master!AG521)</x:f>
        <x:v>Hosted/self-host policy-dependent</x:v>
      </x:c>
    </x:row>
    <x:row r="32" ht="36" customHeight="1">
      <x:c r="A32" s="17" t="s">
        <x:v>787</x:v>
      </x:c>
      <x:c r="B32" s="3" t="str">
        <x:f>IF(Master!C522="","",Master!C522)</x:f>
      </x:c>
      <x:c r="C32" s="3" t="str">
        <x:f>IF(Master!D522="","",Master!D522)</x:f>
      </x:c>
      <x:c r="D32" s="3" t="str">
        <x:f>IF(Master!E522="","",Master!E522)</x:f>
      </x:c>
      <x:c r="E32" s="3" t="str">
        <x:f>IF(Master!F522="","",Master!F522)</x:f>
      </x:c>
      <x:c r="F32" s="3" t="str">
        <x:f>IF(Master!G522="","",Master!G522)</x:f>
      </x:c>
      <x:c r="G32" s="3" t="str">
        <x:f>IF(Master!H522="","",Master!H522)</x:f>
      </x:c>
      <x:c r="H32" s="3" t="str">
        <x:f>IF(Master!I522="","",Master!I522)</x:f>
      </x:c>
      <x:c r="I32" s="3" t="str">
        <x:f>IF(Master!J522="","",Master!J522)</x:f>
      </x:c>
      <x:c r="J32" s="3" t="str">
        <x:f>IF(Master!K522="","",Master!K522)</x:f>
      </x:c>
      <x:c r="K32" s="3" t="str">
        <x:f>IF(Master!L522="","",Master!L522)</x:f>
        <x:v>No single public deleted-message retention interval located</x:v>
      </x:c>
      <x:c r="L32" s="3" t="str">
        <x:f>IF(Master!M522="","",Master!M522)</x:f>
      </x:c>
      <x:c r="M32" s="3" t="str">
        <x:f>IF(Master!N522="","",Master!N522)</x:f>
      </x:c>
      <x:c r="N32" s="3" t="str">
        <x:f>IF(Master!O522="","",Master!O522)</x:f>
      </x:c>
      <x:c r="O32" s="3" t="str">
        <x:f>IF(Master!P522="","",Master!P522)</x:f>
      </x:c>
      <x:c r="P32" s="3" t="str">
        <x:f>IF(Master!Q522="","",Master!Q522)</x:f>
      </x:c>
      <x:c r="Q32" s="3" t="str">
        <x:f>IF(Master!R522="","",Master!R522)</x:f>
      </x:c>
      <x:c r="R32" s="3" t="str">
        <x:f>IF(Master!S522="","",Master!S522)</x:f>
      </x:c>
      <x:c r="S32" s="3" t="str">
        <x:f>IF(Master!T522="","",Master!T522)</x:f>
      </x:c>
      <x:c r="T32" s="3" t="str">
        <x:f>IF(Master!U522="","",Master!U522)</x:f>
      </x:c>
      <x:c r="U32" s="3" t="str">
        <x:f>IF(Master!V522="","",Master!V522)</x:f>
        <x:v>Immediate hard delete claimed</x:v>
      </x:c>
      <x:c r="V32" s="3" t="str">
        <x:f>IF(Master!W522="","",Master!W522)</x:f>
      </x:c>
      <x:c r="W32" s="3" t="str">
        <x:f>IF(Master!X522="","",Master!X522)</x:f>
      </x:c>
      <x:c r="X32" s="3" t="str">
        <x:f>IF(Master!Y522="","",Master!Y522)</x:f>
      </x:c>
      <x:c r="Y32" s="3" t="str">
        <x:f>IF(Master!Z522="","",Master!Z522)</x:f>
      </x:c>
      <x:c r="Z32" s="3" t="str">
        <x:f>IF(Master!AA522="","",Master!AA522)</x:f>
      </x:c>
      <x:c r="AA32" s="6" t="str">
        <x:f>IF(Master!AB522="","",Master!AB522)</x:f>
      </x:c>
      <x:c r="AB32" s="3" t="str">
        <x:f>IF(Master!AC522="","",Master!AC522)</x:f>
      </x:c>
      <x:c r="AC32" s="3" t="str">
        <x:f>IF(Master!AD522="","",Master!AD522)</x:f>
      </x:c>
      <x:c r="AD32" s="3" t="str">
        <x:f>IF(Master!AE522="","",Master!AE522)</x:f>
      </x:c>
      <x:c r="AE32" s="3" t="str">
        <x:f>IF(Master!AF522="","",Master!AF522)</x:f>
      </x:c>
      <x:c r="AF32" s="8" t="str">
        <x:f>IF(Master!AG522="","",Master!AG522)</x:f>
      </x:c>
    </x:row>
    <x:row r="33" ht="36" customHeight="1">
      <x:c r="A33" s="17" t="s">
        <x:v>743</x:v>
      </x:c>
      <x:c r="B33" s="3" t="str">
        <x:f>IF(Master!C523="","",Master!C523)</x:f>
      </x:c>
      <x:c r="C33" s="3" t="str">
        <x:f>IF(Master!D523="","",Master!D523)</x:f>
        <x:v>Operator-selected</x:v>
      </x:c>
      <x:c r="D33" s="3" t="str">
        <x:f>IF(Master!E523="","",Master!E523)</x:f>
        <x:v>Operator-selected</x:v>
      </x:c>
      <x:c r="E33" s="3" t="str">
        <x:f>IF(Master!F523="","",Master!F523)</x:f>
      </x:c>
      <x:c r="F33" s="3" t="str">
        <x:f>IF(Master!G523="","",Master!G523)</x:f>
      </x:c>
      <x:c r="G33" s="3" t="str">
        <x:f>IF(Master!H523="","",Master!H523)</x:f>
      </x:c>
      <x:c r="H33" s="3" t="str">
        <x:f>IF(Master!I523="","",Master!I523)</x:f>
        <x:v>Operator-selected</x:v>
      </x:c>
      <x:c r="I33" s="3" t="str">
        <x:f>IF(Master!J523="","",Master!J523)</x:f>
        <x:v>Operator-selected</x:v>
      </x:c>
      <x:c r="J33" s="3" t="str">
        <x:f>IF(Master!K523="","",Master!K523)</x:f>
      </x:c>
      <x:c r="K33" s="3" t="str">
        <x:f>IF(Master!L523="","",Master!L523)</x:f>
        <x:v>Self-host: operator chooses region/providers; official hosted service does not document per-user region selection</x:v>
      </x:c>
      <x:c r="L33" s="3" t="str">
        <x:f>IF(Master!M523="","",Master!M523)</x:f>
      </x:c>
      <x:c r="M33" s="3" t="str">
        <x:f>IF(Master!N523="","",Master!N523)</x:f>
        <x:v>Operator-selected</x:v>
      </x:c>
      <x:c r="N33" s="3" t="str">
        <x:f>IF(Master!O523="","",Master!O523)</x:f>
      </x:c>
      <x:c r="O33" s="3" t="str">
        <x:f>IF(Master!P523="","",Master!P523)</x:f>
        <x:v>Operator-selected</x:v>
      </x:c>
      <x:c r="P33" s="3" t="str">
        <x:f>IF(Master!Q523="","",Master!Q523)</x:f>
      </x:c>
      <x:c r="Q33" s="3" t="str">
        <x:f>IF(Master!R523="","",Master!R523)</x:f>
        <x:v>Operator-selected</x:v>
      </x:c>
      <x:c r="R33" s="3" t="str">
        <x:f>IF(Master!S523="","",Master!S523)</x:f>
      </x:c>
      <x:c r="S33" s="3" t="str">
        <x:f>IF(Master!T523="","",Master!T523)</x:f>
        <x:v>Yes</x:v>
      </x:c>
      <x:c r="T33" s="3" t="str">
        <x:f>IF(Master!U523="","",Master!U523)</x:f>
        <x:v>Hosted service is in São Paulo; self-hosters choose their own region</x:v>
      </x:c>
      <x:c r="U33" s="3" t="str">
        <x:f>IF(Master!V523="","",Master!V523)</x:f>
      </x:c>
      <x:c r="V33" s="3" t="str">
        <x:f>IF(Master!W523="","",Master!W523)</x:f>
        <x:v>Operator-selected</x:v>
      </x:c>
      <x:c r="W33" s="3" t="str">
        <x:f>IF(Master!X523="","",Master!X523)</x:f>
      </x:c>
      <x:c r="X33" s="3" t="str">
        <x:f>IF(Master!Y523="","",Master!Y523)</x:f>
      </x:c>
      <x:c r="Y33" s="3" t="str">
        <x:f>IF(Master!Z523="","",Master!Z523)</x:f>
        <x:v>Operator-selected</x:v>
      </x:c>
      <x:c r="Z33" s="3" t="str">
        <x:f>IF(Master!AA523="","",Master!AA523)</x:f>
        <x:v>Operator-selected</x:v>
      </x:c>
      <x:c r="AA33" s="6" t="str">
        <x:f>IF(Master!AB523="","",Master!AB523)</x:f>
        <x:v>Operator-selected</x:v>
      </x:c>
      <x:c r="AB33" s="3" t="str">
        <x:f>IF(Master!AC523="","",Master!AC523)</x:f>
        <x:v>Operator-selected</x:v>
      </x:c>
      <x:c r="AC33" s="3" t="str">
        <x:f>IF(Master!AD523="","",Master!AD523)</x:f>
        <x:v>Operator-selected</x:v>
      </x:c>
      <x:c r="AD33" s="3" t="str">
        <x:f>IF(Master!AE523="","",Master!AE523)</x:f>
      </x:c>
      <x:c r="AE33" s="3" t="str">
        <x:f>IF(Master!AF523="","",Master!AF523)</x:f>
        <x:v>Operator-selected</x:v>
      </x:c>
      <x:c r="AF33" s="8" t="str">
        <x:f>IF(Master!AG523="","",Master!AG523)</x:f>
        <x:v>Operator-selected</x:v>
      </x:c>
    </x:row>
    <x:row r="34" ht="21.950000762939453" customHeight="1">
      <x:c r="A34" s="18" t="s">
        <x:v>413</x:v>
      </x:c>
      <x:c r="B34" s="18" t="str">
        <x:f t="shared" ref="B34:AF34" si="3">IF(""="","","")</x:f>
      </x:c>
      <x:c r="C34" s="18" t="str">
        <x:f t="shared" si="3"/>
      </x:c>
      <x:c r="D34" s="18" t="str">
        <x:f t="shared" si="3"/>
      </x:c>
      <x:c r="E34" s="18" t="str">
        <x:f t="shared" si="3"/>
      </x:c>
      <x:c r="F34" s="18" t="str">
        <x:f t="shared" si="3"/>
      </x:c>
      <x:c r="G34" s="18" t="str">
        <x:f t="shared" si="3"/>
      </x:c>
      <x:c r="H34" s="18" t="str">
        <x:f t="shared" si="3"/>
      </x:c>
      <x:c r="I34" s="18" t="str">
        <x:f t="shared" si="3"/>
      </x:c>
      <x:c r="J34" s="18" t="str">
        <x:f t="shared" si="3"/>
      </x:c>
      <x:c r="K34" s="18" t="str">
        <x:f t="shared" si="3"/>
      </x:c>
      <x:c r="L34" s="18" t="str">
        <x:f t="shared" si="3"/>
      </x:c>
      <x:c r="M34" s="18" t="str">
        <x:f t="shared" si="3"/>
      </x:c>
      <x:c r="N34" s="18" t="str">
        <x:f t="shared" si="3"/>
      </x:c>
      <x:c r="O34" s="18" t="str">
        <x:f t="shared" si="3"/>
      </x:c>
      <x:c r="P34" s="18" t="str">
        <x:f t="shared" si="3"/>
      </x:c>
      <x:c r="Q34" s="18" t="str">
        <x:f t="shared" si="3"/>
      </x:c>
      <x:c r="R34" s="18" t="str">
        <x:f t="shared" si="3"/>
      </x:c>
      <x:c r="S34" s="18" t="str">
        <x:f t="shared" si="3"/>
      </x:c>
      <x:c r="T34" s="18" t="str">
        <x:f t="shared" si="3"/>
      </x:c>
      <x:c r="U34" s="18" t="str">
        <x:f t="shared" si="3"/>
      </x:c>
      <x:c r="V34" s="18" t="str">
        <x:f t="shared" si="3"/>
      </x:c>
      <x:c r="W34" s="18" t="str">
        <x:f t="shared" si="3"/>
      </x:c>
      <x:c r="X34" s="18" t="str">
        <x:f t="shared" si="3"/>
      </x:c>
      <x:c r="Y34" s="18" t="str">
        <x:f t="shared" si="3"/>
      </x:c>
      <x:c r="Z34" s="18" t="str">
        <x:f t="shared" si="3"/>
      </x:c>
      <x:c r="AA34" s="18" t="str">
        <x:f t="shared" si="3"/>
      </x:c>
      <x:c r="AB34" s="18" t="str">
        <x:f t="shared" si="3"/>
      </x:c>
      <x:c r="AC34" s="18" t="str">
        <x:f t="shared" si="3"/>
      </x:c>
      <x:c r="AD34" s="18" t="str">
        <x:f t="shared" si="3"/>
      </x:c>
      <x:c r="AE34" s="18" t="str">
        <x:f t="shared" si="3"/>
      </x:c>
      <x:c r="AF34" s="19" t="str">
        <x:f t="shared" si="3"/>
      </x:c>
    </x:row>
    <x:row r="35" ht="36" customHeight="1">
      <x:c r="A35" s="17" t="s">
        <x:v>788</x:v>
      </x:c>
      <x:c r="B35" s="3" t="str">
        <x:f>IF(Master!C524="","",Master!C524)</x:f>
        <x:v>Discord text chat remains server-readable even though voice/video is now E2EE.</x:v>
      </x:c>
      <x:c r="C35" s="3" t="str">
        <x:f>IF(Master!D524="","",Master!D524)</x:f>
      </x:c>
      <x:c r="D35" s="3" t="str">
        <x:f>IF(Master!E524="","",Master!E524)</x:f>
        <x:v>Encryption depends on which DCTS messaging mode is used.</x:v>
      </x:c>
      <x:c r="E35" s="3" t="str">
        <x:f>IF(Master!F524="","",Master!F524)</x:f>
        <x:v>Security details are sparse; do not infer E2EE from WebRTC/LiveKit.</x:v>
      </x:c>
      <x:c r="F35" s="3" t="str">
        <x:f>IF(Master!G524="","",Master!G524)</x:f>
        <x:v>Fenrid itself cautions that its home-grown design is not equivalent to Signal's mature ratchet protocol.</x:v>
      </x:c>
      <x:c r="G35" s="3" t="str">
        <x:f>IF(Master!H524="","",Master!H524)</x:f>
        <x:v>Latest privacy policy explicitly says nothing on Fluxer is E2EE yet; voice/video E2EE is in development.</x:v>
      </x:c>
      <x:c r="H35" s="3" t="str">
        <x:f>IF(Master!I524="","",Master!I524)</x:f>
        <x:v>Voice E2EE is claimed; do not extend that claim to text messages.</x:v>
      </x:c>
      <x:c r="I35" s="3" t="str">
        <x:f>IF(Master!J524="","",Master!J524)</x:f>
        <x:v>Project discussions explicitly say E2EE is not currently implemented.</x:v>
      </x:c>
      <x:c r="J35" s="3" t="str">
        <x:f>IF(Master!K524="","",Master!K524)</x:f>
      </x:c>
      <x:c r="K35" s="3" t="str">
        <x:f>IF(Master!L524="","",Master!L524)</x:f>
        <x:v>https://github.com/CookieNom/KaedeChat/blob/main/docs/e2ee.md</x:v>
      </x:c>
      <x:c r="L35" s="3" t="str">
        <x:f>IF(Master!M524="","",Master!M524)</x:f>
        <x:v>Do not treat privacy-first marketing as proof of deployed E2EE.</x:v>
      </x:c>
      <x:c r="M35" s="3" t="str">
        <x:f>IF(Master!N524="","",Master!N524)</x:f>
        <x:v>Treat E2EE claims as feature-scope specific, not universal.</x:v>
      </x:c>
      <x:c r="N35" s="3" t="str">
        <x:f>IF(Master!O524="","",Master!O524)</x:f>
        <x:v>Matrix supports E2EE, but whether a room is encrypted and how UX works is client/homeserver-dependent.</x:v>
      </x:c>
      <x:c r="O35" s="3" t="str">
        <x:f>IF(Master!P524="","",Master!P524)</x:f>
        <x:v>Self-hosting can keep plaintext under your organization's control, but is not E2EE.</x:v>
      </x:c>
      <x:c r="P35" s="3" t="str">
        <x:f>IF(Master!Q524="","",Master!Q524)</x:f>
        <x:v>Marketing and repository materials claim E2EE; verify room-level defaults before high-stakes use.</x:v>
      </x:c>
      <x:c r="Q35" s="3" t="str">
        <x:f>IF(Master!R524="","",Master!R524)</x:f>
        <x:v>Strong encrypted transport is not the same as E2EE from client to client.</x:v>
      </x:c>
      <x:c r="R35" s="3" t="str">
        <x:f>IF(Master!S524="","",Master!S524)</x:f>
        <x:v>No default E2EE was verified.</x:v>
      </x:c>
      <x:c r="S35" s="3" t="str">
        <x:f>IF(Master!T524="","",Master!T524)</x:f>
        <x:v>The privacy policy says calls use encrypted connections; this does not establish E2EE.</x:v>
      </x:c>
      <x:c r="T35" s="3" t="str">
        <x:f>IF(Master!U524="","",Master!U524)</x:f>
        <x:v>TLS in transit; hosted in São Paulo; Clerk accounts; cookie-less Umami analytics + signup conversion tag; no E2EE product claim.</x:v>
      </x:c>
      <x:c r="U35" s="3" t="str">
        <x:f>IF(Master!V524="","",Master!V524)</x:f>
        <x:v>DM text uses client-side Signal-style X3DH/Double Ratchet (AES-256-GCM); Shard messages are encrypted at rest but not E2EE.</x:v>
      </x:c>
      <x:c r="V35" s="3" t="str">
        <x:f>IF(Master!W524="","",Master!W524)</x:f>
        <x:v>Federation documentation explicitly says E2EE is not supported across federated servers.</x:v>
      </x:c>
      <x:c r="W35" s="3" t="str">
        <x:f>IF(Master!X524="","",Master!X524)</x:f>
        <x:v>Privacy inherits ATProto/server design rather than E2EE.</x:v>
      </x:c>
      <x:c r="X35" s="3" t="str">
        <x:f>IF(Master!Y524="","",Master!Y524)</x:f>
        <x:v>The privacy policy says calls are real-time and not stored, but does not claim E2EE.</x:v>
      </x:c>
      <x:c r="Y35" s="3" t="str">
        <x:f>IF(Master!Z524="","",Master!Z524)</x:f>
        <x:v>Self-hosting changes who you trust; it does not automatically create end-to-end encryption.</x:v>
      </x:c>
      <x:c r="Z35" s="3" t="str">
        <x:f>IF(Master!AA524="","",Master!AA524)</x:f>
        <x:v>Do not infer LiveKit's E2EE capability means Stoat currently enables E2EE.</x:v>
      </x:c>
      <x:c r="AA35" s="6" t="str">
        <x:f>IF(Master!AB524="","",Master!AB524)</x:f>
      </x:c>
      <x:c r="AB35" s="3" t="str">
        <x:f>IF(Master!AC524="","",Master!AC524)</x:f>
        <x:v>Privacy focus is data policy/open source/self-hosting rather than E2EE messaging.</x:v>
      </x:c>
      <x:c r="AC35" s="3" t="str">
        <x:f>IF(Master!AD524="","",Master!AD524)</x:f>
        <x:v>Developer states E2EE is per-conversation opt-in and default is currently unencrypted.</x:v>
      </x:c>
      <x:c r="AD35" s="3" t="str">
        <x:f>IF(Master!AE524="","",Master!AE524)</x:f>
        <x:v>Security model is typical hosted app; no E2EE claim verified.</x:v>
      </x:c>
      <x:c r="AE35" s="3" t="str">
        <x:f>IF(Master!AF524="","",Master!AF524)</x:f>
        <x:v>Self-hosting/data sovereignty is the main privacy control, not verified E2EE.</x:v>
      </x:c>
      <x:c r="AF35" s="8" t="str">
        <x:f>IF(Master!AG524="","",Master!AG524)</x:f>
        <x:v>Zulip prioritizes searchable server-side team history rather than E2EE chat.</x:v>
      </x:c>
    </x:row>
    <x:row r="36" ht="21.950000762939453" customHeight="1">
      <x:c r="A36" s="18" t="s">
        <x:v>789</x:v>
      </x:c>
      <x:c r="B36" s="18" t="str">
        <x:f t="shared" ref="B36:AF36" si="4">IF(""="","","")</x:f>
      </x:c>
      <x:c r="C36" s="18" t="str">
        <x:f t="shared" si="4"/>
      </x:c>
      <x:c r="D36" s="18" t="str">
        <x:f t="shared" si="4"/>
      </x:c>
      <x:c r="E36" s="18" t="str">
        <x:f t="shared" si="4"/>
      </x:c>
      <x:c r="F36" s="18" t="str">
        <x:f t="shared" si="4"/>
      </x:c>
      <x:c r="G36" s="18" t="str">
        <x:f t="shared" si="4"/>
      </x:c>
      <x:c r="H36" s="18" t="str">
        <x:f t="shared" si="4"/>
      </x:c>
      <x:c r="I36" s="18" t="str">
        <x:f t="shared" si="4"/>
      </x:c>
      <x:c r="J36" s="18" t="str">
        <x:f t="shared" si="4"/>
      </x:c>
      <x:c r="K36" s="18" t="str">
        <x:f t="shared" si="4"/>
      </x:c>
      <x:c r="L36" s="18" t="str">
        <x:f t="shared" si="4"/>
      </x:c>
      <x:c r="M36" s="18" t="str">
        <x:f t="shared" si="4"/>
      </x:c>
      <x:c r="N36" s="18" t="str">
        <x:f t="shared" si="4"/>
      </x:c>
      <x:c r="O36" s="18" t="str">
        <x:f t="shared" si="4"/>
      </x:c>
      <x:c r="P36" s="18" t="str">
        <x:f t="shared" si="4"/>
      </x:c>
      <x:c r="Q36" s="18" t="str">
        <x:f t="shared" si="4"/>
      </x:c>
      <x:c r="R36" s="18" t="str">
        <x:f t="shared" si="4"/>
      </x:c>
      <x:c r="S36" s="18" t="str">
        <x:f t="shared" si="4"/>
      </x:c>
      <x:c r="T36" s="18" t="str">
        <x:f t="shared" si="4"/>
      </x:c>
      <x:c r="U36" s="18" t="str">
        <x:f t="shared" si="4"/>
      </x:c>
      <x:c r="V36" s="18" t="str">
        <x:f t="shared" si="4"/>
      </x:c>
      <x:c r="W36" s="18" t="str">
        <x:f t="shared" si="4"/>
      </x:c>
      <x:c r="X36" s="18" t="str">
        <x:f t="shared" si="4"/>
      </x:c>
      <x:c r="Y36" s="18" t="str">
        <x:f t="shared" si="4"/>
      </x:c>
      <x:c r="Z36" s="18" t="str">
        <x:f t="shared" si="4"/>
      </x:c>
      <x:c r="AA36" s="18" t="str">
        <x:f t="shared" si="4"/>
      </x:c>
      <x:c r="AB36" s="18" t="str">
        <x:f t="shared" si="4"/>
      </x:c>
      <x:c r="AC36" s="18" t="str">
        <x:f t="shared" si="4"/>
      </x:c>
      <x:c r="AD36" s="18" t="str">
        <x:f t="shared" si="4"/>
      </x:c>
      <x:c r="AE36" s="18" t="str">
        <x:f t="shared" si="4"/>
      </x:c>
      <x:c r="AF36" s="19" t="str">
        <x:f t="shared" si="4"/>
      </x:c>
    </x:row>
    <x:row r="37" ht="36" customHeight="1">
      <x:c r="A37" s="17" t="s">
        <x:v>790</x:v>
      </x:c>
      <x:c r="B37" s="3" t="str">
        <x:f>IF(Master!C525="","",Master!C525)</x:f>
        <x:v>Yes</x:v>
      </x:c>
      <x:c r="C37" s="3" t="str">
        <x:f>IF(Master!D525="","",Master!D525)</x:f>
      </x:c>
      <x:c r="D37" s="3" t="str">
        <x:f>IF(Master!E525="","",Master!E525)</x:f>
      </x:c>
      <x:c r="E37" s="3" t="str">
        <x:f>IF(Master!F525="","",Master!F525)</x:f>
      </x:c>
      <x:c r="F37" s="3" t="str">
        <x:f>IF(Master!G525="","",Master!G525)</x:f>
      </x:c>
      <x:c r="G37" s="3" t="str">
        <x:f>IF(Master!H525="","",Master!H525)</x:f>
      </x:c>
      <x:c r="H37" s="3" t="str">
        <x:f>IF(Master!I525="","",Master!I525)</x:f>
      </x:c>
      <x:c r="I37" s="3" t="str">
        <x:f>IF(Master!J525="","",Master!J525)</x:f>
      </x:c>
      <x:c r="J37" s="3" t="str">
        <x:f>IF(Master!K525="","",Master!K525)</x:f>
      </x:c>
      <x:c r="K37" s="3" t="str">
        <x:f>IF(Master!L525="","",Master!L525)</x:f>
        <x:v>Yes/likely: architecture explicitly references protected TOTP material</x:v>
      </x:c>
      <x:c r="L37" s="3" t="str">
        <x:f>IF(Master!M525="","",Master!M525)</x:f>
      </x:c>
      <x:c r="M37" s="3" t="str">
        <x:f>IF(Master!N525="","",Master!N525)</x:f>
      </x:c>
      <x:c r="N37" s="3" t="str">
        <x:f>IF(Master!O525="","",Master!O525)</x:f>
      </x:c>
      <x:c r="O37" s="3" t="str">
        <x:f>IF(Master!P525="","",Master!P525)</x:f>
        <x:v>Yes</x:v>
      </x:c>
      <x:c r="P37" s="3" t="str">
        <x:f>IF(Master!Q525="","",Master!Q525)</x:f>
      </x:c>
      <x:c r="Q37" s="3" t="str">
        <x:f>IF(Master!R525="","",Master!R525)</x:f>
      </x:c>
      <x:c r="R37" s="3" t="str">
        <x:f>IF(Master!S525="","",Master!S525)</x:f>
      </x:c>
      <x:c r="S37" s="3" t="str">
        <x:f>IF(Master!T525="","",Master!T525)</x:f>
      </x:c>
      <x:c r="T37" s="3" t="str">
        <x:f>IF(Master!U525="","",Master!U525)</x:f>
      </x:c>
      <x:c r="U37" s="3" t="str">
        <x:f>IF(Master!V525="","",Master!V525)</x:f>
      </x:c>
      <x:c r="V37" s="3" t="str">
        <x:f>IF(Master!W525="","",Master!W525)</x:f>
        <x:v>Yes</x:v>
      </x:c>
      <x:c r="W37" s="3" t="str">
        <x:f>IF(Master!X525="","",Master!X525)</x:f>
      </x:c>
      <x:c r="X37" s="3" t="str">
        <x:f>IF(Master!Y525="","",Master!Y525)</x:f>
      </x:c>
      <x:c r="Y37" s="3" t="str">
        <x:f>IF(Master!Z525="","",Master!Z525)</x:f>
      </x:c>
      <x:c r="Z37" s="3" t="str">
        <x:f>IF(Master!AA525="","",Master!AA525)</x:f>
      </x:c>
      <x:c r="AA37" s="6" t="str">
        <x:f>IF(Master!AB525="","",Master!AB525)</x:f>
      </x:c>
      <x:c r="AB37" s="3" t="str">
        <x:f>IF(Master!AC525="","",Master!AC525)</x:f>
      </x:c>
      <x:c r="AC37" s="3" t="str">
        <x:f>IF(Master!AD525="","",Master!AD525)</x:f>
      </x:c>
      <x:c r="AD37" s="3" t="str">
        <x:f>IF(Master!AE525="","",Master!AE525)</x:f>
      </x:c>
      <x:c r="AE37" s="3" t="str">
        <x:f>IF(Master!AF525="","",Master!AF525)</x:f>
      </x:c>
      <x:c r="AF37" s="8" t="str">
        <x:f>IF(Master!AG525="","",Master!AG525)</x:f>
        <x:v>Yes</x:v>
      </x:c>
    </x:row>
    <x:row r="38" ht="36" customHeight="1">
      <x:c r="A38" s="17" t="s">
        <x:v>791</x:v>
      </x:c>
      <x:c r="B38" s="3" t="str">
        <x:f>IF(Master!C526="","",Master!C526)</x:f>
      </x:c>
      <x:c r="C38" s="3" t="str">
        <x:f>IF(Master!D526="","",Master!D526)</x:f>
      </x:c>
      <x:c r="D38" s="3" t="str">
        <x:f>IF(Master!E526="","",Master!E526)</x:f>
      </x:c>
      <x:c r="E38" s="3" t="str">
        <x:f>IF(Master!F526="","",Master!F526)</x:f>
      </x:c>
      <x:c r="F38" s="3" t="str">
        <x:f>IF(Master!G526="","",Master!G526)</x:f>
      </x:c>
      <x:c r="G38" s="3" t="str">
        <x:f>IF(Master!H526="","",Master!H526)</x:f>
      </x:c>
      <x:c r="H38" s="3" t="str">
        <x:f>IF(Master!I526="","",Master!I526)</x:f>
      </x:c>
      <x:c r="I38" s="3" t="str">
        <x:f>IF(Master!J526="","",Master!J526)</x:f>
      </x:c>
      <x:c r="J38" s="3" t="str">
        <x:f>IF(Master!K526="","",Master!K526)</x:f>
      </x:c>
      <x:c r="K38" s="3" t="str">
        <x:f>IF(Master!L526="","",Master!L526)</x:f>
        <x:v>No enterprise SSO documented</x:v>
      </x:c>
      <x:c r="L38" s="3" t="str">
        <x:f>IF(Master!M526="","",Master!M526)</x:f>
      </x:c>
      <x:c r="M38" s="3" t="str">
        <x:f>IF(Master!N526="","",Master!N526)</x:f>
      </x:c>
      <x:c r="N38" s="3" t="str">
        <x:f>IF(Master!O526="","",Master!O526)</x:f>
        <x:v>Provider-dependent</x:v>
      </x:c>
      <x:c r="O38" s="3" t="str">
        <x:f>IF(Master!P526="","",Master!P526)</x:f>
        <x:v>Yes</x:v>
      </x:c>
      <x:c r="P38" s="3" t="str">
        <x:f>IF(Master!Q526="","",Master!Q526)</x:f>
      </x:c>
      <x:c r="Q38" s="3" t="str">
        <x:f>IF(Master!R526="","",Master!R526)</x:f>
      </x:c>
      <x:c r="R38" s="3" t="str">
        <x:f>IF(Master!S526="","",Master!S526)</x:f>
      </x:c>
      <x:c r="S38" s="3" t="str">
        <x:f>IF(Master!T526="","",Master!T526)</x:f>
      </x:c>
      <x:c r="T38" s="3" t="str">
        <x:f>IF(Master!U526="","",Master!U526)</x:f>
      </x:c>
      <x:c r="U38" s="3" t="str">
        <x:f>IF(Master!V526="","",Master!V526)</x:f>
      </x:c>
      <x:c r="V38" s="3" t="str">
        <x:f>IF(Master!W526="","",Master!W526)</x:f>
        <x:v>Yes</x:v>
      </x:c>
      <x:c r="W38" s="3" t="str">
        <x:f>IF(Master!X526="","",Master!X526)</x:f>
      </x:c>
      <x:c r="X38" s="3" t="str">
        <x:f>IF(Master!Y526="","",Master!Y526)</x:f>
      </x:c>
      <x:c r="Y38" s="3" t="str">
        <x:f>IF(Master!Z526="","",Master!Z526)</x:f>
      </x:c>
      <x:c r="Z38" s="3" t="str">
        <x:f>IF(Master!AA526="","",Master!AA526)</x:f>
      </x:c>
      <x:c r="AA38" s="6" t="str">
        <x:f>IF(Master!AB526="","",Master!AB526)</x:f>
      </x:c>
      <x:c r="AB38" s="3" t="str">
        <x:f>IF(Master!AC526="","",Master!AC526)</x:f>
      </x:c>
      <x:c r="AC38" s="3" t="str">
        <x:f>IF(Master!AD526="","",Master!AD526)</x:f>
      </x:c>
      <x:c r="AD38" s="3" t="str">
        <x:f>IF(Master!AE526="","",Master!AE526)</x:f>
      </x:c>
      <x:c r="AE38" s="3" t="str">
        <x:f>IF(Master!AF526="","",Master!AF526)</x:f>
      </x:c>
      <x:c r="AF38" s="8" t="str">
        <x:f>IF(Master!AG526="","",Master!AG526)</x:f>
        <x:v>Yes</x:v>
      </x:c>
    </x:row>
    <x:row r="39" ht="36" customHeight="1">
      <x:c r="A39" s="17" t="s">
        <x:v>792</x:v>
      </x:c>
      <x:c r="B39" s="3" t="str">
        <x:f>IF(Master!C527="","",Master!C527)</x:f>
        <x:v>Yes</x:v>
      </x:c>
      <x:c r="C39" s="3" t="str">
        <x:f>IF(Master!D527="","",Master!D527)</x:f>
      </x:c>
      <x:c r="D39" s="3" t="str">
        <x:f>IF(Master!E527="","",Master!E527)</x:f>
      </x:c>
      <x:c r="E39" s="3" t="str">
        <x:f>IF(Master!F527="","",Master!F527)</x:f>
      </x:c>
      <x:c r="F39" s="3" t="str">
        <x:f>IF(Master!G527="","",Master!G527)</x:f>
      </x:c>
      <x:c r="G39" s="3" t="str">
        <x:f>IF(Master!H527="","",Master!H527)</x:f>
      </x:c>
      <x:c r="H39" s="3" t="str">
        <x:f>IF(Master!I527="","",Master!I527)</x:f>
      </x:c>
      <x:c r="I39" s="3" t="str">
        <x:f>IF(Master!J527="","",Master!J527)</x:f>
      </x:c>
      <x:c r="J39" s="3" t="str">
        <x:f>IF(Master!K527="","",Master!K527)</x:f>
      </x:c>
      <x:c r="K39" s="3" t="str">
        <x:f>IF(Master!L527="","",Master!L527)</x:f>
        <x:v>No public vulnerability disclosure policy located</x:v>
      </x:c>
      <x:c r="L39" s="3" t="str">
        <x:f>IF(Master!M527="","",Master!M527)</x:f>
      </x:c>
      <x:c r="M39" s="3" t="str">
        <x:f>IF(Master!N527="","",Master!N527)</x:f>
      </x:c>
      <x:c r="N39" s="3" t="str">
        <x:f>IF(Master!O527="","",Master!O527)</x:f>
      </x:c>
      <x:c r="O39" s="3" t="str">
        <x:f>IF(Master!P527="","",Master!P527)</x:f>
      </x:c>
      <x:c r="P39" s="3" t="str">
        <x:f>IF(Master!Q527="","",Master!Q527)</x:f>
      </x:c>
      <x:c r="Q39" s="3" t="str">
        <x:f>IF(Master!R527="","",Master!R527)</x:f>
      </x:c>
      <x:c r="R39" s="3" t="str">
        <x:f>IF(Master!S527="","",Master!S527)</x:f>
      </x:c>
      <x:c r="S39" s="3" t="str">
        <x:f>IF(Master!T527="","",Master!T527)</x:f>
      </x:c>
      <x:c r="T39" s="3" t="str">
        <x:f>IF(Master!U527="","",Master!U527)</x:f>
        <x:v>Yes: https://pqp.gg/.well-known/security.txt</x:v>
      </x:c>
      <x:c r="U39" s="3" t="str">
        <x:f>IF(Master!V527="","",Master!V527)</x:f>
      </x:c>
      <x:c r="V39" s="3" t="str">
        <x:f>IF(Master!W527="","",Master!W527)</x:f>
      </x:c>
      <x:c r="W39" s="3" t="str">
        <x:f>IF(Master!X527="","",Master!X527)</x:f>
      </x:c>
      <x:c r="X39" s="3" t="str">
        <x:f>IF(Master!Y527="","",Master!Y527)</x:f>
      </x:c>
      <x:c r="Y39" s="3" t="str">
        <x:f>IF(Master!Z527="","",Master!Z527)</x:f>
      </x:c>
      <x:c r="Z39" s="3" t="str">
        <x:f>IF(Master!AA527="","",Master!AA527)</x:f>
      </x:c>
      <x:c r="AA39" s="6" t="str">
        <x:f>IF(Master!AB527="","",Master!AB527)</x:f>
      </x:c>
      <x:c r="AB39" s="3" t="str">
        <x:f>IF(Master!AC527="","",Master!AC527)</x:f>
      </x:c>
      <x:c r="AC39" s="3" t="str">
        <x:f>IF(Master!AD527="","",Master!AD527)</x:f>
      </x:c>
      <x:c r="AD39" s="3" t="str">
        <x:f>IF(Master!AE527="","",Master!AE527)</x:f>
      </x:c>
      <x:c r="AE39" s="3" t="str">
        <x:f>IF(Master!AF527="","",Master!AF527)</x:f>
      </x:c>
      <x:c r="AF39" s="8" t="str">
        <x:f>IF(Master!AG527="","",Master!AG527)</x:f>
      </x:c>
    </x:row>
    <x:row r="40" ht="36" customHeight="1">
      <x:c r="A40" s="17" t="s">
        <x:v>793</x:v>
      </x:c>
      <x:c r="B40" s="3" t="str">
        <x:f>IF(Master!C528="","",Master!C528)</x:f>
        <x:v>Yes</x:v>
      </x:c>
      <x:c r="C40" s="3" t="str">
        <x:f>IF(Master!D528="","",Master!D528)</x:f>
      </x:c>
      <x:c r="D40" s="3" t="str">
        <x:f>IF(Master!E528="","",Master!E528)</x:f>
      </x:c>
      <x:c r="E40" s="3" t="str">
        <x:f>IF(Master!F528="","",Master!F528)</x:f>
      </x:c>
      <x:c r="F40" s="3" t="str">
        <x:f>IF(Master!G528="","",Master!G528)</x:f>
      </x:c>
      <x:c r="G40" s="3" t="str">
        <x:f>IF(Master!H528="","",Master!H528)</x:f>
      </x:c>
      <x:c r="H40" s="3" t="str">
        <x:f>IF(Master!I528="","",Master!I528)</x:f>
      </x:c>
      <x:c r="I40" s="3" t="str">
        <x:f>IF(Master!J528="","",Master!J528)</x:f>
      </x:c>
      <x:c r="J40" s="3" t="str">
        <x:f>IF(Master!K528="","",Master!K528)</x:f>
      </x:c>
      <x:c r="K40" s="3" t="str">
        <x:f>IF(Master!L528="","",Master!L528)</x:f>
        <x:v>No public security-advisory feed located</x:v>
      </x:c>
      <x:c r="L40" s="3" t="str">
        <x:f>IF(Master!M528="","",Master!M528)</x:f>
      </x:c>
      <x:c r="M40" s="3" t="str">
        <x:f>IF(Master!N528="","",Master!N528)</x:f>
      </x:c>
      <x:c r="N40" s="3" t="str">
        <x:f>IF(Master!O528="","",Master!O528)</x:f>
        <x:v>Yes</x:v>
      </x:c>
      <x:c r="O40" s="3" t="str">
        <x:f>IF(Master!P528="","",Master!P528)</x:f>
        <x:v>Yes</x:v>
      </x:c>
      <x:c r="P40" s="3" t="str">
        <x:f>IF(Master!Q528="","",Master!Q528)</x:f>
      </x:c>
      <x:c r="Q40" s="3" t="str">
        <x:f>IF(Master!R528="","",Master!R528)</x:f>
        <x:v>Yes</x:v>
      </x:c>
      <x:c r="R40" s="3" t="str">
        <x:f>IF(Master!S528="","",Master!S528)</x:f>
      </x:c>
      <x:c r="S40" s="3" t="str">
        <x:f>IF(Master!T528="","",Master!T528)</x:f>
      </x:c>
      <x:c r="T40" s="3" t="str">
        <x:f>IF(Master!U528="","",Master!U528)</x:f>
        <x:v>No public breach/CVE story reported by the project</x:v>
      </x:c>
      <x:c r="U40" s="3" t="str">
        <x:f>IF(Master!V528="","",Master!V528)</x:f>
      </x:c>
      <x:c r="V40" s="3" t="str">
        <x:f>IF(Master!W528="","",Master!W528)</x:f>
        <x:v>Yes</x:v>
      </x:c>
      <x:c r="W40" s="3" t="str">
        <x:f>IF(Master!X528="","",Master!X528)</x:f>
      </x:c>
      <x:c r="X40" s="3" t="str">
        <x:f>IF(Master!Y528="","",Master!Y528)</x:f>
      </x:c>
      <x:c r="Y40" s="3" t="str">
        <x:f>IF(Master!Z528="","",Master!Z528)</x:f>
      </x:c>
      <x:c r="Z40" s="3" t="str">
        <x:f>IF(Master!AA528="","",Master!AA528)</x:f>
      </x:c>
      <x:c r="AA40" s="6" t="str">
        <x:f>IF(Master!AB528="","",Master!AB528)</x:f>
      </x:c>
      <x:c r="AB40" s="3" t="str">
        <x:f>IF(Master!AC528="","",Master!AC528)</x:f>
      </x:c>
      <x:c r="AC40" s="3" t="str">
        <x:f>IF(Master!AD528="","",Master!AD528)</x:f>
      </x:c>
      <x:c r="AD40" s="3" t="str">
        <x:f>IF(Master!AE528="","",Master!AE528)</x:f>
      </x:c>
      <x:c r="AE40" s="3" t="str">
        <x:f>IF(Master!AF528="","",Master!AF528)</x:f>
      </x:c>
      <x:c r="AF40" s="8" t="str">
        <x:f>IF(Master!AG528="","",Master!AG528)</x:f>
      </x:c>
    </x:row>
  </x:sheetData>
  <x:mergeCells>
    <x:mergeCell ref="A1:AF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Directory'!A1","Security History &amp; Audits"),"Security History &amp; Audits")</x:f>
        <x:v>Security History &amp; Audits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794</x:v>
      </x:c>
      <x:c r="B3" s="3" t="str">
        <x:f>IF(Master!C529="","",Master!C529)</x:f>
      </x:c>
      <x:c r="C3" s="3" t="str">
        <x:f>IF(Master!D529="","",Master!D529)</x:f>
      </x:c>
      <x:c r="D3" s="3" t="str">
        <x:f>IF(Master!E529="","",Master!E529)</x:f>
      </x:c>
      <x:c r="E3" s="3" t="str">
        <x:f>IF(Master!F529="","",Master!F529)</x:f>
      </x:c>
      <x:c r="F3" s="3" t="str">
        <x:f>IF(Master!G529="","",Master!G529)</x:f>
      </x:c>
      <x:c r="G3" s="3" t="str">
        <x:f>IF(Master!H529="","",Master!H529)</x:f>
      </x:c>
      <x:c r="H3" s="3" t="str">
        <x:f>IF(Master!I529="","",Master!I529)</x:f>
      </x:c>
      <x:c r="I3" s="3" t="str">
        <x:f>IF(Master!J529="","",Master!J529)</x:f>
      </x:c>
      <x:c r="J3" s="3" t="str">
        <x:f>IF(Master!K529="","",Master!K529)</x:f>
      </x:c>
      <x:c r="K3" s="3" t="str">
        <x:f>IF(Master!L529="","",Master!L529)</x:f>
        <x:v>None publicly known/reported by developer</x:v>
      </x:c>
      <x:c r="L3" s="3" t="str">
        <x:f>IF(Master!M529="","",Master!M529)</x:f>
      </x:c>
      <x:c r="M3" s="3" t="str">
        <x:f>IF(Master!N529="","",Master!N529)</x:f>
      </x:c>
      <x:c r="N3" s="3" t="str">
        <x:f>IF(Master!O529="","",Master!O529)</x:f>
        <x:v>Implementation-specific; protocol/clients/servers have had CVEs</x:v>
      </x:c>
      <x:c r="O3" s="3" t="str">
        <x:f>IF(Master!P529="","",Master!P529)</x:f>
        <x:v>Public CVEs/security advisories</x:v>
      </x:c>
      <x:c r="P3" s="3" t="str">
        <x:f>IF(Master!Q529="","",Master!Q529)</x:f>
      </x:c>
      <x:c r="Q3" s="3" t="str">
        <x:f>IF(Master!R529="","",Master!R529)</x:f>
        <x:v>Public CVEs/advisories exist over long project history</x:v>
      </x:c>
      <x:c r="R3" s="3" t="str">
        <x:f>IF(Master!S529="","",Master!S529)</x:f>
      </x:c>
      <x:c r="S3" s="3" t="str">
        <x:f>IF(Master!T529="","",Master!T529)</x:f>
      </x:c>
      <x:c r="T3" s="3" t="str">
        <x:f>IF(Master!U529="","",Master!U529)</x:f>
        <x:v>No public CVE/exploit story reported by the project</x:v>
      </x:c>
      <x:c r="U3" s="3" t="str">
        <x:f>IF(Master!V529="","",Master!V529)</x:f>
        <x:v>No Known</x:v>
      </x:c>
      <x:c r="V3" s="3" t="str">
        <x:f>IF(Master!W529="","",Master!W529)</x:f>
        <x:v>Public CVEs/security advisories</x:v>
      </x:c>
      <x:c r="W3" s="3" t="str">
        <x:f>IF(Master!X529="","",Master!X529)</x:f>
      </x:c>
      <x:c r="X3" s="3" t="str">
        <x:f>IF(Master!Y529="","",Master!Y529)</x:f>
      </x:c>
      <x:c r="Y3" s="3" t="str">
        <x:f>IF(Master!Z529="","",Master!Z529)</x:f>
      </x:c>
      <x:c r="Z3" s="3" t="str">
        <x:f>IF(Master!AA529="","",Master!AA529)</x:f>
      </x:c>
      <x:c r="AA3" s="6" t="str">
        <x:f>IF(Master!AB529="","",Master!AB529)</x:f>
      </x:c>
      <x:c r="AB3" s="3" t="str">
        <x:f>IF(Master!AC529="","",Master!AC529)</x:f>
      </x:c>
      <x:c r="AC3" s="3" t="str">
        <x:f>IF(Master!AD529="","",Master!AD529)</x:f>
      </x:c>
      <x:c r="AD3" s="3" t="str">
        <x:f>IF(Master!AE529="","",Master!AE529)</x:f>
      </x:c>
      <x:c r="AE3" s="3" t="str">
        <x:f>IF(Master!AF529="","",Master!AF529)</x:f>
      </x:c>
      <x:c r="AF3" s="8" t="str">
        <x:f>IF(Master!AG529="","",Master!AG529)</x:f>
      </x:c>
    </x:row>
    <x:row r="4" ht="36" customHeight="1">
      <x:c r="A4" s="17" t="s">
        <x:v>795</x:v>
      </x:c>
      <x:c r="B4" s="3" t="str">
        <x:f>IF(Master!C530="","",Master!C530)</x:f>
        <x:v>Yes: 2025 third-party customer-support vendor incident; ~70,000 users may have had government-ID photos exposed; core Discord service was not breached</x:v>
      </x:c>
      <x:c r="C4" s="3" t="str">
        <x:f>IF(Master!D530="","",Master!D530)</x:f>
      </x:c>
      <x:c r="D4" s="3" t="str">
        <x:f>IF(Master!E530="","",Master!E530)</x:f>
      </x:c>
      <x:c r="E4" s="3" t="str">
        <x:f>IF(Master!F530="","",Master!F530)</x:f>
      </x:c>
      <x:c r="F4" s="3" t="str">
        <x:f>IF(Master!G530="","",Master!G530)</x:f>
        <x:v>No public breach verified</x:v>
      </x:c>
      <x:c r="G4" s="3" t="str">
        <x:f>IF(Master!H530="","",Master!H530)</x:f>
        <x:v>No major public breach verified</x:v>
      </x:c>
      <x:c r="H4" s="3" t="str">
        <x:f>IF(Master!I530="","",Master!I530)</x:f>
      </x:c>
      <x:c r="I4" s="3" t="str">
        <x:f>IF(Master!J530="","",Master!J530)</x:f>
      </x:c>
      <x:c r="J4" s="3" t="str">
        <x:f>IF(Master!K530="","",Master!K530)</x:f>
      </x:c>
      <x:c r="K4" s="3" t="str">
        <x:f>IF(Master!L530="","",Master!L530)</x:f>
        <x:v>None publicly known/reported by developer</x:v>
      </x:c>
      <x:c r="L4" s="3" t="str">
        <x:f>IF(Master!M530="","",Master!M530)</x:f>
      </x:c>
      <x:c r="M4" s="3" t="str">
        <x:f>IF(Master!N530="","",Master!N530)</x:f>
      </x:c>
      <x:c r="N4" s="3" t="str">
        <x:f>IF(Master!O530="","",Master!O530)</x:f>
        <x:v>Incidents are provider/implementation-specific</x:v>
      </x:c>
      <x:c r="O4" s="3" t="str">
        <x:f>IF(Master!P530="","",Master!P530)</x:f>
        <x:v>Past vulnerabilities; major breach of vendor service not verified</x:v>
      </x:c>
      <x:c r="P4" s="3" t="str">
        <x:f>IF(Master!Q530="","",Master!Q530)</x:f>
      </x:c>
      <x:c r="Q4" s="3" t="str">
        <x:f>IF(Master!R530="","",Master!R530)</x:f>
        <x:v>No central hosted data breach model</x:v>
      </x:c>
      <x:c r="R4" s="3" t="str">
        <x:f>IF(Master!S530="","",Master!S530)</x:f>
      </x:c>
      <x:c r="S4" s="3" t="str">
        <x:f>IF(Master!T530="","",Master!T530)</x:f>
      </x:c>
      <x:c r="T4" s="3" t="str">
        <x:f>IF(Master!U530="","",Master!U530)</x:f>
        <x:v>No public breach story reported by the project</x:v>
      </x:c>
      <x:c r="U4" s="3" t="str">
        <x:f>IF(Master!V530="","",Master!V530)</x:f>
        <x:v>No Known</x:v>
      </x:c>
      <x:c r="V4" s="3" t="str">
        <x:f>IF(Master!W530="","",Master!W530)</x:f>
      </x:c>
      <x:c r="W4" s="3" t="str">
        <x:f>IF(Master!X530="","",Master!X530)</x:f>
      </x:c>
      <x:c r="X4" s="3" t="str">
        <x:f>IF(Master!Y530="","",Master!Y530)</x:f>
        <x:v>No public breach verified</x:v>
      </x:c>
      <x:c r="Y4" s="3" t="str">
        <x:f>IF(Master!Z530="","",Master!Z530)</x:f>
        <x:v>No major public breach verified</x:v>
      </x:c>
      <x:c r="Z4" s="3" t="str">
        <x:f>IF(Master!AA530="","",Master!AA530)</x:f>
        <x:v>No major public hosted-service breach verified</x:v>
      </x:c>
      <x:c r="AA4" s="6" t="str">
        <x:f>IF(Master!AB530="","",Master!AB530)</x:f>
        <x:v>No recent major breach verified here</x:v>
      </x:c>
      <x:c r="AB4" s="3" t="str">
        <x:f>IF(Master!AC530="","",Master!AC530)</x:f>
      </x:c>
      <x:c r="AC4" s="3" t="str">
        <x:f>IF(Master!AD530="","",Master!AD530)</x:f>
      </x:c>
      <x:c r="AD4" s="3" t="str">
        <x:f>IF(Master!AE530="","",Master!AE530)</x:f>
      </x:c>
      <x:c r="AE4" s="3" t="str">
        <x:f>IF(Master!AF530="","",Master!AF530)</x:f>
      </x:c>
      <x:c r="AF4" s="8" t="str">
        <x:f>IF(Master!AG530="","",Master!AG530)</x:f>
        <x:v>No major current breach verified</x:v>
      </x:c>
    </x:row>
    <x:row r="5" ht="36" customHeight="1">
      <x:c r="A5" s="17" t="s">
        <x:v>796</x:v>
      </x:c>
      <x:c r="B5" s="3" t="str">
        <x:f>IF(Master!C531="","",Master!C531)</x:f>
        <x:v>Public targeted audits of DAVE E2EE; no comprehensive public whole-platform audit verified</x:v>
      </x:c>
      <x:c r="C5" s="3" t="str">
        <x:f>IF(Master!D531="","",Master!D531)</x:f>
        <x:v>No comprehensive independent security audit verified</x:v>
      </x:c>
      <x:c r="D5" s="3" t="str">
        <x:f>IF(Master!E531="","",Master!E531)</x:f>
        <x:v>No comprehensive independent security audit verified</x:v>
      </x:c>
      <x:c r="E5" s="3" t="str">
        <x:f>IF(Master!F531="","",Master!F531)</x:f>
        <x:v>No comprehensive independent security audit verified</x:v>
      </x:c>
      <x:c r="F5" s="3" t="str">
        <x:f>IF(Master!G531="","",Master!G531)</x:f>
        <x:v>No independent audit published</x:v>
      </x:c>
      <x:c r="G5" s="3" t="str">
        <x:f>IF(Master!H531="","",Master!H531)</x:f>
        <x:v>No comprehensive independent audit verified</x:v>
      </x:c>
      <x:c r="H5" s="3" t="str">
        <x:f>IF(Master!I531="","",Master!I531)</x:f>
        <x:v>No comprehensive independent security audit verified</x:v>
      </x:c>
      <x:c r="I5" s="3" t="str">
        <x:f>IF(Master!J531="","",Master!J531)</x:f>
        <x:v>No comprehensive independent security audit verified</x:v>
      </x:c>
      <x:c r="J5" s="3" t="str">
        <x:f>IF(Master!K531="","",Master!K531)</x:f>
        <x:v>No comprehensive independent security audit verified</x:v>
      </x:c>
      <x:c r="K5" s="3" t="str">
        <x:f>IF(Master!L531="","",Master!L531)</x:f>
        <x:v>None published</x:v>
      </x:c>
      <x:c r="L5" s="3" t="str">
        <x:f>IF(Master!M531="","",Master!M531)</x:f>
        <x:v>No comprehensive independent security audit verified</x:v>
      </x:c>
      <x:c r="M5" s="3" t="str">
        <x:f>IF(Master!N531="","",Master!N531)</x:f>
        <x:v>No comprehensive independent security audit verified</x:v>
      </x:c>
      <x:c r="N5" s="3" t="str">
        <x:f>IF(Master!O531="","",Master!O531)</x:f>
        <x:v>Multiple independent audits across implementations; no single Matrix-wide audit</x:v>
      </x:c>
      <x:c r="O5" s="3" t="str">
        <x:f>IF(Master!P531="","",Master!P531)</x:f>
      </x:c>
      <x:c r="P5" s="3" t="str">
        <x:f>IF(Master!Q531="","",Master!Q531)</x:f>
        <x:v>No comprehensive independent security audit verified</x:v>
      </x:c>
      <x:c r="Q5" s="3" t="str">
        <x:f>IF(Master!R531="","",Master!R531)</x:f>
      </x:c>
      <x:c r="R5" s="3" t="str">
        <x:f>IF(Master!S531="","",Master!S531)</x:f>
        <x:v>No comprehensive independent security audit verified</x:v>
      </x:c>
      <x:c r="S5" s="3" t="str">
        <x:f>IF(Master!T531="","",Master!T531)</x:f>
        <x:v>No comprehensive independent security audit verified</x:v>
      </x:c>
      <x:c r="T5" s="3" t="str">
        <x:f>IF(Master!U531="","",Master!U531)</x:f>
        <x:v>None published</x:v>
      </x:c>
      <x:c r="U5" s="3" t="str">
        <x:f>IF(Master!V531="","",Master!V531)</x:f>
        <x:v>No comprehensive independent security audit verified</x:v>
      </x:c>
      <x:c r="V5" s="3" t="str">
        <x:f>IF(Master!W531="","",Master!W531)</x:f>
        <x:v>Security audits/certifications vary by offering</x:v>
      </x:c>
      <x:c r="W5" s="3" t="str">
        <x:f>IF(Master!X531="","",Master!X531)</x:f>
        <x:v>No comprehensive independent security audit verified</x:v>
      </x:c>
      <x:c r="X5" s="3" t="str">
        <x:f>IF(Master!Y531="","",Master!Y531)</x:f>
        <x:v>No independent audit published</x:v>
      </x:c>
      <x:c r="Y5" s="3" t="str">
        <x:f>IF(Master!Z531="","",Master!Z531)</x:f>
        <x:v>No independent audit published</x:v>
      </x:c>
      <x:c r="Z5" s="3" t="str">
        <x:f>IF(Master!AA531="","",Master!AA531)</x:f>
        <x:v>No comprehensive independent audit verified</x:v>
      </x:c>
      <x:c r="AA5" s="6" t="str">
        <x:f>IF(Master!AB531="","",Master!AB531)</x:f>
      </x:c>
      <x:c r="AB5" s="3" t="str">
        <x:f>IF(Master!AC531="","",Master!AC531)</x:f>
        <x:v>No comprehensive independent security audit verified</x:v>
      </x:c>
      <x:c r="AC5" s="3" t="str">
        <x:f>IF(Master!AD531="","",Master!AD531)</x:f>
        <x:v>No comprehensive independent security audit verified</x:v>
      </x:c>
      <x:c r="AD5" s="3" t="str">
        <x:f>IF(Master!AE531="","",Master!AE531)</x:f>
        <x:v>No comprehensive independent security audit verified</x:v>
      </x:c>
      <x:c r="AE5" s="3" t="str">
        <x:f>IF(Master!AF531="","",Master!AF531)</x:f>
        <x:v>No comprehensive independent security audit verified</x:v>
      </x:c>
      <x:c r="AF5" s="8" t="str">
        <x:f>IF(Master!AG531="","",Master!AG531)</x:f>
      </x:c>
    </x:row>
    <x:row r="6" ht="36" customHeight="1">
      <x:c r="A6" s="17" t="s">
        <x:v>797</x:v>
      </x:c>
      <x:c r="B6" s="3" t="str">
        <x:f>IF(Master!C532="","",Master!C532)</x:f>
        <x:v>Trail of Bits: DAVE design/implementation review (2024) and follow-up audit (2025)</x:v>
      </x:c>
      <x:c r="C6" s="3" t="str">
        <x:f>IF(Master!D532="","",Master!D532)</x:f>
      </x:c>
      <x:c r="D6" s="3" t="str">
        <x:f>IF(Master!E532="","",Master!E532)</x:f>
      </x:c>
      <x:c r="E6" s="3" t="str">
        <x:f>IF(Master!F532="","",Master!F532)</x:f>
      </x:c>
      <x:c r="F6" s="3" t="str">
        <x:f>IF(Master!G532="","",Master!G532)</x:f>
      </x:c>
      <x:c r="G6" s="3" t="str">
        <x:f>IF(Master!H532="","",Master!H532)</x:f>
      </x:c>
      <x:c r="H6" s="3" t="str">
        <x:f>IF(Master!I532="","",Master!I532)</x:f>
      </x:c>
      <x:c r="I6" s="3" t="str">
        <x:f>IF(Master!J532="","",Master!J532)</x:f>
      </x:c>
      <x:c r="J6" s="3" t="str">
        <x:f>IF(Master!K532="","",Master!K532)</x:f>
      </x:c>
      <x:c r="K6" s="3" t="str">
        <x:f>IF(Master!L532="","",Master!L532)</x:f>
        <x:v>None published</x:v>
      </x:c>
      <x:c r="L6" s="3" t="str">
        <x:f>IF(Master!M532="","",Master!M532)</x:f>
      </x:c>
      <x:c r="M6" s="3" t="str">
        <x:f>IF(Master!N532="","",Master!N532)</x:f>
      </x:c>
      <x:c r="N6" s="3" t="str">
        <x:f>IF(Master!O532="","",Master!O532)</x:f>
        <x:v>Implementation-specific</x:v>
      </x:c>
      <x:c r="O6" s="3" t="str">
        <x:f>IF(Master!P532="","",Master!P532)</x:f>
      </x:c>
      <x:c r="P6" s="3" t="str">
        <x:f>IF(Master!Q532="","",Master!Q532)</x:f>
      </x:c>
      <x:c r="Q6" s="3" t="str">
        <x:f>IF(Master!R532="","",Master!R532)</x:f>
      </x:c>
      <x:c r="R6" s="3" t="str">
        <x:f>IF(Master!S532="","",Master!S532)</x:f>
      </x:c>
      <x:c r="S6" s="3" t="str">
        <x:f>IF(Master!T532="","",Master!T532)</x:f>
      </x:c>
      <x:c r="T6" s="3" t="str">
        <x:f>IF(Master!U532="","",Master!U532)</x:f>
        <x:v>N/A: no independent audit published</x:v>
      </x:c>
      <x:c r="U6" s="3" t="str">
        <x:f>IF(Master!V532="","",Master!V532)</x:f>
      </x:c>
      <x:c r="V6" s="3" t="str">
        <x:f>IF(Master!W532="","",Master!W532)</x:f>
      </x:c>
      <x:c r="W6" s="3" t="str">
        <x:f>IF(Master!X532="","",Master!X532)</x:f>
      </x:c>
      <x:c r="X6" s="3" t="str">
        <x:f>IF(Master!Y532="","",Master!Y532)</x:f>
      </x:c>
      <x:c r="Y6" s="3" t="str">
        <x:f>IF(Master!Z532="","",Master!Z532)</x:f>
      </x:c>
      <x:c r="Z6" s="3" t="str">
        <x:f>IF(Master!AA532="","",Master!AA532)</x:f>
      </x:c>
      <x:c r="AA6" s="6" t="str">
        <x:f>IF(Master!AB532="","",Master!AB532)</x:f>
      </x:c>
      <x:c r="AB6" s="3" t="str">
        <x:f>IF(Master!AC532="","",Master!AC532)</x:f>
      </x:c>
      <x:c r="AC6" s="3" t="str">
        <x:f>IF(Master!AD532="","",Master!AD532)</x:f>
      </x:c>
      <x:c r="AD6" s="3" t="str">
        <x:f>IF(Master!AE532="","",Master!AE532)</x:f>
      </x:c>
      <x:c r="AE6" s="3" t="str">
        <x:f>IF(Master!AF532="","",Master!AF532)</x:f>
      </x:c>
      <x:c r="AF6" s="8" t="str">
        <x:f>IF(Master!AG532="","",Master!AG532)</x:f>
      </x:c>
    </x:row>
    <x:row r="7" ht="36" customHeight="1">
      <x:c r="A7" s="17" t="s">
        <x:v>798</x:v>
      </x:c>
      <x:c r="B7" s="3" t="str">
        <x:f>IF(Master!C533="","",Master!C533)</x:f>
        <x:v>Yes: private Bugcrowd program with cash bounties; DAVE is in scope</x:v>
      </x:c>
      <x:c r="C7" s="3" t="str">
        <x:f>IF(Master!D533="","",Master!D533)</x:f>
      </x:c>
      <x:c r="D7" s="3" t="str">
        <x:f>IF(Master!E533="","",Master!E533)</x:f>
      </x:c>
      <x:c r="E7" s="3" t="str">
        <x:f>IF(Master!F533="","",Master!F533)</x:f>
      </x:c>
      <x:c r="F7" s="3" t="str">
        <x:f>IF(Master!G533="","",Master!G533)</x:f>
        <x:v>No public bug bounty verified</x:v>
      </x:c>
      <x:c r="G7" s="3" t="str">
        <x:f>IF(Master!H533="","",Master!H533)</x:f>
      </x:c>
      <x:c r="H7" s="3" t="str">
        <x:f>IF(Master!I533="","",Master!I533)</x:f>
      </x:c>
      <x:c r="I7" s="3" t="str">
        <x:f>IF(Master!J533="","",Master!J533)</x:f>
      </x:c>
      <x:c r="J7" s="3" t="str">
        <x:f>IF(Master!K533="","",Master!K533)</x:f>
      </x:c>
      <x:c r="K7" s="3" t="str">
        <x:f>IF(Master!L533="","",Master!L533)</x:f>
        <x:v>No public bug bounty located</x:v>
      </x:c>
      <x:c r="L7" s="3" t="str">
        <x:f>IF(Master!M533="","",Master!M533)</x:f>
      </x:c>
      <x:c r="M7" s="3" t="str">
        <x:f>IF(Master!N533="","",Master!N533)</x:f>
      </x:c>
      <x:c r="N7" s="3" t="str">
        <x:f>IF(Master!O533="","",Master!O533)</x:f>
        <x:v>Implementation-specific</x:v>
      </x:c>
      <x:c r="O7" s="3" t="str">
        <x:f>IF(Master!P533="","",Master!P533)</x:f>
        <x:v>Security disclosure/bounty program</x:v>
      </x:c>
      <x:c r="P7" s="3" t="str">
        <x:f>IF(Master!Q533="","",Master!Q533)</x:f>
      </x:c>
      <x:c r="Q7" s="3" t="str">
        <x:f>IF(Master!R533="","",Master!R533)</x:f>
        <x:v>No formal bounty verified</x:v>
      </x:c>
      <x:c r="R7" s="3" t="str">
        <x:f>IF(Master!S533="","",Master!S533)</x:f>
      </x:c>
      <x:c r="S7" s="3" t="str">
        <x:f>IF(Master!T533="","",Master!T533)</x:f>
      </x:c>
      <x:c r="T7" s="3" t="str">
        <x:f>IF(Master!U533="","",Master!U533)</x:f>
      </x:c>
      <x:c r="U7" s="3" t="str">
        <x:f>IF(Master!V533="","",Master!V533)</x:f>
      </x:c>
      <x:c r="V7" s="3" t="str">
        <x:f>IF(Master!W533="","",Master!W533)</x:f>
      </x:c>
      <x:c r="W7" s="3" t="str">
        <x:f>IF(Master!X533="","",Master!X533)</x:f>
      </x:c>
      <x:c r="X7" s="3" t="str">
        <x:f>IF(Master!Y533="","",Master!Y533)</x:f>
        <x:v>No public bug bounty verified</x:v>
      </x:c>
      <x:c r="Y7" s="3" t="str">
        <x:f>IF(Master!Z533="","",Master!Z533)</x:f>
        <x:v>No formal bounty verified</x:v>
      </x:c>
      <x:c r="Z7" s="3" t="str">
        <x:f>IF(Master!AA533="","",Master!AA533)</x:f>
      </x:c>
      <x:c r="AA7" s="6" t="str">
        <x:f>IF(Master!AB533="","",Master!AB533)</x:f>
      </x:c>
      <x:c r="AB7" s="3" t="str">
        <x:f>IF(Master!AC533="","",Master!AC533)</x:f>
      </x:c>
      <x:c r="AC7" s="3" t="str">
        <x:f>IF(Master!AD533="","",Master!AD533)</x:f>
      </x:c>
      <x:c r="AD7" s="3" t="str">
        <x:f>IF(Master!AE533="","",Master!AE533)</x:f>
      </x:c>
      <x:c r="AE7" s="3" t="str">
        <x:f>IF(Master!AF533="","",Master!AF533)</x:f>
      </x:c>
      <x:c r="AF7" s="8" t="str">
        <x:f>IF(Master!AG533="","",Master!AG533)</x:f>
      </x:c>
    </x:row>
    <x:row r="8" ht="36" customHeight="1">
      <x:c r="A8" s="17" t="s">
        <x:v>799</x:v>
      </x:c>
      <x:c r="B8" s="3" t="str">
        <x:f>IF(Master!C534="","",Master!C534)</x:f>
        <x:v>Reports are usually answered within ~24 hours, per Discord's security page</x:v>
      </x:c>
      <x:c r="C8" s="3" t="str">
        <x:f>IF(Master!D534="","",Master!D534)</x:f>
      </x:c>
      <x:c r="D8" s="3" t="str">
        <x:f>IF(Master!E534="","",Master!E534)</x:f>
      </x:c>
      <x:c r="E8" s="3" t="str">
        <x:f>IF(Master!F534="","",Master!F534)</x:f>
      </x:c>
      <x:c r="F8" s="3" t="str">
        <x:f>IF(Master!G534="","",Master!G534)</x:f>
      </x:c>
      <x:c r="G8" s="3" t="str">
        <x:f>IF(Master!H534="","",Master!H534)</x:f>
        <x:v>Public security/privacy documentation</x:v>
      </x:c>
      <x:c r="H8" s="3" t="str">
        <x:f>IF(Master!I534="","",Master!I534)</x:f>
      </x:c>
      <x:c r="I8" s="3" t="str">
        <x:f>IF(Master!J534="","",Master!J534)</x:f>
      </x:c>
      <x:c r="J8" s="3" t="str">
        <x:f>IF(Master!K534="","",Master!K534)</x:f>
      </x:c>
      <x:c r="K8" s="3" t="str">
        <x:f>IF(Master!L534="","",Master!L534)</x:f>
        <x:v>Developer reports a security-researcher friend has privately reported bugs before production; no formal public disclosure program located</x:v>
      </x:c>
      <x:c r="L8" s="3" t="str">
        <x:f>IF(Master!M534="","",Master!M534)</x:f>
      </x:c>
      <x:c r="M8" s="3" t="str">
        <x:f>IF(Master!N534="","",Master!N534)</x:f>
      </x:c>
      <x:c r="N8" s="3" t="str">
        <x:f>IF(Master!O534="","",Master!O534)</x:f>
        <x:v>Public security advisories across ecosystem</x:v>
      </x:c>
      <x:c r="O8" s="3" t="str">
        <x:f>IF(Master!P534="","",Master!P534)</x:f>
        <x:v>Public advisories/responsive security process</x:v>
      </x:c>
      <x:c r="P8" s="3" t="str">
        <x:f>IF(Master!Q534="","",Master!Q534)</x:f>
      </x:c>
      <x:c r="Q8" s="3" t="str">
        <x:f>IF(Master!R534="","",Master!R534)</x:f>
        <x:v>Public GitHub/security channels</x:v>
      </x:c>
      <x:c r="R8" s="3" t="str">
        <x:f>IF(Master!S534="","",Master!S534)</x:f>
      </x:c>
      <x:c r="S8" s="3" t="str">
        <x:f>IF(Master!T534="","",Master!T534)</x:f>
      </x:c>
      <x:c r="T8" s="3" t="str">
        <x:f>IF(Master!U534="","",Master!U534)</x:f>
        <x:v>Security contact published at /.well-known/security.txt; response history not independently established</x:v>
      </x:c>
      <x:c r="U8" s="3" t="str">
        <x:f>IF(Master!V534="","",Master!V534)</x:f>
      </x:c>
      <x:c r="V8" s="3" t="str">
        <x:f>IF(Master!W534="","",Master!W534)</x:f>
        <x:v>Public security advisories</x:v>
      </x:c>
      <x:c r="W8" s="3" t="str">
        <x:f>IF(Master!X534="","",Master!X534)</x:f>
      </x:c>
      <x:c r="X8" s="3" t="str">
        <x:f>IF(Master!Y534="","",Master!Y534)</x:f>
      </x:c>
      <x:c r="Y8" s="3" t="str">
        <x:f>IF(Master!Z534="","",Master!Z534)</x:f>
        <x:v>Public GitHub</x:v>
      </x:c>
      <x:c r="Z8" s="3" t="str">
        <x:f>IF(Master!AA534="","",Master!AA534)</x:f>
        <x:v>Public issues/security advisories</x:v>
      </x:c>
      <x:c r="AA8" s="6" t="str">
        <x:f>IF(Master!AB534="","",Master!AB534)</x:f>
      </x:c>
      <x:c r="AB8" s="3" t="str">
        <x:f>IF(Master!AC534="","",Master!AC534)</x:f>
      </x:c>
      <x:c r="AC8" s="3" t="str">
        <x:f>IF(Master!AD534="","",Master!AD534)</x:f>
      </x:c>
      <x:c r="AD8" s="3" t="str">
        <x:f>IF(Master!AE534="","",Master!AE534)</x:f>
      </x:c>
      <x:c r="AE8" s="3" t="str">
        <x:f>IF(Master!AF534="","",Master!AF534)</x:f>
      </x:c>
      <x:c r="AF8" s="8" t="str">
        <x:f>IF(Master!AG534="","",Master!AG534)</x:f>
        <x:v>Public security process</x:v>
      </x:c>
    </x:row>
    <x:row r="9" ht="23.100000381469727" customHeight="1">
      <x:c r="A9" s="17" t="s">
        <x:v>800</x:v>
      </x:c>
      <x:c r="B9" s="4" t="str">
        <x:f>IF(Master!C535="","",Master!C535)</x:f>
      </x:c>
      <x:c r="C9" s="4" t="str">
        <x:f>IF(Master!D535="","",Master!D535)</x:f>
      </x:c>
      <x:c r="D9" s="4" t="str">
        <x:f>IF(Master!E535="","",Master!E535)</x:f>
      </x:c>
      <x:c r="E9" s="4" t="str">
        <x:f>IF(Master!F535="","",Master!F535)</x:f>
      </x:c>
      <x:c r="F9" s="4" t="str">
        <x:f>IF(Master!G535="","",Master!G535)</x:f>
      </x:c>
      <x:c r="G9" s="4" t="str">
        <x:f>IF(Master!H535="","",Master!H535)</x:f>
      </x:c>
      <x:c r="H9" s="4" t="str">
        <x:f>IF(Master!I535="","",Master!I535)</x:f>
      </x:c>
      <x:c r="I9" s="4" t="str">
        <x:f>IF(Master!J535="","",Master!J535)</x:f>
      </x:c>
      <x:c r="J9" s="4" t="str">
        <x:f>IF(Master!K535="","",Master!K535)</x:f>
      </x:c>
      <x:c r="K9" s="4" t="str">
        <x:f>IF(Master!L535="","",Master!L535)</x:f>
        <x:v>Developer reports a security-researcher friend has privately reported bugs before production; no formal public disclosure program located</x:v>
      </x:c>
      <x:c r="L9" s="4" t="str">
        <x:f>IF(Master!M535="","",Master!M535)</x:f>
      </x:c>
      <x:c r="M9" s="4" t="str">
        <x:f>IF(Master!N535="","",Master!N535)</x:f>
      </x:c>
      <x:c r="N9" s="4" t="str">
        <x:f>IF(Master!O535="","",Master!O535)</x:f>
      </x:c>
      <x:c r="O9" s="4" t="str">
        <x:f>IF(Master!P535="","",Master!P535)</x:f>
      </x:c>
      <x:c r="P9" s="4" t="str">
        <x:f>IF(Master!Q535="","",Master!Q535)</x:f>
      </x:c>
      <x:c r="Q9" s="4" t="str">
        <x:f>IF(Master!R535="","",Master!R535)</x:f>
      </x:c>
      <x:c r="R9" s="4" t="str">
        <x:f>IF(Master!S535="","",Master!S535)</x:f>
      </x:c>
      <x:c r="S9" s="4" t="str">
        <x:f>IF(Master!T535="","",Master!T535)</x:f>
      </x:c>
      <x:c r="T9" s="4" t="str">
        <x:f>IF(Master!U535="","",Master!U535)</x:f>
        <x:v>Early product; security contact published; no independent audit yet</x:v>
      </x:c>
      <x:c r="U9" s="4" t="str">
        <x:f>IF(Master!V535="","",Master!V535)</x:f>
      </x:c>
      <x:c r="V9" s="4" t="str">
        <x:f>IF(Master!W535="","",Master!W535)</x:f>
      </x:c>
      <x:c r="W9" s="4" t="str">
        <x:f>IF(Master!X535="","",Master!X535)</x:f>
      </x:c>
      <x:c r="X9" s="4" t="str">
        <x:f>IF(Master!Y535="","",Master!Y535)</x:f>
      </x:c>
      <x:c r="Y9" s="4" t="str">
        <x:f>IF(Master!Z535="","",Master!Z535)</x:f>
      </x:c>
      <x:c r="Z9" s="4" t="str">
        <x:f>IF(Master!AA535="","",Master!AA535)</x:f>
      </x:c>
      <x:c r="AA9" s="5" t="str">
        <x:f>IF(Master!AB535="","",Master!AB535)</x:f>
      </x:c>
      <x:c r="AB9" s="4" t="str">
        <x:f>IF(Master!AC535="","",Master!AC535)</x:f>
      </x:c>
      <x:c r="AC9" s="4" t="str">
        <x:f>IF(Master!AD535="","",Master!AD535)</x:f>
      </x:c>
      <x:c r="AD9" s="4" t="str">
        <x:f>IF(Master!AE535="","",Master!AE535)</x:f>
      </x:c>
      <x:c r="AE9" s="4" t="str">
        <x:f>IF(Master!AF535="","",Master!AF535)</x:f>
      </x:c>
      <x:c r="AF9" s="8" t="str">
        <x:f>IF(Master!AG535="","",Master!AG535)</x:f>
      </x:c>
    </x:row>
    <x:row r="10" ht="36" customHeight="1">
      <x:c r="A10" s="17" t="s">
        <x:v>801</x:v>
      </x:c>
      <x:c r="B10" s="3" t="str">
        <x:f>IF(Master!C536="","",Master!C536)</x:f>
        <x:v>Yes</x:v>
      </x:c>
      <x:c r="C10" s="3" t="str">
        <x:f>IF(Master!D536="","",Master!D536)</x:f>
      </x:c>
      <x:c r="D10" s="3" t="str">
        <x:f>IF(Master!E536="","",Master!E536)</x:f>
      </x:c>
      <x:c r="E10" s="3" t="str">
        <x:f>IF(Master!F536="","",Master!F536)</x:f>
      </x:c>
      <x:c r="F10" s="3" t="str">
        <x:f>IF(Master!G536="","",Master!G536)</x:f>
      </x:c>
      <x:c r="G10" s="3" t="str">
        <x:f>IF(Master!H536="","",Master!H536)</x:f>
      </x:c>
      <x:c r="H10" s="3" t="str">
        <x:f>IF(Master!I536="","",Master!I536)</x:f>
      </x:c>
      <x:c r="I10" s="3" t="str">
        <x:f>IF(Master!J536="","",Master!J536)</x:f>
      </x:c>
      <x:c r="J10" s="3" t="str">
        <x:f>IF(Master!K536="","",Master!K536)</x:f>
      </x:c>
      <x:c r="K10" s="3" t="str">
        <x:f>IF(Master!L536="","",Master!L536)</x:f>
        <x:v>No public CVE/advisory process located</x:v>
      </x:c>
      <x:c r="L10" s="3" t="str">
        <x:f>IF(Master!M536="","",Master!M536)</x:f>
      </x:c>
      <x:c r="M10" s="3" t="str">
        <x:f>IF(Master!N536="","",Master!N536)</x:f>
      </x:c>
      <x:c r="N10" s="3" t="str">
        <x:f>IF(Master!O536="","",Master!O536)</x:f>
        <x:v>Yes</x:v>
      </x:c>
      <x:c r="O10" s="3" t="str">
        <x:f>IF(Master!P536="","",Master!P536)</x:f>
        <x:v>Yes</x:v>
      </x:c>
      <x:c r="P10" s="3" t="str">
        <x:f>IF(Master!Q536="","",Master!Q536)</x:f>
      </x:c>
      <x:c r="Q10" s="3" t="str">
        <x:f>IF(Master!R536="","",Master!R536)</x:f>
        <x:v>Yes</x:v>
      </x:c>
      <x:c r="R10" s="3" t="str">
        <x:f>IF(Master!S536="","",Master!S536)</x:f>
      </x:c>
      <x:c r="S10" s="3" t="str">
        <x:f>IF(Master!T536="","",Master!T536)</x:f>
      </x:c>
      <x:c r="T10" s="3" t="str">
        <x:f>IF(Master!U536="","",Master!U536)</x:f>
        <x:v>Security contact: https://pqp.gg/.well-known/security.txt; no public CVE story reported</x:v>
      </x:c>
      <x:c r="U10" s="3" t="str">
        <x:f>IF(Master!V536="","",Master!V536)</x:f>
      </x:c>
      <x:c r="V10" s="3" t="str">
        <x:f>IF(Master!W536="","",Master!W536)</x:f>
        <x:v>Yes</x:v>
      </x:c>
      <x:c r="W10" s="3" t="str">
        <x:f>IF(Master!X536="","",Master!X536)</x:f>
      </x:c>
      <x:c r="X10" s="3" t="str">
        <x:f>IF(Master!Y536="","",Master!Y536)</x:f>
      </x:c>
      <x:c r="Y10" s="3" t="str">
        <x:f>IF(Master!Z536="","",Master!Z536)</x:f>
      </x:c>
      <x:c r="Z10" s="3" t="str">
        <x:f>IF(Master!AA536="","",Master!AA536)</x:f>
      </x:c>
      <x:c r="AA10" s="6" t="str">
        <x:f>IF(Master!AB536="","",Master!AB536)</x:f>
      </x:c>
      <x:c r="AB10" s="3" t="str">
        <x:f>IF(Master!AC536="","",Master!AC536)</x:f>
      </x:c>
      <x:c r="AC10" s="3" t="str">
        <x:f>IF(Master!AD536="","",Master!AD536)</x:f>
      </x:c>
      <x:c r="AD10" s="3" t="str">
        <x:f>IF(Master!AE536="","",Master!AE536)</x:f>
      </x:c>
      <x:c r="AE10" s="3" t="str">
        <x:f>IF(Master!AF536="","",Master!AF536)</x:f>
      </x:c>
      <x:c r="AF10" s="8" t="str">
        <x:f>IF(Master!AG536="","",Master!AG536)</x:f>
      </x:c>
    </x:row>
    <x:row r="11" ht="36" customHeight="1">
      <x:c r="A11" s="17" t="s">
        <x:v>802</x:v>
      </x:c>
      <x:c r="B11" s="3" t="str">
        <x:f>IF(Master!C537="","",Master!C537)</x:f>
        <x:v>Security/audit details vary; DAVE cryptographic audits published</x:v>
      </x:c>
      <x:c r="C11" s="3" t="str">
        <x:f>IF(Master!D537="","",Master!D537)</x:f>
      </x:c>
      <x:c r="D11" s="3" t="str">
        <x:f>IF(Master!E537="","",Master!E537)</x:f>
      </x:c>
      <x:c r="E11" s="3" t="str">
        <x:f>IF(Master!F537="","",Master!F537)</x:f>
      </x:c>
      <x:c r="F11" s="3" t="str">
        <x:f>IF(Master!G537="","",Master!G537)</x:f>
      </x:c>
      <x:c r="G11" s="3" t="str">
        <x:f>IF(Master!H537="","",Master!H537)</x:f>
      </x:c>
      <x:c r="H11" s="3" t="str">
        <x:f>IF(Master!I537="","",Master!I537)</x:f>
      </x:c>
      <x:c r="I11" s="3" t="str">
        <x:f>IF(Master!J537="","",Master!J537)</x:f>
      </x:c>
      <x:c r="J11" s="3" t="str">
        <x:f>IF(Master!K537="","",Master!K537)</x:f>
      </x:c>
      <x:c r="K11" s="3" t="str">
        <x:f>IF(Master!L537="","",Master!L537)</x:f>
        <x:v>None published</x:v>
      </x:c>
      <x:c r="L11" s="3" t="str">
        <x:f>IF(Master!M537="","",Master!M537)</x:f>
      </x:c>
      <x:c r="M11" s="3" t="str">
        <x:f>IF(Master!N537="","",Master!N537)</x:f>
      </x:c>
      <x:c r="N11" s="3" t="str">
        <x:f>IF(Master!O537="","",Master!O537)</x:f>
      </x:c>
      <x:c r="O11" s="3" t="str">
        <x:f>IF(Master!P537="","",Master!P537)</x:f>
      </x:c>
      <x:c r="P11" s="3" t="str">
        <x:f>IF(Master!Q537="","",Master!Q537)</x:f>
      </x:c>
      <x:c r="Q11" s="3" t="str">
        <x:f>IF(Master!R537="","",Master!R537)</x:f>
      </x:c>
      <x:c r="R11" s="3" t="str">
        <x:f>IF(Master!S537="","",Master!S537)</x:f>
      </x:c>
      <x:c r="S11" s="3" t="str">
        <x:f>IF(Master!T537="","",Master!T537)</x:f>
      </x:c>
      <x:c r="T11" s="3" t="str">
        <x:f>IF(Master!U537="","",Master!U537)</x:f>
        <x:v>None published</x:v>
      </x:c>
      <x:c r="U11" s="3" t="str">
        <x:f>IF(Master!V537="","",Master!V537)</x:f>
      </x:c>
      <x:c r="V11" s="3" t="str">
        <x:f>IF(Master!W537="","",Master!W537)</x:f>
      </x:c>
      <x:c r="W11" s="3" t="str">
        <x:f>IF(Master!X537="","",Master!X537)</x:f>
      </x:c>
      <x:c r="X11" s="3" t="str">
        <x:f>IF(Master!Y537="","",Master!Y537)</x:f>
      </x:c>
      <x:c r="Y11" s="3" t="str">
        <x:f>IF(Master!Z537="","",Master!Z537)</x:f>
      </x:c>
      <x:c r="Z11" s="3" t="str">
        <x:f>IF(Master!AA537="","",Master!AA537)</x:f>
      </x:c>
      <x:c r="AA11" s="6" t="str">
        <x:f>IF(Master!AB537="","",Master!AB537)</x:f>
      </x:c>
      <x:c r="AB11" s="3" t="str">
        <x:f>IF(Master!AC537="","",Master!AC537)</x:f>
      </x:c>
      <x:c r="AC11" s="3" t="str">
        <x:f>IF(Master!AD537="","",Master!AD537)</x:f>
      </x:c>
      <x:c r="AD11" s="3" t="str">
        <x:f>IF(Master!AE537="","",Master!AE537)</x:f>
      </x:c>
      <x:c r="AE11" s="3" t="str">
        <x:f>IF(Master!AF537="","",Master!AF537)</x:f>
      </x:c>
      <x:c r="AF11" s="8" t="str">
        <x:f>IF(Master!AG537="","",Master!AG537)</x:f>
      </x:c>
    </x:row>
    <x:row r="12" ht="23.100000381469727" customHeight="1">
      <x:c r="A12" s="17" t="s">
        <x:v>803</x:v>
      </x:c>
      <x:c r="B12" s="4" t="str">
        <x:f>IF(Master!C538="","",Master!C538)</x:f>
      </x:c>
      <x:c r="C12" s="4" t="str">
        <x:f>IF(Master!D538="","",Master!D538)</x:f>
      </x:c>
      <x:c r="D12" s="4" t="str">
        <x:f>IF(Master!E538="","",Master!E538)</x:f>
      </x:c>
      <x:c r="E12" s="4" t="str">
        <x:f>IF(Master!F538="","",Master!F538)</x:f>
      </x:c>
      <x:c r="F12" s="4" t="str">
        <x:f>IF(Master!G538="","",Master!G538)</x:f>
      </x:c>
      <x:c r="G12" s="4" t="str">
        <x:f>IF(Master!H538="","",Master!H538)</x:f>
      </x:c>
      <x:c r="H12" s="4" t="str">
        <x:f>IF(Master!I538="","",Master!I538)</x:f>
      </x:c>
      <x:c r="I12" s="4" t="str">
        <x:f>IF(Master!J538="","",Master!J538)</x:f>
      </x:c>
      <x:c r="J12" s="4" t="str">
        <x:f>IF(Master!K538="","",Master!K538)</x:f>
      </x:c>
      <x:c r="K12" s="4" t="str">
        <x:f>IF(Master!L538="","",Master!L538)</x:f>
        <x:v>No release-signing documentation located</x:v>
      </x:c>
      <x:c r="L12" s="4" t="str">
        <x:f>IF(Master!M538="","",Master!M538)</x:f>
      </x:c>
      <x:c r="M12" s="4" t="str">
        <x:f>IF(Master!N538="","",Master!N538)</x:f>
      </x:c>
      <x:c r="N12" s="4" t="str">
        <x:f>IF(Master!O538="","",Master!O538)</x:f>
      </x:c>
      <x:c r="O12" s="4" t="str">
        <x:f>IF(Master!P538="","",Master!P538)</x:f>
      </x:c>
      <x:c r="P12" s="4" t="str">
        <x:f>IF(Master!Q538="","",Master!Q538)</x:f>
      </x:c>
      <x:c r="Q12" s="4" t="str">
        <x:f>IF(Master!R538="","",Master!R538)</x:f>
      </x:c>
      <x:c r="R12" s="4" t="str">
        <x:f>IF(Master!S538="","",Master!S538)</x:f>
      </x:c>
      <x:c r="S12" s="4" t="str">
        <x:f>IF(Master!T538="","",Master!T538)</x:f>
      </x:c>
      <x:c r="T12" s="4" t="str">
        <x:f>IF(Master!U538="","",Master!U538)</x:f>
      </x:c>
      <x:c r="U12" s="4" t="str">
        <x:f>IF(Master!V538="","",Master!V538)</x:f>
      </x:c>
      <x:c r="V12" s="4" t="str">
        <x:f>IF(Master!W538="","",Master!W538)</x:f>
      </x:c>
      <x:c r="W12" s="4" t="str">
        <x:f>IF(Master!X538="","",Master!X538)</x:f>
      </x:c>
      <x:c r="X12" s="4" t="str">
        <x:f>IF(Master!Y538="","",Master!Y538)</x:f>
      </x:c>
      <x:c r="Y12" s="4" t="str">
        <x:f>IF(Master!Z538="","",Master!Z538)</x:f>
      </x:c>
      <x:c r="Z12" s="4" t="str">
        <x:f>IF(Master!AA538="","",Master!AA538)</x:f>
      </x:c>
      <x:c r="AA12" s="5" t="str">
        <x:f>IF(Master!AB538="","",Master!AB538)</x:f>
      </x:c>
      <x:c r="AB12" s="4" t="str">
        <x:f>IF(Master!AC538="","",Master!AC538)</x:f>
      </x:c>
      <x:c r="AC12" s="4" t="str">
        <x:f>IF(Master!AD538="","",Master!AD538)</x:f>
      </x:c>
      <x:c r="AD12" s="4" t="str">
        <x:f>IF(Master!AE538="","",Master!AE538)</x:f>
      </x:c>
      <x:c r="AE12" s="4" t="str">
        <x:f>IF(Master!AF538="","",Master!AF538)</x:f>
      </x:c>
      <x:c r="AF12" s="8" t="str">
        <x:f>IF(Master!AG538="","",Master!AG538)</x:f>
      </x:c>
    </x:row>
    <x:row r="13" ht="23.100000381469727" customHeight="1">
      <x:c r="A13" s="17" t="s">
        <x:v>804</x:v>
      </x:c>
      <x:c r="B13" s="4" t="str">
        <x:f>IF(Master!C539="","",Master!C539)</x:f>
      </x:c>
      <x:c r="C13" s="4" t="str">
        <x:f>IF(Master!D539="","",Master!D539)</x:f>
      </x:c>
      <x:c r="D13" s="4" t="str">
        <x:f>IF(Master!E539="","",Master!E539)</x:f>
      </x:c>
      <x:c r="E13" s="4" t="str">
        <x:f>IF(Master!F539="","",Master!F539)</x:f>
      </x:c>
      <x:c r="F13" s="4" t="str">
        <x:f>IF(Master!G539="","",Master!G539)</x:f>
      </x:c>
      <x:c r="G13" s="4" t="str">
        <x:f>IF(Master!H539="","",Master!H539)</x:f>
      </x:c>
      <x:c r="H13" s="4" t="str">
        <x:f>IF(Master!I539="","",Master!I539)</x:f>
      </x:c>
      <x:c r="I13" s="4" t="str">
        <x:f>IF(Master!J539="","",Master!J539)</x:f>
      </x:c>
      <x:c r="J13" s="4" t="str">
        <x:f>IF(Master!K539="","",Master!K539)</x:f>
      </x:c>
      <x:c r="K13" s="4" t="str">
        <x:f>IF(Master!L539="","",Master!L539)</x:f>
        <x:v>No SBOM/public supply-chain inventory located</x:v>
      </x:c>
      <x:c r="L13" s="4" t="str">
        <x:f>IF(Master!M539="","",Master!M539)</x:f>
      </x:c>
      <x:c r="M13" s="4" t="str">
        <x:f>IF(Master!N539="","",Master!N539)</x:f>
      </x:c>
      <x:c r="N13" s="4" t="str">
        <x:f>IF(Master!O539="","",Master!O539)</x:f>
      </x:c>
      <x:c r="O13" s="4" t="str">
        <x:f>IF(Master!P539="","",Master!P539)</x:f>
      </x:c>
      <x:c r="P13" s="4" t="str">
        <x:f>IF(Master!Q539="","",Master!Q539)</x:f>
      </x:c>
      <x:c r="Q13" s="4" t="str">
        <x:f>IF(Master!R539="","",Master!R539)</x:f>
      </x:c>
      <x:c r="R13" s="4" t="str">
        <x:f>IF(Master!S539="","",Master!S539)</x:f>
      </x:c>
      <x:c r="S13" s="4" t="str">
        <x:f>IF(Master!T539="","",Master!T539)</x:f>
      </x:c>
      <x:c r="T13" s="4" t="str">
        <x:f>IF(Master!U539="","",Master!U539)</x:f>
      </x:c>
      <x:c r="U13" s="4" t="str">
        <x:f>IF(Master!V539="","",Master!V539)</x:f>
      </x:c>
      <x:c r="V13" s="4" t="str">
        <x:f>IF(Master!W539="","",Master!W539)</x:f>
      </x:c>
      <x:c r="W13" s="4" t="str">
        <x:f>IF(Master!X539="","",Master!X539)</x:f>
      </x:c>
      <x:c r="X13" s="4" t="str">
        <x:f>IF(Master!Y539="","",Master!Y539)</x:f>
      </x:c>
      <x:c r="Y13" s="4" t="str">
        <x:f>IF(Master!Z539="","",Master!Z539)</x:f>
      </x:c>
      <x:c r="Z13" s="4" t="str">
        <x:f>IF(Master!AA539="","",Master!AA539)</x:f>
      </x:c>
      <x:c r="AA13" s="5" t="str">
        <x:f>IF(Master!AB539="","",Master!AB539)</x:f>
      </x:c>
      <x:c r="AB13" s="4" t="str">
        <x:f>IF(Master!AC539="","",Master!AC539)</x:f>
      </x:c>
      <x:c r="AC13" s="4" t="str">
        <x:f>IF(Master!AD539="","",Master!AD539)</x:f>
      </x:c>
      <x:c r="AD13" s="4" t="str">
        <x:f>IF(Master!AE539="","",Master!AE539)</x:f>
      </x:c>
      <x:c r="AE13" s="4" t="str">
        <x:f>IF(Master!AF539="","",Master!AF539)</x:f>
      </x:c>
      <x:c r="AF13" s="8" t="str">
        <x:f>IF(Master!AG539="","",Master!AG539)</x:f>
      </x:c>
    </x:row>
  </x:sheetData>
  <x:mergeCells>
    <x:mergeCell ref="A1:AF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Directory'!A1","Moderation &amp; Safety"),"Moderation &amp; Safety")</x:f>
        <x:v>Moderation &amp; Safety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805</x:v>
      </x:c>
      <x:c r="B3" s="3" t="str">
        <x:f>IF(Master!C540="","",Master!C540)</x:f>
        <x:v>Yes: AutoMod</x:v>
      </x:c>
      <x:c r="C3" s="3" t="str">
        <x:f>IF(Master!D540="","",Master!D540)</x:f>
      </x:c>
      <x:c r="D3" s="3" t="str">
        <x:f>IF(Master!E540="","",Master!E540)</x:f>
        <x:v>Server/operator moderation</x:v>
      </x:c>
      <x:c r="E3" s="3" t="str">
        <x:f>IF(Master!F540="","",Master!F540)</x:f>
      </x:c>
      <x:c r="F3" s="3" t="str">
        <x:f>IF(Master!G540="","",Master!G540)</x:f>
        <x:v>Native moderation</x:v>
      </x:c>
      <x:c r="G3" s="3" t="str">
        <x:f>IF(Master!H540="","",Master!H540)</x:f>
        <x:v>Native moderation</x:v>
      </x:c>
      <x:c r="H3" s="3" t="str">
        <x:f>IF(Master!I540="","",Master!I540)</x:f>
      </x:c>
      <x:c r="I3" s="3" t="str">
        <x:f>IF(Master!J540="","",Master!J540)</x:f>
      </x:c>
      <x:c r="J3" s="3" t="str">
        <x:f>IF(Master!K540="","",Master!K540)</x:f>
      </x:c>
      <x:c r="K3" s="3" t="str">
        <x:f>IF(Master!L540="","",Master!L540)</x:f>
        <x:v>Yes: developer reports native AutoMod</x:v>
      </x:c>
      <x:c r="L3" s="3" t="str">
        <x:f>IF(Master!M540="","",Master!M540)</x:f>
        <x:v>Native moderation</x:v>
      </x:c>
      <x:c r="M3" s="3" t="str">
        <x:f>IF(Master!N540="","",Master!N540)</x:f>
      </x:c>
      <x:c r="N3" s="3" t="str">
        <x:f>IF(Master!O540="","",Master!O540)</x:f>
        <x:v>Protocol supports room permissions/power levels; tooling varies by client/server</x:v>
      </x:c>
      <x:c r="O3" s="3" t="str">
        <x:f>IF(Master!P540="","",Master!P540)</x:f>
        <x:v>Moderation/admin/retention/compliance tools</x:v>
      </x:c>
      <x:c r="P3" s="3" t="str">
        <x:f>IF(Master!Q540="","",Master!Q540)</x:f>
      </x:c>
      <x:c r="Q3" s="3" t="str">
        <x:f>IF(Master!R540="","",Master!R540)</x:f>
        <x:v>ACLs/permissions rather than AutoMod</x:v>
      </x:c>
      <x:c r="R3" s="3" t="str">
        <x:f>IF(Master!S540="","",Master!S540)</x:f>
      </x:c>
      <x:c r="S3" s="3" t="str">
        <x:f>IF(Master!T540="","",Master!T540)</x:f>
      </x:c>
      <x:c r="T3" s="3" t="str">
        <x:f>IF(Master!U540="","",Master!U540)</x:f>
        <x:v>Native moderation</x:v>
      </x:c>
      <x:c r="U3" s="3" t="str">
        <x:f>IF(Master!V540="","",Master!V540)</x:f>
        <x:v>Yes: built-in AutoMod</x:v>
      </x:c>
      <x:c r="V3" s="3" t="str">
        <x:f>IF(Master!W540="","",Master!W540)</x:f>
        <x:v>Moderation/admin tools</x:v>
      </x:c>
      <x:c r="W3" s="3" t="str">
        <x:f>IF(Master!X540="","",Master!X540)</x:f>
      </x:c>
      <x:c r="X3" s="3" t="str">
        <x:f>IF(Master!Y540="","",Master!Y540)</x:f>
        <x:v>Yes: Moderation App + native controls</x:v>
      </x:c>
      <x:c r="Y3" s="3" t="str">
        <x:f>IF(Master!Z540="","",Master!Z540)</x:f>
        <x:v>Discord-compatible moderation target</x:v>
      </x:c>
      <x:c r="Z3" s="3" t="str">
        <x:f>IF(Master!AA540="","",Master!AA540)</x:f>
        <x:v>Partial/native moderation controls</x:v>
      </x:c>
      <x:c r="AA3" s="6" t="str">
        <x:f>IF(Master!AB540="","",Master!AB540)</x:f>
        <x:v>Permissions/admin tools</x:v>
      </x:c>
      <x:c r="AB3" s="3" t="str">
        <x:f>IF(Master!AC540="","",Master!AC540)</x:f>
        <x:v>Built-in automod</x:v>
      </x:c>
      <x:c r="AC3" s="3" t="str">
        <x:f>IF(Master!AD540="","",Master!AD540)</x:f>
      </x:c>
      <x:c r="AD3" s="3" t="str">
        <x:f>IF(Master!AE540="","",Master!AE540)</x:f>
      </x:c>
      <x:c r="AE3" s="3" t="str">
        <x:f>IF(Master!AF540="","",Master!AF540)</x:f>
      </x:c>
      <x:c r="AF3" s="8" t="str">
        <x:f>IF(Master!AG540="","",Master!AG540)</x:f>
        <x:v>Moderation/admin controls; no Discord-style AutoMod core</x:v>
      </x:c>
    </x:row>
    <x:row r="4" ht="36" customHeight="1">
      <x:c r="A4" s="17" t="s">
        <x:v>806</x:v>
      </x:c>
      <x:c r="B4" s="3" t="str">
        <x:f>IF(Master!C541="","",Master!C541)</x:f>
        <x:v>Yes: custom keywords + Rust-flavor regex</x:v>
      </x:c>
      <x:c r="C4" s="3" t="str">
        <x:f>IF(Master!D541="","",Master!D541)</x:f>
      </x:c>
      <x:c r="D4" s="3" t="str">
        <x:f>IF(Master!E541="","",Master!E541)</x:f>
        <x:v>Advanced anti-spam advertised</x:v>
      </x:c>
      <x:c r="E4" s="3" t="str">
        <x:f>IF(Master!F541="","",Master!F541)</x:f>
      </x:c>
      <x:c r="F4" s="3" t="str">
        <x:f>IF(Master!G541="","",Master!G541)</x:f>
      </x:c>
      <x:c r="G4" s="3" t="str">
        <x:f>IF(Master!H541="","",Master!H541)</x:f>
      </x:c>
      <x:c r="H4" s="3" t="str">
        <x:f>IF(Master!I541="","",Master!I541)</x:f>
      </x:c>
      <x:c r="I4" s="3" t="str">
        <x:f>IF(Master!J541="","",Master!J541)</x:f>
      </x:c>
      <x:c r="J4" s="3" t="str">
        <x:f>IF(Master!K541="","",Master!K541)</x:f>
      </x:c>
      <x:c r="K4" s="3" t="str">
        <x:f>IF(Master!L541="","",Master!L541)</x:f>
        <x:v>AutoMod exists; exact keyword and regex rule types were not fully documented in reviewed public sources.</x:v>
      </x:c>
      <x:c r="L4" s="3" t="str">
        <x:f>IF(Master!M541="","",Master!M541)</x:f>
      </x:c>
      <x:c r="M4" s="3" t="str">
        <x:f>IF(Master!N541="","",Master!N541)</x:f>
      </x:c>
      <x:c r="N4" s="3" t="str">
        <x:f>IF(Master!O541="","",Master!O541)</x:f>
        <x:v>Client/server/bot-dependent</x:v>
      </x:c>
      <x:c r="O4" s="3" t="str">
        <x:f>IF(Master!P541="","",Master!P541)</x:f>
      </x:c>
      <x:c r="P4" s="3" t="str">
        <x:f>IF(Master!Q541="","",Master!Q541)</x:f>
      </x:c>
      <x:c r="Q4" s="3" t="str">
        <x:f>IF(Master!R541="","",Master!R541)</x:f>
        <x:v>No text AutoMod focus</x:v>
      </x:c>
      <x:c r="R4" s="3" t="str">
        <x:f>IF(Master!S541="","",Master!S541)</x:f>
      </x:c>
      <x:c r="S4" s="3" t="str">
        <x:f>IF(Master!T541="","",Master!T541)</x:f>
      </x:c>
      <x:c r="T4" s="3" t="str">
        <x:f>IF(Master!U541="","",Master!U541)</x:f>
      </x:c>
      <x:c r="U4" s="3" t="str">
        <x:f>IF(Master!V541="","",Master!V541)</x:f>
        <x:v>Yes - built-in automod</x:v>
      </x:c>
      <x:c r="V4" s="3" t="str">
        <x:f>IF(Master!W541="","",Master!W541)</x:f>
      </x:c>
      <x:c r="W4" s="3" t="str">
        <x:f>IF(Master!X541="","",Master!X541)</x:f>
      </x:c>
      <x:c r="X4" s="3" t="str">
        <x:f>IF(Master!Y541="","",Master!Y541)</x:f>
      </x:c>
      <x:c r="Y4" s="3" t="str">
        <x:f>IF(Master!Z541="","",Master!Z541)</x:f>
      </x:c>
      <x:c r="Z4" s="3" t="str">
        <x:f>IF(Master!AA541="","",Master!AA541)</x:f>
      </x:c>
      <x:c r="AA4" s="6" t="str">
        <x:f>IF(Master!AB541="","",Master!AB541)</x:f>
      </x:c>
      <x:c r="AB4" s="3" t="str">
        <x:f>IF(Master!AC541="","",Master!AC541)</x:f>
        <x:v>Blocklists/automod</x:v>
      </x:c>
      <x:c r="AC4" s="3" t="str">
        <x:f>IF(Master!AD541="","",Master!AD541)</x:f>
      </x:c>
      <x:c r="AD4" s="3" t="str">
        <x:f>IF(Master!AE541="","",Master!AE541)</x:f>
      </x:c>
      <x:c r="AE4" s="3" t="str">
        <x:f>IF(Master!AF541="","",Master!AF541)</x:f>
      </x:c>
      <x:c r="AF4" s="8" t="str">
        <x:f>IF(Master!AG541="","",Master!AG541)</x:f>
      </x:c>
    </x:row>
    <x:row r="5" ht="36" customHeight="1">
      <x:c r="A5" s="17" t="s">
        <x:v>807</x:v>
      </x:c>
      <x:c r="B5" s="3" t="str">
        <x:f>IF(Master!C542="","",Master!C542)</x:f>
        <x:v>Yes: AutoMod spam filter, platform/API rate limits, verification levels, and slowmode</x:v>
      </x:c>
      <x:c r="C5" s="3" t="str">
        <x:f>IF(Master!D542="","",Master!D542)</x:f>
      </x:c>
      <x:c r="D5" s="3" t="str">
        <x:f>IF(Master!E542="","",Master!E542)</x:f>
        <x:v>Advanced anti-spam/rate controls</x:v>
      </x:c>
      <x:c r="E5" s="3" t="str">
        <x:f>IF(Master!F542="","",Master!F542)</x:f>
      </x:c>
      <x:c r="F5" s="3" t="str">
        <x:f>IF(Master!G542="","",Master!G542)</x:f>
        <x:v>Yes / planned native</x:v>
      </x:c>
      <x:c r="G5" s="3" t="str">
        <x:f>IF(Master!H542="","",Master!H542)</x:f>
        <x:v>Rate limits + moderation tools</x:v>
      </x:c>
      <x:c r="H5" s="3" t="str">
        <x:f>IF(Master!I542="","",Master!I542)</x:f>
      </x:c>
      <x:c r="I5" s="3" t="str">
        <x:f>IF(Master!J542="","",Master!J542)</x:f>
      </x:c>
      <x:c r="J5" s="3" t="str">
        <x:f>IF(Master!K542="","",Master!K542)</x:f>
      </x:c>
      <x:c r="K5" s="3" t="str">
        <x:f>IF(Master!L542="","",Master!L542)</x:f>
        <x:v>Yes: API/gateway mutation rate limits and bounded report limits are documented</x:v>
      </x:c>
      <x:c r="L5" s="3" t="str">
        <x:f>IF(Master!M542="","",Master!M542)</x:f>
      </x:c>
      <x:c r="M5" s="3" t="str">
        <x:f>IF(Master!N542="","",Master!N542)</x:f>
      </x:c>
      <x:c r="N5" s="3" t="str">
        <x:f>IF(Master!O542="","",Master!O542)</x:f>
        <x:v>Homeserver and bot-dependent</x:v>
      </x:c>
      <x:c r="O5" s="3" t="str">
        <x:f>IF(Master!P542="","",Master!P542)</x:f>
        <x:v>Rate limits + admin controls</x:v>
      </x:c>
      <x:c r="P5" s="3" t="str">
        <x:f>IF(Master!Q542="","",Master!Q542)</x:f>
      </x:c>
      <x:c r="Q5" s="3" t="str">
        <x:f>IF(Master!R542="","",Master!R542)</x:f>
        <x:v>Server ACLs/rate controls</x:v>
      </x:c>
      <x:c r="R5" s="3" t="str">
        <x:f>IF(Master!S542="","",Master!S542)</x:f>
      </x:c>
      <x:c r="S5" s="3" t="str">
        <x:f>IF(Master!T542="","",Master!T542)</x:f>
      </x:c>
      <x:c r="T5" s="3" t="str">
        <x:f>IF(Master!U542="","",Master!U542)</x:f>
        <x:v>Rate controls</x:v>
      </x:c>
      <x:c r="U5" s="3" t="str">
        <x:f>IF(Master!V542="","",Master!V542)</x:f>
        <x:v>Yes: spam protection + slowmode</x:v>
      </x:c>
      <x:c r="V5" s="3" t="str">
        <x:f>IF(Master!W542="","",Master!W542)</x:f>
        <x:v>Rate limiting + moderation</x:v>
      </x:c>
      <x:c r="W5" s="3" t="str">
        <x:f>IF(Master!X542="","",Master!X542)</x:f>
      </x:c>
      <x:c r="X5" s="3" t="str">
        <x:f>IF(Master!Y542="","",Master!Y542)</x:f>
        <x:v>Yes: spam rules</x:v>
      </x:c>
      <x:c r="Y5" s="3" t="str">
        <x:f>IF(Master!Z542="","",Master!Z542)</x:f>
        <x:v>Configurable rate limiting</x:v>
      </x:c>
      <x:c r="Z5" s="3" t="str">
        <x:f>IF(Master!AA542="","",Master!AA542)</x:f>
        <x:v>Rate limiting + moderation controls</x:v>
      </x:c>
      <x:c r="AA5" s="6" t="str">
        <x:f>IF(Master!AB542="","",Master!AB542)</x:f>
        <x:v>Anti-spam/flood controls</x:v>
      </x:c>
      <x:c r="AB5" s="3" t="str">
        <x:f>IF(Master!AC542="","",Master!AC542)</x:f>
        <x:v>Spam/raid tools</x:v>
      </x:c>
      <x:c r="AC5" s="3" t="str">
        <x:f>IF(Master!AD542="","",Master!AD542)</x:f>
      </x:c>
      <x:c r="AD5" s="3" t="str">
        <x:f>IF(Master!AE542="","",Master!AE542)</x:f>
      </x:c>
      <x:c r="AE5" s="3" t="str">
        <x:f>IF(Master!AF542="","",Master!AF542)</x:f>
      </x:c>
      <x:c r="AF5" s="8" t="str">
        <x:f>IF(Master!AG542="","",Master!AG542)</x:f>
        <x:v>Rate limiting/admin controls</x:v>
      </x:c>
    </x:row>
    <x:row r="6" ht="36" customHeight="1">
      <x:c r="A6" s="17" t="s">
        <x:v>808</x:v>
      </x:c>
      <x:c r="B6" s="3" t="str">
        <x:f>IF(Master!C543="","",Master!C543)</x:f>
        <x:v>Yes: Raid Protection uses ML signals and can require CAPTCHA; verification/security controls also available</x:v>
      </x:c>
      <x:c r="C6" s="3" t="str">
        <x:f>IF(Master!D543="","",Master!D543)</x:f>
      </x:c>
      <x:c r="D6" s="3" t="str">
        <x:f>IF(Master!E543="","",Master!E543)</x:f>
        <x:v>Federated ban-sharing planned</x:v>
      </x:c>
      <x:c r="E6" s="3" t="str">
        <x:f>IF(Master!F543="","",Master!F543)</x:f>
      </x:c>
      <x:c r="F6" s="3" t="str">
        <x:f>IF(Master!G543="","",Master!G543)</x:f>
      </x:c>
      <x:c r="G6" s="3" t="str">
        <x:f>IF(Master!H543="","",Master!H543)</x:f>
      </x:c>
      <x:c r="H6" s="3" t="str">
        <x:f>IF(Master!I543="","",Master!I543)</x:f>
      </x:c>
      <x:c r="I6" s="3" t="str">
        <x:f>IF(Master!J543="","",Master!J543)</x:f>
      </x:c>
      <x:c r="J6" s="3" t="str">
        <x:f>IF(Master!K543="","",Master!K543)</x:f>
      </x:c>
      <x:c r="K6" s="3" t="str">
        <x:f>IF(Master!L543="","",Master!L543)</x:f>
        <x:v>Not fully documented</x:v>
      </x:c>
      <x:c r="L6" s="3" t="str">
        <x:f>IF(Master!M543="","",Master!M543)</x:f>
      </x:c>
      <x:c r="M6" s="3" t="str">
        <x:f>IF(Master!N543="","",Master!N543)</x:f>
      </x:c>
      <x:c r="N6" s="3" t="str">
        <x:f>IF(Master!O543="","",Master!O543)</x:f>
        <x:v>Homeserver/operator-dependent</x:v>
      </x:c>
      <x:c r="O6" s="3" t="str">
        <x:f>IF(Master!P543="","",Master!P543)</x:f>
      </x:c>
      <x:c r="P6" s="3" t="str">
        <x:f>IF(Master!Q543="","",Master!Q543)</x:f>
      </x:c>
      <x:c r="Q6" s="3" t="str">
        <x:f>IF(Master!R543="","",Master!R543)</x:f>
        <x:v>N/A</x:v>
      </x:c>
      <x:c r="R6" s="3" t="str">
        <x:f>IF(Master!S543="","",Master!S543)</x:f>
      </x:c>
      <x:c r="S6" s="3" t="str">
        <x:f>IF(Master!T543="","",Master!T543)</x:f>
      </x:c>
      <x:c r="T6" s="3" t="str">
        <x:f>IF(Master!U543="","",Master!U543)</x:f>
      </x:c>
      <x:c r="U6" s="3" t="str">
        <x:f>IF(Master!V543="","",Master!V543)</x:f>
        <x:v>Yes: join-spike detection, account-age gate, raid mode</x:v>
      </x:c>
      <x:c r="V6" s="3" t="str">
        <x:f>IF(Master!W543="","",Master!W543)</x:f>
      </x:c>
      <x:c r="W6" s="3" t="str">
        <x:f>IF(Master!X543="","",Master!X543)</x:f>
      </x:c>
      <x:c r="X6" s="3" t="str">
        <x:f>IF(Master!Y543="","",Master!Y543)</x:f>
      </x:c>
      <x:c r="Y6" s="3" t="str">
        <x:f>IF(Master!Z543="","",Master!Z543)</x:f>
      </x:c>
      <x:c r="Z6" s="3" t="str">
        <x:f>IF(Master!AA543="","",Master!AA543)</x:f>
      </x:c>
      <x:c r="AA6" s="6" t="str">
        <x:f>IF(Master!AB543="","",Master!AB543)</x:f>
      </x:c>
      <x:c r="AB6" s="3" t="str">
        <x:f>IF(Master!AC543="","",Master!AC543)</x:f>
        <x:v>Automod raid protection</x:v>
      </x:c>
      <x:c r="AC6" s="3" t="str">
        <x:f>IF(Master!AD543="","",Master!AD543)</x:f>
      </x:c>
      <x:c r="AD6" s="3" t="str">
        <x:f>IF(Master!AE543="","",Master!AE543)</x:f>
      </x:c>
      <x:c r="AE6" s="3" t="str">
        <x:f>IF(Master!AF543="","",Master!AF543)</x:f>
      </x:c>
      <x:c r="AF6" s="8" t="str">
        <x:f>IF(Master!AG543="","",Master!AG543)</x:f>
      </x:c>
    </x:row>
    <x:row r="7" ht="36" customHeight="1">
      <x:c r="A7" s="17" t="s">
        <x:v>809</x:v>
      </x:c>
      <x:c r="B7" s="3" t="str">
        <x:f>IF(Master!C544="","",Master!C544)</x:f>
        <x:v>45 days</x:v>
      </x:c>
      <x:c r="C7" s="3" t="str">
        <x:f>IF(Master!D544="","",Master!D544)</x:f>
      </x:c>
      <x:c r="D7" s="3" t="str">
        <x:f>IF(Master!E544="","",Master!E544)</x:f>
        <x:v>Operator controlled</x:v>
      </x:c>
      <x:c r="E7" s="3" t="str">
        <x:f>IF(Master!F544="","",Master!F544)</x:f>
      </x:c>
      <x:c r="F7" s="3" t="str">
        <x:f>IF(Master!G544="","",Master!G544)</x:f>
      </x:c>
      <x:c r="G7" s="3" t="str">
        <x:f>IF(Master!H544="","",Master!H544)</x:f>
      </x:c>
      <x:c r="H7" s="3" t="str">
        <x:f>IF(Master!I544="","",Master!I544)</x:f>
      </x:c>
      <x:c r="I7" s="3" t="str">
        <x:f>IF(Master!J544="","",Master!J544)</x:f>
      </x:c>
      <x:c r="J7" s="3" t="str">
        <x:f>IF(Master!K544="","",Master!K544)</x:f>
      </x:c>
      <x:c r="K7" s="3" t="str">
        <x:f>IF(Master!L544="","",Master!L544)</x:f>
        <x:v>Developer reports no audit-depth limit; public documentation confirm audit records but do not publish a retention cap</x:v>
      </x:c>
      <x:c r="L7" s="3" t="str">
        <x:f>IF(Master!M544="","",Master!M544)</x:f>
      </x:c>
      <x:c r="M7" s="3" t="str">
        <x:f>IF(Master!N544="","",Master!N544)</x:f>
      </x:c>
      <x:c r="N7" s="3" t="str">
        <x:f>IF(Master!O544="","",Master!O544)</x:f>
        <x:v>Homeserver-dependent</x:v>
      </x:c>
      <x:c r="O7" s="3" t="str">
        <x:f>IF(Master!P544="","",Master!P544)</x:f>
        <x:v>Audit logs enterprise/deployment-dependent</x:v>
      </x:c>
      <x:c r="P7" s="3" t="str">
        <x:f>IF(Master!Q544="","",Master!Q544)</x:f>
      </x:c>
      <x:c r="Q7" s="3" t="str">
        <x:f>IF(Master!R544="","",Master!R544)</x:f>
        <x:v>Server logs operator-controlled</x:v>
      </x:c>
      <x:c r="R7" s="3" t="str">
        <x:f>IF(Master!S544="","",Master!S544)</x:f>
      </x:c>
      <x:c r="S7" s="3" t="str">
        <x:f>IF(Master!T544="","",Master!T544)</x:f>
      </x:c>
      <x:c r="T7" s="3" t="str">
        <x:f>IF(Master!U544="","",Master!U544)</x:f>
        <x:v>Audit log exists; retention period not publicly claimed</x:v>
      </x:c>
      <x:c r="U7" s="3" t="str">
        <x:f>IF(Master!V544="","",Master!V544)</x:f>
      </x:c>
      <x:c r="V7" s="3" t="str">
        <x:f>IF(Master!W544="","",Master!W544)</x:f>
        <x:v>Audit logs enterprise/admin</x:v>
      </x:c>
      <x:c r="W7" s="3" t="str">
        <x:f>IF(Master!X544="","",Master!X544)</x:f>
      </x:c>
      <x:c r="X7" s="3" t="str">
        <x:f>IF(Master!Y544="","",Master!Y544)</x:f>
      </x:c>
      <x:c r="Y7" s="3" t="str">
        <x:f>IF(Master!Z544="","",Master!Z544)</x:f>
      </x:c>
      <x:c r="Z7" s="3" t="str">
        <x:f>IF(Master!AA544="","",Master!AA544)</x:f>
      </x:c>
      <x:c r="AA7" s="6" t="str">
        <x:f>IF(Master!AB544="","",Master!AB544)</x:f>
        <x:v>Server logs/operator-controlled</x:v>
      </x:c>
      <x:c r="AB7" s="3" t="str">
        <x:f>IF(Master!AC544="","",Master!AC544)</x:f>
      </x:c>
      <x:c r="AC7" s="3" t="str">
        <x:f>IF(Master!AD544="","",Master!AD544)</x:f>
      </x:c>
      <x:c r="AD7" s="3" t="str">
        <x:f>IF(Master!AE544="","",Master!AE544)</x:f>
      </x:c>
      <x:c r="AE7" s="3" t="str">
        <x:f>IF(Master!AF544="","",Master!AF544)</x:f>
      </x:c>
      <x:c r="AF7" s="8" t="str">
        <x:f>IF(Master!AG544="","",Master!AG544)</x:f>
        <x:v>Audit/admin logs deployment-dependent</x:v>
      </x:c>
    </x:row>
    <x:row r="8" ht="36" customHeight="1">
      <x:c r="A8" s="17" t="s">
        <x:v>810</x:v>
      </x:c>
      <x:c r="B8" s="3" t="str">
        <x:f>IF(Master!C545="","",Master!C545)</x:f>
        <x:v>Granular administrative actions with actor/target/changes/reason; available in client and API</x:v>
      </x:c>
      <x:c r="C8" s="3" t="str">
        <x:f>IF(Master!D545="","",Master!D545)</x:f>
      </x:c>
      <x:c r="D8" s="3" t="str">
        <x:f>IF(Master!E545="","",Master!E545)</x:f>
        <x:v>Operator tools</x:v>
      </x:c>
      <x:c r="E8" s="3" t="str">
        <x:f>IF(Master!F545="","",Master!F545)</x:f>
      </x:c>
      <x:c r="F8" s="3" t="str">
        <x:f>IF(Master!G545="","",Master!G545)</x:f>
      </x:c>
      <x:c r="G8" s="3" t="str">
        <x:f>IF(Master!H545="","",Master!H545)</x:f>
      </x:c>
      <x:c r="H8" s="3" t="str">
        <x:f>IF(Master!I545="","",Master!I545)</x:f>
      </x:c>
      <x:c r="I8" s="3" t="str">
        <x:f>IF(Master!J545="","",Master!J545)</x:f>
      </x:c>
      <x:c r="J8" s="3" t="str">
        <x:f>IF(Master!K545="","",Master!K545)</x:f>
      </x:c>
      <x:c r="K8" s="3" t="str">
        <x:f>IF(Master!L545="","",Master!L545)</x:f>
        <x:v>Yes: administration audit includes actor, action, target, safe metadata and timestamp</x:v>
      </x:c>
      <x:c r="L8" s="3" t="str">
        <x:f>IF(Master!M545="","",Master!M545)</x:f>
      </x:c>
      <x:c r="M8" s="3" t="str">
        <x:f>IF(Master!N545="","",Master!N545)</x:f>
      </x:c>
      <x:c r="N8" s="3" t="str">
        <x:f>IF(Master!O545="","",Master!O545)</x:f>
        <x:v>Homeserver-dependent</x:v>
      </x:c>
      <x:c r="O8" s="3" t="str">
        <x:f>IF(Master!P545="","",Master!P545)</x:f>
        <x:v>Detailed audit/compliance tooling</x:v>
      </x:c>
      <x:c r="P8" s="3" t="str">
        <x:f>IF(Master!Q545="","",Master!Q545)</x:f>
      </x:c>
      <x:c r="Q8" s="3" t="str">
        <x:f>IF(Master!R545="","",Master!R545)</x:f>
        <x:v>ACL/log tools</x:v>
      </x:c>
      <x:c r="R8" s="3" t="str">
        <x:f>IF(Master!S545="","",Master!S545)</x:f>
      </x:c>
      <x:c r="S8" s="3" t="str">
        <x:f>IF(Master!T545="","",Master!T545)</x:f>
      </x:c>
      <x:c r="T8" s="3" t="str">
        <x:f>IF(Master!U545="","",Master!U545)</x:f>
        <x:v>Audit log exists; detailed filtering/granularity not stated</x:v>
      </x:c>
      <x:c r="U8" s="3" t="str">
        <x:f>IF(Master!V545="","",Master!V545)</x:f>
        <x:v>Yes: searchable mod feed by user/date/action</x:v>
      </x:c>
      <x:c r="V8" s="3" t="str">
        <x:f>IF(Master!W545="","",Master!W545)</x:f>
        <x:v>Detailed enterprise audit tools</x:v>
      </x:c>
      <x:c r="W8" s="3" t="str">
        <x:f>IF(Master!X545="","",Master!X545)</x:f>
      </x:c>
      <x:c r="X8" s="3" t="str">
        <x:f>IF(Master!Y545="","",Master!Y545)</x:f>
      </x:c>
      <x:c r="Y8" s="3" t="str">
        <x:f>IF(Master!Z545="","",Master!Z545)</x:f>
      </x:c>
      <x:c r="Z8" s="3" t="str">
        <x:f>IF(Master!AA545="","",Master!AA545)</x:f>
      </x:c>
      <x:c r="AA8" s="6" t="str">
        <x:f>IF(Master!AB545="","",Master!AB545)</x:f>
        <x:v>Detailed permissions/logging</x:v>
      </x:c>
      <x:c r="AB8" s="3" t="str">
        <x:f>IF(Master!AC545="","",Master!AC545)</x:f>
        <x:v>Moderation tooling</x:v>
      </x:c>
      <x:c r="AC8" s="3" t="str">
        <x:f>IF(Master!AD545="","",Master!AD545)</x:f>
      </x:c>
      <x:c r="AD8" s="3" t="str">
        <x:f>IF(Master!AE545="","",Master!AE545)</x:f>
      </x:c>
      <x:c r="AE8" s="3" t="str">
        <x:f>IF(Master!AF545="","",Master!AF545)</x:f>
      </x:c>
      <x:c r="AF8" s="8" t="str">
        <x:f>IF(Master!AG545="","",Master!AG545)</x:f>
        <x:v>Admin tooling</x:v>
      </x:c>
    </x:row>
    <x:row r="9" ht="36" customHeight="1">
      <x:c r="A9" s="17" t="s">
        <x:v>811</x:v>
      </x:c>
      <x:c r="B9" s="3" t="str">
        <x:f>IF(Master!C546="","",Master!C546)</x:f>
        <x:v>Yes: Rules Screening + verification levels; Server Member Applications are available/rolling out</x:v>
      </x:c>
      <x:c r="C9" s="3" t="str">
        <x:f>IF(Master!D546="","",Master!D546)</x:f>
      </x:c>
      <x:c r="D9" s="3" t="str">
        <x:f>IF(Master!E546="","",Master!E546)</x:f>
        <x:v>Instance controls</x:v>
      </x:c>
      <x:c r="E9" s="3" t="str">
        <x:f>IF(Master!F546="","",Master!F546)</x:f>
      </x:c>
      <x:c r="F9" s="3" t="str">
        <x:f>IF(Master!G546="","",Master!G546)</x:f>
      </x:c>
      <x:c r="G9" s="3" t="str">
        <x:f>IF(Master!H546="","",Master!H546)</x:f>
      </x:c>
      <x:c r="H9" s="3" t="str">
        <x:f>IF(Master!I546="","",Master!I546)</x:f>
      </x:c>
      <x:c r="I9" s="3" t="str">
        <x:f>IF(Master!J546="","",Master!J546)</x:f>
      </x:c>
      <x:c r="J9" s="3" t="str">
        <x:f>IF(Master!K546="","",Master!K546)</x:f>
      </x:c>
      <x:c r="K9" s="3" t="str">
        <x:f>IF(Master!L546="","",Master!L546)</x:f>
      </x:c>
      <x:c r="L9" s="3" t="str">
        <x:f>IF(Master!M546="","",Master!M546)</x:f>
      </x:c>
      <x:c r="M9" s="3" t="str">
        <x:f>IF(Master!N546="","",Master!N546)</x:f>
      </x:c>
      <x:c r="N9" s="3" t="str">
        <x:f>IF(Master!O546="","",Master!O546)</x:f>
        <x:v>Client/server-dependent</x:v>
      </x:c>
      <x:c r="O9" s="3" t="str">
        <x:f>IF(Master!P546="","",Master!P546)</x:f>
        <x:v>Invite/SSO/admin restrictions</x:v>
      </x:c>
      <x:c r="P9" s="3" t="str">
        <x:f>IF(Master!Q546="","",Master!Q546)</x:f>
      </x:c>
      <x:c r="Q9" s="3" t="str">
        <x:f>IF(Master!R546="","",Master!R546)</x:f>
        <x:v>Password/cert/ACL gates</x:v>
      </x:c>
      <x:c r="R9" s="3" t="str">
        <x:f>IF(Master!S546="","",Master!S546)</x:f>
      </x:c>
      <x:c r="S9" s="3" t="str">
        <x:f>IF(Master!T546="","",Master!T546)</x:f>
      </x:c>
      <x:c r="T9" s="3" t="str">
        <x:f>IF(Master!U546="","",Master!U546)</x:f>
      </x:c>
      <x:c r="U9" s="3" t="str">
        <x:f>IF(Master!V546="","",Master!V546)</x:f>
        <x:v>Yes - Join Applications</x:v>
      </x:c>
      <x:c r="V9" s="3" t="str">
        <x:f>IF(Master!W546="","",Master!W546)</x:f>
        <x:v>Invite/SSO/approval options</x:v>
      </x:c>
      <x:c r="W9" s="3" t="str">
        <x:f>IF(Master!X546="","",Master!X546)</x:f>
      </x:c>
      <x:c r="X9" s="3" t="str">
        <x:f>IF(Master!Y546="","",Master!Y546)</x:f>
      </x:c>
      <x:c r="Y9" s="3" t="str">
        <x:f>IF(Master!Z546="","",Master!Z546)</x:f>
      </x:c>
      <x:c r="Z9" s="3" t="str">
        <x:f>IF(Master!AA546="","",Master!AA546)</x:f>
      </x:c>
      <x:c r="AA9" s="6" t="str">
        <x:f>IF(Master!AB546="","",Master!AB546)</x:f>
        <x:v>Password/permissions</x:v>
      </x:c>
      <x:c r="AB9" s="3" t="str">
        <x:f>IF(Master!AC546="","",Master!AC546)</x:f>
      </x:c>
      <x:c r="AC9" s="3" t="str">
        <x:f>IF(Master!AD546="","",Master!AD546)</x:f>
      </x:c>
      <x:c r="AD9" s="3" t="str">
        <x:f>IF(Master!AE546="","",Master!AE546)</x:f>
      </x:c>
      <x:c r="AE9" s="3" t="str">
        <x:f>IF(Master!AF546="","",Master!AF546)</x:f>
      </x:c>
      <x:c r="AF9" s="8" t="str">
        <x:f>IF(Master!AG546="","",Master!AG546)</x:f>
        <x:v>Invite/SSO/domain controls</x:v>
      </x:c>
    </x:row>
    <x:row r="10" ht="36" customHeight="1">
      <x:c r="A10" s="17" t="s">
        <x:v>812</x:v>
      </x:c>
      <x:c r="B10" s="3" t="str">
        <x:f>IF(Master!C547="","",Master!C547)</x:f>
      </x:c>
      <x:c r="C10" s="3" t="str">
        <x:f>IF(Master!D547="","",Master!D547)</x:f>
      </x:c>
      <x:c r="D10" s="3" t="str">
        <x:f>IF(Master!E547="","",Master!E547)</x:f>
        <x:v>Operator responsibility</x:v>
      </x:c>
      <x:c r="E10" s="3" t="str">
        <x:f>IF(Master!F547="","",Master!F547)</x:f>
      </x:c>
      <x:c r="F10" s="3" t="str">
        <x:f>IF(Master!G547="","",Master!G547)</x:f>
        <x:v>Native moderation controls</x:v>
      </x:c>
      <x:c r="G10" s="3" t="str">
        <x:f>IF(Master!H547="","",Master!H547)</x:f>
      </x:c>
      <x:c r="H10" s="3" t="str">
        <x:f>IF(Master!I547="","",Master!I547)</x:f>
      </x:c>
      <x:c r="I10" s="3" t="str">
        <x:f>IF(Master!J547="","",Master!J547)</x:f>
      </x:c>
      <x:c r="J10" s="3" t="str">
        <x:f>IF(Master!K547="","",Master!K547)</x:f>
      </x:c>
      <x:c r="K10" s="3" t="str">
        <x:f>IF(Master!L547="","",Master!L547)</x:f>
        <x:v>Yes: instance Trust &amp; Safety report queue with triage/review/request-info/action/no-action/duplicate/reopen workflow</x:v>
      </x:c>
      <x:c r="L10" s="3" t="str">
        <x:f>IF(Master!M547="","",Master!M547)</x:f>
      </x:c>
      <x:c r="M10" s="3" t="str">
        <x:f>IF(Master!N547="","",Master!N547)</x:f>
      </x:c>
      <x:c r="N10" s="3" t="str">
        <x:f>IF(Master!O547="","",Master!O547)</x:f>
        <x:v>Client/server-dependent</x:v>
      </x:c>
      <x:c r="O10" s="3" t="str">
        <x:f>IF(Master!P547="","",Master!P547)</x:f>
        <x:v>Admin console</x:v>
      </x:c>
      <x:c r="P10" s="3" t="str">
        <x:f>IF(Master!Q547="","",Master!Q547)</x:f>
      </x:c>
      <x:c r="Q10" s="3" t="str">
        <x:f>IF(Master!R547="","",Master!R547)</x:f>
        <x:v>Admin tools</x:v>
      </x:c>
      <x:c r="R10" s="3" t="str">
        <x:f>IF(Master!S547="","",Master!S547)</x:f>
      </x:c>
      <x:c r="S10" s="3" t="str">
        <x:f>IF(Master!T547="","",Master!T547)</x:f>
      </x:c>
      <x:c r="T10" s="3" t="str">
        <x:f>IF(Master!U547="","",Master!U547)</x:f>
        <x:v>Reports in-app</x:v>
      </x:c>
      <x:c r="U10" s="3" t="str">
        <x:f>IF(Master!V547="","",Master!V547)</x:f>
        <x:v>Yes: structured reports + Shard Command Center</x:v>
      </x:c>
      <x:c r="V10" s="3" t="str">
        <x:f>IF(Master!W547="","",Master!W547)</x:f>
        <x:v>Admin console</x:v>
      </x:c>
      <x:c r="W10" s="3" t="str">
        <x:f>IF(Master!X547="","",Master!X547)</x:f>
      </x:c>
      <x:c r="X10" s="3" t="str">
        <x:f>IF(Master!Y547="","",Master!Y547)</x:f>
        <x:v>Moderation App dashboards/analytics</x:v>
      </x:c>
      <x:c r="Y10" s="3" t="str">
        <x:f>IF(Master!Z547="","",Master!Z547)</x:f>
      </x:c>
      <x:c r="Z10" s="3" t="str">
        <x:f>IF(Master!AA547="","",Master!AA547)</x:f>
      </x:c>
      <x:c r="AA10" s="6" t="str">
        <x:f>IF(Master!AB547="","",Master!AB547)</x:f>
        <x:v>Admin tools</x:v>
      </x:c>
      <x:c r="AB10" s="3" t="str">
        <x:f>IF(Master!AC547="","",Master!AC547)</x:f>
        <x:v>Admin/mod tools</x:v>
      </x:c>
      <x:c r="AC10" s="3" t="str">
        <x:f>IF(Master!AD547="","",Master!AD547)</x:f>
      </x:c>
      <x:c r="AD10" s="3" t="str">
        <x:f>IF(Master!AE547="","",Master!AE547)</x:f>
      </x:c>
      <x:c r="AE10" s="3" t="str">
        <x:f>IF(Master!AF547="","",Master!AF547)</x:f>
      </x:c>
      <x:c r="AF10" s="8" t="str">
        <x:f>IF(Master!AG547="","",Master!AG547)</x:f>
        <x:v>Admin UI</x:v>
      </x:c>
    </x:row>
    <x:row r="11" ht="23.100000381469727" customHeight="1">
      <x:c r="A11" s="17" t="s">
        <x:v>813</x:v>
      </x:c>
      <x:c r="B11" s="4" t="str">
        <x:f>IF(Master!C548="","",Master!C548)</x:f>
      </x:c>
      <x:c r="C11" s="4" t="str">
        <x:f>IF(Master!D548="","",Master!D548)</x:f>
      </x:c>
      <x:c r="D11" s="4" t="str">
        <x:f>IF(Master!E548="","",Master!E548)</x:f>
      </x:c>
      <x:c r="E11" s="4" t="str">
        <x:f>IF(Master!F548="","",Master!F548)</x:f>
      </x:c>
      <x:c r="F11" s="4" t="str">
        <x:f>IF(Master!G548="","",Master!G548)</x:f>
      </x:c>
      <x:c r="G11" s="4" t="str">
        <x:f>IF(Master!H548="","",Master!H548)</x:f>
      </x:c>
      <x:c r="H11" s="4" t="str">
        <x:f>IF(Master!I548="","",Master!I548)</x:f>
      </x:c>
      <x:c r="I11" s="4" t="str">
        <x:f>IF(Master!J548="","",Master!J548)</x:f>
      </x:c>
      <x:c r="J11" s="4" t="str">
        <x:f>IF(Master!K548="","",Master!K548)</x:f>
      </x:c>
      <x:c r="K11" s="4" t="str">
        <x:f>IF(Master!L548="","",Master!L548)</x:f>
        <x:v>Yes: instance Trust &amp; Safety report queue with triage/review/request-info/action/no-action/duplicate/reopen workflow</x:v>
      </x:c>
      <x:c r="L11" s="4" t="str">
        <x:f>IF(Master!M548="","",Master!M548)</x:f>
      </x:c>
      <x:c r="M11" s="4" t="str">
        <x:f>IF(Master!N548="","",Master!N548)</x:f>
      </x:c>
      <x:c r="N11" s="4" t="str">
        <x:f>IF(Master!O548="","",Master!O548)</x:f>
      </x:c>
      <x:c r="O11" s="4" t="str">
        <x:f>IF(Master!P548="","",Master!P548)</x:f>
      </x:c>
      <x:c r="P11" s="4" t="str">
        <x:f>IF(Master!Q548="","",Master!Q548)</x:f>
      </x:c>
      <x:c r="Q11" s="4" t="str">
        <x:f>IF(Master!R548="","",Master!R548)</x:f>
      </x:c>
      <x:c r="R11" s="4" t="str">
        <x:f>IF(Master!S548="","",Master!S548)</x:f>
      </x:c>
      <x:c r="S11" s="4" t="str">
        <x:f>IF(Master!T548="","",Master!T548)</x:f>
      </x:c>
      <x:c r="T11" s="4" t="str">
        <x:f>IF(Master!U548="","",Master!U548)</x:f>
      </x:c>
      <x:c r="U11" s="4" t="str">
        <x:f>IF(Master!V548="","",Master!V548)</x:f>
        <x:v>Yes - Command Center</x:v>
      </x:c>
      <x:c r="V11" s="4" t="str">
        <x:f>IF(Master!W548="","",Master!W548)</x:f>
      </x:c>
      <x:c r="W11" s="4" t="str">
        <x:f>IF(Master!X548="","",Master!X548)</x:f>
      </x:c>
      <x:c r="X11" s="4" t="str">
        <x:f>IF(Master!Y548="","",Master!Y548)</x:f>
      </x:c>
      <x:c r="Y11" s="4" t="str">
        <x:f>IF(Master!Z548="","",Master!Z548)</x:f>
      </x:c>
      <x:c r="Z11" s="4" t="str">
        <x:f>IF(Master!AA548="","",Master!AA548)</x:f>
      </x:c>
      <x:c r="AA11" s="5" t="str">
        <x:f>IF(Master!AB548="","",Master!AB548)</x:f>
      </x:c>
      <x:c r="AB11" s="4" t="str">
        <x:f>IF(Master!AC548="","",Master!AC548)</x:f>
      </x:c>
      <x:c r="AC11" s="4" t="str">
        <x:f>IF(Master!AD548="","",Master!AD548)</x:f>
      </x:c>
      <x:c r="AD11" s="4" t="str">
        <x:f>IF(Master!AE548="","",Master!AE548)</x:f>
      </x:c>
      <x:c r="AE11" s="4" t="str">
        <x:f>IF(Master!AF548="","",Master!AF548)</x:f>
      </x:c>
      <x:c r="AF11" s="8" t="str">
        <x:f>IF(Master!AG548="","",Master!AG548)</x:f>
      </x:c>
    </x:row>
    <x:row r="12" ht="36" customHeight="1">
      <x:c r="A12" s="17" t="s">
        <x:v>814</x:v>
      </x:c>
      <x:c r="B12" s="3" t="str">
        <x:f>IF(Master!C556="","",Master!C556)</x:f>
        <x:v>Yes</x:v>
      </x:c>
      <x:c r="C12" s="3" t="str">
        <x:f>IF(Master!D556="","",Master!D556)</x:f>
      </x:c>
      <x:c r="D12" s="3" t="str">
        <x:f>IF(Master!E556="","",Master!E556)</x:f>
      </x:c>
      <x:c r="E12" s="3" t="str">
        <x:f>IF(Master!F556="","",Master!F556)</x:f>
      </x:c>
      <x:c r="F12" s="3" t="str">
        <x:f>IF(Master!G556="","",Master!G556)</x:f>
      </x:c>
      <x:c r="G12" s="3" t="str">
        <x:f>IF(Master!H556="","",Master!H556)</x:f>
      </x:c>
      <x:c r="H12" s="3" t="str">
        <x:f>IF(Master!I556="","",Master!I556)</x:f>
      </x:c>
      <x:c r="I12" s="3" t="str">
        <x:f>IF(Master!J556="","",Master!J556)</x:f>
      </x:c>
      <x:c r="J12" s="3" t="str">
        <x:f>IF(Master!K556="","",Master!K556)</x:f>
      </x:c>
      <x:c r="K12" s="3" t="str">
        <x:f>IF(Master!L556="","",Master!L556)</x:f>
        <x:v>Not documented</x:v>
      </x:c>
      <x:c r="L12" s="3" t="str">
        <x:f>IF(Master!M556="","",Master!M556)</x:f>
      </x:c>
      <x:c r="M12" s="3" t="str">
        <x:f>IF(Master!N556="","",Master!N556)</x:f>
      </x:c>
      <x:c r="N12" s="3" t="str">
        <x:f>IF(Master!O556="","",Master!O556)</x:f>
      </x:c>
      <x:c r="O12" s="3" t="str">
        <x:f>IF(Master!P556="","",Master!P556)</x:f>
      </x:c>
      <x:c r="P12" s="3" t="str">
        <x:f>IF(Master!Q556="","",Master!Q556)</x:f>
      </x:c>
      <x:c r="Q12" s="3" t="str">
        <x:f>IF(Master!R556="","",Master!R556)</x:f>
      </x:c>
      <x:c r="R12" s="3" t="str">
        <x:f>IF(Master!S556="","",Master!S556)</x:f>
      </x:c>
      <x:c r="S12" s="3" t="str">
        <x:f>IF(Master!T556="","",Master!T556)</x:f>
      </x:c>
      <x:c r="T12" s="3" t="str">
        <x:f>IF(Master!U556="","",Master!U556)</x:f>
      </x:c>
      <x:c r="U12" s="3" t="str">
        <x:f>IF(Master!V556="","",Master!V556)</x:f>
        <x:v>Yes</x:v>
      </x:c>
      <x:c r="V12" s="3" t="str">
        <x:f>IF(Master!W556="","",Master!W556)</x:f>
      </x:c>
      <x:c r="W12" s="3" t="str">
        <x:f>IF(Master!X556="","",Master!X556)</x:f>
      </x:c>
      <x:c r="X12" s="3" t="str">
        <x:f>IF(Master!Y556="","",Master!Y556)</x:f>
      </x:c>
      <x:c r="Y12" s="3" t="str">
        <x:f>IF(Master!Z556="","",Master!Z556)</x:f>
      </x:c>
      <x:c r="Z12" s="3" t="str">
        <x:f>IF(Master!AA556="","",Master!AA556)</x:f>
      </x:c>
      <x:c r="AA12" s="6" t="str">
        <x:f>IF(Master!AB556="","",Master!AB556)</x:f>
      </x:c>
      <x:c r="AB12" s="3" t="str">
        <x:f>IF(Master!AC556="","",Master!AC556)</x:f>
      </x:c>
      <x:c r="AC12" s="3" t="str">
        <x:f>IF(Master!AD556="","",Master!AD556)</x:f>
      </x:c>
      <x:c r="AD12" s="3" t="str">
        <x:f>IF(Master!AE556="","",Master!AE556)</x:f>
      </x:c>
      <x:c r="AE12" s="3" t="str">
        <x:f>IF(Master!AF556="","",Master!AF556)</x:f>
      </x:c>
      <x:c r="AF12" s="8" t="str">
        <x:f>IF(Master!AG556="","",Master!AG556)</x:f>
      </x:c>
    </x:row>
    <x:row r="13" ht="36" customHeight="1">
      <x:c r="A13" s="17" t="s">
        <x:v>815</x:v>
      </x:c>
      <x:c r="B13" s="3" t="str">
        <x:f>IF(Master!C553="","",Master!C553)</x:f>
        <x:v>Yes / included in anti-spam</x:v>
      </x:c>
      <x:c r="C13" s="3" t="str">
        <x:f>IF(Master!D553="","",Master!D553)</x:f>
      </x:c>
      <x:c r="D13" s="3" t="str">
        <x:f>IF(Master!E553="","",Master!E553)</x:f>
        <x:v>Yes / included in anti-spam</x:v>
      </x:c>
      <x:c r="E13" s="3" t="str">
        <x:f>IF(Master!F553="","",Master!F553)</x:f>
      </x:c>
      <x:c r="F13" s="3" t="str">
        <x:f>IF(Master!G553="","",Master!G553)</x:f>
      </x:c>
      <x:c r="G13" s="3" t="str">
        <x:f>IF(Master!H553="","",Master!H553)</x:f>
      </x:c>
      <x:c r="H13" s="3" t="str">
        <x:f>IF(Master!I553="","",Master!I553)</x:f>
      </x:c>
      <x:c r="I13" s="3" t="str">
        <x:f>IF(Master!J553="","",Master!J553)</x:f>
      </x:c>
      <x:c r="J13" s="3" t="str">
        <x:f>IF(Master!K553="","",Master!K553)</x:f>
      </x:c>
      <x:c r="K13" s="3" t="str">
        <x:f>IF(Master!L553="","",Master!L553)</x:f>
        <x:v>AutoMod exists; exact keyword and regex rule types were not fully documented in reviewed public sources.</x:v>
      </x:c>
      <x:c r="L13" s="3" t="str">
        <x:f>IF(Master!M553="","",Master!M553)</x:f>
      </x:c>
      <x:c r="M13" s="3" t="str">
        <x:f>IF(Master!N553="","",Master!N553)</x:f>
      </x:c>
      <x:c r="N13" s="3" t="str">
        <x:f>IF(Master!O553="","",Master!O553)</x:f>
      </x:c>
      <x:c r="O13" s="3" t="str">
        <x:f>IF(Master!P553="","",Master!P553)</x:f>
      </x:c>
      <x:c r="P13" s="3" t="str">
        <x:f>IF(Master!Q553="","",Master!Q553)</x:f>
      </x:c>
      <x:c r="Q13" s="3" t="str">
        <x:f>IF(Master!R553="","",Master!R553)</x:f>
      </x:c>
      <x:c r="R13" s="3" t="str">
        <x:f>IF(Master!S553="","",Master!S553)</x:f>
      </x:c>
      <x:c r="S13" s="3" t="str">
        <x:f>IF(Master!T553="","",Master!T553)</x:f>
      </x:c>
      <x:c r="T13" s="3" t="str">
        <x:f>IF(Master!U553="","",Master!U553)</x:f>
      </x:c>
      <x:c r="U13" s="3" t="str">
        <x:f>IF(Master!V553="","",Master!V553)</x:f>
        <x:v>Yes</x:v>
      </x:c>
      <x:c r="V13" s="3" t="str">
        <x:f>IF(Master!W553="","",Master!W553)</x:f>
      </x:c>
      <x:c r="W13" s="3" t="str">
        <x:f>IF(Master!X553="","",Master!X553)</x:f>
      </x:c>
      <x:c r="X13" s="3" t="str">
        <x:f>IF(Master!Y553="","",Master!Y553)</x:f>
        <x:v>Yes / included in anti-spam</x:v>
      </x:c>
      <x:c r="Y13" s="3" t="str">
        <x:f>IF(Master!Z553="","",Master!Z553)</x:f>
      </x:c>
      <x:c r="Z13" s="3" t="str">
        <x:f>IF(Master!AA553="","",Master!AA553)</x:f>
      </x:c>
      <x:c r="AA13" s="6" t="str">
        <x:f>IF(Master!AB553="","",Master!AB553)</x:f>
        <x:v>Yes / included in anti-spam</x:v>
      </x:c>
      <x:c r="AB13" s="3" t="str">
        <x:f>IF(Master!AC553="","",Master!AC553)</x:f>
        <x:v>Yes / included in anti-spam</x:v>
      </x:c>
      <x:c r="AC13" s="3" t="str">
        <x:f>IF(Master!AD553="","",Master!AD553)</x:f>
      </x:c>
      <x:c r="AD13" s="3" t="str">
        <x:f>IF(Master!AE553="","",Master!AE553)</x:f>
      </x:c>
      <x:c r="AE13" s="3" t="str">
        <x:f>IF(Master!AF553="","",Master!AF553)</x:f>
      </x:c>
      <x:c r="AF13" s="8" t="str">
        <x:f>IF(Master!AG553="","",Master!AG553)</x:f>
      </x:c>
    </x:row>
    <x:row r="14" ht="36" customHeight="1">
      <x:c r="A14" s="17" t="s">
        <x:v>816</x:v>
      </x:c>
      <x:c r="B14" s="3" t="str">
        <x:f>IF(Master!C560="","",Master!C560)</x:f>
        <x:v>Yes</x:v>
      </x:c>
      <x:c r="C14" s="3" t="str">
        <x:f>IF(Master!D560="","",Master!D560)</x:f>
      </x:c>
      <x:c r="D14" s="3" t="str">
        <x:f>IF(Master!E560="","",Master!E560)</x:f>
      </x:c>
      <x:c r="E14" s="3" t="str">
        <x:f>IF(Master!F560="","",Master!F560)</x:f>
      </x:c>
      <x:c r="F14" s="3" t="str">
        <x:f>IF(Master!G560="","",Master!G560)</x:f>
      </x:c>
      <x:c r="G14" s="3" t="str">
        <x:f>IF(Master!H560="","",Master!H560)</x:f>
      </x:c>
      <x:c r="H14" s="3" t="str">
        <x:f>IF(Master!I560="","",Master!I560)</x:f>
      </x:c>
      <x:c r="I14" s="3" t="str">
        <x:f>IF(Master!J560="","",Master!J560)</x:f>
      </x:c>
      <x:c r="J14" s="3" t="str">
        <x:f>IF(Master!K560="","",Master!K560)</x:f>
      </x:c>
      <x:c r="K14" s="3" t="str">
        <x:f>IF(Master!L560="","",Master!L560)</x:f>
        <x:v>Not documented</x:v>
      </x:c>
      <x:c r="L14" s="3" t="str">
        <x:f>IF(Master!M560="","",Master!M560)</x:f>
      </x:c>
      <x:c r="M14" s="3" t="str">
        <x:f>IF(Master!N560="","",Master!N560)</x:f>
      </x:c>
      <x:c r="N14" s="3" t="str">
        <x:f>IF(Master!O560="","",Master!O560)</x:f>
      </x:c>
      <x:c r="O14" s="3" t="str">
        <x:f>IF(Master!P560="","",Master!P560)</x:f>
      </x:c>
      <x:c r="P14" s="3" t="str">
        <x:f>IF(Master!Q560="","",Master!Q560)</x:f>
      </x:c>
      <x:c r="Q14" s="3" t="str">
        <x:f>IF(Master!R560="","",Master!R560)</x:f>
      </x:c>
      <x:c r="R14" s="3" t="str">
        <x:f>IF(Master!S560="","",Master!S560)</x:f>
      </x:c>
      <x:c r="S14" s="3" t="str">
        <x:f>IF(Master!T560="","",Master!T560)</x:f>
      </x:c>
      <x:c r="T14" s="3" t="str">
        <x:f>IF(Master!U560="","",Master!U560)</x:f>
      </x:c>
      <x:c r="U14" s="3" t="n">
        <x:f>IF(Master!V560="","",Master!V560)</x:f>
        <x:v>1</x:v>
      </x:c>
      <x:c r="V14" s="3" t="str">
        <x:f>IF(Master!W560="","",Master!W560)</x:f>
      </x:c>
      <x:c r="W14" s="3" t="str">
        <x:f>IF(Master!X560="","",Master!X560)</x:f>
      </x:c>
      <x:c r="X14" s="3" t="str">
        <x:f>IF(Master!Y560="","",Master!Y560)</x:f>
      </x:c>
      <x:c r="Y14" s="3" t="str">
        <x:f>IF(Master!Z560="","",Master!Z560)</x:f>
      </x:c>
      <x:c r="Z14" s="3" t="str">
        <x:f>IF(Master!AA560="","",Master!AA560)</x:f>
      </x:c>
      <x:c r="AA14" s="6" t="str">
        <x:f>IF(Master!AB560="","",Master!AB560)</x:f>
      </x:c>
      <x:c r="AB14" s="3" t="str">
        <x:f>IF(Master!AC560="","",Master!AC560)</x:f>
      </x:c>
      <x:c r="AC14" s="3" t="str">
        <x:f>IF(Master!AD560="","",Master!AD560)</x:f>
      </x:c>
      <x:c r="AD14" s="3" t="str">
        <x:f>IF(Master!AE560="","",Master!AE560)</x:f>
      </x:c>
      <x:c r="AE14" s="3" t="str">
        <x:f>IF(Master!AF560="","",Master!AF560)</x:f>
      </x:c>
      <x:c r="AF14" s="8" t="str">
        <x:f>IF(Master!AG560="","",Master!AG560)</x:f>
      </x:c>
    </x:row>
    <x:row r="15" ht="36" customHeight="1">
      <x:c r="A15" s="17" t="s">
        <x:v>817</x:v>
      </x:c>
      <x:c r="B15" s="3" t="str">
        <x:f>IF(Master!C561="","",Master!C561)</x:f>
        <x:v>Yes: Rules Screening + verification levels; Server Member Applications are available/rolling out</x:v>
      </x:c>
      <x:c r="C15" s="3" t="str">
        <x:f>IF(Master!D561="","",Master!D561)</x:f>
      </x:c>
      <x:c r="D15" s="3" t="str">
        <x:f>IF(Master!E561="","",Master!E561)</x:f>
        <x:v>Instance controls</x:v>
      </x:c>
      <x:c r="E15" s="3" t="str">
        <x:f>IF(Master!F561="","",Master!F561)</x:f>
      </x:c>
      <x:c r="F15" s="3" t="str">
        <x:f>IF(Master!G561="","",Master!G561)</x:f>
      </x:c>
      <x:c r="G15" s="3" t="str">
        <x:f>IF(Master!H561="","",Master!H561)</x:f>
      </x:c>
      <x:c r="H15" s="3" t="str">
        <x:f>IF(Master!I561="","",Master!I561)</x:f>
      </x:c>
      <x:c r="I15" s="3" t="str">
        <x:f>IF(Master!J561="","",Master!J561)</x:f>
      </x:c>
      <x:c r="J15" s="3" t="str">
        <x:f>IF(Master!K561="","",Master!K561)</x:f>
      </x:c>
      <x:c r="K15" s="3" t="str">
        <x:f>IF(Master!L561="","",Master!L561)</x:f>
        <x:v>Not documented</x:v>
      </x:c>
      <x:c r="L15" s="3" t="str">
        <x:f>IF(Master!M561="","",Master!M561)</x:f>
      </x:c>
      <x:c r="M15" s="3" t="str">
        <x:f>IF(Master!N561="","",Master!N561)</x:f>
      </x:c>
      <x:c r="N15" s="3" t="str">
        <x:f>IF(Master!O561="","",Master!O561)</x:f>
        <x:v>Client/server-dependent</x:v>
      </x:c>
      <x:c r="O15" s="3" t="str">
        <x:f>IF(Master!P561="","",Master!P561)</x:f>
        <x:v>Invite/SSO/admin restrictions</x:v>
      </x:c>
      <x:c r="P15" s="3" t="str">
        <x:f>IF(Master!Q561="","",Master!Q561)</x:f>
      </x:c>
      <x:c r="Q15" s="3" t="str">
        <x:f>IF(Master!R561="","",Master!R561)</x:f>
        <x:v>Password/cert/ACL gates</x:v>
      </x:c>
      <x:c r="R15" s="3" t="str">
        <x:f>IF(Master!S561="","",Master!S561)</x:f>
      </x:c>
      <x:c r="S15" s="3" t="str">
        <x:f>IF(Master!T561="","",Master!T561)</x:f>
      </x:c>
      <x:c r="T15" s="3" t="str">
        <x:f>IF(Master!U561="","",Master!U561)</x:f>
      </x:c>
      <x:c r="U15" s="3" t="str">
        <x:f>IF(Master!V561="","",Master!V561)</x:f>
        <x:v>Yes</x:v>
      </x:c>
      <x:c r="V15" s="3" t="str">
        <x:f>IF(Master!W561="","",Master!W561)</x:f>
        <x:v>Invite/SSO/approval options</x:v>
      </x:c>
      <x:c r="W15" s="3" t="str">
        <x:f>IF(Master!X561="","",Master!X561)</x:f>
      </x:c>
      <x:c r="X15" s="3" t="str">
        <x:f>IF(Master!Y561="","",Master!Y561)</x:f>
      </x:c>
      <x:c r="Y15" s="3" t="str">
        <x:f>IF(Master!Z561="","",Master!Z561)</x:f>
      </x:c>
      <x:c r="Z15" s="3" t="str">
        <x:f>IF(Master!AA561="","",Master!AA561)</x:f>
      </x:c>
      <x:c r="AA15" s="6" t="str">
        <x:f>IF(Master!AB561="","",Master!AB561)</x:f>
        <x:v>Password/permissions</x:v>
      </x:c>
      <x:c r="AB15" s="3" t="str">
        <x:f>IF(Master!AC561="","",Master!AC561)</x:f>
      </x:c>
      <x:c r="AC15" s="3" t="str">
        <x:f>IF(Master!AD561="","",Master!AD561)</x:f>
      </x:c>
      <x:c r="AD15" s="3" t="str">
        <x:f>IF(Master!AE561="","",Master!AE561)</x:f>
      </x:c>
      <x:c r="AE15" s="3" t="str">
        <x:f>IF(Master!AF561="","",Master!AF561)</x:f>
      </x:c>
      <x:c r="AF15" s="8" t="str">
        <x:f>IF(Master!AG561="","",Master!AG561)</x:f>
        <x:v>Invite/SSO/domain controls</x:v>
      </x:c>
    </x:row>
    <x:row r="16" ht="36" customHeight="1">
      <x:c r="A16" s="17" t="s">
        <x:v>818</x:v>
      </x:c>
      <x:c r="B16" s="3" t="str">
        <x:f>IF(Master!C562="","",Master!C562)</x:f>
        <x:v>Yes: Rules Screening + verification levels; Server Member Applications are available/rolling out</x:v>
      </x:c>
      <x:c r="C16" s="3" t="str">
        <x:f>IF(Master!D562="","",Master!D562)</x:f>
      </x:c>
      <x:c r="D16" s="3" t="str">
        <x:f>IF(Master!E562="","",Master!E562)</x:f>
        <x:v>Instance controls</x:v>
      </x:c>
      <x:c r="E16" s="3" t="str">
        <x:f>IF(Master!F562="","",Master!F562)</x:f>
      </x:c>
      <x:c r="F16" s="3" t="str">
        <x:f>IF(Master!G562="","",Master!G562)</x:f>
      </x:c>
      <x:c r="G16" s="3" t="str">
        <x:f>IF(Master!H562="","",Master!H562)</x:f>
      </x:c>
      <x:c r="H16" s="3" t="str">
        <x:f>IF(Master!I562="","",Master!I562)</x:f>
      </x:c>
      <x:c r="I16" s="3" t="str">
        <x:f>IF(Master!J562="","",Master!J562)</x:f>
      </x:c>
      <x:c r="J16" s="3" t="str">
        <x:f>IF(Master!K562="","",Master!K562)</x:f>
      </x:c>
      <x:c r="K16" s="3" t="str">
        <x:f>IF(Master!L562="","",Master!L562)</x:f>
        <x:v>Not documented</x:v>
      </x:c>
      <x:c r="L16" s="3" t="str">
        <x:f>IF(Master!M562="","",Master!M562)</x:f>
      </x:c>
      <x:c r="M16" s="3" t="str">
        <x:f>IF(Master!N562="","",Master!N562)</x:f>
      </x:c>
      <x:c r="N16" s="3" t="str">
        <x:f>IF(Master!O562="","",Master!O562)</x:f>
        <x:v>Client/server-dependent</x:v>
      </x:c>
      <x:c r="O16" s="3" t="str">
        <x:f>IF(Master!P562="","",Master!P562)</x:f>
        <x:v>Invite/SSO/admin restrictions</x:v>
      </x:c>
      <x:c r="P16" s="3" t="str">
        <x:f>IF(Master!Q562="","",Master!Q562)</x:f>
      </x:c>
      <x:c r="Q16" s="3" t="str">
        <x:f>IF(Master!R562="","",Master!R562)</x:f>
        <x:v>Password/cert/ACL gates</x:v>
      </x:c>
      <x:c r="R16" s="3" t="str">
        <x:f>IF(Master!S562="","",Master!S562)</x:f>
      </x:c>
      <x:c r="S16" s="3" t="str">
        <x:f>IF(Master!T562="","",Master!T562)</x:f>
      </x:c>
      <x:c r="T16" s="3" t="str">
        <x:f>IF(Master!U562="","",Master!U562)</x:f>
      </x:c>
      <x:c r="U16" s="3" t="str">
        <x:f>IF(Master!V562="","",Master!V562)</x:f>
        <x:v>Yes</x:v>
      </x:c>
      <x:c r="V16" s="3" t="str">
        <x:f>IF(Master!W562="","",Master!W562)</x:f>
        <x:v>Invite/SSO/approval options</x:v>
      </x:c>
      <x:c r="W16" s="3" t="str">
        <x:f>IF(Master!X562="","",Master!X562)</x:f>
      </x:c>
      <x:c r="X16" s="3" t="str">
        <x:f>IF(Master!Y562="","",Master!Y562)</x:f>
      </x:c>
      <x:c r="Y16" s="3" t="str">
        <x:f>IF(Master!Z562="","",Master!Z562)</x:f>
      </x:c>
      <x:c r="Z16" s="3" t="str">
        <x:f>IF(Master!AA562="","",Master!AA562)</x:f>
      </x:c>
      <x:c r="AA16" s="6" t="str">
        <x:f>IF(Master!AB562="","",Master!AB562)</x:f>
        <x:v>Password/permissions</x:v>
      </x:c>
      <x:c r="AB16" s="3" t="str">
        <x:f>IF(Master!AC562="","",Master!AC562)</x:f>
      </x:c>
      <x:c r="AC16" s="3" t="str">
        <x:f>IF(Master!AD562="","",Master!AD562)</x:f>
      </x:c>
      <x:c r="AD16" s="3" t="str">
        <x:f>IF(Master!AE562="","",Master!AE562)</x:f>
      </x:c>
      <x:c r="AE16" s="3" t="str">
        <x:f>IF(Master!AF562="","",Master!AF562)</x:f>
      </x:c>
      <x:c r="AF16" s="8" t="str">
        <x:f>IF(Master!AG562="","",Master!AG562)</x:f>
        <x:v>Invite/SSO/domain controls</x:v>
      </x:c>
    </x:row>
    <x:row r="17" ht="36" customHeight="1">
      <x:c r="A17" s="17" t="s">
        <x:v>819</x:v>
      </x:c>
      <x:c r="B17" s="3" t="str">
        <x:f>IF(Master!C569="","",Master!C569)</x:f>
        <x:v>Yes</x:v>
      </x:c>
      <x:c r="C17" s="3" t="str">
        <x:f>IF(Master!D569="","",Master!D569)</x:f>
        <x:v>Yes</x:v>
      </x:c>
      <x:c r="D17" s="3" t="str">
        <x:f>IF(Master!E569="","",Master!E569)</x:f>
        <x:v>Yes</x:v>
      </x:c>
      <x:c r="E17" s="3" t="str">
        <x:f>IF(Master!F569="","",Master!F569)</x:f>
        <x:v>Yes</x:v>
      </x:c>
      <x:c r="F17" s="3" t="str">
        <x:f>IF(Master!G569="","",Master!G569)</x:f>
        <x:v>Yes</x:v>
      </x:c>
      <x:c r="G17" s="3" t="str">
        <x:f>IF(Master!H569="","",Master!H569)</x:f>
        <x:v>Yes</x:v>
      </x:c>
      <x:c r="H17" s="3" t="str">
        <x:f>IF(Master!I569="","",Master!I569)</x:f>
        <x:v>Yes</x:v>
      </x:c>
      <x:c r="I17" s="3" t="str">
        <x:f>IF(Master!J569="","",Master!J569)</x:f>
        <x:v>Yes</x:v>
      </x:c>
      <x:c r="J17" s="3" t="str">
        <x:f>IF(Master!K569="","",Master!K569)</x:f>
        <x:v>Yes</x:v>
      </x:c>
      <x:c r="K17" s="3" t="str">
        <x:f>IF(Master!L569="","",Master!L569)</x:f>
        <x:v>Yes</x:v>
      </x:c>
      <x:c r="L17" s="3" t="str">
        <x:f>IF(Master!M569="","",Master!M569)</x:f>
        <x:v>Yes</x:v>
      </x:c>
      <x:c r="M17" s="3" t="str">
        <x:f>IF(Master!N569="","",Master!N569)</x:f>
        <x:v>Yes</x:v>
      </x:c>
      <x:c r="N17" s="3" t="str">
        <x:f>IF(Master!O569="","",Master!O569)</x:f>
        <x:v>Yes</x:v>
      </x:c>
      <x:c r="O17" s="3" t="str">
        <x:f>IF(Master!P569="","",Master!P569)</x:f>
        <x:v>Yes</x:v>
      </x:c>
      <x:c r="P17" s="3" t="str">
        <x:f>IF(Master!Q569="","",Master!Q569)</x:f>
        <x:v>Yes</x:v>
      </x:c>
      <x:c r="Q17" s="3" t="str">
        <x:f>IF(Master!R569="","",Master!R569)</x:f>
        <x:v>Yes</x:v>
      </x:c>
      <x:c r="R17" s="3" t="str">
        <x:f>IF(Master!S569="","",Master!S569)</x:f>
        <x:v>Yes</x:v>
      </x:c>
      <x:c r="S17" s="3" t="str">
        <x:f>IF(Master!T569="","",Master!T569)</x:f>
        <x:v>Yes</x:v>
      </x:c>
      <x:c r="T17" s="3" t="str">
        <x:f>IF(Master!U569="","",Master!U569)</x:f>
        <x:v>Yes</x:v>
      </x:c>
      <x:c r="U17" s="3" t="str">
        <x:f>IF(Master!V569="","",Master!V569)</x:f>
        <x:v>Yes</x:v>
      </x:c>
      <x:c r="V17" s="3" t="str">
        <x:f>IF(Master!W569="","",Master!W569)</x:f>
        <x:v>Yes</x:v>
      </x:c>
      <x:c r="W17" s="3" t="str">
        <x:f>IF(Master!X569="","",Master!X569)</x:f>
        <x:v>Yes</x:v>
      </x:c>
      <x:c r="X17" s="3" t="str">
        <x:f>IF(Master!Y569="","",Master!Y569)</x:f>
        <x:v>Yes</x:v>
      </x:c>
      <x:c r="Y17" s="3" t="str">
        <x:f>IF(Master!Z569="","",Master!Z569)</x:f>
        <x:v>Yes</x:v>
      </x:c>
      <x:c r="Z17" s="3" t="str">
        <x:f>IF(Master!AA569="","",Master!AA569)</x:f>
        <x:v>Yes</x:v>
      </x:c>
      <x:c r="AA17" s="6" t="str">
        <x:f>IF(Master!AB569="","",Master!AB569)</x:f>
        <x:v>Yes</x:v>
      </x:c>
      <x:c r="AB17" s="3" t="str">
        <x:f>IF(Master!AC569="","",Master!AC569)</x:f>
        <x:v>Yes</x:v>
      </x:c>
      <x:c r="AC17" s="3" t="str">
        <x:f>IF(Master!AD569="","",Master!AD569)</x:f>
        <x:v>Yes</x:v>
      </x:c>
      <x:c r="AD17" s="3" t="str">
        <x:f>IF(Master!AE569="","",Master!AE569)</x:f>
        <x:v>Yes</x:v>
      </x:c>
      <x:c r="AE17" s="3" t="str">
        <x:f>IF(Master!AF569="","",Master!AF569)</x:f>
        <x:v>Yes</x:v>
      </x:c>
      <x:c r="AF17" s="8" t="str">
        <x:f>IF(Master!AG569="","",Master!AG569)</x:f>
        <x:v>Yes</x:v>
      </x:c>
    </x:row>
    <x:row r="18" ht="36" customHeight="1">
      <x:c r="A18" s="17" t="s">
        <x:v>820</x:v>
      </x:c>
      <x:c r="B18" s="3" t="str">
        <x:f>IF(Master!C570="","",Master!C570)</x:f>
        <x:v>Yes</x:v>
      </x:c>
      <x:c r="C18" s="3" t="str">
        <x:f>IF(Master!D570="","",Master!D570)</x:f>
        <x:v>Yes</x:v>
      </x:c>
      <x:c r="D18" s="3" t="str">
        <x:f>IF(Master!E570="","",Master!E570)</x:f>
        <x:v>Yes</x:v>
      </x:c>
      <x:c r="E18" s="3" t="str">
        <x:f>IF(Master!F570="","",Master!F570)</x:f>
        <x:v>Yes</x:v>
      </x:c>
      <x:c r="F18" s="3" t="str">
        <x:f>IF(Master!G570="","",Master!G570)</x:f>
        <x:v>Yes</x:v>
      </x:c>
      <x:c r="G18" s="3" t="str">
        <x:f>IF(Master!H570="","",Master!H570)</x:f>
        <x:v>Yes</x:v>
      </x:c>
      <x:c r="H18" s="3" t="str">
        <x:f>IF(Master!I570="","",Master!I570)</x:f>
        <x:v>Yes</x:v>
      </x:c>
      <x:c r="I18" s="3" t="str">
        <x:f>IF(Master!J570="","",Master!J570)</x:f>
        <x:v>Yes</x:v>
      </x:c>
      <x:c r="J18" s="3" t="str">
        <x:f>IF(Master!K570="","",Master!K570)</x:f>
        <x:v>Yes</x:v>
      </x:c>
      <x:c r="K18" s="3" t="str">
        <x:f>IF(Master!L570="","",Master!L570)</x:f>
        <x:v>Yes</x:v>
      </x:c>
      <x:c r="L18" s="3" t="str">
        <x:f>IF(Master!M570="","",Master!M570)</x:f>
        <x:v>Yes</x:v>
      </x:c>
      <x:c r="M18" s="3" t="str">
        <x:f>IF(Master!N570="","",Master!N570)</x:f>
        <x:v>Yes</x:v>
      </x:c>
      <x:c r="N18" s="3" t="str">
        <x:f>IF(Master!O570="","",Master!O570)</x:f>
        <x:v>Yes</x:v>
      </x:c>
      <x:c r="O18" s="3" t="str">
        <x:f>IF(Master!P570="","",Master!P570)</x:f>
        <x:v>Yes</x:v>
      </x:c>
      <x:c r="P18" s="3" t="str">
        <x:f>IF(Master!Q570="","",Master!Q570)</x:f>
        <x:v>Yes</x:v>
      </x:c>
      <x:c r="Q18" s="3" t="str">
        <x:f>IF(Master!R570="","",Master!R570)</x:f>
        <x:v>Yes</x:v>
      </x:c>
      <x:c r="R18" s="3" t="str">
        <x:f>IF(Master!S570="","",Master!S570)</x:f>
        <x:v>Yes</x:v>
      </x:c>
      <x:c r="S18" s="3" t="str">
        <x:f>IF(Master!T570="","",Master!T570)</x:f>
        <x:v>Yes</x:v>
      </x:c>
      <x:c r="T18" s="3" t="str">
        <x:f>IF(Master!U570="","",Master!U570)</x:f>
        <x:v>Yes</x:v>
      </x:c>
      <x:c r="U18" s="3" t="str">
        <x:f>IF(Master!V570="","",Master!V570)</x:f>
        <x:v>Yes</x:v>
      </x:c>
      <x:c r="V18" s="3" t="str">
        <x:f>IF(Master!W570="","",Master!W570)</x:f>
        <x:v>Yes</x:v>
      </x:c>
      <x:c r="W18" s="3" t="str">
        <x:f>IF(Master!X570="","",Master!X570)</x:f>
        <x:v>Yes</x:v>
      </x:c>
      <x:c r="X18" s="3" t="str">
        <x:f>IF(Master!Y570="","",Master!Y570)</x:f>
        <x:v>Yes</x:v>
      </x:c>
      <x:c r="Y18" s="3" t="str">
        <x:f>IF(Master!Z570="","",Master!Z570)</x:f>
        <x:v>Yes</x:v>
      </x:c>
      <x:c r="Z18" s="3" t="str">
        <x:f>IF(Master!AA570="","",Master!AA570)</x:f>
        <x:v>Yes</x:v>
      </x:c>
      <x:c r="AA18" s="6" t="str">
        <x:f>IF(Master!AB570="","",Master!AB570)</x:f>
        <x:v>Yes</x:v>
      </x:c>
      <x:c r="AB18" s="3" t="str">
        <x:f>IF(Master!AC570="","",Master!AC570)</x:f>
        <x:v>Yes</x:v>
      </x:c>
      <x:c r="AC18" s="3" t="str">
        <x:f>IF(Master!AD570="","",Master!AD570)</x:f>
        <x:v>Yes</x:v>
      </x:c>
      <x:c r="AD18" s="3" t="str">
        <x:f>IF(Master!AE570="","",Master!AE570)</x:f>
        <x:v>Yes</x:v>
      </x:c>
      <x:c r="AE18" s="3" t="str">
        <x:f>IF(Master!AF570="","",Master!AF570)</x:f>
        <x:v>Yes</x:v>
      </x:c>
      <x:c r="AF18" s="8" t="str">
        <x:f>IF(Master!AG570="","",Master!AG570)</x:f>
        <x:v>Yes</x:v>
      </x:c>
    </x:row>
    <x:row r="19" ht="36" customHeight="1">
      <x:c r="A19" s="17" t="s">
        <x:v>821</x:v>
      </x:c>
      <x:c r="B19" s="3" t="str">
        <x:f>IF(Master!C571="","",Master!C571)</x:f>
        <x:v>Yes</x:v>
      </x:c>
      <x:c r="C19" s="3" t="str">
        <x:f>IF(Master!D571="","",Master!D571)</x:f>
      </x:c>
      <x:c r="D19" s="3" t="str">
        <x:f>IF(Master!E571="","",Master!E571)</x:f>
      </x:c>
      <x:c r="E19" s="3" t="str">
        <x:f>IF(Master!F571="","",Master!F571)</x:f>
      </x:c>
      <x:c r="F19" s="3" t="str">
        <x:f>IF(Master!G571="","",Master!G571)</x:f>
      </x:c>
      <x:c r="G19" s="3" t="str">
        <x:f>IF(Master!H571="","",Master!H571)</x:f>
      </x:c>
      <x:c r="H19" s="3" t="str">
        <x:f>IF(Master!I571="","",Master!I571)</x:f>
      </x:c>
      <x:c r="I19" s="3" t="str">
        <x:f>IF(Master!J571="","",Master!J571)</x:f>
      </x:c>
      <x:c r="J19" s="3" t="str">
        <x:f>IF(Master!K571="","",Master!K571)</x:f>
      </x:c>
      <x:c r="K19" s="3" t="str">
        <x:f>IF(Master!L571="","",Master!L571)</x:f>
        <x:v>Yes</x:v>
      </x:c>
      <x:c r="L19" s="3" t="str">
        <x:f>IF(Master!M571="","",Master!M571)</x:f>
      </x:c>
      <x:c r="M19" s="3" t="str">
        <x:f>IF(Master!N571="","",Master!N571)</x:f>
      </x:c>
      <x:c r="N19" s="3" t="str">
        <x:f>IF(Master!O571="","",Master!O571)</x:f>
      </x:c>
      <x:c r="O19" s="3" t="str">
        <x:f>IF(Master!P571="","",Master!P571)</x:f>
        <x:v>Yes</x:v>
      </x:c>
      <x:c r="P19" s="3" t="str">
        <x:f>IF(Master!Q571="","",Master!Q571)</x:f>
      </x:c>
      <x:c r="Q19" s="3" t="str">
        <x:f>IF(Master!R571="","",Master!R571)</x:f>
        <x:v>Yes</x:v>
      </x:c>
      <x:c r="R19" s="3" t="str">
        <x:f>IF(Master!S571="","",Master!S571)</x:f>
      </x:c>
      <x:c r="S19" s="3" t="str">
        <x:f>IF(Master!T571="","",Master!T571)</x:f>
      </x:c>
      <x:c r="T19" s="3" t="str">
        <x:f>IF(Master!U571="","",Master!U571)</x:f>
      </x:c>
      <x:c r="U19" s="3" t="str">
        <x:f>IF(Master!V571="","",Master!V571)</x:f>
        <x:v>Yes</x:v>
      </x:c>
      <x:c r="V19" s="3" t="str">
        <x:f>IF(Master!W571="","",Master!W571)</x:f>
        <x:v>Yes</x:v>
      </x:c>
      <x:c r="W19" s="3" t="str">
        <x:f>IF(Master!X571="","",Master!X571)</x:f>
      </x:c>
      <x:c r="X19" s="3" t="str">
        <x:f>IF(Master!Y571="","",Master!Y571)</x:f>
      </x:c>
      <x:c r="Y19" s="3" t="str">
        <x:f>IF(Master!Z571="","",Master!Z571)</x:f>
      </x:c>
      <x:c r="Z19" s="3" t="str">
        <x:f>IF(Master!AA571="","",Master!AA571)</x:f>
      </x:c>
      <x:c r="AA19" s="6" t="str">
        <x:f>IF(Master!AB571="","",Master!AB571)</x:f>
        <x:v>Yes</x:v>
      </x:c>
      <x:c r="AB19" s="3" t="str">
        <x:f>IF(Master!AC571="","",Master!AC571)</x:f>
      </x:c>
      <x:c r="AC19" s="3" t="str">
        <x:f>IF(Master!AD571="","",Master!AD571)</x:f>
      </x:c>
      <x:c r="AD19" s="3" t="str">
        <x:f>IF(Master!AE571="","",Master!AE571)</x:f>
      </x:c>
      <x:c r="AE19" s="3" t="str">
        <x:f>IF(Master!AF571="","",Master!AF571)</x:f>
      </x:c>
      <x:c r="AF19" s="8" t="str">
        <x:f>IF(Master!AG571="","",Master!AG571)</x:f>
      </x:c>
    </x:row>
  </x:sheetData>
  <x:mergeCells>
    <x:mergeCell ref="A1:AF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Directory'!A1","Moderation, Anti-Spam &amp; Safety: Granular"),"Moderation, Anti-Spam &amp; Safety: Granular")</x:f>
        <x:v>Moderation, Anti-Spam &amp; Safety: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822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823</x:v>
      </x:c>
      <x:c r="B4" s="3" t="str">
        <x:f>IF(Master!C549="","",Master!C549)</x:f>
        <x:v>Yes: AutoMod</x:v>
      </x:c>
      <x:c r="C4" s="3" t="str">
        <x:f>IF(Master!D549="","",Master!D549)</x:f>
      </x:c>
      <x:c r="D4" s="3" t="str">
        <x:f>IF(Master!E549="","",Master!E549)</x:f>
        <x:v>Server/operator moderation</x:v>
      </x:c>
      <x:c r="E4" s="3" t="str">
        <x:f>IF(Master!F549="","",Master!F549)</x:f>
      </x:c>
      <x:c r="F4" s="3" t="str">
        <x:f>IF(Master!G549="","",Master!G549)</x:f>
        <x:v>Native moderation</x:v>
      </x:c>
      <x:c r="G4" s="3" t="str">
        <x:f>IF(Master!H549="","",Master!H549)</x:f>
        <x:v>Native moderation</x:v>
      </x:c>
      <x:c r="H4" s="3" t="str">
        <x:f>IF(Master!I549="","",Master!I549)</x:f>
      </x:c>
      <x:c r="I4" s="3" t="str">
        <x:f>IF(Master!J549="","",Master!J549)</x:f>
      </x:c>
      <x:c r="J4" s="3" t="str">
        <x:f>IF(Master!K549="","",Master!K549)</x:f>
      </x:c>
      <x:c r="K4" s="3" t="str">
        <x:f>IF(Master!L549="","",Master!L549)</x:f>
        <x:v>Yes: developer reports native AutoMod</x:v>
      </x:c>
      <x:c r="L4" s="3" t="str">
        <x:f>IF(Master!M549="","",Master!M549)</x:f>
        <x:v>Native moderation</x:v>
      </x:c>
      <x:c r="M4" s="3" t="str">
        <x:f>IF(Master!N549="","",Master!N549)</x:f>
      </x:c>
      <x:c r="N4" s="3" t="str">
        <x:f>IF(Master!O549="","",Master!O549)</x:f>
        <x:v>Protocol supports room permissions/power levels; tooling varies by client/server</x:v>
      </x:c>
      <x:c r="O4" s="3" t="str">
        <x:f>IF(Master!P549="","",Master!P549)</x:f>
        <x:v>Moderation/admin/retention/compliance tools</x:v>
      </x:c>
      <x:c r="P4" s="3" t="str">
        <x:f>IF(Master!Q549="","",Master!Q549)</x:f>
      </x:c>
      <x:c r="Q4" s="3" t="str">
        <x:f>IF(Master!R549="","",Master!R549)</x:f>
        <x:v>ACLs/permissions rather than AutoMod</x:v>
      </x:c>
      <x:c r="R4" s="3" t="str">
        <x:f>IF(Master!S549="","",Master!S549)</x:f>
      </x:c>
      <x:c r="S4" s="3" t="str">
        <x:f>IF(Master!T549="","",Master!T549)</x:f>
      </x:c>
      <x:c r="T4" s="3" t="str">
        <x:f>IF(Master!U549="","",Master!U549)</x:f>
        <x:v>Native moderation</x:v>
      </x:c>
      <x:c r="U4" s="3" t="str">
        <x:f>IF(Master!V549="","",Master!V549)</x:f>
        <x:v>Yes</x:v>
      </x:c>
      <x:c r="V4" s="3" t="str">
        <x:f>IF(Master!W549="","",Master!W549)</x:f>
        <x:v>Moderation/admin tools</x:v>
      </x:c>
      <x:c r="W4" s="3" t="str">
        <x:f>IF(Master!X549="","",Master!X549)</x:f>
      </x:c>
      <x:c r="X4" s="3" t="str">
        <x:f>IF(Master!Y549="","",Master!Y549)</x:f>
        <x:v>Yes: Moderation App + native controls</x:v>
      </x:c>
      <x:c r="Y4" s="3" t="str">
        <x:f>IF(Master!Z549="","",Master!Z549)</x:f>
        <x:v>Discord-compatible moderation target</x:v>
      </x:c>
      <x:c r="Z4" s="3" t="str">
        <x:f>IF(Master!AA549="","",Master!AA549)</x:f>
        <x:v>Partial/native moderation controls</x:v>
      </x:c>
      <x:c r="AA4" s="6" t="str">
        <x:f>IF(Master!AB549="","",Master!AB549)</x:f>
        <x:v>Permissions/admin tools</x:v>
      </x:c>
      <x:c r="AB4" s="3" t="str">
        <x:f>IF(Master!AC549="","",Master!AC549)</x:f>
        <x:v>Built-in automod</x:v>
      </x:c>
      <x:c r="AC4" s="3" t="str">
        <x:f>IF(Master!AD549="","",Master!AD549)</x:f>
      </x:c>
      <x:c r="AD4" s="3" t="str">
        <x:f>IF(Master!AE549="","",Master!AE549)</x:f>
      </x:c>
      <x:c r="AE4" s="3" t="str">
        <x:f>IF(Master!AF549="","",Master!AF549)</x:f>
      </x:c>
      <x:c r="AF4" s="8" t="str">
        <x:f>IF(Master!AG549="","",Master!AG549)</x:f>
        <x:v>Moderation/admin controls; no Discord-style AutoMod core</x:v>
      </x:c>
    </x:row>
    <x:row r="5" ht="36" customHeight="1">
      <x:c r="A5" s="17" t="s">
        <x:v>824</x:v>
      </x:c>
      <x:c r="B5" s="3" t="str">
        <x:f>IF(Master!C550="","",Master!C550)</x:f>
        <x:v>Yes: custom keywords + Rust-flavor regex</x:v>
      </x:c>
      <x:c r="C5" s="3" t="str">
        <x:f>IF(Master!D550="","",Master!D550)</x:f>
      </x:c>
      <x:c r="D5" s="3" t="str">
        <x:f>IF(Master!E550="","",Master!E550)</x:f>
        <x:v>Advanced anti-spam advertised</x:v>
      </x:c>
      <x:c r="E5" s="3" t="str">
        <x:f>IF(Master!F550="","",Master!F550)</x:f>
      </x:c>
      <x:c r="F5" s="3" t="str">
        <x:f>IF(Master!G550="","",Master!G550)</x:f>
      </x:c>
      <x:c r="G5" s="3" t="str">
        <x:f>IF(Master!H550="","",Master!H550)</x:f>
      </x:c>
      <x:c r="H5" s="3" t="str">
        <x:f>IF(Master!I550="","",Master!I550)</x:f>
      </x:c>
      <x:c r="I5" s="3" t="str">
        <x:f>IF(Master!J550="","",Master!J550)</x:f>
      </x:c>
      <x:c r="J5" s="3" t="str">
        <x:f>IF(Master!K550="","",Master!K550)</x:f>
      </x:c>
      <x:c r="K5" s="3" t="str">
        <x:f>IF(Master!L550="","",Master!L550)</x:f>
        <x:v>AutoMod exists; exact keyword and regex rule types were not fully documented in reviewed public sources.</x:v>
      </x:c>
      <x:c r="L5" s="3" t="str">
        <x:f>IF(Master!M550="","",Master!M550)</x:f>
      </x:c>
      <x:c r="M5" s="3" t="str">
        <x:f>IF(Master!N550="","",Master!N550)</x:f>
      </x:c>
      <x:c r="N5" s="3" t="str">
        <x:f>IF(Master!O550="","",Master!O550)</x:f>
        <x:v>Client/server/bot-dependent</x:v>
      </x:c>
      <x:c r="O5" s="3" t="str">
        <x:f>IF(Master!P550="","",Master!P550)</x:f>
      </x:c>
      <x:c r="P5" s="3" t="str">
        <x:f>IF(Master!Q550="","",Master!Q550)</x:f>
      </x:c>
      <x:c r="Q5" s="3" t="str">
        <x:f>IF(Master!R550="","",Master!R550)</x:f>
        <x:v>No text AutoMod focus</x:v>
      </x:c>
      <x:c r="R5" s="3" t="str">
        <x:f>IF(Master!S550="","",Master!S550)</x:f>
      </x:c>
      <x:c r="S5" s="3" t="str">
        <x:f>IF(Master!T550="","",Master!T550)</x:f>
      </x:c>
      <x:c r="T5" s="3" t="str">
        <x:f>IF(Master!U550="","",Master!U550)</x:f>
      </x:c>
      <x:c r="U5" s="3" t="str">
        <x:f>IF(Master!V550="","",Master!V550)</x:f>
        <x:v>Yes</x:v>
      </x:c>
      <x:c r="V5" s="3" t="str">
        <x:f>IF(Master!W550="","",Master!W550)</x:f>
      </x:c>
      <x:c r="W5" s="3" t="str">
        <x:f>IF(Master!X550="","",Master!X550)</x:f>
      </x:c>
      <x:c r="X5" s="3" t="str">
        <x:f>IF(Master!Y550="","",Master!Y550)</x:f>
      </x:c>
      <x:c r="Y5" s="3" t="str">
        <x:f>IF(Master!Z550="","",Master!Z550)</x:f>
      </x:c>
      <x:c r="Z5" s="3" t="str">
        <x:f>IF(Master!AA550="","",Master!AA550)</x:f>
      </x:c>
      <x:c r="AA5" s="6" t="str">
        <x:f>IF(Master!AB550="","",Master!AB550)</x:f>
      </x:c>
      <x:c r="AB5" s="3" t="str">
        <x:f>IF(Master!AC550="","",Master!AC550)</x:f>
        <x:v>Blocklists/automod</x:v>
      </x:c>
      <x:c r="AC5" s="3" t="str">
        <x:f>IF(Master!AD550="","",Master!AD550)</x:f>
      </x:c>
      <x:c r="AD5" s="3" t="str">
        <x:f>IF(Master!AE550="","",Master!AE550)</x:f>
      </x:c>
      <x:c r="AE5" s="3" t="str">
        <x:f>IF(Master!AF550="","",Master!AF550)</x:f>
      </x:c>
      <x:c r="AF5" s="8" t="str">
        <x:f>IF(Master!AG550="","",Master!AG550)</x:f>
      </x:c>
    </x:row>
    <x:row r="6" ht="36" customHeight="1">
      <x:c r="A6" s="17" t="s">
        <x:v>825</x:v>
      </x:c>
      <x:c r="B6" s="3" t="str">
        <x:f>IF(Master!C551="","",Master!C551)</x:f>
        <x:v>Yes</x:v>
      </x:c>
      <x:c r="C6" s="3" t="str">
        <x:f>IF(Master!D551="","",Master!D551)</x:f>
      </x:c>
      <x:c r="D6" s="3" t="str">
        <x:f>IF(Master!E551="","",Master!E551)</x:f>
      </x:c>
      <x:c r="E6" s="3" t="str">
        <x:f>IF(Master!F551="","",Master!F551)</x:f>
      </x:c>
      <x:c r="F6" s="3" t="str">
        <x:f>IF(Master!G551="","",Master!G551)</x:f>
      </x:c>
      <x:c r="G6" s="3" t="str">
        <x:f>IF(Master!H551="","",Master!H551)</x:f>
      </x:c>
      <x:c r="H6" s="3" t="str">
        <x:f>IF(Master!I551="","",Master!I551)</x:f>
      </x:c>
      <x:c r="I6" s="3" t="str">
        <x:f>IF(Master!J551="","",Master!J551)</x:f>
      </x:c>
      <x:c r="J6" s="3" t="str">
        <x:f>IF(Master!K551="","",Master!K551)</x:f>
      </x:c>
      <x:c r="K6" s="3" t="str">
        <x:f>IF(Master!L551="","",Master!L551)</x:f>
        <x:v>AutoMod exists; exact keyword and regex rule types were not fully documented in reviewed public sources.</x:v>
      </x:c>
      <x:c r="L6" s="3" t="str">
        <x:f>IF(Master!M551="","",Master!M551)</x:f>
      </x:c>
      <x:c r="M6" s="3" t="str">
        <x:f>IF(Master!N551="","",Master!N551)</x:f>
      </x:c>
      <x:c r="N6" s="3" t="str">
        <x:f>IF(Master!O551="","",Master!O551)</x:f>
      </x:c>
      <x:c r="O6" s="3" t="str">
        <x:f>IF(Master!P551="","",Master!P551)</x:f>
        <x:v>Yes</x:v>
      </x:c>
      <x:c r="P6" s="3" t="str">
        <x:f>IF(Master!Q551="","",Master!Q551)</x:f>
      </x:c>
      <x:c r="Q6" s="3" t="str">
        <x:f>IF(Master!R551="","",Master!R551)</x:f>
        <x:v>No</x:v>
      </x:c>
      <x:c r="R6" s="3" t="str">
        <x:f>IF(Master!S551="","",Master!S551)</x:f>
      </x:c>
      <x:c r="S6" s="3" t="str">
        <x:f>IF(Master!T551="","",Master!T551)</x:f>
      </x:c>
      <x:c r="T6" s="3" t="str">
        <x:f>IF(Master!U551="","",Master!U551)</x:f>
      </x:c>
      <x:c r="U6" s="3" t="str">
        <x:f>IF(Master!V551="","",Master!V551)</x:f>
      </x:c>
      <x:c r="V6" s="3" t="str">
        <x:f>IF(Master!W551="","",Master!W551)</x:f>
        <x:v>Yes</x:v>
      </x:c>
      <x:c r="W6" s="3" t="str">
        <x:f>IF(Master!X551="","",Master!X551)</x:f>
      </x:c>
      <x:c r="X6" s="3" t="str">
        <x:f>IF(Master!Y551="","",Master!Y551)</x:f>
        <x:v>Yes</x:v>
      </x:c>
      <x:c r="Y6" s="3" t="str">
        <x:f>IF(Master!Z551="","",Master!Z551)</x:f>
      </x:c>
      <x:c r="Z6" s="3" t="str">
        <x:f>IF(Master!AA551="","",Master!AA551)</x:f>
        <x:v>Yes</x:v>
      </x:c>
      <x:c r="AA6" s="6" t="str">
        <x:f>IF(Master!AB551="","",Master!AB551)</x:f>
      </x:c>
      <x:c r="AB6" s="3" t="str">
        <x:f>IF(Master!AC551="","",Master!AC551)</x:f>
      </x:c>
      <x:c r="AC6" s="3" t="str">
        <x:f>IF(Master!AD551="","",Master!AD551)</x:f>
      </x:c>
      <x:c r="AD6" s="3" t="str">
        <x:f>IF(Master!AE551="","",Master!AE551)</x:f>
      </x:c>
      <x:c r="AE6" s="3" t="str">
        <x:f>IF(Master!AF551="","",Master!AF551)</x:f>
      </x:c>
      <x:c r="AF6" s="8" t="str">
        <x:f>IF(Master!AG551="","",Master!AG551)</x:f>
      </x:c>
    </x:row>
    <x:row r="7" ht="23.100000381469727" customHeight="1">
      <x:c r="A7" s="17" t="s">
        <x:v>826</x:v>
      </x:c>
      <x:c r="B7" s="4" t="str">
        <x:f>IF(Master!C552="","",Master!C552)</x:f>
      </x:c>
      <x:c r="C7" s="4" t="str">
        <x:f>IF(Master!D552="","",Master!D552)</x:f>
      </x:c>
      <x:c r="D7" s="4" t="str">
        <x:f>IF(Master!E552="","",Master!E552)</x:f>
      </x:c>
      <x:c r="E7" s="4" t="str">
        <x:f>IF(Master!F552="","",Master!F552)</x:f>
      </x:c>
      <x:c r="F7" s="4" t="str">
        <x:f>IF(Master!G552="","",Master!G552)</x:f>
      </x:c>
      <x:c r="G7" s="4" t="str">
        <x:f>IF(Master!H552="","",Master!H552)</x:f>
      </x:c>
      <x:c r="H7" s="4" t="str">
        <x:f>IF(Master!I552="","",Master!I552)</x:f>
      </x:c>
      <x:c r="I7" s="4" t="str">
        <x:f>IF(Master!J552="","",Master!J552)</x:f>
      </x:c>
      <x:c r="J7" s="4" t="str">
        <x:f>IF(Master!K552="","",Master!K552)</x:f>
      </x:c>
      <x:c r="K7" s="4" t="str">
        <x:f>IF(Master!L552="","",Master!L552)</x:f>
        <x:v>AutoMod exists; exact keyword and regex rule types were not fully documented in reviewed public sources.</x:v>
      </x:c>
      <x:c r="L7" s="4" t="str">
        <x:f>IF(Master!M552="","",Master!M552)</x:f>
      </x:c>
      <x:c r="M7" s="4" t="str">
        <x:f>IF(Master!N552="","",Master!N552)</x:f>
      </x:c>
      <x:c r="N7" s="4" t="str">
        <x:f>IF(Master!O552="","",Master!O552)</x:f>
      </x:c>
      <x:c r="O7" s="4" t="str">
        <x:f>IF(Master!P552="","",Master!P552)</x:f>
      </x:c>
      <x:c r="P7" s="4" t="str">
        <x:f>IF(Master!Q552="","",Master!Q552)</x:f>
      </x:c>
      <x:c r="Q7" s="4" t="str">
        <x:f>IF(Master!R552="","",Master!R552)</x:f>
      </x:c>
      <x:c r="R7" s="4" t="str">
        <x:f>IF(Master!S552="","",Master!S552)</x:f>
      </x:c>
      <x:c r="S7" s="4" t="str">
        <x:f>IF(Master!T552="","",Master!T552)</x:f>
      </x:c>
      <x:c r="T7" s="4" t="str">
        <x:f>IF(Master!U552="","",Master!U552)</x:f>
      </x:c>
      <x:c r="U7" s="4" t="str">
        <x:f>IF(Master!V552="","",Master!V552)</x:f>
        <x:v>Yes</x:v>
      </x:c>
      <x:c r="V7" s="4" t="str">
        <x:f>IF(Master!W552="","",Master!W552)</x:f>
      </x:c>
      <x:c r="W7" s="4" t="str">
        <x:f>IF(Master!X552="","",Master!X552)</x:f>
      </x:c>
      <x:c r="X7" s="4" t="str">
        <x:f>IF(Master!Y552="","",Master!Y552)</x:f>
      </x:c>
      <x:c r="Y7" s="4" t="str">
        <x:f>IF(Master!Z552="","",Master!Z552)</x:f>
      </x:c>
      <x:c r="Z7" s="4" t="str">
        <x:f>IF(Master!AA552="","",Master!AA552)</x:f>
      </x:c>
      <x:c r="AA7" s="5" t="str">
        <x:f>IF(Master!AB552="","",Master!AB552)</x:f>
      </x:c>
      <x:c r="AB7" s="4" t="str">
        <x:f>IF(Master!AC552="","",Master!AC552)</x:f>
      </x:c>
      <x:c r="AC7" s="4" t="str">
        <x:f>IF(Master!AD552="","",Master!AD552)</x:f>
      </x:c>
      <x:c r="AD7" s="4" t="str">
        <x:f>IF(Master!AE552="","",Master!AE552)</x:f>
      </x:c>
      <x:c r="AE7" s="4" t="str">
        <x:f>IF(Master!AF552="","",Master!AF552)</x:f>
      </x:c>
      <x:c r="AF7" s="8" t="str">
        <x:f>IF(Master!AG552="","",Master!AG552)</x:f>
      </x:c>
    </x:row>
    <x:row r="8" ht="36" customHeight="1">
      <x:c r="A8" s="17" t="s">
        <x:v>815</x:v>
      </x:c>
      <x:c r="B8" s="3" t="str">
        <x:f>IF(Master!C553="","",Master!C553)</x:f>
        <x:v>Yes / included in anti-spam</x:v>
      </x:c>
      <x:c r="C8" s="3" t="str">
        <x:f>IF(Master!D553="","",Master!D553)</x:f>
      </x:c>
      <x:c r="D8" s="3" t="str">
        <x:f>IF(Master!E553="","",Master!E553)</x:f>
        <x:v>Yes / included in anti-spam</x:v>
      </x:c>
      <x:c r="E8" s="3" t="str">
        <x:f>IF(Master!F553="","",Master!F553)</x:f>
      </x:c>
      <x:c r="F8" s="3" t="str">
        <x:f>IF(Master!G553="","",Master!G553)</x:f>
      </x:c>
      <x:c r="G8" s="3" t="str">
        <x:f>IF(Master!H553="","",Master!H553)</x:f>
      </x:c>
      <x:c r="H8" s="3" t="str">
        <x:f>IF(Master!I553="","",Master!I553)</x:f>
      </x:c>
      <x:c r="I8" s="3" t="str">
        <x:f>IF(Master!J553="","",Master!J553)</x:f>
      </x:c>
      <x:c r="J8" s="3" t="str">
        <x:f>IF(Master!K553="","",Master!K553)</x:f>
      </x:c>
      <x:c r="K8" s="3" t="str">
        <x:f>IF(Master!L553="","",Master!L553)</x:f>
        <x:v>AutoMod exists; exact keyword and regex rule types were not fully documented in reviewed public sources.</x:v>
      </x:c>
      <x:c r="L8" s="3" t="str">
        <x:f>IF(Master!M553="","",Master!M553)</x:f>
      </x:c>
      <x:c r="M8" s="3" t="str">
        <x:f>IF(Master!N553="","",Master!N553)</x:f>
      </x:c>
      <x:c r="N8" s="3" t="str">
        <x:f>IF(Master!O553="","",Master!O553)</x:f>
      </x:c>
      <x:c r="O8" s="3" t="str">
        <x:f>IF(Master!P553="","",Master!P553)</x:f>
      </x:c>
      <x:c r="P8" s="3" t="str">
        <x:f>IF(Master!Q553="","",Master!Q553)</x:f>
      </x:c>
      <x:c r="Q8" s="3" t="str">
        <x:f>IF(Master!R553="","",Master!R553)</x:f>
      </x:c>
      <x:c r="R8" s="3" t="str">
        <x:f>IF(Master!S553="","",Master!S553)</x:f>
      </x:c>
      <x:c r="S8" s="3" t="str">
        <x:f>IF(Master!T553="","",Master!T553)</x:f>
      </x:c>
      <x:c r="T8" s="3" t="str">
        <x:f>IF(Master!U553="","",Master!U553)</x:f>
      </x:c>
      <x:c r="U8" s="3" t="str">
        <x:f>IF(Master!V553="","",Master!V553)</x:f>
        <x:v>Yes</x:v>
      </x:c>
      <x:c r="V8" s="3" t="str">
        <x:f>IF(Master!W553="","",Master!W553)</x:f>
      </x:c>
      <x:c r="W8" s="3" t="str">
        <x:f>IF(Master!X553="","",Master!X553)</x:f>
      </x:c>
      <x:c r="X8" s="3" t="str">
        <x:f>IF(Master!Y553="","",Master!Y553)</x:f>
        <x:v>Yes / included in anti-spam</x:v>
      </x:c>
      <x:c r="Y8" s="3" t="str">
        <x:f>IF(Master!Z553="","",Master!Z553)</x:f>
      </x:c>
      <x:c r="Z8" s="3" t="str">
        <x:f>IF(Master!AA553="","",Master!AA553)</x:f>
      </x:c>
      <x:c r="AA8" s="6" t="str">
        <x:f>IF(Master!AB553="","",Master!AB553)</x:f>
        <x:v>Yes / included in anti-spam</x:v>
      </x:c>
      <x:c r="AB8" s="3" t="str">
        <x:f>IF(Master!AC553="","",Master!AC553)</x:f>
        <x:v>Yes / included in anti-spam</x:v>
      </x:c>
      <x:c r="AC8" s="3" t="str">
        <x:f>IF(Master!AD553="","",Master!AD553)</x:f>
      </x:c>
      <x:c r="AD8" s="3" t="str">
        <x:f>IF(Master!AE553="","",Master!AE553)</x:f>
      </x:c>
      <x:c r="AE8" s="3" t="str">
        <x:f>IF(Master!AF553="","",Master!AF553)</x:f>
      </x:c>
      <x:c r="AF8" s="8" t="str">
        <x:f>IF(Master!AG553="","",Master!AG553)</x:f>
      </x:c>
    </x:row>
    <x:row r="9" ht="36" customHeight="1">
      <x:c r="A9" s="17" t="s">
        <x:v>827</x:v>
      </x:c>
      <x:c r="B9" s="3" t="str">
        <x:f>IF(Master!C554="","",Master!C554)</x:f>
        <x:v>Yes: AutoMod spam filter, platform/API rate limits, verification levels, and slowmode</x:v>
      </x:c>
      <x:c r="C9" s="3" t="str">
        <x:f>IF(Master!D554="","",Master!D554)</x:f>
      </x:c>
      <x:c r="D9" s="3" t="str">
        <x:f>IF(Master!E554="","",Master!E554)</x:f>
        <x:v>Advanced anti-spam/rate controls</x:v>
      </x:c>
      <x:c r="E9" s="3" t="str">
        <x:f>IF(Master!F554="","",Master!F554)</x:f>
      </x:c>
      <x:c r="F9" s="3" t="str">
        <x:f>IF(Master!G554="","",Master!G554)</x:f>
        <x:v>Yes / planned native</x:v>
      </x:c>
      <x:c r="G9" s="3" t="str">
        <x:f>IF(Master!H554="","",Master!H554)</x:f>
        <x:v>Rate limits + moderation tools</x:v>
      </x:c>
      <x:c r="H9" s="3" t="str">
        <x:f>IF(Master!I554="","",Master!I554)</x:f>
      </x:c>
      <x:c r="I9" s="3" t="str">
        <x:f>IF(Master!J554="","",Master!J554)</x:f>
      </x:c>
      <x:c r="J9" s="3" t="str">
        <x:f>IF(Master!K554="","",Master!K554)</x:f>
      </x:c>
      <x:c r="K9" s="3" t="str">
        <x:f>IF(Master!L554="","",Master!L554)</x:f>
        <x:v>AutoMod exists; exact keyword and regex rule types were not fully documented in reviewed public sources.</x:v>
      </x:c>
      <x:c r="L9" s="3" t="str">
        <x:f>IF(Master!M554="","",Master!M554)</x:f>
      </x:c>
      <x:c r="M9" s="3" t="str">
        <x:f>IF(Master!N554="","",Master!N554)</x:f>
      </x:c>
      <x:c r="N9" s="3" t="str">
        <x:f>IF(Master!O554="","",Master!O554)</x:f>
        <x:v>Homeserver and bot-dependent</x:v>
      </x:c>
      <x:c r="O9" s="3" t="str">
        <x:f>IF(Master!P554="","",Master!P554)</x:f>
        <x:v>Rate limits + admin controls</x:v>
      </x:c>
      <x:c r="P9" s="3" t="str">
        <x:f>IF(Master!Q554="","",Master!Q554)</x:f>
      </x:c>
      <x:c r="Q9" s="3" t="str">
        <x:f>IF(Master!R554="","",Master!R554)</x:f>
        <x:v>Server ACLs/rate controls</x:v>
      </x:c>
      <x:c r="R9" s="3" t="str">
        <x:f>IF(Master!S554="","",Master!S554)</x:f>
      </x:c>
      <x:c r="S9" s="3" t="str">
        <x:f>IF(Master!T554="","",Master!T554)</x:f>
      </x:c>
      <x:c r="T9" s="3" t="str">
        <x:f>IF(Master!U554="","",Master!U554)</x:f>
        <x:v>Rate controls</x:v>
      </x:c>
      <x:c r="U9" s="3" t="str">
        <x:f>IF(Master!V554="","",Master!V554)</x:f>
        <x:v>Yes</x:v>
      </x:c>
      <x:c r="V9" s="3" t="str">
        <x:f>IF(Master!W554="","",Master!W554)</x:f>
        <x:v>Rate limiting + moderation</x:v>
      </x:c>
      <x:c r="W9" s="3" t="str">
        <x:f>IF(Master!X554="","",Master!X554)</x:f>
      </x:c>
      <x:c r="X9" s="3" t="str">
        <x:f>IF(Master!Y554="","",Master!Y554)</x:f>
        <x:v>Yes: spam rules</x:v>
      </x:c>
      <x:c r="Y9" s="3" t="str">
        <x:f>IF(Master!Z554="","",Master!Z554)</x:f>
        <x:v>Configurable rate limiting</x:v>
      </x:c>
      <x:c r="Z9" s="3" t="str">
        <x:f>IF(Master!AA554="","",Master!AA554)</x:f>
        <x:v>Rate limiting + moderation controls</x:v>
      </x:c>
      <x:c r="AA9" s="6" t="str">
        <x:f>IF(Master!AB554="","",Master!AB554)</x:f>
        <x:v>Anti-spam/flood controls</x:v>
      </x:c>
      <x:c r="AB9" s="3" t="str">
        <x:f>IF(Master!AC554="","",Master!AC554)</x:f>
        <x:v>Spam/raid tools</x:v>
      </x:c>
      <x:c r="AC9" s="3" t="str">
        <x:f>IF(Master!AD554="","",Master!AD554)</x:f>
      </x:c>
      <x:c r="AD9" s="3" t="str">
        <x:f>IF(Master!AE554="","",Master!AE554)</x:f>
      </x:c>
      <x:c r="AE9" s="3" t="str">
        <x:f>IF(Master!AF554="","",Master!AF554)</x:f>
      </x:c>
      <x:c r="AF9" s="8" t="str">
        <x:f>IF(Master!AG554="","",Master!AG554)</x:f>
        <x:v>Rate limiting/admin controls</x:v>
      </x:c>
    </x:row>
    <x:row r="10" ht="36" customHeight="1">
      <x:c r="A10" s="17" t="s">
        <x:v>828</x:v>
      </x:c>
      <x:c r="B10" s="3" t="str">
        <x:f>IF(Master!C555="","",Master!C555)</x:f>
        <x:v>Yes: AutoMod spam filter, platform/API rate limits, verification levels, and slowmode</x:v>
      </x:c>
      <x:c r="C10" s="3" t="str">
        <x:f>IF(Master!D555="","",Master!D555)</x:f>
      </x:c>
      <x:c r="D10" s="3" t="str">
        <x:f>IF(Master!E555="","",Master!E555)</x:f>
        <x:v>Advanced anti-spam/rate controls</x:v>
      </x:c>
      <x:c r="E10" s="3" t="str">
        <x:f>IF(Master!F555="","",Master!F555)</x:f>
      </x:c>
      <x:c r="F10" s="3" t="str">
        <x:f>IF(Master!G555="","",Master!G555)</x:f>
        <x:v>Yes / planned native</x:v>
      </x:c>
      <x:c r="G10" s="3" t="str">
        <x:f>IF(Master!H555="","",Master!H555)</x:f>
        <x:v>Rate limits + moderation tools</x:v>
      </x:c>
      <x:c r="H10" s="3" t="str">
        <x:f>IF(Master!I555="","",Master!I555)</x:f>
      </x:c>
      <x:c r="I10" s="3" t="str">
        <x:f>IF(Master!J555="","",Master!J555)</x:f>
      </x:c>
      <x:c r="J10" s="3" t="str">
        <x:f>IF(Master!K555="","",Master!K555)</x:f>
      </x:c>
      <x:c r="K10" s="3" t="str">
        <x:f>IF(Master!L555="","",Master!L555)</x:f>
        <x:v>Yes: API/gateway mutation rate limits and bounded report limits are documented</x:v>
      </x:c>
      <x:c r="L10" s="3" t="str">
        <x:f>IF(Master!M555="","",Master!M555)</x:f>
      </x:c>
      <x:c r="M10" s="3" t="str">
        <x:f>IF(Master!N555="","",Master!N555)</x:f>
      </x:c>
      <x:c r="N10" s="3" t="str">
        <x:f>IF(Master!O555="","",Master!O555)</x:f>
        <x:v>Homeserver and bot-dependent</x:v>
      </x:c>
      <x:c r="O10" s="3" t="str">
        <x:f>IF(Master!P555="","",Master!P555)</x:f>
        <x:v>Rate limits + admin controls</x:v>
      </x:c>
      <x:c r="P10" s="3" t="str">
        <x:f>IF(Master!Q555="","",Master!Q555)</x:f>
      </x:c>
      <x:c r="Q10" s="3" t="str">
        <x:f>IF(Master!R555="","",Master!R555)</x:f>
        <x:v>Server ACLs/rate controls</x:v>
      </x:c>
      <x:c r="R10" s="3" t="str">
        <x:f>IF(Master!S555="","",Master!S555)</x:f>
      </x:c>
      <x:c r="S10" s="3" t="str">
        <x:f>IF(Master!T555="","",Master!T555)</x:f>
      </x:c>
      <x:c r="T10" s="3" t="str">
        <x:f>IF(Master!U555="","",Master!U555)</x:f>
        <x:v>Rate controls</x:v>
      </x:c>
      <x:c r="U10" s="3" t="str">
        <x:f>IF(Master!V555="","",Master!V555)</x:f>
        <x:v>Yes / slowmode</x:v>
      </x:c>
      <x:c r="V10" s="3" t="str">
        <x:f>IF(Master!W555="","",Master!W555)</x:f>
        <x:v>Rate limiting + moderation</x:v>
      </x:c>
      <x:c r="W10" s="3" t="str">
        <x:f>IF(Master!X555="","",Master!X555)</x:f>
      </x:c>
      <x:c r="X10" s="3" t="str">
        <x:f>IF(Master!Y555="","",Master!Y555)</x:f>
        <x:v>Yes: spam rules</x:v>
      </x:c>
      <x:c r="Y10" s="3" t="str">
        <x:f>IF(Master!Z555="","",Master!Z555)</x:f>
        <x:v>Configurable rate limiting</x:v>
      </x:c>
      <x:c r="Z10" s="3" t="str">
        <x:f>IF(Master!AA555="","",Master!AA555)</x:f>
        <x:v>Rate limiting + moderation controls</x:v>
      </x:c>
      <x:c r="AA10" s="6" t="str">
        <x:f>IF(Master!AB555="","",Master!AB555)</x:f>
        <x:v>Anti-spam/flood controls</x:v>
      </x:c>
      <x:c r="AB10" s="3" t="str">
        <x:f>IF(Master!AC555="","",Master!AC555)</x:f>
        <x:v>Spam/raid tools</x:v>
      </x:c>
      <x:c r="AC10" s="3" t="str">
        <x:f>IF(Master!AD555="","",Master!AD555)</x:f>
      </x:c>
      <x:c r="AD10" s="3" t="str">
        <x:f>IF(Master!AE555="","",Master!AE555)</x:f>
      </x:c>
      <x:c r="AE10" s="3" t="str">
        <x:f>IF(Master!AF555="","",Master!AF555)</x:f>
      </x:c>
      <x:c r="AF10" s="8" t="str">
        <x:f>IF(Master!AG555="","",Master!AG555)</x:f>
        <x:v>Rate limiting/admin controls</x:v>
      </x:c>
    </x:row>
    <x:row r="11" ht="36" customHeight="1">
      <x:c r="A11" s="17" t="s">
        <x:v>814</x:v>
      </x:c>
      <x:c r="B11" s="3" t="str">
        <x:f>IF(Master!C556="","",Master!C556)</x:f>
        <x:v>Yes</x:v>
      </x:c>
      <x:c r="C11" s="3" t="str">
        <x:f>IF(Master!D556="","",Master!D556)</x:f>
      </x:c>
      <x:c r="D11" s="3" t="str">
        <x:f>IF(Master!E556="","",Master!E556)</x:f>
      </x:c>
      <x:c r="E11" s="3" t="str">
        <x:f>IF(Master!F556="","",Master!F556)</x:f>
      </x:c>
      <x:c r="F11" s="3" t="str">
        <x:f>IF(Master!G556="","",Master!G556)</x:f>
      </x:c>
      <x:c r="G11" s="3" t="str">
        <x:f>IF(Master!H556="","",Master!H556)</x:f>
      </x:c>
      <x:c r="H11" s="3" t="str">
        <x:f>IF(Master!I556="","",Master!I556)</x:f>
      </x:c>
      <x:c r="I11" s="3" t="str">
        <x:f>IF(Master!J556="","",Master!J556)</x:f>
      </x:c>
      <x:c r="J11" s="3" t="str">
        <x:f>IF(Master!K556="","",Master!K556)</x:f>
      </x:c>
      <x:c r="K11" s="3" t="str">
        <x:f>IF(Master!L556="","",Master!L556)</x:f>
        <x:v>Not documented</x:v>
      </x:c>
      <x:c r="L11" s="3" t="str">
        <x:f>IF(Master!M556="","",Master!M556)</x:f>
      </x:c>
      <x:c r="M11" s="3" t="str">
        <x:f>IF(Master!N556="","",Master!N556)</x:f>
      </x:c>
      <x:c r="N11" s="3" t="str">
        <x:f>IF(Master!O556="","",Master!O556)</x:f>
      </x:c>
      <x:c r="O11" s="3" t="str">
        <x:f>IF(Master!P556="","",Master!P556)</x:f>
      </x:c>
      <x:c r="P11" s="3" t="str">
        <x:f>IF(Master!Q556="","",Master!Q556)</x:f>
      </x:c>
      <x:c r="Q11" s="3" t="str">
        <x:f>IF(Master!R556="","",Master!R556)</x:f>
      </x:c>
      <x:c r="R11" s="3" t="str">
        <x:f>IF(Master!S556="","",Master!S556)</x:f>
      </x:c>
      <x:c r="S11" s="3" t="str">
        <x:f>IF(Master!T556="","",Master!T556)</x:f>
      </x:c>
      <x:c r="T11" s="3" t="str">
        <x:f>IF(Master!U556="","",Master!U556)</x:f>
      </x:c>
      <x:c r="U11" s="3" t="str">
        <x:f>IF(Master!V556="","",Master!V556)</x:f>
        <x:v>Yes</x:v>
      </x:c>
      <x:c r="V11" s="3" t="str">
        <x:f>IF(Master!W556="","",Master!W556)</x:f>
      </x:c>
      <x:c r="W11" s="3" t="str">
        <x:f>IF(Master!X556="","",Master!X556)</x:f>
      </x:c>
      <x:c r="X11" s="3" t="str">
        <x:f>IF(Master!Y556="","",Master!Y556)</x:f>
      </x:c>
      <x:c r="Y11" s="3" t="str">
        <x:f>IF(Master!Z556="","",Master!Z556)</x:f>
      </x:c>
      <x:c r="Z11" s="3" t="str">
        <x:f>IF(Master!AA556="","",Master!AA556)</x:f>
      </x:c>
      <x:c r="AA11" s="6" t="str">
        <x:f>IF(Master!AB556="","",Master!AB556)</x:f>
      </x:c>
      <x:c r="AB11" s="3" t="str">
        <x:f>IF(Master!AC556="","",Master!AC556)</x:f>
      </x:c>
      <x:c r="AC11" s="3" t="str">
        <x:f>IF(Master!AD556="","",Master!AD556)</x:f>
      </x:c>
      <x:c r="AD11" s="3" t="str">
        <x:f>IF(Master!AE556="","",Master!AE556)</x:f>
      </x:c>
      <x:c r="AE11" s="3" t="str">
        <x:f>IF(Master!AF556="","",Master!AF556)</x:f>
      </x:c>
      <x:c r="AF11" s="8" t="str">
        <x:f>IF(Master!AG556="","",Master!AG556)</x:f>
      </x:c>
    </x:row>
    <x:row r="12" ht="21.950000762939453" customHeight="1">
      <x:c r="A12" s="18" t="s">
        <x:v>829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830</x:v>
      </x:c>
      <x:c r="B13" s="3" t="str">
        <x:f>IF(Master!C557="","",Master!C557)</x:f>
        <x:v>Yes: Raid Protection uses ML signals and can require CAPTCHA; verification/security controls also available</x:v>
      </x:c>
      <x:c r="C13" s="3" t="str">
        <x:f>IF(Master!D557="","",Master!D557)</x:f>
      </x:c>
      <x:c r="D13" s="3" t="str">
        <x:f>IF(Master!E557="","",Master!E557)</x:f>
        <x:v>Federated ban-sharing planned</x:v>
      </x:c>
      <x:c r="E13" s="3" t="str">
        <x:f>IF(Master!F557="","",Master!F557)</x:f>
      </x:c>
      <x:c r="F13" s="3" t="str">
        <x:f>IF(Master!G557="","",Master!G557)</x:f>
      </x:c>
      <x:c r="G13" s="3" t="str">
        <x:f>IF(Master!H557="","",Master!H557)</x:f>
      </x:c>
      <x:c r="H13" s="3" t="str">
        <x:f>IF(Master!I557="","",Master!I557)</x:f>
      </x:c>
      <x:c r="I13" s="3" t="str">
        <x:f>IF(Master!J557="","",Master!J557)</x:f>
      </x:c>
      <x:c r="J13" s="3" t="str">
        <x:f>IF(Master!K557="","",Master!K557)</x:f>
      </x:c>
      <x:c r="K13" s="3" t="str">
        <x:f>IF(Master!L557="","",Master!L557)</x:f>
        <x:v>Not fully documented</x:v>
      </x:c>
      <x:c r="L13" s="3" t="str">
        <x:f>IF(Master!M557="","",Master!M557)</x:f>
      </x:c>
      <x:c r="M13" s="3" t="str">
        <x:f>IF(Master!N557="","",Master!N557)</x:f>
      </x:c>
      <x:c r="N13" s="3" t="str">
        <x:f>IF(Master!O557="","",Master!O557)</x:f>
        <x:v>Homeserver/operator-dependent</x:v>
      </x:c>
      <x:c r="O13" s="3" t="str">
        <x:f>IF(Master!P557="","",Master!P557)</x:f>
      </x:c>
      <x:c r="P13" s="3" t="str">
        <x:f>IF(Master!Q557="","",Master!Q557)</x:f>
      </x:c>
      <x:c r="Q13" s="3" t="str">
        <x:f>IF(Master!R557="","",Master!R557)</x:f>
        <x:v>N/A</x:v>
      </x:c>
      <x:c r="R13" s="3" t="str">
        <x:f>IF(Master!S557="","",Master!S557)</x:f>
      </x:c>
      <x:c r="S13" s="3" t="str">
        <x:f>IF(Master!T557="","",Master!T557)</x:f>
      </x:c>
      <x:c r="T13" s="3" t="str">
        <x:f>IF(Master!U557="","",Master!U557)</x:f>
      </x:c>
      <x:c r="U13" s="3" t="str">
        <x:f>IF(Master!V557="","",Master!V557)</x:f>
        <x:v>Yes</x:v>
      </x:c>
      <x:c r="V13" s="3" t="str">
        <x:f>IF(Master!W557="","",Master!W557)</x:f>
      </x:c>
      <x:c r="W13" s="3" t="str">
        <x:f>IF(Master!X557="","",Master!X557)</x:f>
      </x:c>
      <x:c r="X13" s="3" t="str">
        <x:f>IF(Master!Y557="","",Master!Y557)</x:f>
      </x:c>
      <x:c r="Y13" s="3" t="str">
        <x:f>IF(Master!Z557="","",Master!Z557)</x:f>
      </x:c>
      <x:c r="Z13" s="3" t="str">
        <x:f>IF(Master!AA557="","",Master!AA557)</x:f>
      </x:c>
      <x:c r="AA13" s="6" t="str">
        <x:f>IF(Master!AB557="","",Master!AB557)</x:f>
      </x:c>
      <x:c r="AB13" s="3" t="str">
        <x:f>IF(Master!AC557="","",Master!AC557)</x:f>
        <x:v>Automod raid protection</x:v>
      </x:c>
      <x:c r="AC13" s="3" t="str">
        <x:f>IF(Master!AD557="","",Master!AD557)</x:f>
      </x:c>
      <x:c r="AD13" s="3" t="str">
        <x:f>IF(Master!AE557="","",Master!AE557)</x:f>
      </x:c>
      <x:c r="AE13" s="3" t="str">
        <x:f>IF(Master!AF557="","",Master!AF557)</x:f>
      </x:c>
      <x:c r="AF13" s="8" t="str">
        <x:f>IF(Master!AG557="","",Master!AG557)</x:f>
      </x:c>
    </x:row>
    <x:row r="14" ht="36" customHeight="1">
      <x:c r="A14" s="17" t="s">
        <x:v>831</x:v>
      </x:c>
      <x:c r="B14" s="3" t="str">
        <x:f>IF(Master!C558="","",Master!C558)</x:f>
        <x:v>Yes: Raid Protection uses ML signals and can require CAPTCHA; verification/security controls also available</x:v>
      </x:c>
      <x:c r="C14" s="3" t="str">
        <x:f>IF(Master!D558="","",Master!D558)</x:f>
      </x:c>
      <x:c r="D14" s="3" t="str">
        <x:f>IF(Master!E558="","",Master!E558)</x:f>
        <x:v>Federated ban-sharing planned</x:v>
      </x:c>
      <x:c r="E14" s="3" t="str">
        <x:f>IF(Master!F558="","",Master!F558)</x:f>
      </x:c>
      <x:c r="F14" s="3" t="str">
        <x:f>IF(Master!G558="","",Master!G558)</x:f>
      </x:c>
      <x:c r="G14" s="3" t="str">
        <x:f>IF(Master!H558="","",Master!H558)</x:f>
      </x:c>
      <x:c r="H14" s="3" t="str">
        <x:f>IF(Master!I558="","",Master!I558)</x:f>
      </x:c>
      <x:c r="I14" s="3" t="str">
        <x:f>IF(Master!J558="","",Master!J558)</x:f>
      </x:c>
      <x:c r="J14" s="3" t="str">
        <x:f>IF(Master!K558="","",Master!K558)</x:f>
      </x:c>
      <x:c r="K14" s="3" t="str">
        <x:f>IF(Master!L558="","",Master!L558)</x:f>
        <x:v>Not fully documented</x:v>
      </x:c>
      <x:c r="L14" s="3" t="str">
        <x:f>IF(Master!M558="","",Master!M558)</x:f>
      </x:c>
      <x:c r="M14" s="3" t="str">
        <x:f>IF(Master!N558="","",Master!N558)</x:f>
      </x:c>
      <x:c r="N14" s="3" t="str">
        <x:f>IF(Master!O558="","",Master!O558)</x:f>
        <x:v>Homeserver/operator-dependent</x:v>
      </x:c>
      <x:c r="O14" s="3" t="str">
        <x:f>IF(Master!P558="","",Master!P558)</x:f>
      </x:c>
      <x:c r="P14" s="3" t="str">
        <x:f>IF(Master!Q558="","",Master!Q558)</x:f>
      </x:c>
      <x:c r="Q14" s="3" t="str">
        <x:f>IF(Master!R558="","",Master!R558)</x:f>
        <x:v>N/A</x:v>
      </x:c>
      <x:c r="R14" s="3" t="str">
        <x:f>IF(Master!S558="","",Master!S558)</x:f>
      </x:c>
      <x:c r="S14" s="3" t="str">
        <x:f>IF(Master!T558="","",Master!T558)</x:f>
      </x:c>
      <x:c r="T14" s="3" t="str">
        <x:f>IF(Master!U558="","",Master!U558)</x:f>
      </x:c>
      <x:c r="U14" s="3" t="str">
        <x:f>IF(Master!V558="","",Master!V558)</x:f>
        <x:v>Yes</x:v>
      </x:c>
      <x:c r="V14" s="3" t="str">
        <x:f>IF(Master!W558="","",Master!W558)</x:f>
      </x:c>
      <x:c r="W14" s="3" t="str">
        <x:f>IF(Master!X558="","",Master!X558)</x:f>
      </x:c>
      <x:c r="X14" s="3" t="str">
        <x:f>IF(Master!Y558="","",Master!Y558)</x:f>
      </x:c>
      <x:c r="Y14" s="3" t="str">
        <x:f>IF(Master!Z558="","",Master!Z558)</x:f>
      </x:c>
      <x:c r="Z14" s="3" t="str">
        <x:f>IF(Master!AA558="","",Master!AA558)</x:f>
      </x:c>
      <x:c r="AA14" s="6" t="str">
        <x:f>IF(Master!AB558="","",Master!AB558)</x:f>
      </x:c>
      <x:c r="AB14" s="3" t="str">
        <x:f>IF(Master!AC558="","",Master!AC558)</x:f>
        <x:v>Automod raid protection</x:v>
      </x:c>
      <x:c r="AC14" s="3" t="str">
        <x:f>IF(Master!AD558="","",Master!AD558)</x:f>
      </x:c>
      <x:c r="AD14" s="3" t="str">
        <x:f>IF(Master!AE558="","",Master!AE558)</x:f>
      </x:c>
      <x:c r="AE14" s="3" t="str">
        <x:f>IF(Master!AF558="","",Master!AF558)</x:f>
      </x:c>
      <x:c r="AF14" s="8" t="str">
        <x:f>IF(Master!AG558="","",Master!AG558)</x:f>
      </x:c>
    </x:row>
    <x:row r="15" ht="36" customHeight="1">
      <x:c r="A15" s="17" t="s">
        <x:v>832</x:v>
      </x:c>
      <x:c r="B15" s="3" t="str">
        <x:f>IF(Master!C559="","",Master!C559)</x:f>
        <x:v>Yes</x:v>
      </x:c>
      <x:c r="C15" s="3" t="str">
        <x:f>IF(Master!D559="","",Master!D559)</x:f>
      </x:c>
      <x:c r="D15" s="3" t="str">
        <x:f>IF(Master!E559="","",Master!E559)</x:f>
      </x:c>
      <x:c r="E15" s="3" t="str">
        <x:f>IF(Master!F559="","",Master!F559)</x:f>
      </x:c>
      <x:c r="F15" s="3" t="str">
        <x:f>IF(Master!G559="","",Master!G559)</x:f>
      </x:c>
      <x:c r="G15" s="3" t="str">
        <x:f>IF(Master!H559="","",Master!H559)</x:f>
      </x:c>
      <x:c r="H15" s="3" t="str">
        <x:f>IF(Master!I559="","",Master!I559)</x:f>
      </x:c>
      <x:c r="I15" s="3" t="str">
        <x:f>IF(Master!J559="","",Master!J559)</x:f>
      </x:c>
      <x:c r="J15" s="3" t="str">
        <x:f>IF(Master!K559="","",Master!K559)</x:f>
      </x:c>
      <x:c r="K15" s="3" t="str">
        <x:f>IF(Master!L559="","",Master!L559)</x:f>
        <x:v>Optional Turnstile can be enabled for registration/failed sign-in challenges</x:v>
      </x:c>
      <x:c r="L15" s="3" t="str">
        <x:f>IF(Master!M559="","",Master!M559)</x:f>
      </x:c>
      <x:c r="M15" s="3" t="str">
        <x:f>IF(Master!N559="","",Master!N559)</x:f>
      </x:c>
      <x:c r="N15" s="3" t="str">
        <x:f>IF(Master!O559="","",Master!O559)</x:f>
      </x:c>
      <x:c r="O15" s="3" t="str">
        <x:f>IF(Master!P559="","",Master!P559)</x:f>
      </x:c>
      <x:c r="P15" s="3" t="str">
        <x:f>IF(Master!Q559="","",Master!Q559)</x:f>
      </x:c>
      <x:c r="Q15" s="3" t="str">
        <x:f>IF(Master!R559="","",Master!R559)</x:f>
      </x:c>
      <x:c r="R15" s="3" t="str">
        <x:f>IF(Master!S559="","",Master!S559)</x:f>
      </x:c>
      <x:c r="S15" s="3" t="str">
        <x:f>IF(Master!T559="","",Master!T559)</x:f>
      </x:c>
      <x:c r="T15" s="3" t="str">
        <x:f>IF(Master!U559="","",Master!U559)</x:f>
      </x:c>
      <x:c r="U15" s="3" t="str">
        <x:f>IF(Master!V559="","",Master!V559)</x:f>
        <x:v>No</x:v>
      </x:c>
      <x:c r="V15" s="3" t="str">
        <x:f>IF(Master!W559="","",Master!W559)</x:f>
      </x:c>
      <x:c r="W15" s="3" t="str">
        <x:f>IF(Master!X559="","",Master!X559)</x:f>
      </x:c>
      <x:c r="X15" s="3" t="str">
        <x:f>IF(Master!Y559="","",Master!Y559)</x:f>
      </x:c>
      <x:c r="Y15" s="3" t="str">
        <x:f>IF(Master!Z559="","",Master!Z559)</x:f>
      </x:c>
      <x:c r="Z15" s="3" t="str">
        <x:f>IF(Master!AA559="","",Master!AA559)</x:f>
      </x:c>
      <x:c r="AA15" s="6" t="str">
        <x:f>IF(Master!AB559="","",Master!AB559)</x:f>
      </x:c>
      <x:c r="AB15" s="3" t="str">
        <x:f>IF(Master!AC559="","",Master!AC559)</x:f>
      </x:c>
      <x:c r="AC15" s="3" t="str">
        <x:f>IF(Master!AD559="","",Master!AD559)</x:f>
      </x:c>
      <x:c r="AD15" s="3" t="str">
        <x:f>IF(Master!AE559="","",Master!AE559)</x:f>
      </x:c>
      <x:c r="AE15" s="3" t="str">
        <x:f>IF(Master!AF559="","",Master!AF559)</x:f>
      </x:c>
      <x:c r="AF15" s="8" t="str">
        <x:f>IF(Master!AG559="","",Master!AG559)</x:f>
      </x:c>
    </x:row>
    <x:row r="16" ht="36" customHeight="1">
      <x:c r="A16" s="17" t="s">
        <x:v>816</x:v>
      </x:c>
      <x:c r="B16" s="3" t="str">
        <x:f>IF(Master!C560="","",Master!C560)</x:f>
        <x:v>Yes</x:v>
      </x:c>
      <x:c r="C16" s="3" t="str">
        <x:f>IF(Master!D560="","",Master!D560)</x:f>
      </x:c>
      <x:c r="D16" s="3" t="str">
        <x:f>IF(Master!E560="","",Master!E560)</x:f>
      </x:c>
      <x:c r="E16" s="3" t="str">
        <x:f>IF(Master!F560="","",Master!F560)</x:f>
      </x:c>
      <x:c r="F16" s="3" t="str">
        <x:f>IF(Master!G560="","",Master!G560)</x:f>
      </x:c>
      <x:c r="G16" s="3" t="str">
        <x:f>IF(Master!H560="","",Master!H560)</x:f>
      </x:c>
      <x:c r="H16" s="3" t="str">
        <x:f>IF(Master!I560="","",Master!I560)</x:f>
      </x:c>
      <x:c r="I16" s="3" t="str">
        <x:f>IF(Master!J560="","",Master!J560)</x:f>
      </x:c>
      <x:c r="J16" s="3" t="str">
        <x:f>IF(Master!K560="","",Master!K560)</x:f>
      </x:c>
      <x:c r="K16" s="3" t="str">
        <x:f>IF(Master!L560="","",Master!L560)</x:f>
        <x:v>Not documented</x:v>
      </x:c>
      <x:c r="L16" s="3" t="str">
        <x:f>IF(Master!M560="","",Master!M560)</x:f>
      </x:c>
      <x:c r="M16" s="3" t="str">
        <x:f>IF(Master!N560="","",Master!N560)</x:f>
      </x:c>
      <x:c r="N16" s="3" t="str">
        <x:f>IF(Master!O560="","",Master!O560)</x:f>
      </x:c>
      <x:c r="O16" s="3" t="str">
        <x:f>IF(Master!P560="","",Master!P560)</x:f>
      </x:c>
      <x:c r="P16" s="3" t="str">
        <x:f>IF(Master!Q560="","",Master!Q560)</x:f>
      </x:c>
      <x:c r="Q16" s="3" t="str">
        <x:f>IF(Master!R560="","",Master!R560)</x:f>
      </x:c>
      <x:c r="R16" s="3" t="str">
        <x:f>IF(Master!S560="","",Master!S560)</x:f>
      </x:c>
      <x:c r="S16" s="3" t="str">
        <x:f>IF(Master!T560="","",Master!T560)</x:f>
      </x:c>
      <x:c r="T16" s="3" t="str">
        <x:f>IF(Master!U560="","",Master!U560)</x:f>
      </x:c>
      <x:c r="U16" s="3" t="n">
        <x:f>IF(Master!V560="","",Master!V560)</x:f>
        <x:v>1</x:v>
      </x:c>
      <x:c r="V16" s="3" t="str">
        <x:f>IF(Master!W560="","",Master!W560)</x:f>
      </x:c>
      <x:c r="W16" s="3" t="str">
        <x:f>IF(Master!X560="","",Master!X560)</x:f>
      </x:c>
      <x:c r="X16" s="3" t="str">
        <x:f>IF(Master!Y560="","",Master!Y560)</x:f>
      </x:c>
      <x:c r="Y16" s="3" t="str">
        <x:f>IF(Master!Z560="","",Master!Z560)</x:f>
      </x:c>
      <x:c r="Z16" s="3" t="str">
        <x:f>IF(Master!AA560="","",Master!AA560)</x:f>
      </x:c>
      <x:c r="AA16" s="6" t="str">
        <x:f>IF(Master!AB560="","",Master!AB560)</x:f>
      </x:c>
      <x:c r="AB16" s="3" t="str">
        <x:f>IF(Master!AC560="","",Master!AC560)</x:f>
      </x:c>
      <x:c r="AC16" s="3" t="str">
        <x:f>IF(Master!AD560="","",Master!AD560)</x:f>
      </x:c>
      <x:c r="AD16" s="3" t="str">
        <x:f>IF(Master!AE560="","",Master!AE560)</x:f>
      </x:c>
      <x:c r="AE16" s="3" t="str">
        <x:f>IF(Master!AF560="","",Master!AF560)</x:f>
      </x:c>
      <x:c r="AF16" s="8" t="str">
        <x:f>IF(Master!AG560="","",Master!AG560)</x:f>
      </x:c>
    </x:row>
    <x:row r="17" ht="36" customHeight="1">
      <x:c r="A17" s="17" t="s">
        <x:v>817</x:v>
      </x:c>
      <x:c r="B17" s="3" t="str">
        <x:f>IF(Master!C561="","",Master!C561)</x:f>
        <x:v>Yes: Rules Screening + verification levels; Server Member Applications are available/rolling out</x:v>
      </x:c>
      <x:c r="C17" s="3" t="str">
        <x:f>IF(Master!D561="","",Master!D561)</x:f>
      </x:c>
      <x:c r="D17" s="3" t="str">
        <x:f>IF(Master!E561="","",Master!E561)</x:f>
        <x:v>Instance controls</x:v>
      </x:c>
      <x:c r="E17" s="3" t="str">
        <x:f>IF(Master!F561="","",Master!F561)</x:f>
      </x:c>
      <x:c r="F17" s="3" t="str">
        <x:f>IF(Master!G561="","",Master!G561)</x:f>
      </x:c>
      <x:c r="G17" s="3" t="str">
        <x:f>IF(Master!H561="","",Master!H561)</x:f>
      </x:c>
      <x:c r="H17" s="3" t="str">
        <x:f>IF(Master!I561="","",Master!I561)</x:f>
      </x:c>
      <x:c r="I17" s="3" t="str">
        <x:f>IF(Master!J561="","",Master!J561)</x:f>
      </x:c>
      <x:c r="J17" s="3" t="str">
        <x:f>IF(Master!K561="","",Master!K561)</x:f>
      </x:c>
      <x:c r="K17" s="3" t="str">
        <x:f>IF(Master!L561="","",Master!L561)</x:f>
        <x:v>Not documented</x:v>
      </x:c>
      <x:c r="L17" s="3" t="str">
        <x:f>IF(Master!M561="","",Master!M561)</x:f>
      </x:c>
      <x:c r="M17" s="3" t="str">
        <x:f>IF(Master!N561="","",Master!N561)</x:f>
      </x:c>
      <x:c r="N17" s="3" t="str">
        <x:f>IF(Master!O561="","",Master!O561)</x:f>
        <x:v>Client/server-dependent</x:v>
      </x:c>
      <x:c r="O17" s="3" t="str">
        <x:f>IF(Master!P561="","",Master!P561)</x:f>
        <x:v>Invite/SSO/admin restrictions</x:v>
      </x:c>
      <x:c r="P17" s="3" t="str">
        <x:f>IF(Master!Q561="","",Master!Q561)</x:f>
      </x:c>
      <x:c r="Q17" s="3" t="str">
        <x:f>IF(Master!R561="","",Master!R561)</x:f>
        <x:v>Password/cert/ACL gates</x:v>
      </x:c>
      <x:c r="R17" s="3" t="str">
        <x:f>IF(Master!S561="","",Master!S561)</x:f>
      </x:c>
      <x:c r="S17" s="3" t="str">
        <x:f>IF(Master!T561="","",Master!T561)</x:f>
      </x:c>
      <x:c r="T17" s="3" t="str">
        <x:f>IF(Master!U561="","",Master!U561)</x:f>
      </x:c>
      <x:c r="U17" s="3" t="str">
        <x:f>IF(Master!V561="","",Master!V561)</x:f>
        <x:v>Yes</x:v>
      </x:c>
      <x:c r="V17" s="3" t="str">
        <x:f>IF(Master!W561="","",Master!W561)</x:f>
        <x:v>Invite/SSO/approval options</x:v>
      </x:c>
      <x:c r="W17" s="3" t="str">
        <x:f>IF(Master!X561="","",Master!X561)</x:f>
      </x:c>
      <x:c r="X17" s="3" t="str">
        <x:f>IF(Master!Y561="","",Master!Y561)</x:f>
      </x:c>
      <x:c r="Y17" s="3" t="str">
        <x:f>IF(Master!Z561="","",Master!Z561)</x:f>
      </x:c>
      <x:c r="Z17" s="3" t="str">
        <x:f>IF(Master!AA561="","",Master!AA561)</x:f>
      </x:c>
      <x:c r="AA17" s="6" t="str">
        <x:f>IF(Master!AB561="","",Master!AB561)</x:f>
        <x:v>Password/permissions</x:v>
      </x:c>
      <x:c r="AB17" s="3" t="str">
        <x:f>IF(Master!AC561="","",Master!AC561)</x:f>
      </x:c>
      <x:c r="AC17" s="3" t="str">
        <x:f>IF(Master!AD561="","",Master!AD561)</x:f>
      </x:c>
      <x:c r="AD17" s="3" t="str">
        <x:f>IF(Master!AE561="","",Master!AE561)</x:f>
      </x:c>
      <x:c r="AE17" s="3" t="str">
        <x:f>IF(Master!AF561="","",Master!AF561)</x:f>
      </x:c>
      <x:c r="AF17" s="8" t="str">
        <x:f>IF(Master!AG561="","",Master!AG561)</x:f>
        <x:v>Invite/SSO/domain controls</x:v>
      </x:c>
    </x:row>
    <x:row r="18" ht="36" customHeight="1">
      <x:c r="A18" s="17" t="s">
        <x:v>818</x:v>
      </x:c>
      <x:c r="B18" s="3" t="str">
        <x:f>IF(Master!C562="","",Master!C562)</x:f>
        <x:v>Yes: Rules Screening + verification levels; Server Member Applications are available/rolling out</x:v>
      </x:c>
      <x:c r="C18" s="3" t="str">
        <x:f>IF(Master!D562="","",Master!D562)</x:f>
      </x:c>
      <x:c r="D18" s="3" t="str">
        <x:f>IF(Master!E562="","",Master!E562)</x:f>
        <x:v>Instance controls</x:v>
      </x:c>
      <x:c r="E18" s="3" t="str">
        <x:f>IF(Master!F562="","",Master!F562)</x:f>
      </x:c>
      <x:c r="F18" s="3" t="str">
        <x:f>IF(Master!G562="","",Master!G562)</x:f>
      </x:c>
      <x:c r="G18" s="3" t="str">
        <x:f>IF(Master!H562="","",Master!H562)</x:f>
      </x:c>
      <x:c r="H18" s="3" t="str">
        <x:f>IF(Master!I562="","",Master!I562)</x:f>
      </x:c>
      <x:c r="I18" s="3" t="str">
        <x:f>IF(Master!J562="","",Master!J562)</x:f>
      </x:c>
      <x:c r="J18" s="3" t="str">
        <x:f>IF(Master!K562="","",Master!K562)</x:f>
      </x:c>
      <x:c r="K18" s="3" t="str">
        <x:f>IF(Master!L562="","",Master!L562)</x:f>
        <x:v>Not documented</x:v>
      </x:c>
      <x:c r="L18" s="3" t="str">
        <x:f>IF(Master!M562="","",Master!M562)</x:f>
      </x:c>
      <x:c r="M18" s="3" t="str">
        <x:f>IF(Master!N562="","",Master!N562)</x:f>
      </x:c>
      <x:c r="N18" s="3" t="str">
        <x:f>IF(Master!O562="","",Master!O562)</x:f>
        <x:v>Client/server-dependent</x:v>
      </x:c>
      <x:c r="O18" s="3" t="str">
        <x:f>IF(Master!P562="","",Master!P562)</x:f>
        <x:v>Invite/SSO/admin restrictions</x:v>
      </x:c>
      <x:c r="P18" s="3" t="str">
        <x:f>IF(Master!Q562="","",Master!Q562)</x:f>
      </x:c>
      <x:c r="Q18" s="3" t="str">
        <x:f>IF(Master!R562="","",Master!R562)</x:f>
        <x:v>Password/cert/ACL gates</x:v>
      </x:c>
      <x:c r="R18" s="3" t="str">
        <x:f>IF(Master!S562="","",Master!S562)</x:f>
      </x:c>
      <x:c r="S18" s="3" t="str">
        <x:f>IF(Master!T562="","",Master!T562)</x:f>
      </x:c>
      <x:c r="T18" s="3" t="str">
        <x:f>IF(Master!U562="","",Master!U562)</x:f>
      </x:c>
      <x:c r="U18" s="3" t="str">
        <x:f>IF(Master!V562="","",Master!V562)</x:f>
        <x:v>Yes</x:v>
      </x:c>
      <x:c r="V18" s="3" t="str">
        <x:f>IF(Master!W562="","",Master!W562)</x:f>
        <x:v>Invite/SSO/approval options</x:v>
      </x:c>
      <x:c r="W18" s="3" t="str">
        <x:f>IF(Master!X562="","",Master!X562)</x:f>
      </x:c>
      <x:c r="X18" s="3" t="str">
        <x:f>IF(Master!Y562="","",Master!Y562)</x:f>
      </x:c>
      <x:c r="Y18" s="3" t="str">
        <x:f>IF(Master!Z562="","",Master!Z562)</x:f>
      </x:c>
      <x:c r="Z18" s="3" t="str">
        <x:f>IF(Master!AA562="","",Master!AA562)</x:f>
      </x:c>
      <x:c r="AA18" s="6" t="str">
        <x:f>IF(Master!AB562="","",Master!AB562)</x:f>
        <x:v>Password/permissions</x:v>
      </x:c>
      <x:c r="AB18" s="3" t="str">
        <x:f>IF(Master!AC562="","",Master!AC562)</x:f>
      </x:c>
      <x:c r="AC18" s="3" t="str">
        <x:f>IF(Master!AD562="","",Master!AD562)</x:f>
      </x:c>
      <x:c r="AD18" s="3" t="str">
        <x:f>IF(Master!AE562="","",Master!AE562)</x:f>
      </x:c>
      <x:c r="AE18" s="3" t="str">
        <x:f>IF(Master!AF562="","",Master!AF562)</x:f>
      </x:c>
      <x:c r="AF18" s="8" t="str">
        <x:f>IF(Master!AG562="","",Master!AG562)</x:f>
        <x:v>Invite/SSO/domain controls</x:v>
      </x:c>
    </x:row>
    <x:row r="19" ht="21.950000762939453" customHeight="1">
      <x:c r="A19" s="18" t="s">
        <x:v>833</x:v>
      </x:c>
      <x:c r="B19" s="18" t="str">
        <x:f t="shared" ref="B19:AF19" si="2">IF(""="","","")</x:f>
      </x:c>
      <x:c r="C19" s="18" t="str">
        <x:f t="shared" si="2"/>
      </x:c>
      <x:c r="D19" s="18" t="str">
        <x:f t="shared" si="2"/>
      </x:c>
      <x:c r="E19" s="18" t="str">
        <x:f t="shared" si="2"/>
      </x:c>
      <x:c r="F19" s="18" t="str">
        <x:f t="shared" si="2"/>
      </x:c>
      <x:c r="G19" s="18" t="str">
        <x:f t="shared" si="2"/>
      </x:c>
      <x:c r="H19" s="18" t="str">
        <x:f t="shared" si="2"/>
      </x:c>
      <x:c r="I19" s="18" t="str">
        <x:f t="shared" si="2"/>
      </x:c>
      <x:c r="J19" s="18" t="str">
        <x:f t="shared" si="2"/>
      </x:c>
      <x:c r="K19" s="18" t="str">
        <x:f t="shared" si="2"/>
      </x:c>
      <x:c r="L19" s="18" t="str">
        <x:f t="shared" si="2"/>
      </x:c>
      <x:c r="M19" s="18" t="str">
        <x:f t="shared" si="2"/>
      </x:c>
      <x:c r="N19" s="18" t="str">
        <x:f t="shared" si="2"/>
      </x:c>
      <x:c r="O19" s="18" t="str">
        <x:f t="shared" si="2"/>
      </x:c>
      <x:c r="P19" s="18" t="str">
        <x:f t="shared" si="2"/>
      </x:c>
      <x:c r="Q19" s="18" t="str">
        <x:f t="shared" si="2"/>
      </x:c>
      <x:c r="R19" s="18" t="str">
        <x:f t="shared" si="2"/>
      </x:c>
      <x:c r="S19" s="18" t="str">
        <x:f t="shared" si="2"/>
      </x:c>
      <x:c r="T19" s="18" t="str">
        <x:f t="shared" si="2"/>
      </x:c>
      <x:c r="U19" s="18" t="str">
        <x:f t="shared" si="2"/>
      </x:c>
      <x:c r="V19" s="18" t="str">
        <x:f t="shared" si="2"/>
      </x:c>
      <x:c r="W19" s="18" t="str">
        <x:f t="shared" si="2"/>
      </x:c>
      <x:c r="X19" s="18" t="str">
        <x:f t="shared" si="2"/>
      </x:c>
      <x:c r="Y19" s="18" t="str">
        <x:f t="shared" si="2"/>
      </x:c>
      <x:c r="Z19" s="18" t="str">
        <x:f t="shared" si="2"/>
      </x:c>
      <x:c r="AA19" s="18" t="str">
        <x:f t="shared" si="2"/>
      </x:c>
      <x:c r="AB19" s="18" t="str">
        <x:f t="shared" si="2"/>
      </x:c>
      <x:c r="AC19" s="18" t="str">
        <x:f t="shared" si="2"/>
      </x:c>
      <x:c r="AD19" s="18" t="str">
        <x:f t="shared" si="2"/>
      </x:c>
      <x:c r="AE19" s="18" t="str">
        <x:f t="shared" si="2"/>
      </x:c>
      <x:c r="AF19" s="19" t="str">
        <x:f t="shared" si="2"/>
      </x:c>
    </x:row>
    <x:row r="20" ht="36" customHeight="1">
      <x:c r="A20" s="17" t="s">
        <x:v>834</x:v>
      </x:c>
      <x:c r="B20" s="3" t="str">
        <x:f>IF(Master!C563="","",Master!C563)</x:f>
      </x:c>
      <x:c r="C20" s="3" t="str">
        <x:f>IF(Master!D563="","",Master!D563)</x:f>
      </x:c>
      <x:c r="D20" s="3" t="str">
        <x:f>IF(Master!E563="","",Master!E563)</x:f>
        <x:v>Operator responsibility</x:v>
      </x:c>
      <x:c r="E20" s="3" t="str">
        <x:f>IF(Master!F563="","",Master!F563)</x:f>
      </x:c>
      <x:c r="F20" s="3" t="str">
        <x:f>IF(Master!G563="","",Master!G563)</x:f>
        <x:v>Native moderation controls</x:v>
      </x:c>
      <x:c r="G20" s="3" t="str">
        <x:f>IF(Master!H563="","",Master!H563)</x:f>
      </x:c>
      <x:c r="H20" s="3" t="str">
        <x:f>IF(Master!I563="","",Master!I563)</x:f>
      </x:c>
      <x:c r="I20" s="3" t="str">
        <x:f>IF(Master!J563="","",Master!J563)</x:f>
      </x:c>
      <x:c r="J20" s="3" t="str">
        <x:f>IF(Master!K563="","",Master!K563)</x:f>
      </x:c>
      <x:c r="K20" s="3" t="str">
        <x:f>IF(Master!L563="","",Master!L563)</x:f>
        <x:v>Yes: instance Trust &amp; Safety report queue with triage/review/request-info/action/no-action/duplicate/reopen workflow</x:v>
      </x:c>
      <x:c r="L20" s="3" t="str">
        <x:f>IF(Master!M563="","",Master!M563)</x:f>
      </x:c>
      <x:c r="M20" s="3" t="str">
        <x:f>IF(Master!N563="","",Master!N563)</x:f>
      </x:c>
      <x:c r="N20" s="3" t="str">
        <x:f>IF(Master!O563="","",Master!O563)</x:f>
        <x:v>Client/server-dependent</x:v>
      </x:c>
      <x:c r="O20" s="3" t="str">
        <x:f>IF(Master!P563="","",Master!P563)</x:f>
        <x:v>Admin console</x:v>
      </x:c>
      <x:c r="P20" s="3" t="str">
        <x:f>IF(Master!Q563="","",Master!Q563)</x:f>
      </x:c>
      <x:c r="Q20" s="3" t="str">
        <x:f>IF(Master!R563="","",Master!R563)</x:f>
        <x:v>Admin tools</x:v>
      </x:c>
      <x:c r="R20" s="3" t="str">
        <x:f>IF(Master!S563="","",Master!S563)</x:f>
      </x:c>
      <x:c r="S20" s="3" t="str">
        <x:f>IF(Master!T563="","",Master!T563)</x:f>
      </x:c>
      <x:c r="T20" s="3" t="str">
        <x:f>IF(Master!U563="","",Master!U563)</x:f>
        <x:v>Reports in-app</x:v>
      </x:c>
      <x:c r="U20" s="3" t="str">
        <x:f>IF(Master!V563="","",Master!V563)</x:f>
        <x:v>Yes: Shard Command Center/mod feed</x:v>
      </x:c>
      <x:c r="V20" s="3" t="str">
        <x:f>IF(Master!W563="","",Master!W563)</x:f>
        <x:v>Admin console</x:v>
      </x:c>
      <x:c r="W20" s="3" t="str">
        <x:f>IF(Master!X563="","",Master!X563)</x:f>
      </x:c>
      <x:c r="X20" s="3" t="str">
        <x:f>IF(Master!Y563="","",Master!Y563)</x:f>
        <x:v>Moderation App dashboards/analytics</x:v>
      </x:c>
      <x:c r="Y20" s="3" t="str">
        <x:f>IF(Master!Z563="","",Master!Z563)</x:f>
      </x:c>
      <x:c r="Z20" s="3" t="str">
        <x:f>IF(Master!AA563="","",Master!AA563)</x:f>
      </x:c>
      <x:c r="AA20" s="6" t="str">
        <x:f>IF(Master!AB563="","",Master!AB563)</x:f>
        <x:v>Admin tools</x:v>
      </x:c>
      <x:c r="AB20" s="3" t="str">
        <x:f>IF(Master!AC563="","",Master!AC563)</x:f>
        <x:v>Admin/mod tools</x:v>
      </x:c>
      <x:c r="AC20" s="3" t="str">
        <x:f>IF(Master!AD563="","",Master!AD563)</x:f>
      </x:c>
      <x:c r="AD20" s="3" t="str">
        <x:f>IF(Master!AE563="","",Master!AE563)</x:f>
      </x:c>
      <x:c r="AE20" s="3" t="str">
        <x:f>IF(Master!AF563="","",Master!AF563)</x:f>
      </x:c>
      <x:c r="AF20" s="8" t="str">
        <x:f>IF(Master!AG563="","",Master!AG563)</x:f>
        <x:v>Admin UI</x:v>
      </x:c>
    </x:row>
    <x:row r="21" ht="36" customHeight="1">
      <x:c r="A21" s="17" t="s">
        <x:v>835</x:v>
      </x:c>
      <x:c r="B21" s="3" t="str">
        <x:f>IF(Master!C564="","",Master!C564)</x:f>
      </x:c>
      <x:c r="C21" s="3" t="str">
        <x:f>IF(Master!D564="","",Master!D564)</x:f>
      </x:c>
      <x:c r="D21" s="3" t="str">
        <x:f>IF(Master!E564="","",Master!E564)</x:f>
        <x:v>Operator responsibility</x:v>
      </x:c>
      <x:c r="E21" s="3" t="str">
        <x:f>IF(Master!F564="","",Master!F564)</x:f>
      </x:c>
      <x:c r="F21" s="3" t="str">
        <x:f>IF(Master!G564="","",Master!G564)</x:f>
        <x:v>Native moderation controls</x:v>
      </x:c>
      <x:c r="G21" s="3" t="str">
        <x:f>IF(Master!H564="","",Master!H564)</x:f>
      </x:c>
      <x:c r="H21" s="3" t="str">
        <x:f>IF(Master!I564="","",Master!I564)</x:f>
      </x:c>
      <x:c r="I21" s="3" t="str">
        <x:f>IF(Master!J564="","",Master!J564)</x:f>
      </x:c>
      <x:c r="J21" s="3" t="str">
        <x:f>IF(Master!K564="","",Master!K564)</x:f>
      </x:c>
      <x:c r="K21" s="3" t="str">
        <x:f>IF(Master!L564="","",Master!L564)</x:f>
        <x:v>Yes: instance Trust &amp; Safety report queue with triage/review/request-info/action/no-action/duplicate/reopen workflow</x:v>
      </x:c>
      <x:c r="L21" s="3" t="str">
        <x:f>IF(Master!M564="","",Master!M564)</x:f>
      </x:c>
      <x:c r="M21" s="3" t="str">
        <x:f>IF(Master!N564="","",Master!N564)</x:f>
      </x:c>
      <x:c r="N21" s="3" t="str">
        <x:f>IF(Master!O564="","",Master!O564)</x:f>
        <x:v>Client/server-dependent</x:v>
      </x:c>
      <x:c r="O21" s="3" t="str">
        <x:f>IF(Master!P564="","",Master!P564)</x:f>
        <x:v>Admin console</x:v>
      </x:c>
      <x:c r="P21" s="3" t="str">
        <x:f>IF(Master!Q564="","",Master!Q564)</x:f>
      </x:c>
      <x:c r="Q21" s="3" t="str">
        <x:f>IF(Master!R564="","",Master!R564)</x:f>
        <x:v>Admin tools</x:v>
      </x:c>
      <x:c r="R21" s="3" t="str">
        <x:f>IF(Master!S564="","",Master!S564)</x:f>
      </x:c>
      <x:c r="S21" s="3" t="str">
        <x:f>IF(Master!T564="","",Master!T564)</x:f>
      </x:c>
      <x:c r="T21" s="3" t="str">
        <x:f>IF(Master!U564="","",Master!U564)</x:f>
        <x:v>Reports in-app</x:v>
      </x:c>
      <x:c r="U21" s="3" t="str">
        <x:f>IF(Master!V564="","",Master!V564)</x:f>
        <x:v>Yes: structured reports/status</x:v>
      </x:c>
      <x:c r="V21" s="3" t="str">
        <x:f>IF(Master!W564="","",Master!W564)</x:f>
        <x:v>Admin console</x:v>
      </x:c>
      <x:c r="W21" s="3" t="str">
        <x:f>IF(Master!X564="","",Master!X564)</x:f>
      </x:c>
      <x:c r="X21" s="3" t="str">
        <x:f>IF(Master!Y564="","",Master!Y564)</x:f>
        <x:v>Moderation App dashboards/analytics</x:v>
      </x:c>
      <x:c r="Y21" s="3" t="str">
        <x:f>IF(Master!Z564="","",Master!Z564)</x:f>
      </x:c>
      <x:c r="Z21" s="3" t="str">
        <x:f>IF(Master!AA564="","",Master!AA564)</x:f>
      </x:c>
      <x:c r="AA21" s="6" t="str">
        <x:f>IF(Master!AB564="","",Master!AB564)</x:f>
        <x:v>Admin tools</x:v>
      </x:c>
      <x:c r="AB21" s="3" t="str">
        <x:f>IF(Master!AC564="","",Master!AC564)</x:f>
        <x:v>Admin/mod tools</x:v>
      </x:c>
      <x:c r="AC21" s="3" t="str">
        <x:f>IF(Master!AD564="","",Master!AD564)</x:f>
      </x:c>
      <x:c r="AD21" s="3" t="str">
        <x:f>IF(Master!AE564="","",Master!AE564)</x:f>
      </x:c>
      <x:c r="AE21" s="3" t="str">
        <x:f>IF(Master!AF564="","",Master!AF564)</x:f>
      </x:c>
      <x:c r="AF21" s="8" t="str">
        <x:f>IF(Master!AG564="","",Master!AG564)</x:f>
        <x:v>Admin UI</x:v>
      </x:c>
    </x:row>
    <x:row r="22" ht="36" customHeight="1">
      <x:c r="A22" s="17" t="s">
        <x:v>836</x:v>
      </x:c>
      <x:c r="B22" s="3" t="str">
        <x:f>IF(Master!C565="","",Master!C565)</x:f>
        <x:v>Yes</x:v>
      </x:c>
      <x:c r="C22" s="3" t="str">
        <x:f>IF(Master!D565="","",Master!D565)</x:f>
      </x:c>
      <x:c r="D22" s="3" t="str">
        <x:f>IF(Master!E565="","",Master!E565)</x:f>
      </x:c>
      <x:c r="E22" s="3" t="str">
        <x:f>IF(Master!F565="","",Master!F565)</x:f>
      </x:c>
      <x:c r="F22" s="3" t="str">
        <x:f>IF(Master!G565="","",Master!G565)</x:f>
      </x:c>
      <x:c r="G22" s="3" t="str">
        <x:f>IF(Master!H565="","",Master!H565)</x:f>
      </x:c>
      <x:c r="H22" s="3" t="str">
        <x:f>IF(Master!I565="","",Master!I565)</x:f>
      </x:c>
      <x:c r="I22" s="3" t="str">
        <x:f>IF(Master!J565="","",Master!J565)</x:f>
      </x:c>
      <x:c r="J22" s="3" t="str">
        <x:f>IF(Master!K565="","",Master!K565)</x:f>
      </x:c>
      <x:c r="K22" s="3" t="str">
        <x:f>IF(Master!L565="","",Master!L565)</x:f>
        <x:v>Not documented</x:v>
      </x:c>
      <x:c r="L22" s="3" t="str">
        <x:f>IF(Master!M565="","",Master!M565)</x:f>
      </x:c>
      <x:c r="M22" s="3" t="str">
        <x:f>IF(Master!N565="","",Master!N565)</x:f>
      </x:c>
      <x:c r="N22" s="3" t="str">
        <x:f>IF(Master!O565="","",Master!O565)</x:f>
      </x:c>
      <x:c r="O22" s="3" t="str">
        <x:f>IF(Master!P565="","",Master!P565)</x:f>
      </x:c>
      <x:c r="P22" s="3" t="str">
        <x:f>IF(Master!Q565="","",Master!Q565)</x:f>
      </x:c>
      <x:c r="Q22" s="3" t="str">
        <x:f>IF(Master!R565="","",Master!R565)</x:f>
      </x:c>
      <x:c r="R22" s="3" t="str">
        <x:f>IF(Master!S565="","",Master!S565)</x:f>
      </x:c>
      <x:c r="S22" s="3" t="str">
        <x:f>IF(Master!T565="","",Master!T565)</x:f>
      </x:c>
      <x:c r="T22" s="3" t="str">
        <x:f>IF(Master!U565="","",Master!U565)</x:f>
      </x:c>
      <x:c r="U22" s="3" t="str">
        <x:f>IF(Master!V565="","",Master!V565)</x:f>
        <x:v>Command Center</x:v>
      </x:c>
      <x:c r="V22" s="3" t="str">
        <x:f>IF(Master!W565="","",Master!W565)</x:f>
      </x:c>
      <x:c r="W22" s="3" t="str">
        <x:f>IF(Master!X565="","",Master!X565)</x:f>
      </x:c>
      <x:c r="X22" s="3" t="str">
        <x:f>IF(Master!Y565="","",Master!Y565)</x:f>
      </x:c>
      <x:c r="Y22" s="3" t="str">
        <x:f>IF(Master!Z565="","",Master!Z565)</x:f>
      </x:c>
      <x:c r="Z22" s="3" t="str">
        <x:f>IF(Master!AA565="","",Master!AA565)</x:f>
      </x:c>
      <x:c r="AA22" s="6" t="str">
        <x:f>IF(Master!AB565="","",Master!AB565)</x:f>
      </x:c>
      <x:c r="AB22" s="3" t="str">
        <x:f>IF(Master!AC565="","",Master!AC565)</x:f>
      </x:c>
      <x:c r="AC22" s="3" t="str">
        <x:f>IF(Master!AD565="","",Master!AD565)</x:f>
      </x:c>
      <x:c r="AD22" s="3" t="str">
        <x:f>IF(Master!AE565="","",Master!AE565)</x:f>
      </x:c>
      <x:c r="AE22" s="3" t="str">
        <x:f>IF(Master!AF565="","",Master!AF565)</x:f>
      </x:c>
      <x:c r="AF22" s="8" t="str">
        <x:f>IF(Master!AG565="","",Master!AG565)</x:f>
      </x:c>
    </x:row>
    <x:row r="23" ht="36" customHeight="1">
      <x:c r="A23" s="17" t="s">
        <x:v>837</x:v>
      </x:c>
      <x:c r="B23" s="3" t="str">
        <x:f>IF(Master!C566="","",Master!C566)</x:f>
        <x:v>Granular administrative actions with actor/target/changes/reason; available in client and API</x:v>
      </x:c>
      <x:c r="C23" s="3" t="str">
        <x:f>IF(Master!D566="","",Master!D566)</x:f>
      </x:c>
      <x:c r="D23" s="3" t="str">
        <x:f>IF(Master!E566="","",Master!E566)</x:f>
        <x:v>Operator tools</x:v>
      </x:c>
      <x:c r="E23" s="3" t="str">
        <x:f>IF(Master!F566="","",Master!F566)</x:f>
      </x:c>
      <x:c r="F23" s="3" t="str">
        <x:f>IF(Master!G566="","",Master!G566)</x:f>
      </x:c>
      <x:c r="G23" s="3" t="str">
        <x:f>IF(Master!H566="","",Master!H566)</x:f>
      </x:c>
      <x:c r="H23" s="3" t="str">
        <x:f>IF(Master!I566="","",Master!I566)</x:f>
      </x:c>
      <x:c r="I23" s="3" t="str">
        <x:f>IF(Master!J566="","",Master!J566)</x:f>
      </x:c>
      <x:c r="J23" s="3" t="str">
        <x:f>IF(Master!K566="","",Master!K566)</x:f>
      </x:c>
      <x:c r="K23" s="3" t="str">
        <x:f>IF(Master!L566="","",Master!L566)</x:f>
        <x:v>Yes: administration audit includes actor, action, target, safe metadata and timestamp</x:v>
      </x:c>
      <x:c r="L23" s="3" t="str">
        <x:f>IF(Master!M566="","",Master!M566)</x:f>
      </x:c>
      <x:c r="M23" s="3" t="str">
        <x:f>IF(Master!N566="","",Master!N566)</x:f>
      </x:c>
      <x:c r="N23" s="3" t="str">
        <x:f>IF(Master!O566="","",Master!O566)</x:f>
        <x:v>Homeserver-dependent</x:v>
      </x:c>
      <x:c r="O23" s="3" t="str">
        <x:f>IF(Master!P566="","",Master!P566)</x:f>
        <x:v>Detailed audit/compliance tooling</x:v>
      </x:c>
      <x:c r="P23" s="3" t="str">
        <x:f>IF(Master!Q566="","",Master!Q566)</x:f>
      </x:c>
      <x:c r="Q23" s="3" t="str">
        <x:f>IF(Master!R566="","",Master!R566)</x:f>
        <x:v>ACL/log tools</x:v>
      </x:c>
      <x:c r="R23" s="3" t="str">
        <x:f>IF(Master!S566="","",Master!S566)</x:f>
      </x:c>
      <x:c r="S23" s="3" t="str">
        <x:f>IF(Master!T566="","",Master!T566)</x:f>
      </x:c>
      <x:c r="T23" s="3" t="str">
        <x:f>IF(Master!U566="","",Master!U566)</x:f>
        <x:v>Yes</x:v>
      </x:c>
      <x:c r="U23" s="3" t="str">
        <x:f>IF(Master!V566="","",Master!V566)</x:f>
        <x:v>Yes</x:v>
      </x:c>
      <x:c r="V23" s="3" t="str">
        <x:f>IF(Master!W566="","",Master!W566)</x:f>
        <x:v>Detailed enterprise audit tools</x:v>
      </x:c>
      <x:c r="W23" s="3" t="str">
        <x:f>IF(Master!X566="","",Master!X566)</x:f>
      </x:c>
      <x:c r="X23" s="3" t="str">
        <x:f>IF(Master!Y566="","",Master!Y566)</x:f>
      </x:c>
      <x:c r="Y23" s="3" t="str">
        <x:f>IF(Master!Z566="","",Master!Z566)</x:f>
      </x:c>
      <x:c r="Z23" s="3" t="str">
        <x:f>IF(Master!AA566="","",Master!AA566)</x:f>
      </x:c>
      <x:c r="AA23" s="6" t="str">
        <x:f>IF(Master!AB566="","",Master!AB566)</x:f>
        <x:v>Detailed permissions/logging</x:v>
      </x:c>
      <x:c r="AB23" s="3" t="str">
        <x:f>IF(Master!AC566="","",Master!AC566)</x:f>
        <x:v>Moderation tooling</x:v>
      </x:c>
      <x:c r="AC23" s="3" t="str">
        <x:f>IF(Master!AD566="","",Master!AD566)</x:f>
      </x:c>
      <x:c r="AD23" s="3" t="str">
        <x:f>IF(Master!AE566="","",Master!AE566)</x:f>
      </x:c>
      <x:c r="AE23" s="3" t="str">
        <x:f>IF(Master!AF566="","",Master!AF566)</x:f>
      </x:c>
      <x:c r="AF23" s="8" t="str">
        <x:f>IF(Master!AG566="","",Master!AG566)</x:f>
        <x:v>Admin tooling</x:v>
      </x:c>
    </x:row>
    <x:row r="24" ht="36" customHeight="1">
      <x:c r="A24" s="17" t="s">
        <x:v>838</x:v>
      </x:c>
      <x:c r="B24" s="3" t="str">
        <x:f>IF(Master!C567="","",Master!C567)</x:f>
        <x:v>45 days</x:v>
      </x:c>
      <x:c r="C24" s="3" t="str">
        <x:f>IF(Master!D567="","",Master!D567)</x:f>
      </x:c>
      <x:c r="D24" s="3" t="str">
        <x:f>IF(Master!E567="","",Master!E567)</x:f>
        <x:v>Operator controlled</x:v>
      </x:c>
      <x:c r="E24" s="3" t="str">
        <x:f>IF(Master!F567="","",Master!F567)</x:f>
      </x:c>
      <x:c r="F24" s="3" t="str">
        <x:f>IF(Master!G567="","",Master!G567)</x:f>
      </x:c>
      <x:c r="G24" s="3" t="str">
        <x:f>IF(Master!H567="","",Master!H567)</x:f>
      </x:c>
      <x:c r="H24" s="3" t="str">
        <x:f>IF(Master!I567="","",Master!I567)</x:f>
      </x:c>
      <x:c r="I24" s="3" t="str">
        <x:f>IF(Master!J567="","",Master!J567)</x:f>
      </x:c>
      <x:c r="J24" s="3" t="str">
        <x:f>IF(Master!K567="","",Master!K567)</x:f>
      </x:c>
      <x:c r="K24" s="3" t="str">
        <x:f>IF(Master!L567="","",Master!L567)</x:f>
        <x:v>Developer reports no audit-depth limit; public documentation confirm audit records but do not publish a retention cap</x:v>
      </x:c>
      <x:c r="L24" s="3" t="str">
        <x:f>IF(Master!M567="","",Master!M567)</x:f>
      </x:c>
      <x:c r="M24" s="3" t="str">
        <x:f>IF(Master!N567="","",Master!N567)</x:f>
      </x:c>
      <x:c r="N24" s="3" t="str">
        <x:f>IF(Master!O567="","",Master!O567)</x:f>
        <x:v>Homeserver-dependent</x:v>
      </x:c>
      <x:c r="O24" s="3" t="str">
        <x:f>IF(Master!P567="","",Master!P567)</x:f>
        <x:v>Audit logs enterprise/deployment-dependent</x:v>
      </x:c>
      <x:c r="P24" s="3" t="str">
        <x:f>IF(Master!Q567="","",Master!Q567)</x:f>
      </x:c>
      <x:c r="Q24" s="3" t="str">
        <x:f>IF(Master!R567="","",Master!R567)</x:f>
        <x:v>Server logs operator-controlled</x:v>
      </x:c>
      <x:c r="R24" s="3" t="str">
        <x:f>IF(Master!S567="","",Master!S567)</x:f>
      </x:c>
      <x:c r="S24" s="3" t="str">
        <x:f>IF(Master!T567="","",Master!T567)</x:f>
      </x:c>
      <x:c r="T24" s="3" t="str">
        <x:f>IF(Master!U567="","",Master!U567)</x:f>
        <x:v>Not publicly claimed</x:v>
      </x:c>
      <x:c r="U24" s="3" t="str">
        <x:f>IF(Master!V567="","",Master!V567)</x:f>
      </x:c>
      <x:c r="V24" s="3" t="str">
        <x:f>IF(Master!W567="","",Master!W567)</x:f>
        <x:v>Audit logs enterprise/admin</x:v>
      </x:c>
      <x:c r="W24" s="3" t="str">
        <x:f>IF(Master!X567="","",Master!X567)</x:f>
      </x:c>
      <x:c r="X24" s="3" t="str">
        <x:f>IF(Master!Y567="","",Master!Y567)</x:f>
      </x:c>
      <x:c r="Y24" s="3" t="str">
        <x:f>IF(Master!Z567="","",Master!Z567)</x:f>
      </x:c>
      <x:c r="Z24" s="3" t="str">
        <x:f>IF(Master!AA567="","",Master!AA567)</x:f>
      </x:c>
      <x:c r="AA24" s="6" t="str">
        <x:f>IF(Master!AB567="","",Master!AB567)</x:f>
        <x:v>Server logs/operator-controlled</x:v>
      </x:c>
      <x:c r="AB24" s="3" t="str">
        <x:f>IF(Master!AC567="","",Master!AC567)</x:f>
      </x:c>
      <x:c r="AC24" s="3" t="str">
        <x:f>IF(Master!AD567="","",Master!AD567)</x:f>
      </x:c>
      <x:c r="AD24" s="3" t="str">
        <x:f>IF(Master!AE567="","",Master!AE567)</x:f>
      </x:c>
      <x:c r="AE24" s="3" t="str">
        <x:f>IF(Master!AF567="","",Master!AF567)</x:f>
      </x:c>
      <x:c r="AF24" s="8" t="str">
        <x:f>IF(Master!AG567="","",Master!AG567)</x:f>
        <x:v>Audit/admin logs deployment-dependent</x:v>
      </x:c>
    </x:row>
    <x:row r="25" ht="36" customHeight="1">
      <x:c r="A25" s="17" t="s">
        <x:v>839</x:v>
      </x:c>
      <x:c r="B25" s="3" t="str">
        <x:f>IF(Master!C568="","",Master!C568)</x:f>
        <x:v>Granular administrative actions with actor/target/changes/reason; available in client and API</x:v>
      </x:c>
      <x:c r="C25" s="3" t="str">
        <x:f>IF(Master!D568="","",Master!D568)</x:f>
      </x:c>
      <x:c r="D25" s="3" t="str">
        <x:f>IF(Master!E568="","",Master!E568)</x:f>
        <x:v>Operator tools</x:v>
      </x:c>
      <x:c r="E25" s="3" t="str">
        <x:f>IF(Master!F568="","",Master!F568)</x:f>
      </x:c>
      <x:c r="F25" s="3" t="str">
        <x:f>IF(Master!G568="","",Master!G568)</x:f>
      </x:c>
      <x:c r="G25" s="3" t="str">
        <x:f>IF(Master!H568="","",Master!H568)</x:f>
      </x:c>
      <x:c r="H25" s="3" t="str">
        <x:f>IF(Master!I568="","",Master!I568)</x:f>
      </x:c>
      <x:c r="I25" s="3" t="str">
        <x:f>IF(Master!J568="","",Master!J568)</x:f>
      </x:c>
      <x:c r="J25" s="3" t="str">
        <x:f>IF(Master!K568="","",Master!K568)</x:f>
      </x:c>
      <x:c r="K25" s="3" t="str">
        <x:f>IF(Master!L568="","",Master!L568)</x:f>
        <x:v>Yes: administration audit includes actor, action, target, safe metadata and timestamp</x:v>
      </x:c>
      <x:c r="L25" s="3" t="str">
        <x:f>IF(Master!M568="","",Master!M568)</x:f>
      </x:c>
      <x:c r="M25" s="3" t="str">
        <x:f>IF(Master!N568="","",Master!N568)</x:f>
      </x:c>
      <x:c r="N25" s="3" t="str">
        <x:f>IF(Master!O568="","",Master!O568)</x:f>
        <x:v>Homeserver-dependent</x:v>
      </x:c>
      <x:c r="O25" s="3" t="str">
        <x:f>IF(Master!P568="","",Master!P568)</x:f>
        <x:v>Detailed audit/compliance tooling</x:v>
      </x:c>
      <x:c r="P25" s="3" t="str">
        <x:f>IF(Master!Q568="","",Master!Q568)</x:f>
      </x:c>
      <x:c r="Q25" s="3" t="str">
        <x:f>IF(Master!R568="","",Master!R568)</x:f>
        <x:v>ACL/log tools</x:v>
      </x:c>
      <x:c r="R25" s="3" t="str">
        <x:f>IF(Master!S568="","",Master!S568)</x:f>
      </x:c>
      <x:c r="S25" s="3" t="str">
        <x:f>IF(Master!T568="","",Master!T568)</x:f>
      </x:c>
      <x:c r="T25" s="3" t="str">
        <x:f>IF(Master!U568="","",Master!U568)</x:f>
        <x:v>Not publicly claimed</x:v>
      </x:c>
      <x:c r="U25" s="3" t="str">
        <x:f>IF(Master!V568="","",Master!V568)</x:f>
        <x:v>Yes</x:v>
      </x:c>
      <x:c r="V25" s="3" t="str">
        <x:f>IF(Master!W568="","",Master!W568)</x:f>
        <x:v>Detailed enterprise audit tools</x:v>
      </x:c>
      <x:c r="W25" s="3" t="str">
        <x:f>IF(Master!X568="","",Master!X568)</x:f>
      </x:c>
      <x:c r="X25" s="3" t="str">
        <x:f>IF(Master!Y568="","",Master!Y568)</x:f>
      </x:c>
      <x:c r="Y25" s="3" t="str">
        <x:f>IF(Master!Z568="","",Master!Z568)</x:f>
      </x:c>
      <x:c r="Z25" s="3" t="str">
        <x:f>IF(Master!AA568="","",Master!AA568)</x:f>
      </x:c>
      <x:c r="AA25" s="6" t="str">
        <x:f>IF(Master!AB568="","",Master!AB568)</x:f>
        <x:v>Detailed permissions/logging</x:v>
      </x:c>
      <x:c r="AB25" s="3" t="str">
        <x:f>IF(Master!AC568="","",Master!AC568)</x:f>
        <x:v>Moderation tooling</x:v>
      </x:c>
      <x:c r="AC25" s="3" t="str">
        <x:f>IF(Master!AD568="","",Master!AD568)</x:f>
      </x:c>
      <x:c r="AD25" s="3" t="str">
        <x:f>IF(Master!AE568="","",Master!AE568)</x:f>
      </x:c>
      <x:c r="AE25" s="3" t="str">
        <x:f>IF(Master!AF568="","",Master!AF568)</x:f>
      </x:c>
      <x:c r="AF25" s="8" t="str">
        <x:f>IF(Master!AG568="","",Master!AG568)</x:f>
        <x:v>Admin tooling</x:v>
      </x:c>
    </x:row>
    <x:row r="26" ht="21.950000762939453" customHeight="1">
      <x:c r="A26" s="18" t="s">
        <x:v>840</x:v>
      </x:c>
      <x:c r="B26" s="18" t="str">
        <x:f t="shared" ref="B26:AF26" si="3">IF(""="","","")</x:f>
      </x:c>
      <x:c r="C26" s="18" t="str">
        <x:f t="shared" si="3"/>
      </x:c>
      <x:c r="D26" s="18" t="str">
        <x:f t="shared" si="3"/>
      </x:c>
      <x:c r="E26" s="18" t="str">
        <x:f t="shared" si="3"/>
      </x:c>
      <x:c r="F26" s="18" t="str">
        <x:f t="shared" si="3"/>
      </x:c>
      <x:c r="G26" s="18" t="str">
        <x:f t="shared" si="3"/>
      </x:c>
      <x:c r="H26" s="18" t="str">
        <x:f t="shared" si="3"/>
      </x:c>
      <x:c r="I26" s="18" t="str">
        <x:f t="shared" si="3"/>
      </x:c>
      <x:c r="J26" s="18" t="str">
        <x:f t="shared" si="3"/>
      </x:c>
      <x:c r="K26" s="18" t="str">
        <x:f t="shared" si="3"/>
      </x:c>
      <x:c r="L26" s="18" t="str">
        <x:f t="shared" si="3"/>
      </x:c>
      <x:c r="M26" s="18" t="str">
        <x:f t="shared" si="3"/>
      </x:c>
      <x:c r="N26" s="18" t="str">
        <x:f t="shared" si="3"/>
      </x:c>
      <x:c r="O26" s="18" t="str">
        <x:f t="shared" si="3"/>
      </x:c>
      <x:c r="P26" s="18" t="str">
        <x:f t="shared" si="3"/>
      </x:c>
      <x:c r="Q26" s="18" t="str">
        <x:f t="shared" si="3"/>
      </x:c>
      <x:c r="R26" s="18" t="str">
        <x:f t="shared" si="3"/>
      </x:c>
      <x:c r="S26" s="18" t="str">
        <x:f t="shared" si="3"/>
      </x:c>
      <x:c r="T26" s="18" t="str">
        <x:f t="shared" si="3"/>
      </x:c>
      <x:c r="U26" s="18" t="str">
        <x:f t="shared" si="3"/>
      </x:c>
      <x:c r="V26" s="18" t="str">
        <x:f t="shared" si="3"/>
      </x:c>
      <x:c r="W26" s="18" t="str">
        <x:f t="shared" si="3"/>
      </x:c>
      <x:c r="X26" s="18" t="str">
        <x:f t="shared" si="3"/>
      </x:c>
      <x:c r="Y26" s="18" t="str">
        <x:f t="shared" si="3"/>
      </x:c>
      <x:c r="Z26" s="18" t="str">
        <x:f t="shared" si="3"/>
      </x:c>
      <x:c r="AA26" s="18" t="str">
        <x:f t="shared" si="3"/>
      </x:c>
      <x:c r="AB26" s="18" t="str">
        <x:f t="shared" si="3"/>
      </x:c>
      <x:c r="AC26" s="18" t="str">
        <x:f t="shared" si="3"/>
      </x:c>
      <x:c r="AD26" s="18" t="str">
        <x:f t="shared" si="3"/>
      </x:c>
      <x:c r="AE26" s="18" t="str">
        <x:f t="shared" si="3"/>
      </x:c>
      <x:c r="AF26" s="19" t="str">
        <x:f t="shared" si="3"/>
      </x:c>
    </x:row>
    <x:row r="27" ht="36" customHeight="1">
      <x:c r="A27" s="17" t="s">
        <x:v>819</x:v>
      </x:c>
      <x:c r="B27" s="3" t="str">
        <x:f>IF(Master!C569="","",Master!C569)</x:f>
        <x:v>Yes</x:v>
      </x:c>
      <x:c r="C27" s="3" t="str">
        <x:f>IF(Master!D569="","",Master!D569)</x:f>
        <x:v>Yes</x:v>
      </x:c>
      <x:c r="D27" s="3" t="str">
        <x:f>IF(Master!E569="","",Master!E569)</x:f>
        <x:v>Yes</x:v>
      </x:c>
      <x:c r="E27" s="3" t="str">
        <x:f>IF(Master!F569="","",Master!F569)</x:f>
        <x:v>Yes</x:v>
      </x:c>
      <x:c r="F27" s="3" t="str">
        <x:f>IF(Master!G569="","",Master!G569)</x:f>
        <x:v>Yes</x:v>
      </x:c>
      <x:c r="G27" s="3" t="str">
        <x:f>IF(Master!H569="","",Master!H569)</x:f>
        <x:v>Yes</x:v>
      </x:c>
      <x:c r="H27" s="3" t="str">
        <x:f>IF(Master!I569="","",Master!I569)</x:f>
        <x:v>Yes</x:v>
      </x:c>
      <x:c r="I27" s="3" t="str">
        <x:f>IF(Master!J569="","",Master!J569)</x:f>
        <x:v>Yes</x:v>
      </x:c>
      <x:c r="J27" s="3" t="str">
        <x:f>IF(Master!K569="","",Master!K569)</x:f>
        <x:v>Yes</x:v>
      </x:c>
      <x:c r="K27" s="3" t="str">
        <x:f>IF(Master!L569="","",Master!L569)</x:f>
        <x:v>Yes</x:v>
      </x:c>
      <x:c r="L27" s="3" t="str">
        <x:f>IF(Master!M569="","",Master!M569)</x:f>
        <x:v>Yes</x:v>
      </x:c>
      <x:c r="M27" s="3" t="str">
        <x:f>IF(Master!N569="","",Master!N569)</x:f>
        <x:v>Yes</x:v>
      </x:c>
      <x:c r="N27" s="3" t="str">
        <x:f>IF(Master!O569="","",Master!O569)</x:f>
        <x:v>Yes</x:v>
      </x:c>
      <x:c r="O27" s="3" t="str">
        <x:f>IF(Master!P569="","",Master!P569)</x:f>
        <x:v>Yes</x:v>
      </x:c>
      <x:c r="P27" s="3" t="str">
        <x:f>IF(Master!Q569="","",Master!Q569)</x:f>
        <x:v>Yes</x:v>
      </x:c>
      <x:c r="Q27" s="3" t="str">
        <x:f>IF(Master!R569="","",Master!R569)</x:f>
        <x:v>Yes</x:v>
      </x:c>
      <x:c r="R27" s="3" t="str">
        <x:f>IF(Master!S569="","",Master!S569)</x:f>
        <x:v>Yes</x:v>
      </x:c>
      <x:c r="S27" s="3" t="str">
        <x:f>IF(Master!T569="","",Master!T569)</x:f>
        <x:v>Yes</x:v>
      </x:c>
      <x:c r="T27" s="3" t="str">
        <x:f>IF(Master!U569="","",Master!U569)</x:f>
        <x:v>Yes</x:v>
      </x:c>
      <x:c r="U27" s="3" t="str">
        <x:f>IF(Master!V569="","",Master!V569)</x:f>
        <x:v>Yes</x:v>
      </x:c>
      <x:c r="V27" s="3" t="str">
        <x:f>IF(Master!W569="","",Master!W569)</x:f>
        <x:v>Yes</x:v>
      </x:c>
      <x:c r="W27" s="3" t="str">
        <x:f>IF(Master!X569="","",Master!X569)</x:f>
        <x:v>Yes</x:v>
      </x:c>
      <x:c r="X27" s="3" t="str">
        <x:f>IF(Master!Y569="","",Master!Y569)</x:f>
        <x:v>Yes</x:v>
      </x:c>
      <x:c r="Y27" s="3" t="str">
        <x:f>IF(Master!Z569="","",Master!Z569)</x:f>
        <x:v>Yes</x:v>
      </x:c>
      <x:c r="Z27" s="3" t="str">
        <x:f>IF(Master!AA569="","",Master!AA569)</x:f>
        <x:v>Yes</x:v>
      </x:c>
      <x:c r="AA27" s="6" t="str">
        <x:f>IF(Master!AB569="","",Master!AB569)</x:f>
        <x:v>Yes</x:v>
      </x:c>
      <x:c r="AB27" s="3" t="str">
        <x:f>IF(Master!AC569="","",Master!AC569)</x:f>
        <x:v>Yes</x:v>
      </x:c>
      <x:c r="AC27" s="3" t="str">
        <x:f>IF(Master!AD569="","",Master!AD569)</x:f>
        <x:v>Yes</x:v>
      </x:c>
      <x:c r="AD27" s="3" t="str">
        <x:f>IF(Master!AE569="","",Master!AE569)</x:f>
        <x:v>Yes</x:v>
      </x:c>
      <x:c r="AE27" s="3" t="str">
        <x:f>IF(Master!AF569="","",Master!AF569)</x:f>
        <x:v>Yes</x:v>
      </x:c>
      <x:c r="AF27" s="8" t="str">
        <x:f>IF(Master!AG569="","",Master!AG569)</x:f>
        <x:v>Yes</x:v>
      </x:c>
    </x:row>
    <x:row r="28" ht="36" customHeight="1">
      <x:c r="A28" s="17" t="s">
        <x:v>820</x:v>
      </x:c>
      <x:c r="B28" s="3" t="str">
        <x:f>IF(Master!C570="","",Master!C570)</x:f>
        <x:v>Yes</x:v>
      </x:c>
      <x:c r="C28" s="3" t="str">
        <x:f>IF(Master!D570="","",Master!D570)</x:f>
        <x:v>Yes</x:v>
      </x:c>
      <x:c r="D28" s="3" t="str">
        <x:f>IF(Master!E570="","",Master!E570)</x:f>
        <x:v>Yes</x:v>
      </x:c>
      <x:c r="E28" s="3" t="str">
        <x:f>IF(Master!F570="","",Master!F570)</x:f>
        <x:v>Yes</x:v>
      </x:c>
      <x:c r="F28" s="3" t="str">
        <x:f>IF(Master!G570="","",Master!G570)</x:f>
        <x:v>Yes</x:v>
      </x:c>
      <x:c r="G28" s="3" t="str">
        <x:f>IF(Master!H570="","",Master!H570)</x:f>
        <x:v>Yes</x:v>
      </x:c>
      <x:c r="H28" s="3" t="str">
        <x:f>IF(Master!I570="","",Master!I570)</x:f>
        <x:v>Yes</x:v>
      </x:c>
      <x:c r="I28" s="3" t="str">
        <x:f>IF(Master!J570="","",Master!J570)</x:f>
        <x:v>Yes</x:v>
      </x:c>
      <x:c r="J28" s="3" t="str">
        <x:f>IF(Master!K570="","",Master!K570)</x:f>
        <x:v>Yes</x:v>
      </x:c>
      <x:c r="K28" s="3" t="str">
        <x:f>IF(Master!L570="","",Master!L570)</x:f>
        <x:v>Yes</x:v>
      </x:c>
      <x:c r="L28" s="3" t="str">
        <x:f>IF(Master!M570="","",Master!M570)</x:f>
        <x:v>Yes</x:v>
      </x:c>
      <x:c r="M28" s="3" t="str">
        <x:f>IF(Master!N570="","",Master!N570)</x:f>
        <x:v>Yes</x:v>
      </x:c>
      <x:c r="N28" s="3" t="str">
        <x:f>IF(Master!O570="","",Master!O570)</x:f>
        <x:v>Yes</x:v>
      </x:c>
      <x:c r="O28" s="3" t="str">
        <x:f>IF(Master!P570="","",Master!P570)</x:f>
        <x:v>Yes</x:v>
      </x:c>
      <x:c r="P28" s="3" t="str">
        <x:f>IF(Master!Q570="","",Master!Q570)</x:f>
        <x:v>Yes</x:v>
      </x:c>
      <x:c r="Q28" s="3" t="str">
        <x:f>IF(Master!R570="","",Master!R570)</x:f>
        <x:v>Yes</x:v>
      </x:c>
      <x:c r="R28" s="3" t="str">
        <x:f>IF(Master!S570="","",Master!S570)</x:f>
        <x:v>Yes</x:v>
      </x:c>
      <x:c r="S28" s="3" t="str">
        <x:f>IF(Master!T570="","",Master!T570)</x:f>
        <x:v>Yes</x:v>
      </x:c>
      <x:c r="T28" s="3" t="str">
        <x:f>IF(Master!U570="","",Master!U570)</x:f>
        <x:v>Yes</x:v>
      </x:c>
      <x:c r="U28" s="3" t="str">
        <x:f>IF(Master!V570="","",Master!V570)</x:f>
        <x:v>Yes</x:v>
      </x:c>
      <x:c r="V28" s="3" t="str">
        <x:f>IF(Master!W570="","",Master!W570)</x:f>
        <x:v>Yes</x:v>
      </x:c>
      <x:c r="W28" s="3" t="str">
        <x:f>IF(Master!X570="","",Master!X570)</x:f>
        <x:v>Yes</x:v>
      </x:c>
      <x:c r="X28" s="3" t="str">
        <x:f>IF(Master!Y570="","",Master!Y570)</x:f>
        <x:v>Yes</x:v>
      </x:c>
      <x:c r="Y28" s="3" t="str">
        <x:f>IF(Master!Z570="","",Master!Z570)</x:f>
        <x:v>Yes</x:v>
      </x:c>
      <x:c r="Z28" s="3" t="str">
        <x:f>IF(Master!AA570="","",Master!AA570)</x:f>
        <x:v>Yes</x:v>
      </x:c>
      <x:c r="AA28" s="6" t="str">
        <x:f>IF(Master!AB570="","",Master!AB570)</x:f>
        <x:v>Yes</x:v>
      </x:c>
      <x:c r="AB28" s="3" t="str">
        <x:f>IF(Master!AC570="","",Master!AC570)</x:f>
        <x:v>Yes</x:v>
      </x:c>
      <x:c r="AC28" s="3" t="str">
        <x:f>IF(Master!AD570="","",Master!AD570)</x:f>
        <x:v>Yes</x:v>
      </x:c>
      <x:c r="AD28" s="3" t="str">
        <x:f>IF(Master!AE570="","",Master!AE570)</x:f>
        <x:v>Yes</x:v>
      </x:c>
      <x:c r="AE28" s="3" t="str">
        <x:f>IF(Master!AF570="","",Master!AF570)</x:f>
        <x:v>Yes</x:v>
      </x:c>
      <x:c r="AF28" s="8" t="str">
        <x:f>IF(Master!AG570="","",Master!AG570)</x:f>
        <x:v>Yes</x:v>
      </x:c>
    </x:row>
    <x:row r="29" ht="36" customHeight="1">
      <x:c r="A29" s="17" t="s">
        <x:v>821</x:v>
      </x:c>
      <x:c r="B29" s="3" t="str">
        <x:f>IF(Master!C571="","",Master!C571)</x:f>
        <x:v>Yes</x:v>
      </x:c>
      <x:c r="C29" s="3" t="str">
        <x:f>IF(Master!D571="","",Master!D571)</x:f>
      </x:c>
      <x:c r="D29" s="3" t="str">
        <x:f>IF(Master!E571="","",Master!E571)</x:f>
      </x:c>
      <x:c r="E29" s="3" t="str">
        <x:f>IF(Master!F571="","",Master!F571)</x:f>
      </x:c>
      <x:c r="F29" s="3" t="str">
        <x:f>IF(Master!G571="","",Master!G571)</x:f>
      </x:c>
      <x:c r="G29" s="3" t="str">
        <x:f>IF(Master!H571="","",Master!H571)</x:f>
      </x:c>
      <x:c r="H29" s="3" t="str">
        <x:f>IF(Master!I571="","",Master!I571)</x:f>
      </x:c>
      <x:c r="I29" s="3" t="str">
        <x:f>IF(Master!J571="","",Master!J571)</x:f>
      </x:c>
      <x:c r="J29" s="3" t="str">
        <x:f>IF(Master!K571="","",Master!K571)</x:f>
      </x:c>
      <x:c r="K29" s="3" t="str">
        <x:f>IF(Master!L571="","",Master!L571)</x:f>
        <x:v>Yes</x:v>
      </x:c>
      <x:c r="L29" s="3" t="str">
        <x:f>IF(Master!M571="","",Master!M571)</x:f>
      </x:c>
      <x:c r="M29" s="3" t="str">
        <x:f>IF(Master!N571="","",Master!N571)</x:f>
      </x:c>
      <x:c r="N29" s="3" t="str">
        <x:f>IF(Master!O571="","",Master!O571)</x:f>
      </x:c>
      <x:c r="O29" s="3" t="str">
        <x:f>IF(Master!P571="","",Master!P571)</x:f>
        <x:v>Yes</x:v>
      </x:c>
      <x:c r="P29" s="3" t="str">
        <x:f>IF(Master!Q571="","",Master!Q571)</x:f>
      </x:c>
      <x:c r="Q29" s="3" t="str">
        <x:f>IF(Master!R571="","",Master!R571)</x:f>
        <x:v>Yes</x:v>
      </x:c>
      <x:c r="R29" s="3" t="str">
        <x:f>IF(Master!S571="","",Master!S571)</x:f>
      </x:c>
      <x:c r="S29" s="3" t="str">
        <x:f>IF(Master!T571="","",Master!T571)</x:f>
      </x:c>
      <x:c r="T29" s="3" t="str">
        <x:f>IF(Master!U571="","",Master!U571)</x:f>
      </x:c>
      <x:c r="U29" s="3" t="str">
        <x:f>IF(Master!V571="","",Master!V571)</x:f>
        <x:v>Yes</x:v>
      </x:c>
      <x:c r="V29" s="3" t="str">
        <x:f>IF(Master!W571="","",Master!W571)</x:f>
        <x:v>Yes</x:v>
      </x:c>
      <x:c r="W29" s="3" t="str">
        <x:f>IF(Master!X571="","",Master!X571)</x:f>
      </x:c>
      <x:c r="X29" s="3" t="str">
        <x:f>IF(Master!Y571="","",Master!Y571)</x:f>
      </x:c>
      <x:c r="Y29" s="3" t="str">
        <x:f>IF(Master!Z571="","",Master!Z571)</x:f>
      </x:c>
      <x:c r="Z29" s="3" t="str">
        <x:f>IF(Master!AA571="","",Master!AA571)</x:f>
      </x:c>
      <x:c r="AA29" s="6" t="str">
        <x:f>IF(Master!AB571="","",Master!AB571)</x:f>
        <x:v>Yes</x:v>
      </x:c>
      <x:c r="AB29" s="3" t="str">
        <x:f>IF(Master!AC571="","",Master!AC571)</x:f>
      </x:c>
      <x:c r="AC29" s="3" t="str">
        <x:f>IF(Master!AD571="","",Master!AD571)</x:f>
      </x:c>
      <x:c r="AD29" s="3" t="str">
        <x:f>IF(Master!AE571="","",Master!AE571)</x:f>
      </x:c>
      <x:c r="AE29" s="3" t="str">
        <x:f>IF(Master!AF571="","",Master!AF571)</x:f>
      </x:c>
      <x:c r="AF29" s="8" t="str">
        <x:f>IF(Master!AG571="","",Master!AG571)</x:f>
      </x:c>
    </x:row>
    <x:row r="30" ht="36" customHeight="1">
      <x:c r="A30" s="17" t="s">
        <x:v>841</x:v>
      </x:c>
      <x:c r="B30" s="3" t="str">
        <x:f>IF(Master!C572="","",Master!C572)</x:f>
        <x:v>Yes</x:v>
      </x:c>
      <x:c r="C30" s="3" t="str">
        <x:f>IF(Master!D572="","",Master!D572)</x:f>
        <x:v>Yes</x:v>
      </x:c>
      <x:c r="D30" s="3" t="str">
        <x:f>IF(Master!E572="","",Master!E572)</x:f>
        <x:v>Yes</x:v>
      </x:c>
      <x:c r="E30" s="3" t="str">
        <x:f>IF(Master!F572="","",Master!F572)</x:f>
        <x:v>Yes</x:v>
      </x:c>
      <x:c r="F30" s="3" t="str">
        <x:f>IF(Master!G572="","",Master!G572)</x:f>
        <x:v>Yes</x:v>
      </x:c>
      <x:c r="G30" s="3" t="str">
        <x:f>IF(Master!H572="","",Master!H572)</x:f>
        <x:v>Yes</x:v>
      </x:c>
      <x:c r="H30" s="3" t="str">
        <x:f>IF(Master!I572="","",Master!I572)</x:f>
        <x:v>Yes</x:v>
      </x:c>
      <x:c r="I30" s="3" t="str">
        <x:f>IF(Master!J572="","",Master!J572)</x:f>
        <x:v>Yes</x:v>
      </x:c>
      <x:c r="J30" s="3" t="str">
        <x:f>IF(Master!K572="","",Master!K572)</x:f>
        <x:v>Yes</x:v>
      </x:c>
      <x:c r="K30" s="3" t="str">
        <x:f>IF(Master!L572="","",Master!L572)</x:f>
        <x:v>Yes</x:v>
      </x:c>
      <x:c r="L30" s="3" t="str">
        <x:f>IF(Master!M572="","",Master!M572)</x:f>
        <x:v>Yes</x:v>
      </x:c>
      <x:c r="M30" s="3" t="str">
        <x:f>IF(Master!N572="","",Master!N572)</x:f>
        <x:v>Yes</x:v>
      </x:c>
      <x:c r="N30" s="3" t="str">
        <x:f>IF(Master!O572="","",Master!O572)</x:f>
        <x:v>Yes</x:v>
      </x:c>
      <x:c r="O30" s="3" t="str">
        <x:f>IF(Master!P572="","",Master!P572)</x:f>
        <x:v>Yes</x:v>
      </x:c>
      <x:c r="P30" s="3" t="str">
        <x:f>IF(Master!Q572="","",Master!Q572)</x:f>
        <x:v>Yes</x:v>
      </x:c>
      <x:c r="Q30" s="3" t="str">
        <x:f>IF(Master!R572="","",Master!R572)</x:f>
        <x:v>ACL-based</x:v>
      </x:c>
      <x:c r="R30" s="3" t="str">
        <x:f>IF(Master!S572="","",Master!S572)</x:f>
        <x:v>Yes</x:v>
      </x:c>
      <x:c r="S30" s="3" t="str">
        <x:f>IF(Master!T572="","",Master!T572)</x:f>
        <x:v>Yes</x:v>
      </x:c>
      <x:c r="T30" s="3" t="str">
        <x:f>IF(Master!U572="","",Master!U572)</x:f>
        <x:v>Yes: role permissions with allow / inherit / deny per channel</x:v>
      </x:c>
      <x:c r="U30" s="3" t="str">
        <x:f>IF(Master!V572="","",Master!V572)</x:f>
        <x:v>Yes</x:v>
      </x:c>
      <x:c r="V30" s="3" t="str">
        <x:f>IF(Master!W572="","",Master!W572)</x:f>
        <x:v>Yes</x:v>
      </x:c>
      <x:c r="W30" s="3" t="str">
        <x:f>IF(Master!X572="","",Master!X572)</x:f>
        <x:v>Yes</x:v>
      </x:c>
      <x:c r="X30" s="3" t="str">
        <x:f>IF(Master!Y572="","",Master!Y572)</x:f>
        <x:v>Yes</x:v>
      </x:c>
      <x:c r="Y30" s="3" t="str">
        <x:f>IF(Master!Z572="","",Master!Z572)</x:f>
        <x:v>Yes</x:v>
      </x:c>
      <x:c r="Z30" s="3" t="str">
        <x:f>IF(Master!AA572="","",Master!AA572)</x:f>
        <x:v>Yes</x:v>
      </x:c>
      <x:c r="AA30" s="6" t="str">
        <x:f>IF(Master!AB572="","",Master!AB572)</x:f>
        <x:v>Yes</x:v>
      </x:c>
      <x:c r="AB30" s="3" t="str">
        <x:f>IF(Master!AC572="","",Master!AC572)</x:f>
        <x:v>Yes</x:v>
      </x:c>
      <x:c r="AC30" s="3" t="str">
        <x:f>IF(Master!AD572="","",Master!AD572)</x:f>
        <x:v>Yes</x:v>
      </x:c>
      <x:c r="AD30" s="3" t="str">
        <x:f>IF(Master!AE572="","",Master!AE572)</x:f>
        <x:v>Yes</x:v>
      </x:c>
      <x:c r="AE30" s="3" t="str">
        <x:f>IF(Master!AF572="","",Master!AF572)</x:f>
        <x:v>Yes</x:v>
      </x:c>
      <x:c r="AF30" s="8" t="str">
        <x:f>IF(Master!AG572="","",Master!AG572)</x:f>
        <x:v>Yes</x:v>
      </x:c>
    </x:row>
    <x:row r="31" ht="23.100000381469727" customHeight="1">
      <x:c r="A31" s="17" t="s">
        <x:v>842</x:v>
      </x:c>
      <x:c r="B31" s="4" t="str">
        <x:f>IF(Master!C573="","",Master!C573)</x:f>
      </x:c>
      <x:c r="C31" s="4" t="str">
        <x:f>IF(Master!D573="","",Master!D573)</x:f>
      </x:c>
      <x:c r="D31" s="4" t="str">
        <x:f>IF(Master!E573="","",Master!E573)</x:f>
      </x:c>
      <x:c r="E31" s="4" t="str">
        <x:f>IF(Master!F573="","",Master!F573)</x:f>
      </x:c>
      <x:c r="F31" s="4" t="str">
        <x:f>IF(Master!G573="","",Master!G573)</x:f>
      </x:c>
      <x:c r="G31" s="4" t="str">
        <x:f>IF(Master!H573="","",Master!H573)</x:f>
      </x:c>
      <x:c r="H31" s="4" t="str">
        <x:f>IF(Master!I573="","",Master!I573)</x:f>
      </x:c>
      <x:c r="I31" s="4" t="str">
        <x:f>IF(Master!J573="","",Master!J573)</x:f>
      </x:c>
      <x:c r="J31" s="4" t="str">
        <x:f>IF(Master!K573="","",Master!K573)</x:f>
      </x:c>
      <x:c r="K31" s="4" t="str">
        <x:f>IF(Master!L573="","",Master!L573)</x:f>
        <x:v>Instance-level domain silence/suspend rules exist; not a shared federated ban-list service</x:v>
      </x:c>
      <x:c r="L31" s="4" t="str">
        <x:f>IF(Master!M573="","",Master!M573)</x:f>
      </x:c>
      <x:c r="M31" s="4" t="str">
        <x:f>IF(Master!N573="","",Master!N573)</x:f>
      </x:c>
      <x:c r="N31" s="4" t="str">
        <x:f>IF(Master!O573="","",Master!O573)</x:f>
      </x:c>
      <x:c r="O31" s="4" t="str">
        <x:f>IF(Master!P573="","",Master!P573)</x:f>
      </x:c>
      <x:c r="P31" s="4" t="str">
        <x:f>IF(Master!Q573="","",Master!Q573)</x:f>
      </x:c>
      <x:c r="Q31" s="4" t="str">
        <x:f>IF(Master!R573="","",Master!R573)</x:f>
      </x:c>
      <x:c r="R31" s="4" t="str">
        <x:f>IF(Master!S573="","",Master!S573)</x:f>
      </x:c>
      <x:c r="S31" s="4" t="str">
        <x:f>IF(Master!T573="","",Master!T573)</x:f>
      </x:c>
      <x:c r="T31" s="4" t="str">
        <x:f>IF(Master!U573="","",Master!U573)</x:f>
      </x:c>
      <x:c r="U31" s="4" t="str">
        <x:f>IF(Master!V573="","",Master!V573)</x:f>
        <x:v>N/A</x:v>
      </x:c>
      <x:c r="V31" s="4" t="str">
        <x:f>IF(Master!W573="","",Master!W573)</x:f>
      </x:c>
      <x:c r="W31" s="4" t="str">
        <x:f>IF(Master!X573="","",Master!X573)</x:f>
      </x:c>
      <x:c r="X31" s="4" t="str">
        <x:f>IF(Master!Y573="","",Master!Y573)</x:f>
      </x:c>
      <x:c r="Y31" s="4" t="str">
        <x:f>IF(Master!Z573="","",Master!Z573)</x:f>
      </x:c>
      <x:c r="Z31" s="4" t="str">
        <x:f>IF(Master!AA573="","",Master!AA573)</x:f>
      </x:c>
      <x:c r="AA31" s="5" t="str">
        <x:f>IF(Master!AB573="","",Master!AB573)</x:f>
      </x:c>
      <x:c r="AB31" s="4" t="str">
        <x:f>IF(Master!AC573="","",Master!AC573)</x:f>
      </x:c>
      <x:c r="AC31" s="4" t="str">
        <x:f>IF(Master!AD573="","",Master!AD573)</x:f>
      </x:c>
      <x:c r="AD31" s="4" t="str">
        <x:f>IF(Master!AE573="","",Master!AE573)</x:f>
      </x:c>
      <x:c r="AE31" s="4" t="str">
        <x:f>IF(Master!AF573="","",Master!AF573)</x:f>
      </x:c>
      <x:c r="AF31" s="8" t="str">
        <x:f>IF(Master!AG573="","",Master!AG573)</x:f>
      </x:c>
    </x:row>
    <x:row r="32" ht="21.950000762939453" customHeight="1">
      <x:c r="A32" s="18" t="s">
        <x:v>413</x:v>
      </x:c>
      <x:c r="B32" s="18" t="str">
        <x:f t="shared" ref="B32:AF32" si="4">IF(""="","","")</x:f>
      </x:c>
      <x:c r="C32" s="18" t="str">
        <x:f t="shared" si="4"/>
      </x:c>
      <x:c r="D32" s="18" t="str">
        <x:f t="shared" si="4"/>
      </x:c>
      <x:c r="E32" s="18" t="str">
        <x:f t="shared" si="4"/>
      </x:c>
      <x:c r="F32" s="18" t="str">
        <x:f t="shared" si="4"/>
      </x:c>
      <x:c r="G32" s="18" t="str">
        <x:f t="shared" si="4"/>
      </x:c>
      <x:c r="H32" s="18" t="str">
        <x:f t="shared" si="4"/>
      </x:c>
      <x:c r="I32" s="18" t="str">
        <x:f t="shared" si="4"/>
      </x:c>
      <x:c r="J32" s="18" t="str">
        <x:f t="shared" si="4"/>
      </x:c>
      <x:c r="K32" s="18" t="str">
        <x:f t="shared" si="4"/>
      </x:c>
      <x:c r="L32" s="18" t="str">
        <x:f t="shared" si="4"/>
      </x:c>
      <x:c r="M32" s="18" t="str">
        <x:f t="shared" si="4"/>
      </x:c>
      <x:c r="N32" s="18" t="str">
        <x:f t="shared" si="4"/>
      </x:c>
      <x:c r="O32" s="18" t="str">
        <x:f t="shared" si="4"/>
      </x:c>
      <x:c r="P32" s="18" t="str">
        <x:f t="shared" si="4"/>
      </x:c>
      <x:c r="Q32" s="18" t="str">
        <x:f t="shared" si="4"/>
      </x:c>
      <x:c r="R32" s="18" t="str">
        <x:f t="shared" si="4"/>
      </x:c>
      <x:c r="S32" s="18" t="str">
        <x:f t="shared" si="4"/>
      </x:c>
      <x:c r="T32" s="18" t="str">
        <x:f t="shared" si="4"/>
      </x:c>
      <x:c r="U32" s="18" t="str">
        <x:f t="shared" si="4"/>
      </x:c>
      <x:c r="V32" s="18" t="str">
        <x:f t="shared" si="4"/>
      </x:c>
      <x:c r="W32" s="18" t="str">
        <x:f t="shared" si="4"/>
      </x:c>
      <x:c r="X32" s="18" t="str">
        <x:f t="shared" si="4"/>
      </x:c>
      <x:c r="Y32" s="18" t="str">
        <x:f t="shared" si="4"/>
      </x:c>
      <x:c r="Z32" s="18" t="str">
        <x:f t="shared" si="4"/>
      </x:c>
      <x:c r="AA32" s="18" t="str">
        <x:f t="shared" si="4"/>
      </x:c>
      <x:c r="AB32" s="18" t="str">
        <x:f t="shared" si="4"/>
      </x:c>
      <x:c r="AC32" s="18" t="str">
        <x:f t="shared" si="4"/>
      </x:c>
      <x:c r="AD32" s="18" t="str">
        <x:f t="shared" si="4"/>
      </x:c>
      <x:c r="AE32" s="18" t="str">
        <x:f t="shared" si="4"/>
      </x:c>
      <x:c r="AF32" s="19" t="str">
        <x:f t="shared" si="4"/>
      </x:c>
    </x:row>
    <x:row r="33" ht="36" customHeight="1">
      <x:c r="A33" s="17" t="s">
        <x:v>843</x:v>
      </x:c>
      <x:c r="B33" s="3" t="str">
        <x:f>IF(Master!C574="","",Master!C574)</x:f>
      </x:c>
      <x:c r="C33" s="3" t="str">
        <x:f>IF(Master!D574="","",Master!D574)</x:f>
      </x:c>
      <x:c r="D33" s="3" t="str">
        <x:f>IF(Master!E574="","",Master!E574)</x:f>
        <x:v>Server/operator moderation; Federated ban-sharing planned; Operator responsibility</x:v>
      </x:c>
      <x:c r="E33" s="3" t="str">
        <x:f>IF(Master!F574="","",Master!F574)</x:f>
      </x:c>
      <x:c r="F33" s="3" t="str">
        <x:f>IF(Master!G574="","",Master!G574)</x:f>
      </x:c>
      <x:c r="G33" s="3" t="str">
        <x:f>IF(Master!H574="","",Master!H574)</x:f>
      </x:c>
      <x:c r="H33" s="3" t="str">
        <x:f>IF(Master!I574="","",Master!I574)</x:f>
      </x:c>
      <x:c r="I33" s="3" t="str">
        <x:f>IF(Master!J574="","",Master!J574)</x:f>
      </x:c>
      <x:c r="J33" s="3" t="str">
        <x:f>IF(Master!K574="","",Master!K574)</x:f>
      </x:c>
      <x:c r="K33" s="3" t="str">
        <x:f>IF(Master!L574="","",Master!L574)</x:f>
        <x:v>https://github.com/CookieNom/KaedeChat/blob/main/docs/administration-and-developer-portals.md</x:v>
      </x:c>
      <x:c r="L33" s="3" t="str">
        <x:f>IF(Master!M574="","",Master!M574)</x:f>
      </x:c>
      <x:c r="M33" s="3" t="str">
        <x:f>IF(Master!N574="","",Master!N574)</x:f>
      </x:c>
      <x:c r="N33" s="3" t="str">
        <x:f>IF(Master!O574="","",Master!O574)</x:f>
        <x:v>Protocol supports room permissions/power levels; tooling varies by client/server; Homeserver/operator-dependent; Client/server-dependent</x:v>
      </x:c>
      <x:c r="O33" s="3" t="str">
        <x:f>IF(Master!P574="","",Master!P574)</x:f>
      </x:c>
      <x:c r="P33" s="3" t="str">
        <x:f>IF(Master!Q574="","",Master!Q574)</x:f>
      </x:c>
      <x:c r="Q33" s="3" t="str">
        <x:f>IF(Master!R574="","",Master!R574)</x:f>
        <x:v>ACLs/permissions rather than AutoMod; N/A; Admin tools</x:v>
      </x:c>
      <x:c r="R33" s="3" t="str">
        <x:f>IF(Master!S574="","",Master!S574)</x:f>
      </x:c>
      <x:c r="S33" s="3" t="str">
        <x:f>IF(Master!T574="","",Master!T574)</x:f>
      </x:c>
      <x:c r="T33" s="3" t="str">
        <x:f>IF(Master!U574="","",Master!U574)</x:f>
      </x:c>
      <x:c r="U33" s="3" t="str">
        <x:f>IF(Master!V574="","",Master!V574)</x:f>
        <x:v>Command Center</x:v>
      </x:c>
      <x:c r="V33" s="3" t="str">
        <x:f>IF(Master!W574="","",Master!W574)</x:f>
      </x:c>
      <x:c r="W33" s="3" t="str">
        <x:f>IF(Master!X574="","",Master!X574)</x:f>
      </x:c>
      <x:c r="X33" s="3" t="str">
        <x:f>IF(Master!Y574="","",Master!Y574)</x:f>
      </x:c>
      <x:c r="Y33" s="3" t="str">
        <x:f>IF(Master!Z574="","",Master!Z574)</x:f>
      </x:c>
      <x:c r="Z33" s="3" t="str">
        <x:f>IF(Master!AA574="","",Master!AA574)</x:f>
      </x:c>
      <x:c r="AA33" s="6" t="str">
        <x:f>IF(Master!AB574="","",Master!AB574)</x:f>
      </x:c>
      <x:c r="AB33" s="3" t="str">
        <x:f>IF(Master!AC574="","",Master!AC574)</x:f>
        <x:v>Built-in automod; Automod raid protection; Admin/mod tools</x:v>
      </x:c>
      <x:c r="AC33" s="3" t="str">
        <x:f>IF(Master!AD574="","",Master!AD574)</x:f>
      </x:c>
      <x:c r="AD33" s="3" t="str">
        <x:f>IF(Master!AE574="","",Master!AE574)</x:f>
      </x:c>
      <x:c r="AE33" s="3" t="str">
        <x:f>IF(Master!AF574="","",Master!AF574)</x:f>
      </x:c>
      <x:c r="AF33" s="8" t="str">
        <x:f>IF(Master!AG574="","",Master!AG574)</x:f>
      </x:c>
    </x:row>
    <x:row r="34" ht="21.950000762939453" customHeight="1">
      <x:c r="A34" s="18" t="s">
        <x:v>844</x:v>
      </x:c>
      <x:c r="B34" s="18" t="str">
        <x:f t="shared" ref="B34:AF34" si="5">IF(""="","","")</x:f>
      </x:c>
      <x:c r="C34" s="18" t="str">
        <x:f t="shared" si="5"/>
      </x:c>
      <x:c r="D34" s="18" t="str">
        <x:f t="shared" si="5"/>
      </x:c>
      <x:c r="E34" s="18" t="str">
        <x:f t="shared" si="5"/>
      </x:c>
      <x:c r="F34" s="18" t="str">
        <x:f t="shared" si="5"/>
      </x:c>
      <x:c r="G34" s="18" t="str">
        <x:f t="shared" si="5"/>
      </x:c>
      <x:c r="H34" s="18" t="str">
        <x:f t="shared" si="5"/>
      </x:c>
      <x:c r="I34" s="18" t="str">
        <x:f t="shared" si="5"/>
      </x:c>
      <x:c r="J34" s="18" t="str">
        <x:f t="shared" si="5"/>
      </x:c>
      <x:c r="K34" s="18" t="str">
        <x:f t="shared" si="5"/>
      </x:c>
      <x:c r="L34" s="18" t="str">
        <x:f t="shared" si="5"/>
      </x:c>
      <x:c r="M34" s="18" t="str">
        <x:f t="shared" si="5"/>
      </x:c>
      <x:c r="N34" s="18" t="str">
        <x:f t="shared" si="5"/>
      </x:c>
      <x:c r="O34" s="18" t="str">
        <x:f t="shared" si="5"/>
      </x:c>
      <x:c r="P34" s="18" t="str">
        <x:f t="shared" si="5"/>
      </x:c>
      <x:c r="Q34" s="18" t="str">
        <x:f t="shared" si="5"/>
      </x:c>
      <x:c r="R34" s="18" t="str">
        <x:f t="shared" si="5"/>
      </x:c>
      <x:c r="S34" s="18" t="str">
        <x:f t="shared" si="5"/>
      </x:c>
      <x:c r="T34" s="18" t="str">
        <x:f t="shared" si="5"/>
      </x:c>
      <x:c r="U34" s="18" t="str">
        <x:f t="shared" si="5"/>
      </x:c>
      <x:c r="V34" s="18" t="str">
        <x:f t="shared" si="5"/>
      </x:c>
      <x:c r="W34" s="18" t="str">
        <x:f t="shared" si="5"/>
      </x:c>
      <x:c r="X34" s="18" t="str">
        <x:f t="shared" si="5"/>
      </x:c>
      <x:c r="Y34" s="18" t="str">
        <x:f t="shared" si="5"/>
      </x:c>
      <x:c r="Z34" s="18" t="str">
        <x:f t="shared" si="5"/>
      </x:c>
      <x:c r="AA34" s="18" t="str">
        <x:f t="shared" si="5"/>
      </x:c>
      <x:c r="AB34" s="18" t="str">
        <x:f t="shared" si="5"/>
      </x:c>
      <x:c r="AC34" s="18" t="str">
        <x:f t="shared" si="5"/>
      </x:c>
      <x:c r="AD34" s="18" t="str">
        <x:f t="shared" si="5"/>
      </x:c>
      <x:c r="AE34" s="18" t="str">
        <x:f t="shared" si="5"/>
      </x:c>
      <x:c r="AF34" s="19" t="str">
        <x:f t="shared" si="5"/>
      </x:c>
    </x:row>
    <x:row r="35" ht="36" customHeight="1">
      <x:c r="A35" s="17" t="s">
        <x:v>845</x:v>
      </x:c>
      <x:c r="B35" s="3" t="str">
        <x:f>IF(Master!C575="","",Master!C575)</x:f>
        <x:v>Limited/native + bots</x:v>
      </x:c>
      <x:c r="C35" s="3" t="str">
        <x:f>IF(Master!D575="","",Master!D575)</x:f>
      </x:c>
      <x:c r="D35" s="3" t="str">
        <x:f>IF(Master!E575="","",Master!E575)</x:f>
      </x:c>
      <x:c r="E35" s="3" t="str">
        <x:f>IF(Master!F575="","",Master!F575)</x:f>
      </x:c>
      <x:c r="F35" s="3" t="str">
        <x:f>IF(Master!G575="","",Master!G575)</x:f>
      </x:c>
      <x:c r="G35" s="3" t="str">
        <x:f>IF(Master!H575="","",Master!H575)</x:f>
      </x:c>
      <x:c r="H35" s="3" t="str">
        <x:f>IF(Master!I575="","",Master!I575)</x:f>
      </x:c>
      <x:c r="I35" s="3" t="str">
        <x:f>IF(Master!J575="","",Master!J575)</x:f>
      </x:c>
      <x:c r="J35" s="3" t="str">
        <x:f>IF(Master!K575="","",Master!K575)</x:f>
      </x:c>
      <x:c r="K35" s="3" t="str">
        <x:f>IF(Master!L575="","",Master!L575)</x:f>
        <x:v>Not documented</x:v>
      </x:c>
      <x:c r="L35" s="3" t="str">
        <x:f>IF(Master!M575="","",Master!M575)</x:f>
      </x:c>
      <x:c r="M35" s="3" t="str">
        <x:f>IF(Master!N575="","",Master!N575)</x:f>
      </x:c>
      <x:c r="N35" s="3" t="str">
        <x:f>IF(Master!O575="","",Master!O575)</x:f>
      </x:c>
      <x:c r="O35" s="3" t="str">
        <x:f>IF(Master!P575="","",Master!P575)</x:f>
      </x:c>
      <x:c r="P35" s="3" t="str">
        <x:f>IF(Master!Q575="","",Master!Q575)</x:f>
      </x:c>
      <x:c r="Q35" s="3" t="str">
        <x:f>IF(Master!R575="","",Master!R575)</x:f>
      </x:c>
      <x:c r="R35" s="3" t="str">
        <x:f>IF(Master!S575="","",Master!S575)</x:f>
      </x:c>
      <x:c r="S35" s="3" t="str">
        <x:f>IF(Master!T575="","",Master!T575)</x:f>
      </x:c>
      <x:c r="T35" s="3" t="str">
        <x:f>IF(Master!U575="","",Master!U575)</x:f>
      </x:c>
      <x:c r="U35" s="3" t="str">
        <x:f>IF(Master!V575="","",Master!V575)</x:f>
        <x:v>Yes: searchable member table + bulk kick/ban/unban</x:v>
      </x:c>
      <x:c r="V35" s="3" t="str">
        <x:f>IF(Master!W575="","",Master!W575)</x:f>
      </x:c>
      <x:c r="W35" s="3" t="str">
        <x:f>IF(Master!X575="","",Master!X575)</x:f>
      </x:c>
      <x:c r="X35" s="3" t="str">
        <x:f>IF(Master!Y575="","",Master!Y575)</x:f>
      </x:c>
      <x:c r="Y35" s="3" t="str">
        <x:f>IF(Master!Z575="","",Master!Z575)</x:f>
      </x:c>
      <x:c r="Z35" s="3" t="str">
        <x:f>IF(Master!AA575="","",Master!AA575)</x:f>
      </x:c>
      <x:c r="AA35" s="6" t="str">
        <x:f>IF(Master!AB575="","",Master!AB575)</x:f>
      </x:c>
      <x:c r="AB35" s="3" t="str">
        <x:f>IF(Master!AC575="","",Master!AC575)</x:f>
      </x:c>
      <x:c r="AC35" s="3" t="str">
        <x:f>IF(Master!AD575="","",Master!AD575)</x:f>
      </x:c>
      <x:c r="AD35" s="3" t="str">
        <x:f>IF(Master!AE575="","",Master!AE575)</x:f>
      </x:c>
      <x:c r="AE35" s="3" t="str">
        <x:f>IF(Master!AF575="","",Master!AF575)</x:f>
      </x:c>
      <x:c r="AF35" s="8" t="str">
        <x:f>IF(Master!AG575="","",Master!AG575)</x:f>
      </x:c>
    </x:row>
    <x:row r="36" ht="36" customHeight="1">
      <x:c r="A36" s="17" t="s">
        <x:v>846</x:v>
      </x:c>
      <x:c r="B36" s="3" t="str">
        <x:f>IF(Master!C576="","",Master!C576)</x:f>
        <x:v>Audit log action metadata; deleted content generally not preserved</x:v>
      </x:c>
      <x:c r="C36" s="3" t="str">
        <x:f>IF(Master!D576="","",Master!D576)</x:f>
      </x:c>
      <x:c r="D36" s="3" t="str">
        <x:f>IF(Master!E576="","",Master!E576)</x:f>
      </x:c>
      <x:c r="E36" s="3" t="str">
        <x:f>IF(Master!F576="","",Master!F576)</x:f>
      </x:c>
      <x:c r="F36" s="3" t="str">
        <x:f>IF(Master!G576="","",Master!G576)</x:f>
      </x:c>
      <x:c r="G36" s="3" t="str">
        <x:f>IF(Master!H576="","",Master!H576)</x:f>
      </x:c>
      <x:c r="H36" s="3" t="str">
        <x:f>IF(Master!I576="","",Master!I576)</x:f>
      </x:c>
      <x:c r="I36" s="3" t="str">
        <x:f>IF(Master!J576="","",Master!J576)</x:f>
      </x:c>
      <x:c r="J36" s="3" t="str">
        <x:f>IF(Master!K576="","",Master!K576)</x:f>
      </x:c>
      <x:c r="K36" s="3" t="str">
        <x:f>IF(Master!L576="","",Master!L576)</x:f>
        <x:v>Reported-message snapshots survive later edit/deletion, but there is no general deleted-message log documented</x:v>
      </x:c>
      <x:c r="L36" s="3" t="str">
        <x:f>IF(Master!M576="","",Master!M576)</x:f>
      </x:c>
      <x:c r="M36" s="3" t="str">
        <x:f>IF(Master!N576="","",Master!N576)</x:f>
      </x:c>
      <x:c r="N36" s="3" t="str">
        <x:f>IF(Master!O576="","",Master!O576)</x:f>
      </x:c>
      <x:c r="O36" s="3" t="str">
        <x:f>IF(Master!P576="","",Master!P576)</x:f>
      </x:c>
      <x:c r="P36" s="3" t="str">
        <x:f>IF(Master!Q576="","",Master!Q576)</x:f>
      </x:c>
      <x:c r="Q36" s="3" t="str">
        <x:f>IF(Master!R576="","",Master!R576)</x:f>
      </x:c>
      <x:c r="R36" s="3" t="str">
        <x:f>IF(Master!S576="","",Master!S576)</x:f>
      </x:c>
      <x:c r="S36" s="3" t="str">
        <x:f>IF(Master!T576="","",Master!T576)</x:f>
      </x:c>
      <x:c r="T36" s="3" t="str">
        <x:f>IF(Master!U576="","",Master!U576)</x:f>
      </x:c>
      <x:c r="U36" s="3" t="str">
        <x:f>IF(Master!V576="","",Master!V576)</x:f>
        <x:v>Yes: 12h self-delete / 14d mod-removal log</x:v>
      </x:c>
      <x:c r="V36" s="3" t="str">
        <x:f>IF(Master!W576="","",Master!W576)</x:f>
      </x:c>
      <x:c r="W36" s="3" t="str">
        <x:f>IF(Master!X576="","",Master!X576)</x:f>
      </x:c>
      <x:c r="X36" s="3" t="str">
        <x:f>IF(Master!Y576="","",Master!Y576)</x:f>
      </x:c>
      <x:c r="Y36" s="3" t="str">
        <x:f>IF(Master!Z576="","",Master!Z576)</x:f>
      </x:c>
      <x:c r="Z36" s="3" t="str">
        <x:f>IF(Master!AA576="","",Master!AA576)</x:f>
      </x:c>
      <x:c r="AA36" s="6" t="str">
        <x:f>IF(Master!AB576="","",Master!AB576)</x:f>
      </x:c>
      <x:c r="AB36" s="3" t="str">
        <x:f>IF(Master!AC576="","",Master!AC576)</x:f>
      </x:c>
      <x:c r="AC36" s="3" t="str">
        <x:f>IF(Master!AD576="","",Master!AD576)</x:f>
      </x:c>
      <x:c r="AD36" s="3" t="str">
        <x:f>IF(Master!AE576="","",Master!AE576)</x:f>
      </x:c>
      <x:c r="AE36" s="3" t="str">
        <x:f>IF(Master!AF576="","",Master!AF576)</x:f>
      </x:c>
      <x:c r="AF36" s="8" t="str">
        <x:f>IF(Master!AG576="","",Master!AG576)</x:f>
      </x:c>
    </x:row>
    <x:row r="37" ht="36" customHeight="1">
      <x:c r="A37" s="17" t="s">
        <x:v>847</x:v>
      </x:c>
      <x:c r="B37" s="3" t="str">
        <x:f>IF(Master!C577="","",Master!C577)</x:f>
        <x:v>No general native mod edit-history view</x:v>
      </x:c>
      <x:c r="C37" s="3" t="str">
        <x:f>IF(Master!D577="","",Master!D577)</x:f>
      </x:c>
      <x:c r="D37" s="3" t="str">
        <x:f>IF(Master!E577="","",Master!E577)</x:f>
      </x:c>
      <x:c r="E37" s="3" t="str">
        <x:f>IF(Master!F577="","",Master!F577)</x:f>
      </x:c>
      <x:c r="F37" s="3" t="str">
        <x:f>IF(Master!G577="","",Master!G577)</x:f>
      </x:c>
      <x:c r="G37" s="3" t="str">
        <x:f>IF(Master!H577="","",Master!H577)</x:f>
      </x:c>
      <x:c r="H37" s="3" t="str">
        <x:f>IF(Master!I577="","",Master!I577)</x:f>
      </x:c>
      <x:c r="I37" s="3" t="str">
        <x:f>IF(Master!J577="","",Master!J577)</x:f>
      </x:c>
      <x:c r="J37" s="3" t="str">
        <x:f>IF(Master!K577="","",Master!K577)</x:f>
      </x:c>
      <x:c r="K37" s="3" t="str">
        <x:f>IF(Master!L577="","",Master!L577)</x:f>
        <x:v>Not documented</x:v>
      </x:c>
      <x:c r="L37" s="3" t="str">
        <x:f>IF(Master!M577="","",Master!M577)</x:f>
      </x:c>
      <x:c r="M37" s="3" t="str">
        <x:f>IF(Master!N577="","",Master!N577)</x:f>
      </x:c>
      <x:c r="N37" s="3" t="str">
        <x:f>IF(Master!O577="","",Master!O577)</x:f>
      </x:c>
      <x:c r="O37" s="3" t="str">
        <x:f>IF(Master!P577="","",Master!P577)</x:f>
      </x:c>
      <x:c r="P37" s="3" t="str">
        <x:f>IF(Master!Q577="","",Master!Q577)</x:f>
      </x:c>
      <x:c r="Q37" s="3" t="str">
        <x:f>IF(Master!R577="","",Master!R577)</x:f>
      </x:c>
      <x:c r="R37" s="3" t="str">
        <x:f>IF(Master!S577="","",Master!S577)</x:f>
      </x:c>
      <x:c r="S37" s="3" t="str">
        <x:f>IF(Master!T577="","",Master!T577)</x:f>
      </x:c>
      <x:c r="T37" s="3" t="str">
        <x:f>IF(Master!U577="","",Master!U577)</x:f>
      </x:c>
      <x:c r="U37" s="3" t="str">
        <x:f>IF(Master!V577="","",Master!V577)</x:f>
        <x:v>Yes</x:v>
      </x:c>
      <x:c r="V37" s="3" t="str">
        <x:f>IF(Master!W577="","",Master!W577)</x:f>
      </x:c>
      <x:c r="W37" s="3" t="str">
        <x:f>IF(Master!X577="","",Master!X577)</x:f>
      </x:c>
      <x:c r="X37" s="3" t="str">
        <x:f>IF(Master!Y577="","",Master!Y577)</x:f>
      </x:c>
      <x:c r="Y37" s="3" t="str">
        <x:f>IF(Master!Z577="","",Master!Z577)</x:f>
      </x:c>
      <x:c r="Z37" s="3" t="str">
        <x:f>IF(Master!AA577="","",Master!AA577)</x:f>
      </x:c>
      <x:c r="AA37" s="6" t="str">
        <x:f>IF(Master!AB577="","",Master!AB577)</x:f>
      </x:c>
      <x:c r="AB37" s="3" t="str">
        <x:f>IF(Master!AC577="","",Master!AC577)</x:f>
      </x:c>
      <x:c r="AC37" s="3" t="str">
        <x:f>IF(Master!AD577="","",Master!AD577)</x:f>
      </x:c>
      <x:c r="AD37" s="3" t="str">
        <x:f>IF(Master!AE577="","",Master!AE577)</x:f>
      </x:c>
      <x:c r="AE37" s="3" t="str">
        <x:f>IF(Master!AF577="","",Master!AF577)</x:f>
      </x:c>
      <x:c r="AF37" s="8" t="str">
        <x:f>IF(Master!AG577="","",Master!AG577)</x:f>
      </x:c>
    </x:row>
    <x:row r="38" ht="36" customHeight="1">
      <x:c r="A38" s="17" t="s">
        <x:v>848</x:v>
      </x:c>
      <x:c r="B38" s="3" t="str">
        <x:f>IF(Master!C578="","",Master!C578)</x:f>
        <x:v>Audit log records permission changes</x:v>
      </x:c>
      <x:c r="C38" s="3" t="str">
        <x:f>IF(Master!D578="","",Master!D578)</x:f>
      </x:c>
      <x:c r="D38" s="3" t="str">
        <x:f>IF(Master!E578="","",Master!E578)</x:f>
      </x:c>
      <x:c r="E38" s="3" t="str">
        <x:f>IF(Master!F578="","",Master!F578)</x:f>
      </x:c>
      <x:c r="F38" s="3" t="str">
        <x:f>IF(Master!G578="","",Master!G578)</x:f>
      </x:c>
      <x:c r="G38" s="3" t="str">
        <x:f>IF(Master!H578="","",Master!H578)</x:f>
      </x:c>
      <x:c r="H38" s="3" t="str">
        <x:f>IF(Master!I578="","",Master!I578)</x:f>
      </x:c>
      <x:c r="I38" s="3" t="str">
        <x:f>IF(Master!J578="","",Master!J578)</x:f>
      </x:c>
      <x:c r="J38" s="3" t="str">
        <x:f>IF(Master!K578="","",Master!K578)</x:f>
      </x:c>
      <x:c r="K38" s="3" t="str">
        <x:f>IF(Master!L578="","",Master!L578)</x:f>
        <x:v>Audit trail exists; automatic permission revert is not documented</x:v>
      </x:c>
      <x:c r="L38" s="3" t="str">
        <x:f>IF(Master!M578="","",Master!M578)</x:f>
      </x:c>
      <x:c r="M38" s="3" t="str">
        <x:f>IF(Master!N578="","",Master!N578)</x:f>
      </x:c>
      <x:c r="N38" s="3" t="str">
        <x:f>IF(Master!O578="","",Master!O578)</x:f>
      </x:c>
      <x:c r="O38" s="3" t="str">
        <x:f>IF(Master!P578="","",Master!P578)</x:f>
      </x:c>
      <x:c r="P38" s="3" t="str">
        <x:f>IF(Master!Q578="","",Master!Q578)</x:f>
      </x:c>
      <x:c r="Q38" s="3" t="str">
        <x:f>IF(Master!R578="","",Master!R578)</x:f>
      </x:c>
      <x:c r="R38" s="3" t="str">
        <x:f>IF(Master!S578="","",Master!S578)</x:f>
      </x:c>
      <x:c r="S38" s="3" t="str">
        <x:f>IF(Master!T578="","",Master!T578)</x:f>
      </x:c>
      <x:c r="T38" s="3" t="str">
        <x:f>IF(Master!U578="","",Master!U578)</x:f>
      </x:c>
      <x:c r="U38" s="3" t="str">
        <x:f>IF(Master!V578="","",Master!V578)</x:f>
        <x:v>Yes: audit trail + one-click revert</x:v>
      </x:c>
      <x:c r="V38" s="3" t="str">
        <x:f>IF(Master!W578="","",Master!W578)</x:f>
      </x:c>
      <x:c r="W38" s="3" t="str">
        <x:f>IF(Master!X578="","",Master!X578)</x:f>
      </x:c>
      <x:c r="X38" s="3" t="str">
        <x:f>IF(Master!Y578="","",Master!Y578)</x:f>
      </x:c>
      <x:c r="Y38" s="3" t="str">
        <x:f>IF(Master!Z578="","",Master!Z578)</x:f>
      </x:c>
      <x:c r="Z38" s="3" t="str">
        <x:f>IF(Master!AA578="","",Master!AA578)</x:f>
      </x:c>
      <x:c r="AA38" s="6" t="str">
        <x:f>IF(Master!AB578="","",Master!AB578)</x:f>
      </x:c>
      <x:c r="AB38" s="3" t="str">
        <x:f>IF(Master!AC578="","",Master!AC578)</x:f>
      </x:c>
      <x:c r="AC38" s="3" t="str">
        <x:f>IF(Master!AD578="","",Master!AD578)</x:f>
      </x:c>
      <x:c r="AD38" s="3" t="str">
        <x:f>IF(Master!AE578="","",Master!AE578)</x:f>
      </x:c>
      <x:c r="AE38" s="3" t="str">
        <x:f>IF(Master!AF578="","",Master!AF578)</x:f>
      </x:c>
      <x:c r="AF38" s="8" t="str">
        <x:f>IF(Master!AG578="","",Master!AG578)</x:f>
      </x:c>
    </x:row>
    <x:row r="39" ht="36" customHeight="1">
      <x:c r="A39" s="17" t="s">
        <x:v>849</x:v>
      </x:c>
      <x:c r="B39" s="3" t="str">
        <x:f>IF(Master!C579="","",Master!C579)</x:f>
        <x:v>Apps/bots</x:v>
      </x:c>
      <x:c r="C39" s="3" t="str">
        <x:f>IF(Master!D579="","",Master!D579)</x:f>
      </x:c>
      <x:c r="D39" s="3" t="str">
        <x:f>IF(Master!E579="","",Master!E579)</x:f>
      </x:c>
      <x:c r="E39" s="3" t="str">
        <x:f>IF(Master!F579="","",Master!F579)</x:f>
      </x:c>
      <x:c r="F39" s="3" t="str">
        <x:f>IF(Master!G579="","",Master!G579)</x:f>
      </x:c>
      <x:c r="G39" s="3" t="str">
        <x:f>IF(Master!H579="","",Master!H579)</x:f>
      </x:c>
      <x:c r="H39" s="3" t="str">
        <x:f>IF(Master!I579="","",Master!I579)</x:f>
      </x:c>
      <x:c r="I39" s="3" t="str">
        <x:f>IF(Master!J579="","",Master!J579)</x:f>
      </x:c>
      <x:c r="J39" s="3" t="str">
        <x:f>IF(Master!K579="","",Master!K579)</x:f>
      </x:c>
      <x:c r="K39" s="3" t="str">
        <x:f>IF(Master!L579="","",Master!L579)</x:f>
        <x:v>Not documented</x:v>
      </x:c>
      <x:c r="L39" s="3" t="str">
        <x:f>IF(Master!M579="","",Master!M579)</x:f>
      </x:c>
      <x:c r="M39" s="3" t="str">
        <x:f>IF(Master!N579="","",Master!N579)</x:f>
      </x:c>
      <x:c r="N39" s="3" t="str">
        <x:f>IF(Master!O579="","",Master!O579)</x:f>
      </x:c>
      <x:c r="O39" s="3" t="str">
        <x:f>IF(Master!P579="","",Master!P579)</x:f>
      </x:c>
      <x:c r="P39" s="3" t="str">
        <x:f>IF(Master!Q579="","",Master!Q579)</x:f>
      </x:c>
      <x:c r="Q39" s="3" t="str">
        <x:f>IF(Master!R579="","",Master!R579)</x:f>
      </x:c>
      <x:c r="R39" s="3" t="str">
        <x:f>IF(Master!S579="","",Master!S579)</x:f>
      </x:c>
      <x:c r="S39" s="3" t="str">
        <x:f>IF(Master!T579="","",Master!T579)</x:f>
      </x:c>
      <x:c r="T39" s="3" t="str">
        <x:f>IF(Master!U579="","",Master!U579)</x:f>
      </x:c>
      <x:c r="U39" s="3" t="str">
        <x:f>IF(Master!V579="","",Master!V579)</x:f>
        <x:v>Yes: entry rules + verifiable draw</x:v>
      </x:c>
      <x:c r="V39" s="3" t="str">
        <x:f>IF(Master!W579="","",Master!W579)</x:f>
      </x:c>
      <x:c r="W39" s="3" t="str">
        <x:f>IF(Master!X579="","",Master!X579)</x:f>
      </x:c>
      <x:c r="X39" s="3" t="str">
        <x:f>IF(Master!Y579="","",Master!Y579)</x:f>
      </x:c>
      <x:c r="Y39" s="3" t="str">
        <x:f>IF(Master!Z579="","",Master!Z579)</x:f>
      </x:c>
      <x:c r="Z39" s="3" t="str">
        <x:f>IF(Master!AA579="","",Master!AA579)</x:f>
      </x:c>
      <x:c r="AA39" s="6" t="str">
        <x:f>IF(Master!AB579="","",Master!AB579)</x:f>
      </x:c>
      <x:c r="AB39" s="3" t="str">
        <x:f>IF(Master!AC579="","",Master!AC579)</x:f>
      </x:c>
      <x:c r="AC39" s="3" t="str">
        <x:f>IF(Master!AD579="","",Master!AD579)</x:f>
      </x:c>
      <x:c r="AD39" s="3" t="str">
        <x:f>IF(Master!AE579="","",Master!AE579)</x:f>
      </x:c>
      <x:c r="AE39" s="3" t="str">
        <x:f>IF(Master!AF579="","",Master!AF579)</x:f>
      </x:c>
      <x:c r="AF39" s="8" t="str">
        <x:f>IF(Master!AG579="","",Master!AG579)</x:f>
      </x:c>
    </x:row>
  </x:sheetData>
  <x:mergeCells>
    <x:mergeCell ref="A1:A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Directory'!A1","Project Origin &amp; Longevity"),"Project Origin &amp; Longevity")</x:f>
        <x:v>Project Origin &amp; Longevity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96</x:v>
      </x:c>
      <x:c r="B3" s="3" t="str">
        <x:f>IF(Master!C580="","",Master!C580)</x:f>
        <x:v>May 2015</x:v>
      </x:c>
      <x:c r="C3" s="3" t="str">
        <x:f>IF(Master!D580="","",Master!D580)</x:f>
        <x:v>2026-era project</x:v>
      </x:c>
      <x:c r="D3" s="3" t="str">
        <x:f>IF(Master!E580="","",Master!E580)</x:f>
        <x:v>2023</x:v>
      </x:c>
      <x:c r="E3" s="3" t="str">
        <x:f>IF(Master!F580="","",Master!F580)</x:f>
        <x:v>2026</x:v>
      </x:c>
      <x:c r="F3" s="3" t="str">
        <x:f>IF(Master!G580="","",Master!G580)</x:f>
        <x:v>November 2025</x:v>
      </x:c>
      <x:c r="G3" s="3" t="str">
        <x:f>IF(Master!H580="","",Master!H580)</x:f>
        <x:v>2020</x:v>
      </x:c>
      <x:c r="H3" s="3" t="str">
        <x:f>IF(Master!I580="","",Master!I580)</x:f>
        <x:v>2026 ground-up rebuild</x:v>
      </x:c>
      <x:c r="I3" s="3" t="str">
        <x:f>IF(Master!J580="","",Master!J580)</x:f>
        <x:v>2026 fork era</x:v>
      </x:c>
      <x:c r="J3" s="3" t="str">
        <x:f>IF(Master!K580="","",Master!K580)</x:f>
        <x:v>2026-era public project</x:v>
      </x:c>
      <x:c r="K3" s="3" t="str">
        <x:f>IF(Master!L580="","",Master!L580)</x:f>
        <x:v>≈ late 2025 (developer report: private use for nearly a year as of Sep 2026)</x:v>
      </x:c>
      <x:c r="L3" s="3" t="str">
        <x:f>IF(Master!M580="","",Master!M580)</x:f>
      </x:c>
      <x:c r="M3" s="3" t="str">
        <x:f>IF(Master!N580="","",Master!N580)</x:f>
        <x:v>2026-era project</x:v>
      </x:c>
      <x:c r="N3" s="3" t="str">
        <x:f>IF(Master!O580="","",Master!O580)</x:f>
        <x:v>2014</x:v>
      </x:c>
      <x:c r="O3" s="3" t="str">
        <x:f>IF(Master!P580="","",Master!P580)</x:f>
        <x:v>2015</x:v>
      </x:c>
      <x:c r="P3" s="3" t="str">
        <x:f>IF(Master!Q580="","",Master!Q580)</x:f>
      </x:c>
      <x:c r="Q3" s="3" t="str">
        <x:f>IF(Master!R580="","",Master!R580)</x:f>
        <x:v>2005</x:v>
      </x:c>
      <x:c r="R3" s="3" t="str">
        <x:f>IF(Master!S580="","",Master!S580)</x:f>
      </x:c>
      <x:c r="S3" s="3" t="str">
        <x:f>IF(Master!T580="","",Master!T580)</x:f>
        <x:v>Summer 2024</x:v>
      </x:c>
      <x:c r="T3" s="3" t="str">
        <x:f>IF(Master!U580="","",Master!U580)</x:f>
        <x:v>Young open beta; exact first-commit date is available in the GitHub history</x:v>
      </x:c>
      <x:c r="U3" s="3" t="str">
        <x:f>IF(Master!V580="","",Master!V580)</x:f>
        <x:v>2026</x:v>
      </x:c>
      <x:c r="V3" s="3" t="str">
        <x:f>IF(Master!W580="","",Master!W580)</x:f>
        <x:v>2015</x:v>
      </x:c>
      <x:c r="W3" s="3" t="str">
        <x:f>IF(Master!X580="","",Master!X580)</x:f>
      </x:c>
      <x:c r="X3" s="3" t="str">
        <x:f>IF(Master!Y580="","",Master!Y580)</x:f>
      </x:c>
      <x:c r="Y3" s="3" t="str">
        <x:f>IF(Master!Z580="","",Master!Z580)</x:f>
        <x:v>2021 (as Fosscord/Spacebar project era)</x:v>
      </x:c>
      <x:c r="Z3" s="3" t="str">
        <x:f>IF(Master!AA580="","",Master!AA580)</x:f>
        <x:v>2021 (as Revolt; rebranded Stoat in 2025)</x:v>
      </x:c>
      <x:c r="AA3" s="6" t="str">
        <x:f>IF(Master!AB580="","",Master!AB580)</x:f>
        <x:v>1999 project origin</x:v>
      </x:c>
      <x:c r="AB3" s="3" t="str">
        <x:f>IF(Master!AC580="","",Master!AC580)</x:f>
      </x:c>
      <x:c r="AC3" s="3" t="str">
        <x:f>IF(Master!AD580="","",Master!AD580)</x:f>
        <x:v>Early 2026</x:v>
      </x:c>
      <x:c r="AD3" s="3" t="str">
        <x:f>IF(Master!AE580="","",Master!AE580)</x:f>
        <x:v>~2025</x:v>
      </x:c>
      <x:c r="AE3" s="3" t="str">
        <x:f>IF(Master!AF580="","",Master!AF580)</x:f>
        <x:v>2026-era project</x:v>
      </x:c>
      <x:c r="AF3" s="8" t="str">
        <x:f>IF(Master!AG580="","",Master!AG580)</x:f>
        <x:v>2012</x:v>
      </x:c>
    </x:row>
    <x:row r="4" ht="36" customHeight="1">
      <x:c r="A4" s="17" t="s">
        <x:v>260</x:v>
      </x:c>
      <x:c r="B4" s="3" t="str">
        <x:f>IF(Master!C581="","",Master!C581)</x:f>
        <x:v>2015-05-13</x:v>
      </x:c>
      <x:c r="C4" s="3" t="str">
        <x:f>IF(Master!D581="","",Master!D581)</x:f>
        <x:v>Public beta/dev 2026</x:v>
      </x:c>
      <x:c r="D4" s="3" t="str">
        <x:f>IF(Master!E581="","",Master!E581)</x:f>
        <x:v>Public project by 2024</x:v>
      </x:c>
      <x:c r="E4" s="3" t="str">
        <x:f>IF(Master!F581="","",Master!F581)</x:f>
        <x:v>Public 2026</x:v>
      </x:c>
      <x:c r="F4" s="3" t="str">
        <x:f>IF(Master!G581="","",Master!G581)</x:f>
        <x:v>Alpha access in 2026; public v1 release not yet</x:v>
      </x:c>
      <x:c r="G4" s="3" t="str">
        <x:f>IF(Master!H581="","",Master!H581)</x:f>
        <x:v>2026-01-02 public release</x:v>
      </x:c>
      <x:c r="H4" s="3" t="str">
        <x:f>IF(Master!I581="","",Master!I581)</x:f>
        <x:v>2026 open beta</x:v>
      </x:c>
      <x:c r="I4" s="3" t="str">
        <x:f>IF(Master!J581="","",Master!J581)</x:f>
        <x:v>Early public 2026</x:v>
      </x:c>
      <x:c r="J4" s="3" t="str">
        <x:f>IF(Master!K581="","",Master!K581)</x:f>
        <x:v>Public alpha/beta 2026</x:v>
      </x:c>
      <x:c r="K4" s="3" t="str">
        <x:f>IF(Master!L581="","",Master!L581)</x:f>
        <x:v>No formal public launch</x:v>
      </x:c>
      <x:c r="L4" s="3" t="str">
        <x:f>IF(Master!M581="","",Master!M581)</x:f>
        <x:v>Alpha/public 2026</x:v>
      </x:c>
      <x:c r="M4" s="3" t="str">
        <x:f>IF(Master!N581="","",Master!N581)</x:f>
        <x:v>Open beta 2026</x:v>
      </x:c>
      <x:c r="N4" s="3" t="str">
        <x:f>IF(Master!O581="","",Master!O581)</x:f>
        <x:v>2014-09-03 (first public alpha)</x:v>
      </x:c>
      <x:c r="O4" s="3" t="str">
        <x:f>IF(Master!P581="","",Master!P581)</x:f>
        <x:v>2015</x:v>
      </x:c>
      <x:c r="P4" s="3" t="str">
        <x:f>IF(Master!Q581="","",Master!Q581)</x:f>
      </x:c>
      <x:c r="Q4" s="3" t="str">
        <x:f>IF(Master!R581="","",Master!R581)</x:f>
      </x:c>
      <x:c r="R4" s="3" t="str">
        <x:f>IF(Master!S581="","",Master!S581)</x:f>
      </x:c>
      <x:c r="S4" s="3" t="str">
        <x:f>IF(Master!T581="","",Master!T581)</x:f>
        <x:v>Public beta in 2026</x:v>
      </x:c>
      <x:c r="T4" s="3" t="str">
        <x:f>IF(Master!U581="","",Master!U581)</x:f>
        <x:v>Open beta; exact public-beta launch date not stated</x:v>
      </x:c>
      <x:c r="U4" s="3" t="str">
        <x:f>IF(Master!V581="","",Master!V581)</x:f>
        <x:v>Public Beta 2026</x:v>
      </x:c>
      <x:c r="V4" s="3" t="str">
        <x:f>IF(Master!W581="","",Master!W581)</x:f>
        <x:v>2015</x:v>
      </x:c>
      <x:c r="W4" s="3" t="str">
        <x:f>IF(Master!X581="","",Master!X581)</x:f>
        <x:v>Early public project</x:v>
      </x:c>
      <x:c r="X4" s="3" t="str">
        <x:f>IF(Master!Y581="","",Master!Y581)</x:f>
      </x:c>
      <x:c r="Y4" s="3" t="str">
        <x:f>IF(Master!Z581="","",Master!Z581)</x:f>
      </x:c>
      <x:c r="Z4" s="3" t="str">
        <x:f>IF(Master!AA581="","",Master!AA581)</x:f>
      </x:c>
      <x:c r="AA4" s="6" t="str">
        <x:f>IF(Master!AB581="","",Master!AB581)</x:f>
        <x:v>2001 first public release</x:v>
      </x:c>
      <x:c r="AB4" s="3" t="str">
        <x:f>IF(Master!AC581="","",Master!AC581)</x:f>
        <x:v>Alpha/public before 2026</x:v>
      </x:c>
      <x:c r="AC4" s="3" t="str">
        <x:f>IF(Master!AD581="","",Master!AD581)</x:f>
        <x:v>Alpha/beta 2026</x:v>
      </x:c>
      <x:c r="AD4" s="3" t="str">
        <x:f>IF(Master!AE581="","",Master!AE581)</x:f>
        <x:v>Public beta 2026</x:v>
      </x:c>
      <x:c r="AE4" s="3" t="str">
        <x:f>IF(Master!AF581="","",Master!AF581)</x:f>
        <x:v>Public beta/service 2026</x:v>
      </x:c>
      <x:c r="AF4" s="8" t="str">
        <x:f>IF(Master!AG581="","",Master!AG581)</x:f>
        <x:v>2012 hosted; open-sourced 2015</x:v>
      </x:c>
    </x:row>
    <x:row r="5" ht="36" customHeight="1">
      <x:c r="A5" s="17" t="s">
        <x:v>850</x:v>
      </x:c>
      <x:c r="B5" s="3" t="str">
        <x:f>IF(Master!C582="","",Master!C582)</x:f>
        <x:v>11 years 4 months (as of 2026-09-15)</x:v>
      </x:c>
      <x:c r="C5" s="3" t="str">
        <x:f>IF(Master!D582="","",Master!D582)</x:f>
        <x:v>&lt;1 year</x:v>
      </x:c>
      <x:c r="D5" s="3" t="str">
        <x:f>IF(Master!E582="","",Master!E582)</x:f>
        <x:v>~3 years</x:v>
      </x:c>
      <x:c r="E5" s="3" t="str">
        <x:f>IF(Master!F582="","",Master!F582)</x:f>
        <x:v>&lt;1 year</x:v>
      </x:c>
      <x:c r="F5" s="3" t="str">
        <x:f>IF(Master!G582="","",Master!G582)</x:f>
        <x:v>10 months</x:v>
      </x:c>
      <x:c r="G5" s="3" t="str">
        <x:f>IF(Master!H582="","",Master!H582)</x:f>
        <x:v>~6 years</x:v>
      </x:c>
      <x:c r="H5" s="3" t="str">
        <x:f>IF(Master!I582="","",Master!I582)</x:f>
        <x:v>&lt;1 year</x:v>
      </x:c>
      <x:c r="I5" s="3" t="str">
        <x:f>IF(Master!J582="","",Master!J582)</x:f>
        <x:v>&lt;1 year</x:v>
      </x:c>
      <x:c r="J5" s="3" t="str">
        <x:f>IF(Master!K582="","",Master!K582)</x:f>
        <x:v>&lt;1 year</x:v>
      </x:c>
      <x:c r="K5" s="3" t="str">
        <x:f>IF(Master!L582="","",Master!L582)</x:f>
      </x:c>
      <x:c r="L5" s="3" t="str">
        <x:f>IF(Master!M582="","",Master!M582)</x:f>
      </x:c>
      <x:c r="M5" s="3" t="str">
        <x:f>IF(Master!N582="","",Master!N582)</x:f>
        <x:v>&lt;1 year</x:v>
      </x:c>
      <x:c r="N5" s="3" t="str">
        <x:f>IF(Master!O582="","",Master!O582)</x:f>
        <x:v>~12 years</x:v>
      </x:c>
      <x:c r="O5" s="3" t="str">
        <x:f>IF(Master!P582="","",Master!P582)</x:f>
        <x:v>~11 years</x:v>
      </x:c>
      <x:c r="P5" s="3" t="str">
        <x:f>IF(Master!Q582="","",Master!Q582)</x:f>
      </x:c>
      <x:c r="Q5" s="3" t="str">
        <x:f>IF(Master!R582="","",Master!R582)</x:f>
        <x:v>~21 years</x:v>
      </x:c>
      <x:c r="R5" s="3" t="str">
        <x:f>IF(Master!S582="","",Master!S582)</x:f>
      </x:c>
      <x:c r="S5" s="3" t="str">
        <x:f>IF(Master!T582="","",Master!T582)</x:f>
        <x:v>~2 years</x:v>
      </x:c>
      <x:c r="T5" s="3" t="str">
        <x:f>IF(Master!U582="","",Master!U582)</x:f>
        <x:v>Young beta; exact age not stated in response</x:v>
      </x:c>
      <x:c r="U5" s="3" t="str">
        <x:f>IF(Master!V582="","",Master!V582)</x:f>
        <x:v>5 years</x:v>
      </x:c>
      <x:c r="V5" s="3" t="str">
        <x:f>IF(Master!W582="","",Master!W582)</x:f>
        <x:v>~11 years</x:v>
      </x:c>
      <x:c r="W5" s="3" t="str">
        <x:f>IF(Master!X582="","",Master!X582)</x:f>
      </x:c>
      <x:c r="X5" s="3" t="str">
        <x:f>IF(Master!Y582="","",Master!Y582)</x:f>
      </x:c>
      <x:c r="Y5" s="3" t="str">
        <x:f>IF(Master!Z582="","",Master!Z582)</x:f>
        <x:v>~5 years</x:v>
      </x:c>
      <x:c r="Z5" s="3" t="str">
        <x:f>IF(Master!AA582="","",Master!AA582)</x:f>
        <x:v>~5 years</x:v>
      </x:c>
      <x:c r="AA5" s="6" t="str">
        <x:f>IF(Master!AB582="","",Master!AB582)</x:f>
        <x:v>~27 years project / ~25 years public</x:v>
      </x:c>
      <x:c r="AB5" s="3" t="str">
        <x:f>IF(Master!AC582="","",Master!AC582)</x:f>
      </x:c>
      <x:c r="AC5" s="3" t="str">
        <x:f>IF(Master!AD582="","",Master!AD582)</x:f>
        <x:v>&lt;1 year</x:v>
      </x:c>
      <x:c r="AD5" s="3" t="str">
        <x:f>IF(Master!AE582="","",Master!AE582)</x:f>
        <x:v>~1 year</x:v>
      </x:c>
      <x:c r="AE5" s="3" t="str">
        <x:f>IF(Master!AF582="","",Master!AF582)</x:f>
        <x:v>&lt;1 year</x:v>
      </x:c>
      <x:c r="AF5" s="8" t="str">
        <x:f>IF(Master!AG582="","",Master!AG582)</x:f>
        <x:v>~14 years</x:v>
      </x:c>
    </x:row>
    <x:row r="6" ht="36" customHeight="1">
      <x:c r="A6" s="17" t="s">
        <x:v>261</x:v>
      </x:c>
      <x:c r="B6" s="3" t="str">
        <x:f>IF(Master!C583="","",Master!C583)</x:f>
        <x:v>Stable</x:v>
      </x:c>
      <x:c r="C6" s="3" t="str">
        <x:f>IF(Master!D583="","",Master!D583)</x:f>
        <x:v>Beta / active development</x:v>
      </x:c>
      <x:c r="D6" s="3" t="str">
        <x:f>IF(Master!E583="","",Master!E583)</x:f>
        <x:v>Beta / active development</x:v>
      </x:c>
      <x:c r="E6" s="3" t="str">
        <x:f>IF(Master!F583="","",Master!F583)</x:f>
        <x:v>Beta / public</x:v>
      </x:c>
      <x:c r="F6" s="3" t="str">
        <x:f>IF(Master!G583="","",Master!G583)</x:f>
        <x:v>Alpha</x:v>
      </x:c>
      <x:c r="G6" s="3" t="str">
        <x:f>IF(Master!H583="","",Master!H583)</x:f>
        <x:v>Public Beta</x:v>
      </x:c>
      <x:c r="H6" s="3" t="str">
        <x:f>IF(Master!I583="","",Master!I583)</x:f>
        <x:v>Open Beta</x:v>
      </x:c>
      <x:c r="I6" s="3" t="str">
        <x:f>IF(Master!J583="","",Master!J583)</x:f>
        <x:v>Active development; core text/voice/DMs/roles/moderation live</x:v>
      </x:c>
      <x:c r="J6" s="3" t="str">
        <x:f>IF(Master!K583="","",Master!K583)</x:f>
        <x:v>Alpha / Beta</x:v>
      </x:c>
      <x:c r="K6" s="3" t="str">
        <x:f>IF(Master!L583="","",Master!L583)</x:f>
        <x:v>Pre-launch / active development</x:v>
      </x:c>
      <x:c r="L6" s="3" t="str">
        <x:f>IF(Master!M583="","",Master!M583)</x:f>
        <x:v>Alpha</x:v>
      </x:c>
      <x:c r="M6" s="3" t="str">
        <x:f>IF(Master!N583="","",Master!N583)</x:f>
        <x:v>Open Beta</x:v>
      </x:c>
      <x:c r="N6" s="3" t="str">
        <x:f>IF(Master!O583="","",Master!O583)</x:f>
        <x:v>Stable open standard (spec v1.x)</x:v>
      </x:c>
      <x:c r="O6" s="3" t="str">
        <x:f>IF(Master!P583="","",Master!P583)</x:f>
        <x:v>Stable</x:v>
      </x:c>
      <x:c r="P6" s="3" t="str">
        <x:f>IF(Master!Q583="","",Master!Q583)</x:f>
        <x:v>Stable/public</x:v>
      </x:c>
      <x:c r="Q6" s="3" t="str">
        <x:f>IF(Master!R583="","",Master!R583)</x:f>
        <x:v>Stable</x:v>
      </x:c>
      <x:c r="R6" s="3" t="str">
        <x:f>IF(Master!S583="","",Master!S583)</x:f>
        <x:v>Stable/public</x:v>
      </x:c>
      <x:c r="S6" s="3" t="str">
        <x:f>IF(Master!T583="","",Master!T583)</x:f>
        <x:v>Public Beta</x:v>
      </x:c>
      <x:c r="T6" s="3" t="str">
        <x:f>IF(Master!U583="","",Master!U583)</x:f>
        <x:v>Open beta</x:v>
      </x:c>
      <x:c r="U6" s="3" t="str">
        <x:f>IF(Master!V583="","",Master!V583)</x:f>
        <x:v>Public Beta 2026</x:v>
      </x:c>
      <x:c r="V6" s="3" t="str">
        <x:f>IF(Master!W583="","",Master!W583)</x:f>
        <x:v>Stable</x:v>
      </x:c>
      <x:c r="W6" s="3" t="str">
        <x:f>IF(Master!X583="","",Master!X583)</x:f>
        <x:v>Alpha / experimental</x:v>
      </x:c>
      <x:c r="X6" s="3" t="str">
        <x:f>IF(Master!Y583="","",Master!Y583)</x:f>
        <x:v>Beta</x:v>
      </x:c>
      <x:c r="Y6" s="3" t="str">
        <x:f>IF(Master!Z583="","",Master!Z583)</x:f>
        <x:v>Alpha / WIP</x:v>
      </x:c>
      <x:c r="Z6" s="3" t="str">
        <x:f>IF(Master!AA583="","",Master!AA583)</x:f>
        <x:v>Beta / pre-1.0</x:v>
      </x:c>
      <x:c r="AA6" s="6" t="str">
        <x:f>IF(Master!AB583="","",Master!AB583)</x:f>
        <x:v>TS6 Beta; TS3 stable</x:v>
      </x:c>
      <x:c r="AB6" s="3" t="str">
        <x:f>IF(Master!AC583="","",Master!AC583)</x:f>
        <x:v>Alpha</x:v>
      </x:c>
      <x:c r="AC6" s="3" t="str">
        <x:f>IF(Master!AD583="","",Master!AD583)</x:f>
        <x:v>Alpha / Beta</x:v>
      </x:c>
      <x:c r="AD6" s="3" t="str">
        <x:f>IF(Master!AE583="","",Master!AE583)</x:f>
        <x:v>Public Beta</x:v>
      </x:c>
      <x:c r="AE6" s="3" t="str">
        <x:f>IF(Master!AF583="","",Master!AF583)</x:f>
        <x:v>Beta</x:v>
      </x:c>
      <x:c r="AF6" s="8" t="str">
        <x:f>IF(Master!AG583="","",Master!AG583)</x:f>
        <x:v>Stable</x:v>
      </x:c>
    </x:row>
    <x:row r="7" ht="36" customHeight="1">
      <x:c r="A7" s="17" t="s">
        <x:v>262</x:v>
      </x:c>
      <x:c r="B7" s="3" t="str">
        <x:f>IF(Master!C594="","",Master!C594)</x:f>
        <x:v>Active development</x:v>
      </x:c>
      <x:c r="C7" s="3" t="str">
        <x:f>IF(Master!D594="","",Master!D594)</x:f>
        <x:v>Active</x:v>
      </x:c>
      <x:c r="D7" s="3" t="str">
        <x:f>IF(Master!E594="","",Master!E594)</x:f>
        <x:v>Active</x:v>
      </x:c>
      <x:c r="E7" s="3" t="str">
        <x:f>IF(Master!F594="","",Master!F594)</x:f>
        <x:v>Active</x:v>
      </x:c>
      <x:c r="F7" s="3" t="str">
        <x:f>IF(Master!G594="","",Master!G594)</x:f>
        <x:v>Active alpha</x:v>
      </x:c>
      <x:c r="G7" s="3" t="str">
        <x:f>IF(Master!H594="","",Master!H594)</x:f>
        <x:v>Active</x:v>
      </x:c>
      <x:c r="H7" s="3" t="str">
        <x:f>IF(Master!I594="","",Master!I594)</x:f>
        <x:v>Active</x:v>
      </x:c>
      <x:c r="I7" s="3" t="str">
        <x:f>IF(Master!J594="","",Master!J594)</x:f>
        <x:v>Active</x:v>
      </x:c>
      <x:c r="J7" s="3" t="str">
        <x:f>IF(Master!K594="","",Master!K594)</x:f>
        <x:v>Active</x:v>
      </x:c>
      <x:c r="K7" s="3" t="str">
        <x:f>IF(Master!L594="","",Master!L594)</x:f>
        <x:v>Actively developed; pre-launch</x:v>
      </x:c>
      <x:c r="L7" s="3" t="str">
        <x:f>IF(Master!M594="","",Master!M594)</x:f>
        <x:v>Active</x:v>
      </x:c>
      <x:c r="M7" s="3" t="str">
        <x:f>IF(Master!N594="","",Master!N594)</x:f>
        <x:v>Active</x:v>
      </x:c>
      <x:c r="N7" s="3" t="str">
        <x:f>IF(Master!O594="","",Master!O594)</x:f>
        <x:v>Active standard + ecosystem</x:v>
      </x:c>
      <x:c r="O7" s="3" t="str">
        <x:f>IF(Master!P594="","",Master!P594)</x:f>
        <x:v>Active</x:v>
      </x:c>
      <x:c r="P7" s="3" t="str">
        <x:f>IF(Master!Q594="","",Master!Q594)</x:f>
        <x:v>Active</x:v>
      </x:c>
      <x:c r="Q7" s="3" t="str">
        <x:f>IF(Master!R594="","",Master!R594)</x:f>
        <x:v>Active</x:v>
      </x:c>
      <x:c r="R7" s="3" t="str">
        <x:f>IF(Master!S594="","",Master!S594)</x:f>
        <x:v>Active</x:v>
      </x:c>
      <x:c r="S7" s="3" t="str">
        <x:f>IF(Master!T594="","",Master!T594)</x:f>
        <x:v>Active</x:v>
      </x:c>
      <x:c r="T7" s="3" t="str">
        <x:f>IF(Master!U594="","",Master!U594)</x:f>
        <x:v>Active</x:v>
      </x:c>
      <x:c r="U7" s="3" t="str">
        <x:f>IF(Master!V594="","",Master!V594)</x:f>
        <x:v>Active</x:v>
      </x:c>
      <x:c r="V7" s="3" t="str">
        <x:f>IF(Master!W594="","",Master!W594)</x:f>
        <x:v>Active</x:v>
      </x:c>
      <x:c r="W7" s="3" t="str">
        <x:f>IF(Master!X594="","",Master!X594)</x:f>
        <x:v>Active</x:v>
      </x:c>
      <x:c r="X7" s="3" t="str">
        <x:f>IF(Master!Y594="","",Master!Y594)</x:f>
        <x:v>Active</x:v>
      </x:c>
      <x:c r="Y7" s="3" t="str">
        <x:f>IF(Master!Z594="","",Master!Z594)</x:f>
        <x:v>Active</x:v>
      </x:c>
      <x:c r="Z7" s="3" t="str">
        <x:f>IF(Master!AA594="","",Master!AA594)</x:f>
        <x:v>Active</x:v>
      </x:c>
      <x:c r="AA7" s="6" t="str">
        <x:f>IF(Master!AB594="","",Master!AB594)</x:f>
        <x:v>Active</x:v>
      </x:c>
      <x:c r="AB7" s="3" t="str">
        <x:f>IF(Master!AC594="","",Master!AC594)</x:f>
        <x:v>Active</x:v>
      </x:c>
      <x:c r="AC7" s="3" t="str">
        <x:f>IF(Master!AD594="","",Master!AD594)</x:f>
        <x:v>Active experimental</x:v>
      </x:c>
      <x:c r="AD7" s="3" t="str">
        <x:f>IF(Master!AE594="","",Master!AE594)</x:f>
        <x:v>Active</x:v>
      </x:c>
      <x:c r="AE7" s="3" t="str">
        <x:f>IF(Master!AF594="","",Master!AF594)</x:f>
        <x:v>Active</x:v>
      </x:c>
      <x:c r="AF7" s="8" t="str">
        <x:f>IF(Master!AG594="","",Master!AG594)</x:f>
        <x:v>Active</x:v>
      </x:c>
    </x:row>
    <x:row r="8" ht="36" customHeight="1">
      <x:c r="A8" s="17" t="s">
        <x:v>263</x:v>
      </x:c>
      <x:c r="B8" s="3" t="str">
        <x:f>IF(Master!C596="","",Master!C596)</x:f>
      </x:c>
      <x:c r="C8" s="3" t="str">
        <x:f>IF(Master!D596="","",Master!D596)</x:f>
        <x:v>Small open-source team</x:v>
      </x:c>
      <x:c r="D8" s="3" t="str">
        <x:f>IF(Master!E596="","",Master!E596)</x:f>
        <x:v>Solo/very small contributor group</x:v>
      </x:c>
      <x:c r="E8" s="3" t="str">
        <x:f>IF(Master!F596="","",Master!F596)</x:f>
        <x:v>Tiny Canadian team</x:v>
      </x:c>
      <x:c r="F8" s="3" t="str">
        <x:f>IF(Master!G596="","",Master!G596)</x:f>
        <x:v>Solo founder-led / very small team</x:v>
      </x:c>
      <x:c r="G8" s="3" t="str">
        <x:f>IF(Master!H596="","",Master!H596)</x:f>
      </x:c>
      <x:c r="H8" s="3" t="str">
        <x:f>IF(Master!I596="","",Master!I596)</x:f>
        <x:v>Founder-led / small team</x:v>
      </x:c>
      <x:c r="I8" s="3" t="str">
        <x:f>IF(Master!J596="","",Master!J596)</x:f>
        <x:v>Small volunteer team</x:v>
      </x:c>
      <x:c r="J8" s="3" t="str">
        <x:f>IF(Master!K596="","",Master!K596)</x:f>
        <x:v>Solo developer</x:v>
      </x:c>
      <x:c r="K8" s="3" t="str">
        <x:f>IF(Master!L596="","",Master!L596)</x:f>
        <x:v>1 primary developer; security-researcher friend provides private review/bug reports (developer report)</x:v>
      </x:c>
      <x:c r="L8" s="3" t="str">
        <x:f>IF(Master!M596="","",Master!M596)</x:f>
        <x:v>Small team</x:v>
      </x:c>
      <x:c r="M8" s="3" t="str">
        <x:f>IF(Master!N596="","",Master!N596)</x:f>
        <x:v>Small team</x:v>
      </x:c>
      <x:c r="N8" s="3" t="str">
        <x:f>IF(Master!O596="","",Master!O596)</x:f>
        <x:v>Matrix.org Foundation + many independent implementers</x:v>
      </x:c>
      <x:c r="O8" s="3" t="str">
        <x:f>IF(Master!P596="","",Master!P596)</x:f>
        <x:v>Mattermost, Inc. + open-source community</x:v>
      </x:c>
      <x:c r="P8" s="3" t="str">
        <x:f>IF(Master!Q596="","",Master!Q596)</x:f>
        <x:v>Company/open-source team</x:v>
      </x:c>
      <x:c r="Q8" s="3" t="str">
        <x:f>IF(Master!R596="","",Master!R596)</x:f>
        <x:v>Community open-source project</x:v>
      </x:c>
      <x:c r="R8" s="3" t="str">
        <x:f>IF(Master!S596="","",Master!S596)</x:f>
        <x:v>Small hobby/community project</x:v>
      </x:c>
      <x:c r="S8" s="3" t="str">
        <x:f>IF(Master!T596="","",Master!T596)</x:f>
        <x:v>Small startup team</x:v>
      </x:c>
      <x:c r="T8" s="3" t="str">
        <x:f>IF(Master!U596="","",Master!U596)</x:f>
        <x:v>2: built by two brothers (official repository README)</x:v>
      </x:c>
      <x:c r="U8" s="3" t="str">
        <x:f>IF(Master!V596="","",Master!V596)</x:f>
        <x:v>Small company/team</x:v>
      </x:c>
      <x:c r="V8" s="3" t="str">
        <x:f>IF(Master!W596="","",Master!W596)</x:f>
        <x:v>Rocket.Chat company + open-source community</x:v>
      </x:c>
      <x:c r="W8" s="3" t="str">
        <x:f>IF(Master!X596="","",Master!X596)</x:f>
        <x:v>Small open-source team</x:v>
      </x:c>
      <x:c r="X8" s="3" t="str">
        <x:f>IF(Master!Y596="","",Master!Y596)</x:f>
      </x:c>
      <x:c r="Y8" s="3" t="str">
        <x:f>IF(Master!Z596="","",Master!Z596)</x:f>
      </x:c>
      <x:c r="Z8" s="3" t="str">
        <x:f>IF(Master!AA596="","",Master!AA596)</x:f>
      </x:c>
      <x:c r="AA8" s="6" t="str">
        <x:f>IF(Master!AB596="","",Master!AB596)</x:f>
        <x:v>Commercial company</x:v>
      </x:c>
      <x:c r="AB8" s="3" t="str">
        <x:f>IF(Master!AC596="","",Master!AC596)</x:f>
        <x:v>Volunteer/open-source team</x:v>
      </x:c>
      <x:c r="AC8" s="3" t="str">
        <x:f>IF(Master!AD596="","",Master!AD596)</x:f>
        <x:v>Small team / founder-led</x:v>
      </x:c>
      <x:c r="AD8" s="3" t="str">
        <x:f>IF(Master!AE596="","",Master!AE596)</x:f>
        <x:v>Solo developer</x:v>
      </x:c>
      <x:c r="AE8" s="3" t="str">
        <x:f>IF(Master!AF596="","",Master!AF596)</x:f>
        <x:v>Small team/founder-led</x:v>
      </x:c>
      <x:c r="AF8" s="8" t="str">
        <x:f>IF(Master!AG596="","",Master!AG596)</x:f>
        <x:v>Independent company + open-source community</x:v>
      </x:c>
    </x:row>
    <x:row r="9" ht="36" customHeight="1">
      <x:c r="A9" s="17" t="s">
        <x:v>851</x:v>
      </x:c>
      <x:c r="B9" s="3" t="str">
        <x:f>IF(Master!C584="","",Master!C584)</x:f>
        <x:v>Original</x:v>
      </x:c>
      <x:c r="C9" s="3" t="str">
        <x:f>IF(Master!D584="","",Master!D584)</x:f>
        <x:v>Original</x:v>
      </x:c>
      <x:c r="D9" s="3" t="str">
        <x:f>IF(Master!E584="","",Master!E584)</x:f>
        <x:v>Original</x:v>
      </x:c>
      <x:c r="E9" s="3" t="str">
        <x:f>IF(Master!F584="","",Master!F584)</x:f>
        <x:v>Original</x:v>
      </x:c>
      <x:c r="F9" s="3" t="str">
        <x:f>IF(Master!G584="","",Master!G584)</x:f>
        <x:v>Original</x:v>
      </x:c>
      <x:c r="G9" s="3" t="str">
        <x:f>IF(Master!H584="","",Master!H584)</x:f>
        <x:v>Original</x:v>
      </x:c>
      <x:c r="H9" s="3" t="str">
        <x:f>IF(Master!I584="","",Master!I584)</x:f>
        <x:v>Original ground-up rebuild</x:v>
      </x:c>
      <x:c r="I9" s="3" t="str">
        <x:f>IF(Master!J584="","",Master!J584)</x:f>
        <x:v>Fork/rework of Spacebar-compatible stack</x:v>
      </x:c>
      <x:c r="J9" s="3" t="str">
        <x:f>IF(Master!K584="","",Master!K584)</x:f>
        <x:v>Original</x:v>
      </x:c>
      <x:c r="K9" s="3" t="str">
        <x:f>IF(Master!L584="","",Master!L584)</x:f>
        <x:v>Original project</x:v>
      </x:c>
      <x:c r="L9" s="3" t="str">
        <x:f>IF(Master!M584="","",Master!M584)</x:f>
        <x:v>Original</x:v>
      </x:c>
      <x:c r="M9" s="3" t="str">
        <x:f>IF(Master!N584="","",Master!N584)</x:f>
        <x:v>Original</x:v>
      </x:c>
      <x:c r="N9" s="3" t="str">
        <x:f>IF(Master!O584="","",Master!O584)</x:f>
        <x:v>Original open protocol</x:v>
      </x:c>
      <x:c r="O9" s="3" t="str">
        <x:f>IF(Master!P584="","",Master!P584)</x:f>
        <x:v>Original</x:v>
      </x:c>
      <x:c r="P9" s="3" t="str">
        <x:f>IF(Master!Q584="","",Master!Q584)</x:f>
        <x:v>Original</x:v>
      </x:c>
      <x:c r="Q9" s="3" t="str">
        <x:f>IF(Master!R584="","",Master!R584)</x:f>
        <x:v>Original</x:v>
      </x:c>
      <x:c r="R9" s="3" t="str">
        <x:f>IF(Master!S584="","",Master!S584)</x:f>
        <x:v>Original</x:v>
      </x:c>
      <x:c r="S9" s="3" t="str">
        <x:f>IF(Master!T584="","",Master!T584)</x:f>
        <x:v>Original</x:v>
      </x:c>
      <x:c r="T9" s="3" t="str">
        <x:f>IF(Master!U584="","",Master!U584)</x:f>
        <x:v>Original</x:v>
      </x:c>
      <x:c r="U9" s="3" t="str">
        <x:f>IF(Master!V584="","",Master!V584)</x:f>
        <x:v>Original</x:v>
      </x:c>
      <x:c r="V9" s="3" t="str">
        <x:f>IF(Master!W584="","",Master!W584)</x:f>
        <x:v>Original</x:v>
      </x:c>
      <x:c r="W9" s="3" t="str">
        <x:f>IF(Master!X584="","",Master!X584)</x:f>
        <x:v>Original</x:v>
      </x:c>
      <x:c r="X9" s="3" t="str">
        <x:f>IF(Master!Y584="","",Master!Y584)</x:f>
        <x:v>Original</x:v>
      </x:c>
      <x:c r="Y9" s="3" t="str">
        <x:f>IF(Master!Z584="","",Master!Z584)</x:f>
        <x:v>Reimplementation; Fosscord → Spacebar</x:v>
      </x:c>
      <x:c r="Z9" s="3" t="str">
        <x:f>IF(Master!AA584="","",Master!AA584)</x:f>
        <x:v>Original; Revolt → Stoat rebrand</x:v>
      </x:c>
      <x:c r="AA9" s="6" t="str">
        <x:f>IF(Master!AB584="","",Master!AB584)</x:f>
        <x:v>Original</x:v>
      </x:c>
      <x:c r="AB9" s="3" t="str">
        <x:f>IF(Master!AC584="","",Master!AC584)</x:f>
        <x:v>Original</x:v>
      </x:c>
      <x:c r="AC9" s="3" t="str">
        <x:f>IF(Master!AD584="","",Master!AD584)</x:f>
        <x:v>Original</x:v>
      </x:c>
      <x:c r="AD9" s="3" t="str">
        <x:f>IF(Master!AE584="","",Master!AE584)</x:f>
        <x:v>Original</x:v>
      </x:c>
      <x:c r="AE9" s="3" t="str">
        <x:f>IF(Master!AF584="","",Master!AF584)</x:f>
        <x:v>Original</x:v>
      </x:c>
      <x:c r="AF9" s="8" t="str">
        <x:f>IF(Master!AG584="","",Master!AG584)</x:f>
        <x:v>Original</x:v>
      </x:c>
    </x:row>
    <x:row r="10" ht="21.950000762939453" customHeight="1">
      <x:c r="A10" s="18" t="s">
        <x:v>852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853</x:v>
      </x:c>
      <x:c r="B11" s="3" t="str">
        <x:f>IF(Master!C598="","",Master!C598)</x:f>
        <x:v>N/A / none known</x:v>
      </x:c>
      <x:c r="C11" s="3" t="str">
        <x:f>IF(Master!D598="","",Master!D598)</x:f>
        <x:v>N/A / none known</x:v>
      </x:c>
      <x:c r="D11" s="3" t="str">
        <x:f>IF(Master!E598="","",Master!E598)</x:f>
        <x:v>N/A / none known</x:v>
      </x:c>
      <x:c r="E11" s="3" t="str">
        <x:f>IF(Master!F598="","",Master!F598)</x:f>
        <x:v>N/A / none known</x:v>
      </x:c>
      <x:c r="F11" s="3" t="str">
        <x:f>IF(Master!G598="","",Master!G598)</x:f>
        <x:v>N/A / none known</x:v>
      </x:c>
      <x:c r="G11" s="3" t="str">
        <x:f>IF(Master!H598="","",Master!H598)</x:f>
        <x:v>N/A / none known</x:v>
      </x:c>
      <x:c r="H11" s="3" t="str">
        <x:f>IF(Master!I598="","",Master!I598)</x:f>
        <x:v>N/A / none known</x:v>
      </x:c>
      <x:c r="I11" s="3" t="str">
        <x:f>IF(Master!J598="","",Master!J598)</x:f>
        <x:v>Harmony platform; Fermi client</x:v>
      </x:c>
      <x:c r="J11" s="3" t="str">
        <x:f>IF(Master!K598="","",Master!K598)</x:f>
        <x:v>N/A / none known</x:v>
      </x:c>
      <x:c r="K11" s="3" t="str">
        <x:f>IF(Master!L598="","",Master!L598)</x:f>
      </x:c>
      <x:c r="L11" s="3" t="str">
        <x:f>IF(Master!M598="","",Master!M598)</x:f>
        <x:v>N/A / none known</x:v>
      </x:c>
      <x:c r="M11" s="3" t="str">
        <x:f>IF(Master!N598="","",Master!N598)</x:f>
        <x:v>N/A / none known</x:v>
      </x:c>
      <x:c r="N11" s="3" t="str">
        <x:f>IF(Master!O598="","",Master!O598)</x:f>
        <x:v>N/A / none known</x:v>
      </x:c>
      <x:c r="O11" s="3" t="str">
        <x:f>IF(Master!P598="","",Master!P598)</x:f>
        <x:v>N/A / none known</x:v>
      </x:c>
      <x:c r="P11" s="3" t="str">
        <x:f>IF(Master!Q598="","",Master!Q598)</x:f>
        <x:v>N/A / none known</x:v>
      </x:c>
      <x:c r="Q11" s="3" t="str">
        <x:f>IF(Master!R598="","",Master!R598)</x:f>
        <x:v>N/A / none known</x:v>
      </x:c>
      <x:c r="R11" s="3" t="str">
        <x:f>IF(Master!S598="","",Master!S598)</x:f>
        <x:v>N/A / none known</x:v>
      </x:c>
      <x:c r="S11" s="3" t="str">
        <x:f>IF(Master!T598="","",Master!T598)</x:f>
        <x:v>N/A / none known</x:v>
      </x:c>
      <x:c r="T11" s="3" t="str">
        <x:f>IF(Master!U598="","",Master!U598)</x:f>
        <x:v>N/A / none known</x:v>
      </x:c>
      <x:c r="U11" s="3" t="str">
        <x:f>IF(Master!V598="","",Master!V598)</x:f>
        <x:v>N/A / none known</x:v>
      </x:c>
      <x:c r="V11" s="3" t="str">
        <x:f>IF(Master!W598="","",Master!W598)</x:f>
        <x:v>N/A / none known</x:v>
      </x:c>
      <x:c r="W11" s="3" t="str">
        <x:f>IF(Master!X598="","",Master!X598)</x:f>
        <x:v>N/A / none known</x:v>
      </x:c>
      <x:c r="X11" s="3" t="str">
        <x:f>IF(Master!Y598="","",Master!Y598)</x:f>
        <x:v>N/A / none known</x:v>
      </x:c>
      <x:c r="Y11" s="3" t="str">
        <x:f>IF(Master!Z598="","",Master!Z598)</x:f>
        <x:v>Fosscord</x:v>
      </x:c>
      <x:c r="Z11" s="3" t="str">
        <x:f>IF(Master!AA598="","",Master!AA598)</x:f>
        <x:v>Revolt</x:v>
      </x:c>
      <x:c r="AA11" s="6" t="str">
        <x:f>IF(Master!AB598="","",Master!AB598)</x:f>
        <x:v>N/A / none known</x:v>
      </x:c>
      <x:c r="AB11" s="3" t="str">
        <x:f>IF(Master!AC598="","",Master!AC598)</x:f>
        <x:v>N/A / none known</x:v>
      </x:c>
      <x:c r="AC11" s="3" t="str">
        <x:f>IF(Master!AD598="","",Master!AD598)</x:f>
        <x:v>N/A / none known</x:v>
      </x:c>
      <x:c r="AD11" s="3" t="str">
        <x:f>IF(Master!AE598="","",Master!AE598)</x:f>
        <x:v>N/A / none known</x:v>
      </x:c>
      <x:c r="AE11" s="3" t="str">
        <x:f>IF(Master!AF598="","",Master!AF598)</x:f>
        <x:v>N/A / none known</x:v>
      </x:c>
      <x:c r="AF11" s="8" t="str">
        <x:f>IF(Master!AG598="","",Master!AG598)</x:f>
        <x:v>N/A / none known</x:v>
      </x:c>
    </x:row>
    <x:row r="12" ht="23.100000381469727" customHeight="1">
      <x:c r="A12" s="17" t="s">
        <x:v>854</x:v>
      </x:c>
      <x:c r="B12" s="4" t="str">
        <x:f>IF(Master!C599="","",Master!C599)</x:f>
      </x:c>
      <x:c r="C12" s="4" t="str">
        <x:f>IF(Master!D599="","",Master!D599)</x:f>
      </x:c>
      <x:c r="D12" s="4" t="str">
        <x:f>IF(Master!E599="","",Master!E599)</x:f>
      </x:c>
      <x:c r="E12" s="4" t="str">
        <x:f>IF(Master!F599="","",Master!F599)</x:f>
      </x:c>
      <x:c r="F12" s="4" t="str">
        <x:f>IF(Master!G599="","",Master!G599)</x:f>
      </x:c>
      <x:c r="G12" s="4" t="str">
        <x:f>IF(Master!H599="","",Master!H599)</x:f>
      </x:c>
      <x:c r="H12" s="4" t="str">
        <x:f>IF(Master!I599="","",Master!I599)</x:f>
      </x:c>
      <x:c r="I12" s="4" t="str">
        <x:f>IF(Master!J599="","",Master!J599)</x:f>
      </x:c>
      <x:c r="J12" s="4" t="str">
        <x:f>IF(Master!K599="","",Master!K599)</x:f>
      </x:c>
      <x:c r="K12" s="4" t="str">
        <x:f>IF(Master!L599="","",Master!L599)</x:f>
        <x:v>Solo-maintainer project; MIT-licensed public repository</x:v>
      </x:c>
      <x:c r="L12" s="4" t="str">
        <x:f>IF(Master!M599="","",Master!M599)</x:f>
      </x:c>
      <x:c r="M12" s="4" t="str">
        <x:f>IF(Master!N599="","",Master!N599)</x:f>
      </x:c>
      <x:c r="N12" s="4" t="str">
        <x:f>IF(Master!O599="","",Master!O599)</x:f>
      </x:c>
      <x:c r="O12" s="4" t="str">
        <x:f>IF(Master!P599="","",Master!P599)</x:f>
      </x:c>
      <x:c r="P12" s="4" t="str">
        <x:f>IF(Master!Q599="","",Master!Q599)</x:f>
      </x:c>
      <x:c r="Q12" s="4" t="str">
        <x:f>IF(Master!R599="","",Master!R599)</x:f>
      </x:c>
      <x:c r="R12" s="4" t="str">
        <x:f>IF(Master!S599="","",Master!S599)</x:f>
      </x:c>
      <x:c r="S12" s="4" t="str">
        <x:f>IF(Master!T599="","",Master!T599)</x:f>
      </x:c>
      <x:c r="T12" s="4" t="str">
        <x:f>IF(Master!U599="","",Master!U599)</x:f>
        <x:v>Independent project; AGPL development in the open</x:v>
      </x:c>
      <x:c r="U12" s="4" t="str">
        <x:f>IF(Master!V599="","",Master!V599)</x:f>
      </x:c>
      <x:c r="V12" s="4" t="str">
        <x:f>IF(Master!W599="","",Master!W599)</x:f>
      </x:c>
      <x:c r="W12" s="4" t="str">
        <x:f>IF(Master!X599="","",Master!X599)</x:f>
      </x:c>
      <x:c r="X12" s="4" t="str">
        <x:f>IF(Master!Y599="","",Master!Y599)</x:f>
      </x:c>
      <x:c r="Y12" s="4" t="str">
        <x:f>IF(Master!Z599="","",Master!Z599)</x:f>
      </x:c>
      <x:c r="Z12" s="4" t="str">
        <x:f>IF(Master!AA599="","",Master!AA599)</x:f>
      </x:c>
      <x:c r="AA12" s="5" t="str">
        <x:f>IF(Master!AB599="","",Master!AB599)</x:f>
      </x:c>
      <x:c r="AB12" s="4" t="str">
        <x:f>IF(Master!AC599="","",Master!AC599)</x:f>
      </x:c>
      <x:c r="AC12" s="4" t="str">
        <x:f>IF(Master!AD599="","",Master!AD599)</x:f>
      </x:c>
      <x:c r="AD12" s="4" t="str">
        <x:f>IF(Master!AE599="","",Master!AE599)</x:f>
      </x:c>
      <x:c r="AE12" s="4" t="str">
        <x:f>IF(Master!AF599="","",Master!AF599)</x:f>
      </x:c>
      <x:c r="AF12" s="8" t="str">
        <x:f>IF(Master!AG599="","",Master!AG599)</x:f>
      </x:c>
    </x:row>
    <x:row r="13" ht="23.100000381469727" customHeight="1">
      <x:c r="A13" s="17" t="s">
        <x:v>855</x:v>
      </x:c>
      <x:c r="B13" s="4" t="str">
        <x:f>IF(Master!C617="","",Master!C617)</x:f>
      </x:c>
      <x:c r="C13" s="4" t="str">
        <x:f>IF(Master!D617="","",Master!D617)</x:f>
      </x:c>
      <x:c r="D13" s="4" t="str">
        <x:f>IF(Master!E617="","",Master!E617)</x:f>
      </x:c>
      <x:c r="E13" s="4" t="str">
        <x:f>IF(Master!F617="","",Master!F617)</x:f>
      </x:c>
      <x:c r="F13" s="4" t="str">
        <x:f>IF(Master!G617="","",Master!G617)</x:f>
      </x:c>
      <x:c r="G13" s="4" t="str">
        <x:f>IF(Master!H617="","",Master!H617)</x:f>
      </x:c>
      <x:c r="H13" s="4" t="str">
        <x:f>IF(Master!I617="","",Master!I617)</x:f>
      </x:c>
      <x:c r="I13" s="4" t="str">
        <x:f>IF(Master!J617="","",Master!J617)</x:f>
      </x:c>
      <x:c r="J13" s="4" t="str">
        <x:f>IF(Master!K617="","",Master!K617)</x:f>
      </x:c>
      <x:c r="K13" s="4" t="str">
        <x:f>IF(Master!L617="","",Master!L617)</x:f>
        <x:v>No formal public launch</x:v>
      </x:c>
      <x:c r="L13" s="4" t="str">
        <x:f>IF(Master!M617="","",Master!M617)</x:f>
      </x:c>
      <x:c r="M13" s="4" t="str">
        <x:f>IF(Master!N617="","",Master!N617)</x:f>
      </x:c>
      <x:c r="N13" s="4" t="str">
        <x:f>IF(Master!O617="","",Master!O617)</x:f>
      </x:c>
      <x:c r="O13" s="4" t="str">
        <x:f>IF(Master!P617="","",Master!P617)</x:f>
      </x:c>
      <x:c r="P13" s="4" t="str">
        <x:f>IF(Master!Q617="","",Master!Q617)</x:f>
      </x:c>
      <x:c r="Q13" s="4" t="str">
        <x:f>IF(Master!R617="","",Master!R617)</x:f>
      </x:c>
      <x:c r="R13" s="4" t="str">
        <x:f>IF(Master!S617="","",Master!S617)</x:f>
      </x:c>
      <x:c r="S13" s="4" t="str">
        <x:f>IF(Master!T617="","",Master!T617)</x:f>
      </x:c>
      <x:c r="T13" s="4" t="str">
        <x:f>IF(Master!U617="","",Master!U617)</x:f>
      </x:c>
      <x:c r="U13" s="4" t="str">
        <x:f>IF(Master!V617="","",Master!V617)</x:f>
        <x:v>2026 Sept 16</x:v>
      </x:c>
      <x:c r="V13" s="4" t="str">
        <x:f>IF(Master!W617="","",Master!W617)</x:f>
      </x:c>
      <x:c r="W13" s="4" t="str">
        <x:f>IF(Master!X617="","",Master!X617)</x:f>
      </x:c>
      <x:c r="X13" s="4" t="str">
        <x:f>IF(Master!Y617="","",Master!Y617)</x:f>
      </x:c>
      <x:c r="Y13" s="4" t="str">
        <x:f>IF(Master!Z617="","",Master!Z617)</x:f>
      </x:c>
      <x:c r="Z13" s="4" t="str">
        <x:f>IF(Master!AA617="","",Master!AA617)</x:f>
      </x:c>
      <x:c r="AA13" s="5" t="str">
        <x:f>IF(Master!AB617="","",Master!AB617)</x:f>
      </x:c>
      <x:c r="AB13" s="4" t="str">
        <x:f>IF(Master!AC617="","",Master!AC617)</x:f>
      </x:c>
      <x:c r="AC13" s="4" t="str">
        <x:f>IF(Master!AD617="","",Master!AD617)</x:f>
      </x:c>
      <x:c r="AD13" s="4" t="str">
        <x:f>IF(Master!AE617="","",Master!AE617)</x:f>
      </x:c>
      <x:c r="AE13" s="4" t="str">
        <x:f>IF(Master!AF617="","",Master!AF617)</x:f>
      </x:c>
      <x:c r="AF13" s="8" t="str">
        <x:f>IF(Master!AG617="","",Master!AG617)</x:f>
      </x:c>
    </x:row>
    <x:row r="14" ht="36" customHeight="1">
      <x:c r="A14" s="17" t="s">
        <x:v>856</x:v>
      </x:c>
      <x:c r="B14" s="3" t="str">
        <x:f>IF(Master!C602="","",Master!C602)</x:f>
        <x:v>Limited: no comprehensive public product roadmap; blogs/changelogs announce plans and releases</x:v>
      </x:c>
      <x:c r="C14" s="3" t="str">
        <x:f>IF(Master!D602="","",Master!D602)</x:f>
        <x:v>Public repos</x:v>
      </x:c>
      <x:c r="D14" s="3" t="str">
        <x:f>IF(Master!E602="","",Master!E602)</x:f>
        <x:v>public documentation/GitHub</x:v>
      </x:c>
      <x:c r="E14" s="3" t="str">
        <x:f>IF(Master!F602="","",Master!F602)</x:f>
        <x:v>Public site</x:v>
      </x:c>
      <x:c r="F14" s="3" t="str">
        <x:f>IF(Master!G602="","",Master!G602)</x:f>
        <x:v>Public roadmap/story posts</x:v>
      </x:c>
      <x:c r="G14" s="3" t="str">
        <x:f>IF(Master!H602="","",Master!H602)</x:f>
        <x:v>Public 2026 roadmap</x:v>
      </x:c>
      <x:c r="H14" s="3" t="str">
        <x:f>IF(Master!I602="","",Master!I602)</x:f>
        <x:v>Public site/press</x:v>
      </x:c>
      <x:c r="I14" s="3" t="str">
        <x:f>IF(Master!J602="","",Master!J602)</x:f>
        <x:v>Public roadmap</x:v>
      </x:c>
      <x:c r="J14" s="3" t="str">
        <x:f>IF(Master!K602="","",Master!K602)</x:f>
        <x:v>Public roadmap/issues</x:v>
      </x:c>
      <x:c r="K14" s="3" t="str">
        <x:f>IF(Master!L602="","",Master!L602)</x:f>
        <x:v>Yes: active roadmap in the official Kaede community (developer report)</x:v>
      </x:c>
      <x:c r="L14" s="3" t="str">
        <x:f>IF(Master!M602="","",Master!M602)</x:f>
        <x:v>Public site</x:v>
      </x:c>
      <x:c r="M14" s="3" t="str">
        <x:f>IF(Master!N602="","",Master!N602)</x:f>
        <x:v>Public feature tracker</x:v>
      </x:c>
      <x:c r="N14" s="3" t="str">
        <x:f>IF(Master!O602="","",Master!O602)</x:f>
        <x:v>Public spec roadmap/MSC process</x:v>
      </x:c>
      <x:c r="O14" s="3" t="str">
        <x:f>IF(Master!P602="","",Master!P602)</x:f>
        <x:v>Public product roadmap/release documentation</x:v>
      </x:c>
      <x:c r="P14" s="3" t="str">
        <x:f>IF(Master!Q602="","",Master!Q602)</x:f>
        <x:v>public documentation/blog</x:v>
      </x:c>
      <x:c r="Q14" s="3" t="str">
        <x:f>IF(Master!R602="","",Master!R602)</x:f>
        <x:v>Public GitHub milestones/issues</x:v>
      </x:c>
      <x:c r="R14" s="3" t="str">
        <x:f>IF(Master!S602="","",Master!S602)</x:f>
        <x:v>Public GitHub</x:v>
      </x:c>
      <x:c r="S14" s="3" t="str">
        <x:f>IF(Master!T602="","",Master!T602)</x:f>
        <x:v>Public updates</x:v>
      </x:c>
      <x:c r="T14" s="3" t="str">
        <x:f>IF(Master!U602="","",Master!U602)</x:f>
        <x:v>Public site/GitHub</x:v>
      </x:c>
      <x:c r="U14" s="3" t="str">
        <x:f>IF(Master!V602="","",Master!V602)</x:f>
        <x:v>Public site/updates</x:v>
      </x:c>
      <x:c r="V14" s="3" t="str">
        <x:f>IF(Master!W602="","",Master!W602)</x:f>
        <x:v>Public roadmap/release documentation</x:v>
      </x:c>
      <x:c r="W14" s="3" t="str">
        <x:f>IF(Master!X602="","",Master!X602)</x:f>
        <x:v>Public GitHub</x:v>
      </x:c>
      <x:c r="X14" s="3" t="str">
        <x:f>IF(Master!Y602="","",Master!Y602)</x:f>
      </x:c>
      <x:c r="Y14" s="3" t="str">
        <x:f>IF(Master!Z602="","",Master!Z602)</x:f>
        <x:v>Public GitHub roadmap/issues</x:v>
      </x:c>
      <x:c r="Z14" s="3" t="str">
        <x:f>IF(Master!AA602="","",Master!AA602)</x:f>
        <x:v>Public GitHub issues/projects + update posts</x:v>
      </x:c>
      <x:c r="AA14" s="6" t="str">
        <x:f>IF(Master!AB602="","",Master!AB602)</x:f>
        <x:v>Product roadmap/announcements</x:v>
      </x:c>
      <x:c r="AB14" s="3" t="str">
        <x:f>IF(Master!AC602="","",Master!AC602)</x:f>
        <x:v>Public roadmap/issues</x:v>
      </x:c>
      <x:c r="AC14" s="3" t="str">
        <x:f>IF(Master!AD602="","",Master!AD602)</x:f>
        <x:v>Public subreddit/GitHub</x:v>
      </x:c>
      <x:c r="AD14" s="3" t="str">
        <x:f>IF(Master!AE602="","",Master!AE602)</x:f>
        <x:v>Public site</x:v>
      </x:c>
      <x:c r="AE14" s="3" t="str">
        <x:f>IF(Master!AF602="","",Master!AF602)</x:f>
        <x:v>Public roadmap</x:v>
      </x:c>
      <x:c r="AF14" s="8" t="str">
        <x:f>IF(Master!AG602="","",Master!AG602)</x:f>
        <x:v>Public roadmap/issues</x:v>
      </x:c>
    </x:row>
    <x:row r="15" ht="36" customHeight="1">
      <x:c r="A15" s="17" t="s">
        <x:v>857</x:v>
      </x:c>
      <x:c r="B15" s="3" t="str">
        <x:f>IF(Master!C618="","",Master!C618)</x:f>
        <x:v>Yes</x:v>
      </x:c>
      <x:c r="C15" s="3" t="str">
        <x:f>IF(Master!D618="","",Master!D618)</x:f>
      </x:c>
      <x:c r="D15" s="3" t="str">
        <x:f>IF(Master!E618="","",Master!E618)</x:f>
      </x:c>
      <x:c r="E15" s="3" t="str">
        <x:f>IF(Master!F618="","",Master!F618)</x:f>
      </x:c>
      <x:c r="F15" s="3" t="str">
        <x:f>IF(Master!G618="","",Master!G618)</x:f>
      </x:c>
      <x:c r="G15" s="3" t="str">
        <x:f>IF(Master!H618="","",Master!H618)</x:f>
      </x:c>
      <x:c r="H15" s="3" t="str">
        <x:f>IF(Master!I618="","",Master!I618)</x:f>
      </x:c>
      <x:c r="I15" s="3" t="str">
        <x:f>IF(Master!J618="","",Master!J618)</x:f>
      </x:c>
      <x:c r="J15" s="3" t="str">
        <x:f>IF(Master!K618="","",Master!K618)</x:f>
      </x:c>
      <x:c r="K15" s="3" t="str">
        <x:f>IF(Master!L618="","",Master!L618)</x:f>
        <x:v>No public security advisories located</x:v>
      </x:c>
      <x:c r="L15" s="3" t="str">
        <x:f>IF(Master!M618="","",Master!M618)</x:f>
      </x:c>
      <x:c r="M15" s="3" t="str">
        <x:f>IF(Master!N618="","",Master!N618)</x:f>
      </x:c>
      <x:c r="N15" s="3" t="str">
        <x:f>IF(Master!O618="","",Master!O618)</x:f>
        <x:v>Yes</x:v>
      </x:c>
      <x:c r="O15" s="3" t="str">
        <x:f>IF(Master!P618="","",Master!P618)</x:f>
        <x:v>Yes</x:v>
      </x:c>
      <x:c r="P15" s="3" t="str">
        <x:f>IF(Master!Q618="","",Master!Q618)</x:f>
      </x:c>
      <x:c r="Q15" s="3" t="str">
        <x:f>IF(Master!R618="","",Master!R618)</x:f>
        <x:v>Yes</x:v>
      </x:c>
      <x:c r="R15" s="3" t="str">
        <x:f>IF(Master!S618="","",Master!S618)</x:f>
      </x:c>
      <x:c r="S15" s="3" t="str">
        <x:f>IF(Master!T618="","",Master!T618)</x:f>
      </x:c>
      <x:c r="T15" s="3" t="str">
        <x:f>IF(Master!U618="","",Master!U618)</x:f>
        <x:v>No public breach/CVE story; security contact is published</x:v>
      </x:c>
      <x:c r="U15" s="3" t="str">
        <x:f>IF(Master!V618="","",Master!V618)</x:f>
        <x:v>No Known</x:v>
      </x:c>
      <x:c r="V15" s="3" t="str">
        <x:f>IF(Master!W618="","",Master!W618)</x:f>
        <x:v>Yes</x:v>
      </x:c>
      <x:c r="W15" s="3" t="str">
        <x:f>IF(Master!X618="","",Master!X618)</x:f>
      </x:c>
      <x:c r="X15" s="3" t="str">
        <x:f>IF(Master!Y618="","",Master!Y618)</x:f>
      </x:c>
      <x:c r="Y15" s="3" t="str">
        <x:f>IF(Master!Z618="","",Master!Z618)</x:f>
      </x:c>
      <x:c r="Z15" s="3" t="str">
        <x:f>IF(Master!AA618="","",Master!AA618)</x:f>
      </x:c>
      <x:c r="AA15" s="6" t="str">
        <x:f>IF(Master!AB618="","",Master!AB618)</x:f>
      </x:c>
      <x:c r="AB15" s="3" t="str">
        <x:f>IF(Master!AC618="","",Master!AC618)</x:f>
      </x:c>
      <x:c r="AC15" s="3" t="str">
        <x:f>IF(Master!AD618="","",Master!AD618)</x:f>
      </x:c>
      <x:c r="AD15" s="3" t="str">
        <x:f>IF(Master!AE618="","",Master!AE618)</x:f>
      </x:c>
      <x:c r="AE15" s="3" t="str">
        <x:f>IF(Master!AF618="","",Master!AF618)</x:f>
      </x:c>
      <x:c r="AF15" s="8" t="str">
        <x:f>IF(Master!AG618="","",Master!AG618)</x:f>
      </x:c>
    </x:row>
  </x:sheetData>
  <x:mergeCells>
    <x:mergeCell ref="A1:AF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Directory'!A1","Project History, Team &amp; Maintenance: Granular"),"Project History, Team &amp; Maintenance: Granular")</x:f>
        <x:v>Project History, Team &amp; Maintenance: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858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859</x:v>
      </x:c>
      <x:c r="B4" s="3" t="str">
        <x:f>IF(Master!C585="","",Master!C585)</x:f>
        <x:v>2015</x:v>
      </x:c>
      <x:c r="C4" s="3" t="str">
        <x:f>IF(Master!D585="","",Master!D585)</x:f>
        <x:v>2026</x:v>
      </x:c>
      <x:c r="D4" s="3" t="str">
        <x:f>IF(Master!E585="","",Master!E585)</x:f>
        <x:v>2023</x:v>
      </x:c>
      <x:c r="E4" s="3" t="str">
        <x:f>IF(Master!F585="","",Master!F585)</x:f>
        <x:v>2026</x:v>
      </x:c>
      <x:c r="F4" s="3" t="str">
        <x:f>IF(Master!G585="","",Master!G585)</x:f>
        <x:v>2025</x:v>
      </x:c>
      <x:c r="G4" s="3" t="str">
        <x:f>IF(Master!H585="","",Master!H585)</x:f>
        <x:v>2020</x:v>
      </x:c>
      <x:c r="H4" s="3" t="str">
        <x:f>IF(Master!I585="","",Master!I585)</x:f>
        <x:v>2026</x:v>
      </x:c>
      <x:c r="I4" s="3" t="str">
        <x:f>IF(Master!J585="","",Master!J585)</x:f>
        <x:v>2026</x:v>
      </x:c>
      <x:c r="J4" s="3" t="str">
        <x:f>IF(Master!K585="","",Master!K585)</x:f>
        <x:v>2026</x:v>
      </x:c>
      <x:c r="K4" s="3" t="str">
        <x:f>IF(Master!L585="","",Master!L585)</x:f>
        <x:v>≈ late 2025 (developer report: private use for nearly a year as of Sep 2026)</x:v>
      </x:c>
      <x:c r="L4" s="3" t="str">
        <x:f>IF(Master!M585="","",Master!M585)</x:f>
        <x:v>2025</x:v>
      </x:c>
      <x:c r="M4" s="3" t="str">
        <x:f>IF(Master!N585="","",Master!N585)</x:f>
        <x:v>2026</x:v>
      </x:c>
      <x:c r="N4" s="3" t="str">
        <x:f>IF(Master!O585="","",Master!O585)</x:f>
        <x:v>2014</x:v>
      </x:c>
      <x:c r="O4" s="3" t="str">
        <x:f>IF(Master!P585="","",Master!P585)</x:f>
        <x:v>2015</x:v>
      </x:c>
      <x:c r="P4" s="3" t="str">
        <x:f>IF(Master!Q585="","",Master!Q585)</x:f>
      </x:c>
      <x:c r="Q4" s="3" t="str">
        <x:f>IF(Master!R585="","",Master!R585)</x:f>
        <x:v>2005</x:v>
      </x:c>
      <x:c r="R4" s="3" t="str">
        <x:f>IF(Master!S585="","",Master!S585)</x:f>
      </x:c>
      <x:c r="S4" s="3" t="str">
        <x:f>IF(Master!T585="","",Master!T585)</x:f>
        <x:v>2024</x:v>
      </x:c>
      <x:c r="T4" s="3" t="str">
        <x:f>IF(Master!U585="","",Master!U585)</x:f>
        <x:v>Exact year/date not stated in the developer response; see GitHub first commit</x:v>
      </x:c>
      <x:c r="U4" s="3" t="str">
        <x:f>IF(Master!V585="","",Master!V585)</x:f>
        <x:v>2026</x:v>
      </x:c>
      <x:c r="V4" s="3" t="str">
        <x:f>IF(Master!W585="","",Master!W585)</x:f>
        <x:v>2015</x:v>
      </x:c>
      <x:c r="W4" s="3" t="str">
        <x:f>IF(Master!X585="","",Master!X585)</x:f>
        <x:v>2024</x:v>
      </x:c>
      <x:c r="X4" s="3" t="str">
        <x:f>IF(Master!Y585="","",Master!Y585)</x:f>
        <x:v>2025</x:v>
      </x:c>
      <x:c r="Y4" s="3" t="str">
        <x:f>IF(Master!Z585="","",Master!Z585)</x:f>
        <x:v>2021</x:v>
      </x:c>
      <x:c r="Z4" s="3" t="str">
        <x:f>IF(Master!AA585="","",Master!AA585)</x:f>
        <x:v>2021</x:v>
      </x:c>
      <x:c r="AA4" s="6" t="str">
        <x:f>IF(Master!AB585="","",Master!AB585)</x:f>
        <x:v>1999</x:v>
      </x:c>
      <x:c r="AB4" s="3" t="str">
        <x:f>IF(Master!AC585="","",Master!AC585)</x:f>
        <x:v>2026</x:v>
      </x:c>
      <x:c r="AC4" s="3" t="str">
        <x:f>IF(Master!AD585="","",Master!AD585)</x:f>
        <x:v>2026</x:v>
      </x:c>
      <x:c r="AD4" s="3" t="str">
        <x:f>IF(Master!AE585="","",Master!AE585)</x:f>
        <x:v>2025</x:v>
      </x:c>
      <x:c r="AE4" s="3" t="str">
        <x:f>IF(Master!AF585="","",Master!AF585)</x:f>
        <x:v>2026</x:v>
      </x:c>
      <x:c r="AF4" s="8" t="str">
        <x:f>IF(Master!AG585="","",Master!AG585)</x:f>
        <x:v>2012</x:v>
      </x:c>
    </x:row>
    <x:row r="5" ht="36" customHeight="1">
      <x:c r="A5" s="17" t="s">
        <x:v>860</x:v>
      </x:c>
      <x:c r="B5" s="3" t="str">
        <x:f>IF(Master!C586="","",Master!C586)</x:f>
        <x:v>May</x:v>
      </x:c>
      <x:c r="C5" s="3" t="str">
        <x:f>IF(Master!D586="","",Master!D586)</x:f>
      </x:c>
      <x:c r="D5" s="3" t="str">
        <x:f>IF(Master!E586="","",Master!E586)</x:f>
      </x:c>
      <x:c r="E5" s="3" t="str">
        <x:f>IF(Master!F586="","",Master!F586)</x:f>
      </x:c>
      <x:c r="F5" s="3" t="str">
        <x:f>IF(Master!G586="","",Master!G586)</x:f>
        <x:v>November</x:v>
      </x:c>
      <x:c r="G5" s="3" t="str">
        <x:f>IF(Master!H586="","",Master!H586)</x:f>
      </x:c>
      <x:c r="H5" s="3" t="str">
        <x:f>IF(Master!I586="","",Master!I586)</x:f>
      </x:c>
      <x:c r="I5" s="3" t="str">
        <x:f>IF(Master!J586="","",Master!J586)</x:f>
      </x:c>
      <x:c r="J5" s="3" t="str">
        <x:f>IF(Master!K586="","",Master!K586)</x:f>
      </x:c>
      <x:c r="K5" s="3" t="str">
        <x:f>IF(Master!L586="","",Master!L586)</x:f>
      </x:c>
      <x:c r="L5" s="3" t="str">
        <x:f>IF(Master!M586="","",Master!M586)</x:f>
      </x:c>
      <x:c r="M5" s="3" t="str">
        <x:f>IF(Master!N586="","",Master!N586)</x:f>
      </x:c>
      <x:c r="N5" s="3" t="str">
        <x:f>IF(Master!O586="","",Master!O586)</x:f>
      </x:c>
      <x:c r="O5" s="3" t="str">
        <x:f>IF(Master!P586="","",Master!P586)</x:f>
      </x:c>
      <x:c r="P5" s="3" t="str">
        <x:f>IF(Master!Q586="","",Master!Q586)</x:f>
      </x:c>
      <x:c r="Q5" s="3" t="str">
        <x:f>IF(Master!R586="","",Master!R586)</x:f>
      </x:c>
      <x:c r="R5" s="3" t="str">
        <x:f>IF(Master!S586="","",Master!S586)</x:f>
      </x:c>
      <x:c r="S5" s="3" t="str">
        <x:f>IF(Master!T586="","",Master!T586)</x:f>
      </x:c>
      <x:c r="T5" s="3" t="str">
        <x:f>IF(Master!U586="","",Master!U586)</x:f>
      </x:c>
      <x:c r="U5" s="3" t="str">
        <x:f>IF(Master!V586="","",Master!V586)</x:f>
      </x:c>
      <x:c r="V5" s="3" t="str">
        <x:f>IF(Master!W586="","",Master!W586)</x:f>
      </x:c>
      <x:c r="W5" s="3" t="str">
        <x:f>IF(Master!X586="","",Master!X586)</x:f>
      </x:c>
      <x:c r="X5" s="3" t="str">
        <x:f>IF(Master!Y586="","",Master!Y586)</x:f>
      </x:c>
      <x:c r="Y5" s="3" t="str">
        <x:f>IF(Master!Z586="","",Master!Z586)</x:f>
      </x:c>
      <x:c r="Z5" s="3" t="str">
        <x:f>IF(Master!AA586="","",Master!AA586)</x:f>
      </x:c>
      <x:c r="AA5" s="6" t="str">
        <x:f>IF(Master!AB586="","",Master!AB586)</x:f>
      </x:c>
      <x:c r="AB5" s="3" t="str">
        <x:f>IF(Master!AC586="","",Master!AC586)</x:f>
      </x:c>
      <x:c r="AC5" s="3" t="str">
        <x:f>IF(Master!AD586="","",Master!AD586)</x:f>
      </x:c>
      <x:c r="AD5" s="3" t="str">
        <x:f>IF(Master!AE586="","",Master!AE586)</x:f>
      </x:c>
      <x:c r="AE5" s="3" t="str">
        <x:f>IF(Master!AF586="","",Master!AF586)</x:f>
      </x:c>
      <x:c r="AF5" s="8" t="str">
        <x:f>IF(Master!AG586="","",Master!AG586)</x:f>
      </x:c>
    </x:row>
    <x:row r="6" ht="36" customHeight="1">
      <x:c r="A6" s="17" t="s">
        <x:v>861</x:v>
      </x:c>
      <x:c r="B6" s="3" t="str">
        <x:f>IF(Master!C587="","",Master!C587)</x:f>
        <x:v>Yes</x:v>
      </x:c>
      <x:c r="C6" s="3" t="str">
        <x:f>IF(Master!D587="","",Master!D587)</x:f>
      </x:c>
      <x:c r="D6" s="3" t="str">
        <x:f>IF(Master!E587="","",Master!E587)</x:f>
      </x:c>
      <x:c r="E6" s="3" t="str">
        <x:f>IF(Master!F587="","",Master!F587)</x:f>
      </x:c>
      <x:c r="F6" s="3" t="str">
        <x:f>IF(Master!G587="","",Master!G587)</x:f>
      </x:c>
      <x:c r="G6" s="3" t="str">
        <x:f>IF(Master!H587="","",Master!H587)</x:f>
        <x:v>Yes</x:v>
      </x:c>
      <x:c r="H6" s="3" t="str">
        <x:f>IF(Master!I587="","",Master!I587)</x:f>
      </x:c>
      <x:c r="I6" s="3" t="str">
        <x:f>IF(Master!J587="","",Master!J587)</x:f>
      </x:c>
      <x:c r="J6" s="3" t="str">
        <x:f>IF(Master!K587="","",Master!K587)</x:f>
      </x:c>
      <x:c r="K6" s="3" t="str">
        <x:f>IF(Master!L587="","",Master!L587)</x:f>
      </x:c>
      <x:c r="L6" s="3" t="str">
        <x:f>IF(Master!M587="","",Master!M587)</x:f>
      </x:c>
      <x:c r="M6" s="3" t="str">
        <x:f>IF(Master!N587="","",Master!N587)</x:f>
      </x:c>
      <x:c r="N6" s="3" t="str">
        <x:f>IF(Master!O587="","",Master!O587)</x:f>
        <x:v>Yes</x:v>
      </x:c>
      <x:c r="O6" s="3" t="str">
        <x:f>IF(Master!P587="","",Master!P587)</x:f>
      </x:c>
      <x:c r="P6" s="3" t="str">
        <x:f>IF(Master!Q587="","",Master!Q587)</x:f>
      </x:c>
      <x:c r="Q6" s="3" t="str">
        <x:f>IF(Master!R587="","",Master!R587)</x:f>
      </x:c>
      <x:c r="R6" s="3" t="str">
        <x:f>IF(Master!S587="","",Master!S587)</x:f>
      </x:c>
      <x:c r="S6" s="3" t="str">
        <x:f>IF(Master!T587="","",Master!T587)</x:f>
      </x:c>
      <x:c r="T6" s="3" t="str">
        <x:f>IF(Master!U587="","",Master!U587)</x:f>
        <x:v>Available from GitHub first-commit history; not supplied in response</x:v>
      </x:c>
      <x:c r="U6" s="3" t="str">
        <x:f>IF(Master!V587="","",Master!V587)</x:f>
      </x:c>
      <x:c r="V6" s="3" t="str">
        <x:f>IF(Master!W587="","",Master!W587)</x:f>
      </x:c>
      <x:c r="W6" s="3" t="str">
        <x:f>IF(Master!X587="","",Master!X587)</x:f>
      </x:c>
      <x:c r="X6" s="3" t="str">
        <x:f>IF(Master!Y587="","",Master!Y587)</x:f>
      </x:c>
      <x:c r="Y6" s="3" t="str">
        <x:f>IF(Master!Z587="","",Master!Z587)</x:f>
      </x:c>
      <x:c r="Z6" s="3" t="str">
        <x:f>IF(Master!AA587="","",Master!AA587)</x:f>
      </x:c>
      <x:c r="AA6" s="6" t="str">
        <x:f>IF(Master!AB587="","",Master!AB587)</x:f>
      </x:c>
      <x:c r="AB6" s="3" t="str">
        <x:f>IF(Master!AC587="","",Master!AC587)</x:f>
      </x:c>
      <x:c r="AC6" s="3" t="str">
        <x:f>IF(Master!AD587="","",Master!AD587)</x:f>
      </x:c>
      <x:c r="AD6" s="3" t="str">
        <x:f>IF(Master!AE587="","",Master!AE587)</x:f>
      </x:c>
      <x:c r="AE6" s="3" t="str">
        <x:f>IF(Master!AF587="","",Master!AF587)</x:f>
      </x:c>
      <x:c r="AF6" s="8" t="str">
        <x:f>IF(Master!AG587="","",Master!AG587)</x:f>
      </x:c>
    </x:row>
    <x:row r="7" ht="36" customHeight="1">
      <x:c r="A7" s="17" t="s">
        <x:v>862</x:v>
      </x:c>
      <x:c r="B7" s="3" t="str">
        <x:f>IF(Master!C588="","",Master!C588)</x:f>
      </x:c>
      <x:c r="C7" s="3" t="str">
        <x:f>IF(Master!D588="","",Master!D588)</x:f>
      </x:c>
      <x:c r="D7" s="3" t="str">
        <x:f>IF(Master!E588="","",Master!E588)</x:f>
      </x:c>
      <x:c r="E7" s="3" t="str">
        <x:f>IF(Master!F588="","",Master!F588)</x:f>
      </x:c>
      <x:c r="F7" s="3" t="str">
        <x:f>IF(Master!G588="","",Master!G588)</x:f>
        <x:v>Alpha access in 2026; public v1 release not yet</x:v>
      </x:c>
      <x:c r="G7" s="3" t="str">
        <x:f>IF(Master!H588="","",Master!H588)</x:f>
      </x:c>
      <x:c r="H7" s="3" t="str">
        <x:f>IF(Master!I588="","",Master!I588)</x:f>
      </x:c>
      <x:c r="I7" s="3" t="str">
        <x:f>IF(Master!J588="","",Master!J588)</x:f>
        <x:v>Early public 2026</x:v>
      </x:c>
      <x:c r="J7" s="3" t="str">
        <x:f>IF(Master!K588="","",Master!K588)</x:f>
        <x:v>Public alpha/beta 2026</x:v>
      </x:c>
      <x:c r="K7" s="3" t="str">
        <x:f>IF(Master!L588="","",Master!L588)</x:f>
        <x:v>No formal public launch</x:v>
      </x:c>
      <x:c r="L7" s="3" t="str">
        <x:f>IF(Master!M588="","",Master!M588)</x:f>
        <x:v>Alpha/public 2026</x:v>
      </x:c>
      <x:c r="M7" s="3" t="str">
        <x:f>IF(Master!N588="","",Master!N588)</x:f>
      </x:c>
      <x:c r="N7" s="3" t="str">
        <x:f>IF(Master!O588="","",Master!O588)</x:f>
      </x:c>
      <x:c r="O7" s="3" t="str">
        <x:f>IF(Master!P588="","",Master!P588)</x:f>
      </x:c>
      <x:c r="P7" s="3" t="str">
        <x:f>IF(Master!Q588="","",Master!Q588)</x:f>
      </x:c>
      <x:c r="Q7" s="3" t="str">
        <x:f>IF(Master!R588="","",Master!R588)</x:f>
      </x:c>
      <x:c r="R7" s="3" t="str">
        <x:f>IF(Master!S588="","",Master!S588)</x:f>
      </x:c>
      <x:c r="S7" s="3" t="str">
        <x:f>IF(Master!T588="","",Master!T588)</x:f>
      </x:c>
      <x:c r="T7" s="3" t="str">
        <x:f>IF(Master!U588="","",Master!U588)</x:f>
      </x:c>
      <x:c r="U7" s="3" t="str">
        <x:f>IF(Master!V588="","",Master!V588)</x:f>
      </x:c>
      <x:c r="V7" s="3" t="str">
        <x:f>IF(Master!W588="","",Master!W588)</x:f>
      </x:c>
      <x:c r="W7" s="3" t="str">
        <x:f>IF(Master!X588="","",Master!X588)</x:f>
        <x:v>Early public project</x:v>
      </x:c>
      <x:c r="X7" s="3" t="str">
        <x:f>IF(Master!Y588="","",Master!Y588)</x:f>
      </x:c>
      <x:c r="Y7" s="3" t="str">
        <x:f>IF(Master!Z588="","",Master!Z588)</x:f>
      </x:c>
      <x:c r="Z7" s="3" t="str">
        <x:f>IF(Master!AA588="","",Master!AA588)</x:f>
      </x:c>
      <x:c r="AA7" s="6" t="str">
        <x:f>IF(Master!AB588="","",Master!AB588)</x:f>
      </x:c>
      <x:c r="AB7" s="3" t="str">
        <x:f>IF(Master!AC588="","",Master!AC588)</x:f>
        <x:v>Alpha/public before 2026</x:v>
      </x:c>
      <x:c r="AC7" s="3" t="str">
        <x:f>IF(Master!AD588="","",Master!AD588)</x:f>
        <x:v>Alpha/beta 2026</x:v>
      </x:c>
      <x:c r="AD7" s="3" t="str">
        <x:f>IF(Master!AE588="","",Master!AE588)</x:f>
      </x:c>
      <x:c r="AE7" s="3" t="str">
        <x:f>IF(Master!AF588="","",Master!AF588)</x:f>
      </x:c>
      <x:c r="AF7" s="8" t="str">
        <x:f>IF(Master!AG588="","",Master!AG588)</x:f>
      </x:c>
    </x:row>
    <x:row r="8" ht="36" customHeight="1">
      <x:c r="A8" s="17" t="s">
        <x:v>863</x:v>
      </x:c>
      <x:c r="B8" s="3" t="str">
        <x:f>IF(Master!C589="","",Master!C589)</x:f>
      </x:c>
      <x:c r="C8" s="3" t="str">
        <x:f>IF(Master!D589="","",Master!D589)</x:f>
        <x:v>Public beta/dev 2026</x:v>
      </x:c>
      <x:c r="D8" s="3" t="str">
        <x:f>IF(Master!E589="","",Master!E589)</x:f>
        <x:v>Public project by 2024</x:v>
      </x:c>
      <x:c r="E8" s="3" t="str">
        <x:f>IF(Master!F589="","",Master!F589)</x:f>
        <x:v>Public 2026</x:v>
      </x:c>
      <x:c r="F8" s="3" t="str">
        <x:f>IF(Master!G589="","",Master!G589)</x:f>
      </x:c>
      <x:c r="G8" s="3" t="str">
        <x:f>IF(Master!H589="","",Master!H589)</x:f>
        <x:v>2026-01-02 public release</x:v>
      </x:c>
      <x:c r="H8" s="3" t="str">
        <x:f>IF(Master!I589="","",Master!I589)</x:f>
        <x:v>2026 open beta</x:v>
      </x:c>
      <x:c r="I8" s="3" t="str">
        <x:f>IF(Master!J589="","",Master!J589)</x:f>
      </x:c>
      <x:c r="J8" s="3" t="str">
        <x:f>IF(Master!K589="","",Master!K589)</x:f>
        <x:v>Public alpha/beta 2026</x:v>
      </x:c>
      <x:c r="K8" s="3" t="str">
        <x:f>IF(Master!L589="","",Master!L589)</x:f>
        <x:v>No formal public launch</x:v>
      </x:c>
      <x:c r="L8" s="3" t="str">
        <x:f>IF(Master!M589="","",Master!M589)</x:f>
      </x:c>
      <x:c r="M8" s="3" t="str">
        <x:f>IF(Master!N589="","",Master!N589)</x:f>
        <x:v>Open beta 2026</x:v>
      </x:c>
      <x:c r="N8" s="3" t="str">
        <x:f>IF(Master!O589="","",Master!O589)</x:f>
      </x:c>
      <x:c r="O8" s="3" t="str">
        <x:f>IF(Master!P589="","",Master!P589)</x:f>
      </x:c>
      <x:c r="P8" s="3" t="str">
        <x:f>IF(Master!Q589="","",Master!Q589)</x:f>
      </x:c>
      <x:c r="Q8" s="3" t="str">
        <x:f>IF(Master!R589="","",Master!R589)</x:f>
      </x:c>
      <x:c r="R8" s="3" t="str">
        <x:f>IF(Master!S589="","",Master!S589)</x:f>
      </x:c>
      <x:c r="S8" s="3" t="str">
        <x:f>IF(Master!T589="","",Master!T589)</x:f>
        <x:v>Public beta in 2026</x:v>
      </x:c>
      <x:c r="T8" s="3" t="str">
        <x:f>IF(Master!U589="","",Master!U589)</x:f>
        <x:v>Open beta; exact launch date not stated</x:v>
      </x:c>
      <x:c r="U8" s="3" t="str">
        <x:f>IF(Master!V589="","",Master!V589)</x:f>
        <x:v>Public 2026</x:v>
      </x:c>
      <x:c r="V8" s="3" t="str">
        <x:f>IF(Master!W589="","",Master!W589)</x:f>
      </x:c>
      <x:c r="W8" s="3" t="str">
        <x:f>IF(Master!X589="","",Master!X589)</x:f>
      </x:c>
      <x:c r="X8" s="3" t="str">
        <x:f>IF(Master!Y589="","",Master!Y589)</x:f>
      </x:c>
      <x:c r="Y8" s="3" t="str">
        <x:f>IF(Master!Z589="","",Master!Z589)</x:f>
      </x:c>
      <x:c r="Z8" s="3" t="str">
        <x:f>IF(Master!AA589="","",Master!AA589)</x:f>
      </x:c>
      <x:c r="AA8" s="6" t="str">
        <x:f>IF(Master!AB589="","",Master!AB589)</x:f>
        <x:v>2001 first public release</x:v>
      </x:c>
      <x:c r="AB8" s="3" t="str">
        <x:f>IF(Master!AC589="","",Master!AC589)</x:f>
      </x:c>
      <x:c r="AC8" s="3" t="str">
        <x:f>IF(Master!AD589="","",Master!AD589)</x:f>
        <x:v>Alpha/beta 2026</x:v>
      </x:c>
      <x:c r="AD8" s="3" t="str">
        <x:f>IF(Master!AE589="","",Master!AE589)</x:f>
        <x:v>Public beta 2026</x:v>
      </x:c>
      <x:c r="AE8" s="3" t="str">
        <x:f>IF(Master!AF589="","",Master!AF589)</x:f>
        <x:v>Public beta/service 2026</x:v>
      </x:c>
      <x:c r="AF8" s="8" t="str">
        <x:f>IF(Master!AG589="","",Master!AG589)</x:f>
      </x:c>
    </x:row>
    <x:row r="9" ht="36" customHeight="1">
      <x:c r="A9" s="17" t="s">
        <x:v>864</x:v>
      </x:c>
      <x:c r="B9" s="3" t="str">
        <x:f>IF(Master!C590="","",Master!C590)</x:f>
        <x:v>2015-05-13</x:v>
      </x:c>
      <x:c r="C9" s="3" t="str">
        <x:f>IF(Master!D590="","",Master!D590)</x:f>
      </x:c>
      <x:c r="D9" s="3" t="str">
        <x:f>IF(Master!E590="","",Master!E590)</x:f>
      </x:c>
      <x:c r="E9" s="3" t="str">
        <x:f>IF(Master!F590="","",Master!F590)</x:f>
      </x:c>
      <x:c r="F9" s="3" t="str">
        <x:f>IF(Master!G590="","",Master!G590)</x:f>
      </x:c>
      <x:c r="G9" s="3" t="str">
        <x:f>IF(Master!H590="","",Master!H590)</x:f>
      </x:c>
      <x:c r="H9" s="3" t="str">
        <x:f>IF(Master!I590="","",Master!I590)</x:f>
      </x:c>
      <x:c r="I9" s="3" t="str">
        <x:f>IF(Master!J590="","",Master!J590)</x:f>
      </x:c>
      <x:c r="J9" s="3" t="str">
        <x:f>IF(Master!K590="","",Master!K590)</x:f>
      </x:c>
      <x:c r="K9" s="3" t="str">
        <x:f>IF(Master!L590="","",Master!L590)</x:f>
        <x:v>No formal public launch</x:v>
      </x:c>
      <x:c r="L9" s="3" t="str">
        <x:f>IF(Master!M590="","",Master!M590)</x:f>
      </x:c>
      <x:c r="M9" s="3" t="str">
        <x:f>IF(Master!N590="","",Master!N590)</x:f>
      </x:c>
      <x:c r="N9" s="3" t="str">
        <x:f>IF(Master!O590="","",Master!O590)</x:f>
        <x:v>2014-09-03 (first public alpha)</x:v>
      </x:c>
      <x:c r="O9" s="3" t="str">
        <x:f>IF(Master!P590="","",Master!P590)</x:f>
        <x:v>2015</x:v>
      </x:c>
      <x:c r="P9" s="3" t="str">
        <x:f>IF(Master!Q590="","",Master!Q590)</x:f>
      </x:c>
      <x:c r="Q9" s="3" t="str">
        <x:f>IF(Master!R590="","",Master!R590)</x:f>
      </x:c>
      <x:c r="R9" s="3" t="str">
        <x:f>IF(Master!S590="","",Master!S590)</x:f>
      </x:c>
      <x:c r="S9" s="3" t="str">
        <x:f>IF(Master!T590="","",Master!T590)</x:f>
      </x:c>
      <x:c r="T9" s="3" t="str">
        <x:f>IF(Master!U590="","",Master!U590)</x:f>
      </x:c>
      <x:c r="U9" s="3" t="str">
        <x:f>IF(Master!V590="","",Master!V590)</x:f>
      </x:c>
      <x:c r="V9" s="3" t="str">
        <x:f>IF(Master!W590="","",Master!W590)</x:f>
        <x:v>2015</x:v>
      </x:c>
      <x:c r="W9" s="3" t="str">
        <x:f>IF(Master!X590="","",Master!X590)</x:f>
      </x:c>
      <x:c r="X9" s="3" t="str">
        <x:f>IF(Master!Y590="","",Master!Y590)</x:f>
      </x:c>
      <x:c r="Y9" s="3" t="str">
        <x:f>IF(Master!Z590="","",Master!Z590)</x:f>
      </x:c>
      <x:c r="Z9" s="3" t="str">
        <x:f>IF(Master!AA590="","",Master!AA590)</x:f>
      </x:c>
      <x:c r="AA9" s="6" t="str">
        <x:f>IF(Master!AB590="","",Master!AB590)</x:f>
        <x:v>2001 first public release</x:v>
      </x:c>
      <x:c r="AB9" s="3" t="str">
        <x:f>IF(Master!AC590="","",Master!AC590)</x:f>
      </x:c>
      <x:c r="AC9" s="3" t="str">
        <x:f>IF(Master!AD590="","",Master!AD590)</x:f>
      </x:c>
      <x:c r="AD9" s="3" t="str">
        <x:f>IF(Master!AE590="","",Master!AE590)</x:f>
      </x:c>
      <x:c r="AE9" s="3" t="str">
        <x:f>IF(Master!AF590="","",Master!AF590)</x:f>
      </x:c>
      <x:c r="AF9" s="8" t="str">
        <x:f>IF(Master!AG590="","",Master!AG590)</x:f>
        <x:v>2012 hosted; open-sourced 2015</x:v>
      </x:c>
    </x:row>
    <x:row r="10" ht="23.100000381469727" customHeight="1">
      <x:c r="A10" s="17" t="s">
        <x:v>865</x:v>
      </x:c>
      <x:c r="B10" s="4" t="str">
        <x:f>IF(Master!C591="","",Master!C591)</x:f>
      </x:c>
      <x:c r="C10" s="4" t="str">
        <x:f>IF(Master!D591="","",Master!D591)</x:f>
      </x:c>
      <x:c r="D10" s="4" t="str">
        <x:f>IF(Master!E591="","",Master!E591)</x:f>
      </x:c>
      <x:c r="E10" s="4" t="str">
        <x:f>IF(Master!F591="","",Master!F591)</x:f>
      </x:c>
      <x:c r="F10" s="4" t="str">
        <x:f>IF(Master!G591="","",Master!G591)</x:f>
      </x:c>
      <x:c r="G10" s="4" t="str">
        <x:f>IF(Master!H591="","",Master!H591)</x:f>
      </x:c>
      <x:c r="H10" s="4" t="str">
        <x:f>IF(Master!I591="","",Master!I591)</x:f>
      </x:c>
      <x:c r="I10" s="4" t="str">
        <x:f>IF(Master!J591="","",Master!J591)</x:f>
      </x:c>
      <x:c r="J10" s="4" t="str">
        <x:f>IF(Master!K591="","",Master!K591)</x:f>
      </x:c>
      <x:c r="K10" s="4" t="str">
        <x:f>IF(Master!L591="","",Master!L591)</x:f>
        <x:v>Pre-launch / active development</x:v>
      </x:c>
      <x:c r="L10" s="4" t="str">
        <x:f>IF(Master!M591="","",Master!M591)</x:f>
      </x:c>
      <x:c r="M10" s="4" t="str">
        <x:f>IF(Master!N591="","",Master!N591)</x:f>
      </x:c>
      <x:c r="N10" s="4" t="str">
        <x:f>IF(Master!O591="","",Master!O591)</x:f>
      </x:c>
      <x:c r="O10" s="4" t="str">
        <x:f>IF(Master!P591="","",Master!P591)</x:f>
      </x:c>
      <x:c r="P10" s="4" t="str">
        <x:f>IF(Master!Q591="","",Master!Q591)</x:f>
      </x:c>
      <x:c r="Q10" s="4" t="str">
        <x:f>IF(Master!R591="","",Master!R591)</x:f>
      </x:c>
      <x:c r="R10" s="4" t="str">
        <x:f>IF(Master!S591="","",Master!S591)</x:f>
      </x:c>
      <x:c r="S10" s="4" t="str">
        <x:f>IF(Master!T591="","",Master!T591)</x:f>
      </x:c>
      <x:c r="T10" s="4" t="str">
        <x:f>IF(Master!U591="","",Master!U591)</x:f>
      </x:c>
      <x:c r="U10" s="4" t="str">
        <x:f>IF(Master!V591="","",Master!V591)</x:f>
        <x:v>Public Beta 2026</x:v>
      </x:c>
      <x:c r="V10" s="4" t="str">
        <x:f>IF(Master!W591="","",Master!W591)</x:f>
      </x:c>
      <x:c r="W10" s="4" t="str">
        <x:f>IF(Master!X591="","",Master!X591)</x:f>
      </x:c>
      <x:c r="X10" s="4" t="str">
        <x:f>IF(Master!Y591="","",Master!Y591)</x:f>
      </x:c>
      <x:c r="Y10" s="4" t="str">
        <x:f>IF(Master!Z591="","",Master!Z591)</x:f>
      </x:c>
      <x:c r="Z10" s="4" t="str">
        <x:f>IF(Master!AA591="","",Master!AA591)</x:f>
      </x:c>
      <x:c r="AA10" s="5" t="str">
        <x:f>IF(Master!AB591="","",Master!AB591)</x:f>
      </x:c>
      <x:c r="AB10" s="4" t="str">
        <x:f>IF(Master!AC591="","",Master!AC591)</x:f>
      </x:c>
      <x:c r="AC10" s="4" t="str">
        <x:f>IF(Master!AD591="","",Master!AD591)</x:f>
      </x:c>
      <x:c r="AD10" s="4" t="str">
        <x:f>IF(Master!AE591="","",Master!AE591)</x:f>
      </x:c>
      <x:c r="AE10" s="4" t="str">
        <x:f>IF(Master!AF591="","",Master!AF591)</x:f>
      </x:c>
      <x:c r="AF10" s="8" t="str">
        <x:f>IF(Master!AG591="","",Master!AG591)</x:f>
      </x:c>
    </x:row>
    <x:row r="11" ht="36" customHeight="1">
      <x:c r="A11" s="17" t="s">
        <x:v>866</x:v>
      </x:c>
      <x:c r="B11" s="3" t="str">
        <x:f>IF(Master!C592="","",Master!C592)</x:f>
        <x:v>Stable</x:v>
      </x:c>
      <x:c r="C11" s="3" t="str">
        <x:f>IF(Master!D592="","",Master!D592)</x:f>
        <x:v>Beta / active development</x:v>
      </x:c>
      <x:c r="D11" s="3" t="str">
        <x:f>IF(Master!E592="","",Master!E592)</x:f>
        <x:v>Beta / active development</x:v>
      </x:c>
      <x:c r="E11" s="3" t="str">
        <x:f>IF(Master!F592="","",Master!F592)</x:f>
        <x:v>Beta / public</x:v>
      </x:c>
      <x:c r="F11" s="3" t="str">
        <x:f>IF(Master!G592="","",Master!G592)</x:f>
        <x:v>Alpha</x:v>
      </x:c>
      <x:c r="G11" s="3" t="str">
        <x:f>IF(Master!H592="","",Master!H592)</x:f>
        <x:v>Public Beta</x:v>
      </x:c>
      <x:c r="H11" s="3" t="str">
        <x:f>IF(Master!I592="","",Master!I592)</x:f>
        <x:v>Open Beta</x:v>
      </x:c>
      <x:c r="I11" s="3" t="str">
        <x:f>IF(Master!J592="","",Master!J592)</x:f>
        <x:v>Early Alpha</x:v>
      </x:c>
      <x:c r="J11" s="3" t="str">
        <x:f>IF(Master!K592="","",Master!K592)</x:f>
        <x:v>Alpha / Beta</x:v>
      </x:c>
      <x:c r="K11" s="3" t="str">
        <x:f>IF(Master!L592="","",Master!L592)</x:f>
        <x:v>Pre-launch / active development</x:v>
      </x:c>
      <x:c r="L11" s="3" t="str">
        <x:f>IF(Master!M592="","",Master!M592)</x:f>
        <x:v>Alpha</x:v>
      </x:c>
      <x:c r="M11" s="3" t="str">
        <x:f>IF(Master!N592="","",Master!N592)</x:f>
        <x:v>Open Beta</x:v>
      </x:c>
      <x:c r="N11" s="3" t="str">
        <x:f>IF(Master!O592="","",Master!O592)</x:f>
        <x:v>Stable open standard (spec v1.x)</x:v>
      </x:c>
      <x:c r="O11" s="3" t="str">
        <x:f>IF(Master!P592="","",Master!P592)</x:f>
        <x:v>Stable</x:v>
      </x:c>
      <x:c r="P11" s="3" t="str">
        <x:f>IF(Master!Q592="","",Master!Q592)</x:f>
        <x:v>Stable/public</x:v>
      </x:c>
      <x:c r="Q11" s="3" t="str">
        <x:f>IF(Master!R592="","",Master!R592)</x:f>
        <x:v>Stable</x:v>
      </x:c>
      <x:c r="R11" s="3" t="str">
        <x:f>IF(Master!S592="","",Master!S592)</x:f>
        <x:v>Stable/public</x:v>
      </x:c>
      <x:c r="S11" s="3" t="str">
        <x:f>IF(Master!T592="","",Master!T592)</x:f>
        <x:v>Public Beta</x:v>
      </x:c>
      <x:c r="T11" s="3" t="str">
        <x:f>IF(Master!U592="","",Master!U592)</x:f>
        <x:v>Open beta</x:v>
      </x:c>
      <x:c r="U11" s="3" t="str">
        <x:f>IF(Master!V592="","",Master!V592)</x:f>
        <x:v>Stable/public</x:v>
      </x:c>
      <x:c r="V11" s="3" t="str">
        <x:f>IF(Master!W592="","",Master!W592)</x:f>
        <x:v>Stable</x:v>
      </x:c>
      <x:c r="W11" s="3" t="str">
        <x:f>IF(Master!X592="","",Master!X592)</x:f>
        <x:v>Alpha / experimental</x:v>
      </x:c>
      <x:c r="X11" s="3" t="str">
        <x:f>IF(Master!Y592="","",Master!Y592)</x:f>
        <x:v>Beta</x:v>
      </x:c>
      <x:c r="Y11" s="3" t="str">
        <x:f>IF(Master!Z592="","",Master!Z592)</x:f>
        <x:v>Alpha / WIP</x:v>
      </x:c>
      <x:c r="Z11" s="3" t="str">
        <x:f>IF(Master!AA592="","",Master!AA592)</x:f>
        <x:v>Beta / pre-1.0</x:v>
      </x:c>
      <x:c r="AA11" s="6" t="str">
        <x:f>IF(Master!AB592="","",Master!AB592)</x:f>
        <x:v>TS6 Beta; TS3 stable</x:v>
      </x:c>
      <x:c r="AB11" s="3" t="str">
        <x:f>IF(Master!AC592="","",Master!AC592)</x:f>
        <x:v>Alpha</x:v>
      </x:c>
      <x:c r="AC11" s="3" t="str">
        <x:f>IF(Master!AD592="","",Master!AD592)</x:f>
        <x:v>Alpha / Beta</x:v>
      </x:c>
      <x:c r="AD11" s="3" t="str">
        <x:f>IF(Master!AE592="","",Master!AE592)</x:f>
        <x:v>Public Beta</x:v>
      </x:c>
      <x:c r="AE11" s="3" t="str">
        <x:f>IF(Master!AF592="","",Master!AF592)</x:f>
        <x:v>Beta</x:v>
      </x:c>
      <x:c r="AF11" s="8" t="str">
        <x:f>IF(Master!AG592="","",Master!AG592)</x:f>
        <x:v>Stable</x:v>
      </x:c>
    </x:row>
    <x:row r="12" ht="36" customHeight="1">
      <x:c r="A12" s="17" t="s">
        <x:v>867</x:v>
      </x:c>
      <x:c r="B12" s="3" t="str">
        <x:f>IF(Master!C593="","",Master!C593)</x:f>
        <x:v>Yes</x:v>
      </x:c>
      <x:c r="C12" s="3" t="str">
        <x:f>IF(Master!D593="","",Master!D593)</x:f>
        <x:v>Yes</x:v>
      </x:c>
      <x:c r="D12" s="3" t="str">
        <x:f>IF(Master!E593="","",Master!E593)</x:f>
        <x:v>Yes</x:v>
      </x:c>
      <x:c r="E12" s="3" t="str">
        <x:f>IF(Master!F593="","",Master!F593)</x:f>
        <x:v>Yes</x:v>
      </x:c>
      <x:c r="F12" s="3" t="str">
        <x:f>IF(Master!G593="","",Master!G593)</x:f>
        <x:v>Yes</x:v>
      </x:c>
      <x:c r="G12" s="3" t="str">
        <x:f>IF(Master!H593="","",Master!H593)</x:f>
        <x:v>Yes</x:v>
      </x:c>
      <x:c r="H12" s="3" t="str">
        <x:f>IF(Master!I593="","",Master!I593)</x:f>
        <x:v>Yes</x:v>
      </x:c>
      <x:c r="I12" s="3" t="str">
        <x:f>IF(Master!J593="","",Master!J593)</x:f>
        <x:v>Yes</x:v>
      </x:c>
      <x:c r="J12" s="3" t="str">
        <x:f>IF(Master!K593="","",Master!K593)</x:f>
        <x:v>Yes</x:v>
      </x:c>
      <x:c r="K12" s="3" t="str">
        <x:f>IF(Master!L593="","",Master!L593)</x:f>
      </x:c>
      <x:c r="L12" s="3" t="str">
        <x:f>IF(Master!M593="","",Master!M593)</x:f>
        <x:v>Yes</x:v>
      </x:c>
      <x:c r="M12" s="3" t="str">
        <x:f>IF(Master!N593="","",Master!N593)</x:f>
        <x:v>Yes</x:v>
      </x:c>
      <x:c r="N12" s="3" t="str">
        <x:f>IF(Master!O593="","",Master!O593)</x:f>
        <x:v>Yes</x:v>
      </x:c>
      <x:c r="O12" s="3" t="str">
        <x:f>IF(Master!P593="","",Master!P593)</x:f>
        <x:v>Yes</x:v>
      </x:c>
      <x:c r="P12" s="3" t="str">
        <x:f>IF(Master!Q593="","",Master!Q593)</x:f>
        <x:v>Yes</x:v>
      </x:c>
      <x:c r="Q12" s="3" t="str">
        <x:f>IF(Master!R593="","",Master!R593)</x:f>
        <x:v>Yes</x:v>
      </x:c>
      <x:c r="R12" s="3" t="str">
        <x:f>IF(Master!S593="","",Master!S593)</x:f>
        <x:v>Yes</x:v>
      </x:c>
      <x:c r="S12" s="3" t="str">
        <x:f>IF(Master!T593="","",Master!T593)</x:f>
        <x:v>Yes</x:v>
      </x:c>
      <x:c r="T12" s="3" t="str">
        <x:f>IF(Master!U593="","",Master!U593)</x:f>
        <x:v>Yes</x:v>
      </x:c>
      <x:c r="U12" s="3" t="str">
        <x:f>IF(Master!V593="","",Master!V593)</x:f>
        <x:v>Yes</x:v>
      </x:c>
      <x:c r="V12" s="3" t="str">
        <x:f>IF(Master!W593="","",Master!W593)</x:f>
        <x:v>Yes</x:v>
      </x:c>
      <x:c r="W12" s="3" t="str">
        <x:f>IF(Master!X593="","",Master!X593)</x:f>
        <x:v>Yes</x:v>
      </x:c>
      <x:c r="X12" s="3" t="str">
        <x:f>IF(Master!Y593="","",Master!Y593)</x:f>
        <x:v>Yes</x:v>
      </x:c>
      <x:c r="Y12" s="3" t="str">
        <x:f>IF(Master!Z593="","",Master!Z593)</x:f>
        <x:v>Yes</x:v>
      </x:c>
      <x:c r="Z12" s="3" t="str">
        <x:f>IF(Master!AA593="","",Master!AA593)</x:f>
        <x:v>Yes</x:v>
      </x:c>
      <x:c r="AA12" s="6" t="str">
        <x:f>IF(Master!AB593="","",Master!AB593)</x:f>
        <x:v>Yes</x:v>
      </x:c>
      <x:c r="AB12" s="3" t="str">
        <x:f>IF(Master!AC593="","",Master!AC593)</x:f>
        <x:v>Yes</x:v>
      </x:c>
      <x:c r="AC12" s="3" t="str">
        <x:f>IF(Master!AD593="","",Master!AD593)</x:f>
        <x:v>Yes</x:v>
      </x:c>
      <x:c r="AD12" s="3" t="str">
        <x:f>IF(Master!AE593="","",Master!AE593)</x:f>
        <x:v>Yes</x:v>
      </x:c>
      <x:c r="AE12" s="3" t="str">
        <x:f>IF(Master!AF593="","",Master!AF593)</x:f>
        <x:v>Yes</x:v>
      </x:c>
      <x:c r="AF12" s="8" t="str">
        <x:f>IF(Master!AG593="","",Master!AG593)</x:f>
        <x:v>Yes</x:v>
      </x:c>
    </x:row>
    <x:row r="13" ht="36" customHeight="1">
      <x:c r="A13" s="17" t="s">
        <x:v>262</x:v>
      </x:c>
      <x:c r="B13" s="3" t="str">
        <x:f>IF(Master!C594="","",Master!C594)</x:f>
        <x:v>Active development</x:v>
      </x:c>
      <x:c r="C13" s="3" t="str">
        <x:f>IF(Master!D594="","",Master!D594)</x:f>
        <x:v>Active</x:v>
      </x:c>
      <x:c r="D13" s="3" t="str">
        <x:f>IF(Master!E594="","",Master!E594)</x:f>
        <x:v>Active</x:v>
      </x:c>
      <x:c r="E13" s="3" t="str">
        <x:f>IF(Master!F594="","",Master!F594)</x:f>
        <x:v>Active</x:v>
      </x:c>
      <x:c r="F13" s="3" t="str">
        <x:f>IF(Master!G594="","",Master!G594)</x:f>
        <x:v>Active alpha</x:v>
      </x:c>
      <x:c r="G13" s="3" t="str">
        <x:f>IF(Master!H594="","",Master!H594)</x:f>
        <x:v>Active</x:v>
      </x:c>
      <x:c r="H13" s="3" t="str">
        <x:f>IF(Master!I594="","",Master!I594)</x:f>
        <x:v>Active</x:v>
      </x:c>
      <x:c r="I13" s="3" t="str">
        <x:f>IF(Master!J594="","",Master!J594)</x:f>
        <x:v>Active</x:v>
      </x:c>
      <x:c r="J13" s="3" t="str">
        <x:f>IF(Master!K594="","",Master!K594)</x:f>
        <x:v>Active</x:v>
      </x:c>
      <x:c r="K13" s="3" t="str">
        <x:f>IF(Master!L594="","",Master!L594)</x:f>
        <x:v>Actively developed; pre-launch</x:v>
      </x:c>
      <x:c r="L13" s="3" t="str">
        <x:f>IF(Master!M594="","",Master!M594)</x:f>
        <x:v>Active</x:v>
      </x:c>
      <x:c r="M13" s="3" t="str">
        <x:f>IF(Master!N594="","",Master!N594)</x:f>
        <x:v>Active</x:v>
      </x:c>
      <x:c r="N13" s="3" t="str">
        <x:f>IF(Master!O594="","",Master!O594)</x:f>
        <x:v>Active standard + ecosystem</x:v>
      </x:c>
      <x:c r="O13" s="3" t="str">
        <x:f>IF(Master!P594="","",Master!P594)</x:f>
        <x:v>Active</x:v>
      </x:c>
      <x:c r="P13" s="3" t="str">
        <x:f>IF(Master!Q594="","",Master!Q594)</x:f>
        <x:v>Active</x:v>
      </x:c>
      <x:c r="Q13" s="3" t="str">
        <x:f>IF(Master!R594="","",Master!R594)</x:f>
        <x:v>Active</x:v>
      </x:c>
      <x:c r="R13" s="3" t="str">
        <x:f>IF(Master!S594="","",Master!S594)</x:f>
        <x:v>Active</x:v>
      </x:c>
      <x:c r="S13" s="3" t="str">
        <x:f>IF(Master!T594="","",Master!T594)</x:f>
        <x:v>Active</x:v>
      </x:c>
      <x:c r="T13" s="3" t="str">
        <x:f>IF(Master!U594="","",Master!U594)</x:f>
        <x:v>Active</x:v>
      </x:c>
      <x:c r="U13" s="3" t="str">
        <x:f>IF(Master!V594="","",Master!V594)</x:f>
        <x:v>Active</x:v>
      </x:c>
      <x:c r="V13" s="3" t="str">
        <x:f>IF(Master!W594="","",Master!W594)</x:f>
        <x:v>Active</x:v>
      </x:c>
      <x:c r="W13" s="3" t="str">
        <x:f>IF(Master!X594="","",Master!X594)</x:f>
        <x:v>Active</x:v>
      </x:c>
      <x:c r="X13" s="3" t="str">
        <x:f>IF(Master!Y594="","",Master!Y594)</x:f>
        <x:v>Active</x:v>
      </x:c>
      <x:c r="Y13" s="3" t="str">
        <x:f>IF(Master!Z594="","",Master!Z594)</x:f>
        <x:v>Active</x:v>
      </x:c>
      <x:c r="Z13" s="3" t="str">
        <x:f>IF(Master!AA594="","",Master!AA594)</x:f>
        <x:v>Active</x:v>
      </x:c>
      <x:c r="AA13" s="6" t="str">
        <x:f>IF(Master!AB594="","",Master!AB594)</x:f>
        <x:v>Active</x:v>
      </x:c>
      <x:c r="AB13" s="3" t="str">
        <x:f>IF(Master!AC594="","",Master!AC594)</x:f>
        <x:v>Active</x:v>
      </x:c>
      <x:c r="AC13" s="3" t="str">
        <x:f>IF(Master!AD594="","",Master!AD594)</x:f>
        <x:v>Active experimental</x:v>
      </x:c>
      <x:c r="AD13" s="3" t="str">
        <x:f>IF(Master!AE594="","",Master!AE594)</x:f>
        <x:v>Active</x:v>
      </x:c>
      <x:c r="AE13" s="3" t="str">
        <x:f>IF(Master!AF594="","",Master!AF594)</x:f>
        <x:v>Active</x:v>
      </x:c>
      <x:c r="AF13" s="8" t="str">
        <x:f>IF(Master!AG594="","",Master!AG594)</x:f>
        <x:v>Active</x:v>
      </x:c>
    </x:row>
    <x:row r="14" ht="23.100000381469727" customHeight="1">
      <x:c r="A14" s="17" t="s">
        <x:v>855</x:v>
      </x:c>
      <x:c r="B14" s="4" t="str">
        <x:f>IF(Master!C617="","",Master!C617)</x:f>
      </x:c>
      <x:c r="C14" s="4" t="str">
        <x:f>IF(Master!D617="","",Master!D617)</x:f>
      </x:c>
      <x:c r="D14" s="4" t="str">
        <x:f>IF(Master!E617="","",Master!E617)</x:f>
      </x:c>
      <x:c r="E14" s="4" t="str">
        <x:f>IF(Master!F617="","",Master!F617)</x:f>
      </x:c>
      <x:c r="F14" s="4" t="str">
        <x:f>IF(Master!G617="","",Master!G617)</x:f>
      </x:c>
      <x:c r="G14" s="4" t="str">
        <x:f>IF(Master!H617="","",Master!H617)</x:f>
      </x:c>
      <x:c r="H14" s="4" t="str">
        <x:f>IF(Master!I617="","",Master!I617)</x:f>
      </x:c>
      <x:c r="I14" s="4" t="str">
        <x:f>IF(Master!J617="","",Master!J617)</x:f>
      </x:c>
      <x:c r="J14" s="4" t="str">
        <x:f>IF(Master!K617="","",Master!K617)</x:f>
      </x:c>
      <x:c r="K14" s="4" t="str">
        <x:f>IF(Master!L617="","",Master!L617)</x:f>
        <x:v>No formal public launch</x:v>
      </x:c>
      <x:c r="L14" s="4" t="str">
        <x:f>IF(Master!M617="","",Master!M617)</x:f>
      </x:c>
      <x:c r="M14" s="4" t="str">
        <x:f>IF(Master!N617="","",Master!N617)</x:f>
      </x:c>
      <x:c r="N14" s="4" t="str">
        <x:f>IF(Master!O617="","",Master!O617)</x:f>
      </x:c>
      <x:c r="O14" s="4" t="str">
        <x:f>IF(Master!P617="","",Master!P617)</x:f>
      </x:c>
      <x:c r="P14" s="4" t="str">
        <x:f>IF(Master!Q617="","",Master!Q617)</x:f>
      </x:c>
      <x:c r="Q14" s="4" t="str">
        <x:f>IF(Master!R617="","",Master!R617)</x:f>
      </x:c>
      <x:c r="R14" s="4" t="str">
        <x:f>IF(Master!S617="","",Master!S617)</x:f>
      </x:c>
      <x:c r="S14" s="4" t="str">
        <x:f>IF(Master!T617="","",Master!T617)</x:f>
      </x:c>
      <x:c r="T14" s="4" t="str">
        <x:f>IF(Master!U617="","",Master!U617)</x:f>
      </x:c>
      <x:c r="U14" s="4" t="str">
        <x:f>IF(Master!V617="","",Master!V617)</x:f>
        <x:v>2026 Sept 16</x:v>
      </x:c>
      <x:c r="V14" s="4" t="str">
        <x:f>IF(Master!W617="","",Master!W617)</x:f>
      </x:c>
      <x:c r="W14" s="4" t="str">
        <x:f>IF(Master!X617="","",Master!X617)</x:f>
      </x:c>
      <x:c r="X14" s="4" t="str">
        <x:f>IF(Master!Y617="","",Master!Y617)</x:f>
      </x:c>
      <x:c r="Y14" s="4" t="str">
        <x:f>IF(Master!Z617="","",Master!Z617)</x:f>
      </x:c>
      <x:c r="Z14" s="4" t="str">
        <x:f>IF(Master!AA617="","",Master!AA617)</x:f>
      </x:c>
      <x:c r="AA14" s="5" t="str">
        <x:f>IF(Master!AB617="","",Master!AB617)</x:f>
      </x:c>
      <x:c r="AB14" s="4" t="str">
        <x:f>IF(Master!AC617="","",Master!AC617)</x:f>
      </x:c>
      <x:c r="AC14" s="4" t="str">
        <x:f>IF(Master!AD617="","",Master!AD617)</x:f>
      </x:c>
      <x:c r="AD14" s="4" t="str">
        <x:f>IF(Master!AE617="","",Master!AE617)</x:f>
      </x:c>
      <x:c r="AE14" s="4" t="str">
        <x:f>IF(Master!AF617="","",Master!AF617)</x:f>
      </x:c>
      <x:c r="AF14" s="8" t="str">
        <x:f>IF(Master!AG617="","",Master!AG617)</x:f>
      </x:c>
    </x:row>
    <x:row r="15" ht="21.950000762939453" customHeight="1">
      <x:c r="A15" s="18" t="s">
        <x:v>868</x:v>
      </x:c>
      <x:c r="B15" s="18" t="str">
        <x:f t="shared" ref="B15:AF15" si="1">IF(""="","","")</x:f>
      </x:c>
      <x:c r="C15" s="18" t="str">
        <x:f t="shared" si="1"/>
      </x:c>
      <x:c r="D15" s="18" t="str">
        <x:f t="shared" si="1"/>
      </x:c>
      <x:c r="E15" s="18" t="str">
        <x:f t="shared" si="1"/>
      </x:c>
      <x:c r="F15" s="18" t="str">
        <x:f t="shared" si="1"/>
      </x:c>
      <x:c r="G15" s="18" t="str">
        <x:f t="shared" si="1"/>
      </x:c>
      <x:c r="H15" s="18" t="str">
        <x:f t="shared" si="1"/>
      </x:c>
      <x:c r="I15" s="18" t="str">
        <x:f t="shared" si="1"/>
      </x:c>
      <x:c r="J15" s="18" t="str">
        <x:f t="shared" si="1"/>
      </x:c>
      <x:c r="K15" s="18" t="str">
        <x:f t="shared" si="1"/>
      </x:c>
      <x:c r="L15" s="18" t="str">
        <x:f t="shared" si="1"/>
      </x:c>
      <x:c r="M15" s="18" t="str">
        <x:f t="shared" si="1"/>
      </x:c>
      <x:c r="N15" s="18" t="str">
        <x:f t="shared" si="1"/>
      </x:c>
      <x:c r="O15" s="18" t="str">
        <x:f t="shared" si="1"/>
      </x:c>
      <x:c r="P15" s="18" t="str">
        <x:f t="shared" si="1"/>
      </x:c>
      <x:c r="Q15" s="18" t="str">
        <x:f t="shared" si="1"/>
      </x:c>
      <x:c r="R15" s="18" t="str">
        <x:f t="shared" si="1"/>
      </x:c>
      <x:c r="S15" s="18" t="str">
        <x:f t="shared" si="1"/>
      </x:c>
      <x:c r="T15" s="18" t="str">
        <x:f t="shared" si="1"/>
      </x:c>
      <x:c r="U15" s="18" t="str">
        <x:f t="shared" si="1"/>
      </x:c>
      <x:c r="V15" s="18" t="str">
        <x:f t="shared" si="1"/>
      </x:c>
      <x:c r="W15" s="18" t="str">
        <x:f t="shared" si="1"/>
      </x:c>
      <x:c r="X15" s="18" t="str">
        <x:f t="shared" si="1"/>
      </x:c>
      <x:c r="Y15" s="18" t="str">
        <x:f t="shared" si="1"/>
      </x:c>
      <x:c r="Z15" s="18" t="str">
        <x:f t="shared" si="1"/>
      </x:c>
      <x:c r="AA15" s="18" t="str">
        <x:f t="shared" si="1"/>
      </x:c>
      <x:c r="AB15" s="18" t="str">
        <x:f t="shared" si="1"/>
      </x:c>
      <x:c r="AC15" s="18" t="str">
        <x:f t="shared" si="1"/>
      </x:c>
      <x:c r="AD15" s="18" t="str">
        <x:f t="shared" si="1"/>
      </x:c>
      <x:c r="AE15" s="18" t="str">
        <x:f t="shared" si="1"/>
      </x:c>
      <x:c r="AF15" s="19" t="str">
        <x:f t="shared" si="1"/>
      </x:c>
    </x:row>
    <x:row r="16" ht="36" customHeight="1">
      <x:c r="A16" s="17" t="s">
        <x:v>869</x:v>
      </x:c>
      <x:c r="B16" s="3" t="str">
        <x:f>IF(Master!C595="","",Master!C595)</x:f>
        <x:v>Corp (Discord Inc.)</x:v>
      </x:c>
      <x:c r="C16" s="3" t="str">
        <x:f>IF(Master!D595="","",Master!D595)</x:f>
        <x:v>Open-source team</x:v>
      </x:c>
      <x:c r="D16" s="3" t="str">
        <x:f>IF(Master!E595="","",Master!E595)</x:f>
        <x:v>Solo-led + contributors</x:v>
      </x:c>
      <x:c r="E16" s="3" t="str">
        <x:f>IF(Master!F595="","",Master!F595)</x:f>
        <x:v>Tiny Canadian team</x:v>
      </x:c>
      <x:c r="F16" s="3" t="str">
        <x:f>IF(Master!G595="","",Master!G595)</x:f>
        <x:v>Solo founder / tiny team</x:v>
      </x:c>
      <x:c r="G16" s="3" t="str">
        <x:f>IF(Master!H595="","",Master!H595)</x:f>
        <x:v>Small company/open-source team</x:v>
      </x:c>
      <x:c r="H16" s="3" t="str">
        <x:f>IF(Master!I595="","",Master!I595)</x:f>
        <x:v>Founder-led company</x:v>
      </x:c>
      <x:c r="I16" s="3" t="str">
        <x:f>IF(Master!J595="","",Master!J595)</x:f>
        <x:v>Volunteer project</x:v>
      </x:c>
      <x:c r="J16" s="3" t="str">
        <x:f>IF(Master!K595="","",Master!K595)</x:f>
        <x:v>Solo dev</x:v>
      </x:c>
      <x:c r="K16" s="3" t="str">
        <x:f>IF(Master!L595="","",Master!L595)</x:f>
        <x:v>1 primary developer; security-researcher friend provides private review/bug reports (developer report)</x:v>
      </x:c>
      <x:c r="L16" s="3" t="str">
        <x:f>IF(Master!M595="","",Master!M595)</x:f>
        <x:v>Small team</x:v>
      </x:c>
      <x:c r="M16" s="3" t="str">
        <x:f>IF(Master!N595="","",Master!N595)</x:f>
        <x:v>Small team</x:v>
      </x:c>
      <x:c r="N16" s="3" t="str">
        <x:f>IF(Master!O595="","",Master!O595)</x:f>
        <x:v>Nonprofit foundation + ecosystem companies/projects</x:v>
      </x:c>
      <x:c r="O16" s="3" t="str">
        <x:f>IF(Master!P595="","",Master!P595)</x:f>
        <x:v>Corp + open-source community</x:v>
      </x:c>
      <x:c r="P16" s="3" t="str">
        <x:f>IF(Master!Q595="","",Master!Q595)</x:f>
        <x:v>Company/open-source team</x:v>
      </x:c>
      <x:c r="Q16" s="3" t="str">
        <x:f>IF(Master!R595="","",Master!R595)</x:f>
        <x:v>Community project</x:v>
      </x:c>
      <x:c r="R16" s="3" t="str">
        <x:f>IF(Master!S595="","",Master!S595)</x:f>
        <x:v>Solo/small community</x:v>
      </x:c>
      <x:c r="S16" s="3" t="str">
        <x:f>IF(Master!T595="","",Master!T595)</x:f>
        <x:v>Small startup team</x:v>
      </x:c>
      <x:c r="T16" s="3" t="str">
        <x:f>IF(Master!U595="","",Master!U595)</x:f>
        <x:v>Independently run</x:v>
      </x:c>
      <x:c r="U16" s="3" t="str">
        <x:f>IF(Master!V595="","",Master!V595)</x:f>
        <x:v>Small private company</x:v>
      </x:c>
      <x:c r="V16" s="3" t="str">
        <x:f>IF(Master!W595="","",Master!W595)</x:f>
        <x:v>Corp + community</x:v>
      </x:c>
      <x:c r="W16" s="3" t="str">
        <x:f>IF(Master!X595="","",Master!X595)</x:f>
        <x:v>Open-source community</x:v>
      </x:c>
      <x:c r="X16" s="3" t="str">
        <x:f>IF(Master!Y595="","",Master!Y595)</x:f>
        <x:v>Corp</x:v>
      </x:c>
      <x:c r="Y16" s="3" t="str">
        <x:f>IF(Master!Z595="","",Master!Z595)</x:f>
        <x:v>Volunteer project</x:v>
      </x:c>
      <x:c r="Z16" s="3" t="str">
        <x:f>IF(Master!AA595="","",Master!AA595)</x:f>
        <x:v>Small open-source collective</x:v>
      </x:c>
      <x:c r="AA16" s="6" t="str">
        <x:f>IF(Master!AB595="","",Master!AB595)</x:f>
        <x:v>Corp</x:v>
      </x:c>
      <x:c r="AB16" s="3" t="str">
        <x:f>IF(Master!AC595="","",Master!AC595)</x:f>
        <x:v>Volunteer/open-source team</x:v>
      </x:c>
      <x:c r="AC16" s="3" t="str">
        <x:f>IF(Master!AD595="","",Master!AD595)</x:f>
        <x:v>Small founder-led team</x:v>
      </x:c>
      <x:c r="AD16" s="3" t="str">
        <x:f>IF(Master!AE595="","",Master!AE595)</x:f>
        <x:v>Solo developer</x:v>
      </x:c>
      <x:c r="AE16" s="3" t="str">
        <x:f>IF(Master!AF595="","",Master!AF595)</x:f>
        <x:v>Small team</x:v>
      </x:c>
      <x:c r="AF16" s="8" t="str">
        <x:f>IF(Master!AG595="","",Master!AG595)</x:f>
        <x:v>Independent company + community</x:v>
      </x:c>
    </x:row>
    <x:row r="17" ht="36" customHeight="1">
      <x:c r="A17" s="17" t="s">
        <x:v>263</x:v>
      </x:c>
      <x:c r="B17" s="3" t="str">
        <x:f>IF(Master!C596="","",Master!C596)</x:f>
      </x:c>
      <x:c r="C17" s="3" t="str">
        <x:f>IF(Master!D596="","",Master!D596)</x:f>
        <x:v>Small open-source team</x:v>
      </x:c>
      <x:c r="D17" s="3" t="str">
        <x:f>IF(Master!E596="","",Master!E596)</x:f>
        <x:v>Solo/very small contributor group</x:v>
      </x:c>
      <x:c r="E17" s="3" t="str">
        <x:f>IF(Master!F596="","",Master!F596)</x:f>
        <x:v>Tiny Canadian team</x:v>
      </x:c>
      <x:c r="F17" s="3" t="str">
        <x:f>IF(Master!G596="","",Master!G596)</x:f>
        <x:v>Solo founder-led / very small team</x:v>
      </x:c>
      <x:c r="G17" s="3" t="str">
        <x:f>IF(Master!H596="","",Master!H596)</x:f>
      </x:c>
      <x:c r="H17" s="3" t="str">
        <x:f>IF(Master!I596="","",Master!I596)</x:f>
        <x:v>Founder-led / small team</x:v>
      </x:c>
      <x:c r="I17" s="3" t="str">
        <x:f>IF(Master!J596="","",Master!J596)</x:f>
        <x:v>Small volunteer team</x:v>
      </x:c>
      <x:c r="J17" s="3" t="str">
        <x:f>IF(Master!K596="","",Master!K596)</x:f>
        <x:v>Solo developer</x:v>
      </x:c>
      <x:c r="K17" s="3" t="str">
        <x:f>IF(Master!L596="","",Master!L596)</x:f>
        <x:v>1 primary developer; security-researcher friend provides private review/bug reports (developer report)</x:v>
      </x:c>
      <x:c r="L17" s="3" t="str">
        <x:f>IF(Master!M596="","",Master!M596)</x:f>
        <x:v>Small team</x:v>
      </x:c>
      <x:c r="M17" s="3" t="str">
        <x:f>IF(Master!N596="","",Master!N596)</x:f>
        <x:v>Small team</x:v>
      </x:c>
      <x:c r="N17" s="3" t="str">
        <x:f>IF(Master!O596="","",Master!O596)</x:f>
        <x:v>Matrix.org Foundation + many independent implementers</x:v>
      </x:c>
      <x:c r="O17" s="3" t="str">
        <x:f>IF(Master!P596="","",Master!P596)</x:f>
        <x:v>Mattermost, Inc. + open-source community</x:v>
      </x:c>
      <x:c r="P17" s="3" t="str">
        <x:f>IF(Master!Q596="","",Master!Q596)</x:f>
        <x:v>Company/open-source team</x:v>
      </x:c>
      <x:c r="Q17" s="3" t="str">
        <x:f>IF(Master!R596="","",Master!R596)</x:f>
        <x:v>Community open-source project</x:v>
      </x:c>
      <x:c r="R17" s="3" t="str">
        <x:f>IF(Master!S596="","",Master!S596)</x:f>
        <x:v>Small hobby/community project</x:v>
      </x:c>
      <x:c r="S17" s="3" t="str">
        <x:f>IF(Master!T596="","",Master!T596)</x:f>
        <x:v>Small startup team</x:v>
      </x:c>
      <x:c r="T17" s="3" t="str">
        <x:f>IF(Master!U596="","",Master!U596)</x:f>
        <x:v>2: built by two brothers (official repository README)</x:v>
      </x:c>
      <x:c r="U17" s="3" t="str">
        <x:f>IF(Master!V596="","",Master!V596)</x:f>
        <x:v>Small company/team</x:v>
      </x:c>
      <x:c r="V17" s="3" t="str">
        <x:f>IF(Master!W596="","",Master!W596)</x:f>
        <x:v>Rocket.Chat company + open-source community</x:v>
      </x:c>
      <x:c r="W17" s="3" t="str">
        <x:f>IF(Master!X596="","",Master!X596)</x:f>
        <x:v>Small open-source team</x:v>
      </x:c>
      <x:c r="X17" s="3" t="str">
        <x:f>IF(Master!Y596="","",Master!Y596)</x:f>
      </x:c>
      <x:c r="Y17" s="3" t="str">
        <x:f>IF(Master!Z596="","",Master!Z596)</x:f>
      </x:c>
      <x:c r="Z17" s="3" t="str">
        <x:f>IF(Master!AA596="","",Master!AA596)</x:f>
      </x:c>
      <x:c r="AA17" s="6" t="str">
        <x:f>IF(Master!AB596="","",Master!AB596)</x:f>
        <x:v>Commercial company</x:v>
      </x:c>
      <x:c r="AB17" s="3" t="str">
        <x:f>IF(Master!AC596="","",Master!AC596)</x:f>
        <x:v>Volunteer/open-source team</x:v>
      </x:c>
      <x:c r="AC17" s="3" t="str">
        <x:f>IF(Master!AD596="","",Master!AD596)</x:f>
        <x:v>Small team / founder-led</x:v>
      </x:c>
      <x:c r="AD17" s="3" t="str">
        <x:f>IF(Master!AE596="","",Master!AE596)</x:f>
        <x:v>Solo developer</x:v>
      </x:c>
      <x:c r="AE17" s="3" t="str">
        <x:f>IF(Master!AF596="","",Master!AF596)</x:f>
        <x:v>Small team/founder-led</x:v>
      </x:c>
      <x:c r="AF17" s="8" t="str">
        <x:f>IF(Master!AG596="","",Master!AG596)</x:f>
        <x:v>Independent company + open-source community</x:v>
      </x:c>
    </x:row>
    <x:row r="18" ht="21.950000762939453" customHeight="1">
      <x:c r="A18" s="18" t="s">
        <x:v>870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871</x:v>
      </x:c>
      <x:c r="B19" s="3" t="str">
        <x:f>IF(Master!C597="","",Master!C597)</x:f>
        <x:v>Original</x:v>
      </x:c>
      <x:c r="C19" s="3" t="str">
        <x:f>IF(Master!D597="","",Master!D597)</x:f>
        <x:v>Original</x:v>
      </x:c>
      <x:c r="D19" s="3" t="str">
        <x:f>IF(Master!E597="","",Master!E597)</x:f>
        <x:v>Original</x:v>
      </x:c>
      <x:c r="E19" s="3" t="str">
        <x:f>IF(Master!F597="","",Master!F597)</x:f>
        <x:v>Original</x:v>
      </x:c>
      <x:c r="F19" s="3" t="str">
        <x:f>IF(Master!G597="","",Master!G597)</x:f>
        <x:v>Original</x:v>
      </x:c>
      <x:c r="G19" s="3" t="str">
        <x:f>IF(Master!H597="","",Master!H597)</x:f>
        <x:v>Original</x:v>
      </x:c>
      <x:c r="H19" s="3" t="str">
        <x:f>IF(Master!I597="","",Master!I597)</x:f>
        <x:v>Original ground-up rebuild</x:v>
      </x:c>
      <x:c r="I19" s="3" t="str">
        <x:f>IF(Master!J597="","",Master!J597)</x:f>
        <x:v>Fork/rework of Spacebar-compatible stack</x:v>
      </x:c>
      <x:c r="J19" s="3" t="str">
        <x:f>IF(Master!K597="","",Master!K597)</x:f>
        <x:v>Original</x:v>
      </x:c>
      <x:c r="K19" s="3" t="str">
        <x:f>IF(Master!L597="","",Master!L597)</x:f>
        <x:v>Original project</x:v>
      </x:c>
      <x:c r="L19" s="3" t="str">
        <x:f>IF(Master!M597="","",Master!M597)</x:f>
        <x:v>Original</x:v>
      </x:c>
      <x:c r="M19" s="3" t="str">
        <x:f>IF(Master!N597="","",Master!N597)</x:f>
        <x:v>Original</x:v>
      </x:c>
      <x:c r="N19" s="3" t="str">
        <x:f>IF(Master!O597="","",Master!O597)</x:f>
        <x:v>Original open protocol</x:v>
      </x:c>
      <x:c r="O19" s="3" t="str">
        <x:f>IF(Master!P597="","",Master!P597)</x:f>
        <x:v>Original</x:v>
      </x:c>
      <x:c r="P19" s="3" t="str">
        <x:f>IF(Master!Q597="","",Master!Q597)</x:f>
        <x:v>Original</x:v>
      </x:c>
      <x:c r="Q19" s="3" t="str">
        <x:f>IF(Master!R597="","",Master!R597)</x:f>
        <x:v>Original</x:v>
      </x:c>
      <x:c r="R19" s="3" t="str">
        <x:f>IF(Master!S597="","",Master!S597)</x:f>
        <x:v>Original</x:v>
      </x:c>
      <x:c r="S19" s="3" t="str">
        <x:f>IF(Master!T597="","",Master!T597)</x:f>
        <x:v>Original</x:v>
      </x:c>
      <x:c r="T19" s="3" t="str">
        <x:f>IF(Master!U597="","",Master!U597)</x:f>
        <x:v>Original</x:v>
      </x:c>
      <x:c r="U19" s="3" t="str">
        <x:f>IF(Master!V597="","",Master!V597)</x:f>
        <x:v>Original</x:v>
      </x:c>
      <x:c r="V19" s="3" t="str">
        <x:f>IF(Master!W597="","",Master!W597)</x:f>
        <x:v>Original</x:v>
      </x:c>
      <x:c r="W19" s="3" t="str">
        <x:f>IF(Master!X597="","",Master!X597)</x:f>
        <x:v>Original</x:v>
      </x:c>
      <x:c r="X19" s="3" t="str">
        <x:f>IF(Master!Y597="","",Master!Y597)</x:f>
        <x:v>Original</x:v>
      </x:c>
      <x:c r="Y19" s="3" t="str">
        <x:f>IF(Master!Z597="","",Master!Z597)</x:f>
        <x:v>Reimplementation; Fosscord → Spacebar</x:v>
      </x:c>
      <x:c r="Z19" s="3" t="str">
        <x:f>IF(Master!AA597="","",Master!AA597)</x:f>
        <x:v>Original; Revolt → Stoat rebrand</x:v>
      </x:c>
      <x:c r="AA19" s="6" t="str">
        <x:f>IF(Master!AB597="","",Master!AB597)</x:f>
        <x:v>Original</x:v>
      </x:c>
      <x:c r="AB19" s="3" t="str">
        <x:f>IF(Master!AC597="","",Master!AC597)</x:f>
        <x:v>Original</x:v>
      </x:c>
      <x:c r="AC19" s="3" t="str">
        <x:f>IF(Master!AD597="","",Master!AD597)</x:f>
        <x:v>Original</x:v>
      </x:c>
      <x:c r="AD19" s="3" t="str">
        <x:f>IF(Master!AE597="","",Master!AE597)</x:f>
        <x:v>Original</x:v>
      </x:c>
      <x:c r="AE19" s="3" t="str">
        <x:f>IF(Master!AF597="","",Master!AF597)</x:f>
        <x:v>Original</x:v>
      </x:c>
      <x:c r="AF19" s="8" t="str">
        <x:f>IF(Master!AG597="","",Master!AG597)</x:f>
        <x:v>Original</x:v>
      </x:c>
    </x:row>
    <x:row r="20" ht="36" customHeight="1">
      <x:c r="A20" s="17" t="s">
        <x:v>853</x:v>
      </x:c>
      <x:c r="B20" s="3" t="str">
        <x:f>IF(Master!C598="","",Master!C598)</x:f>
        <x:v>N/A / none known</x:v>
      </x:c>
      <x:c r="C20" s="3" t="str">
        <x:f>IF(Master!D598="","",Master!D598)</x:f>
        <x:v>N/A / none known</x:v>
      </x:c>
      <x:c r="D20" s="3" t="str">
        <x:f>IF(Master!E598="","",Master!E598)</x:f>
        <x:v>N/A / none known</x:v>
      </x:c>
      <x:c r="E20" s="3" t="str">
        <x:f>IF(Master!F598="","",Master!F598)</x:f>
        <x:v>N/A / none known</x:v>
      </x:c>
      <x:c r="F20" s="3" t="str">
        <x:f>IF(Master!G598="","",Master!G598)</x:f>
        <x:v>N/A / none known</x:v>
      </x:c>
      <x:c r="G20" s="3" t="str">
        <x:f>IF(Master!H598="","",Master!H598)</x:f>
        <x:v>N/A / none known</x:v>
      </x:c>
      <x:c r="H20" s="3" t="str">
        <x:f>IF(Master!I598="","",Master!I598)</x:f>
        <x:v>N/A / none known</x:v>
      </x:c>
      <x:c r="I20" s="3" t="str">
        <x:f>IF(Master!J598="","",Master!J598)</x:f>
        <x:v>Harmony platform; Fermi client</x:v>
      </x:c>
      <x:c r="J20" s="3" t="str">
        <x:f>IF(Master!K598="","",Master!K598)</x:f>
        <x:v>N/A / none known</x:v>
      </x:c>
      <x:c r="K20" s="3" t="str">
        <x:f>IF(Master!L598="","",Master!L598)</x:f>
      </x:c>
      <x:c r="L20" s="3" t="str">
        <x:f>IF(Master!M598="","",Master!M598)</x:f>
        <x:v>N/A / none known</x:v>
      </x:c>
      <x:c r="M20" s="3" t="str">
        <x:f>IF(Master!N598="","",Master!N598)</x:f>
        <x:v>N/A / none known</x:v>
      </x:c>
      <x:c r="N20" s="3" t="str">
        <x:f>IF(Master!O598="","",Master!O598)</x:f>
        <x:v>N/A / none known</x:v>
      </x:c>
      <x:c r="O20" s="3" t="str">
        <x:f>IF(Master!P598="","",Master!P598)</x:f>
        <x:v>N/A / none known</x:v>
      </x:c>
      <x:c r="P20" s="3" t="str">
        <x:f>IF(Master!Q598="","",Master!Q598)</x:f>
        <x:v>N/A / none known</x:v>
      </x:c>
      <x:c r="Q20" s="3" t="str">
        <x:f>IF(Master!R598="","",Master!R598)</x:f>
        <x:v>N/A / none known</x:v>
      </x:c>
      <x:c r="R20" s="3" t="str">
        <x:f>IF(Master!S598="","",Master!S598)</x:f>
        <x:v>N/A / none known</x:v>
      </x:c>
      <x:c r="S20" s="3" t="str">
        <x:f>IF(Master!T598="","",Master!T598)</x:f>
        <x:v>N/A / none known</x:v>
      </x:c>
      <x:c r="T20" s="3" t="str">
        <x:f>IF(Master!U598="","",Master!U598)</x:f>
        <x:v>N/A / none known</x:v>
      </x:c>
      <x:c r="U20" s="3" t="str">
        <x:f>IF(Master!V598="","",Master!V598)</x:f>
        <x:v>N/A / none known</x:v>
      </x:c>
      <x:c r="V20" s="3" t="str">
        <x:f>IF(Master!W598="","",Master!W598)</x:f>
        <x:v>N/A / none known</x:v>
      </x:c>
      <x:c r="W20" s="3" t="str">
        <x:f>IF(Master!X598="","",Master!X598)</x:f>
        <x:v>N/A / none known</x:v>
      </x:c>
      <x:c r="X20" s="3" t="str">
        <x:f>IF(Master!Y598="","",Master!Y598)</x:f>
        <x:v>N/A / none known</x:v>
      </x:c>
      <x:c r="Y20" s="3" t="str">
        <x:f>IF(Master!Z598="","",Master!Z598)</x:f>
        <x:v>Fosscord</x:v>
      </x:c>
      <x:c r="Z20" s="3" t="str">
        <x:f>IF(Master!AA598="","",Master!AA598)</x:f>
        <x:v>Revolt</x:v>
      </x:c>
      <x:c r="AA20" s="6" t="str">
        <x:f>IF(Master!AB598="","",Master!AB598)</x:f>
        <x:v>N/A / none known</x:v>
      </x:c>
      <x:c r="AB20" s="3" t="str">
        <x:f>IF(Master!AC598="","",Master!AC598)</x:f>
        <x:v>N/A / none known</x:v>
      </x:c>
      <x:c r="AC20" s="3" t="str">
        <x:f>IF(Master!AD598="","",Master!AD598)</x:f>
        <x:v>N/A / none known</x:v>
      </x:c>
      <x:c r="AD20" s="3" t="str">
        <x:f>IF(Master!AE598="","",Master!AE598)</x:f>
        <x:v>N/A / none known</x:v>
      </x:c>
      <x:c r="AE20" s="3" t="str">
        <x:f>IF(Master!AF598="","",Master!AF598)</x:f>
        <x:v>N/A / none known</x:v>
      </x:c>
      <x:c r="AF20" s="8" t="str">
        <x:f>IF(Master!AG598="","",Master!AG598)</x:f>
        <x:v>N/A / none known</x:v>
      </x:c>
    </x:row>
    <x:row r="21" ht="23.100000381469727" customHeight="1">
      <x:c r="A21" s="17" t="s">
        <x:v>854</x:v>
      </x:c>
      <x:c r="B21" s="4" t="str">
        <x:f>IF(Master!C599="","",Master!C599)</x:f>
      </x:c>
      <x:c r="C21" s="4" t="str">
        <x:f>IF(Master!D599="","",Master!D599)</x:f>
      </x:c>
      <x:c r="D21" s="4" t="str">
        <x:f>IF(Master!E599="","",Master!E599)</x:f>
      </x:c>
      <x:c r="E21" s="4" t="str">
        <x:f>IF(Master!F599="","",Master!F599)</x:f>
      </x:c>
      <x:c r="F21" s="4" t="str">
        <x:f>IF(Master!G599="","",Master!G599)</x:f>
      </x:c>
      <x:c r="G21" s="4" t="str">
        <x:f>IF(Master!H599="","",Master!H599)</x:f>
      </x:c>
      <x:c r="H21" s="4" t="str">
        <x:f>IF(Master!I599="","",Master!I599)</x:f>
      </x:c>
      <x:c r="I21" s="4" t="str">
        <x:f>IF(Master!J599="","",Master!J599)</x:f>
      </x:c>
      <x:c r="J21" s="4" t="str">
        <x:f>IF(Master!K599="","",Master!K599)</x:f>
      </x:c>
      <x:c r="K21" s="4" t="str">
        <x:f>IF(Master!L599="","",Master!L599)</x:f>
        <x:v>Solo-maintainer project; MIT-licensed public repository</x:v>
      </x:c>
      <x:c r="L21" s="4" t="str">
        <x:f>IF(Master!M599="","",Master!M599)</x:f>
      </x:c>
      <x:c r="M21" s="4" t="str">
        <x:f>IF(Master!N599="","",Master!N599)</x:f>
      </x:c>
      <x:c r="N21" s="4" t="str">
        <x:f>IF(Master!O599="","",Master!O599)</x:f>
      </x:c>
      <x:c r="O21" s="4" t="str">
        <x:f>IF(Master!P599="","",Master!P599)</x:f>
      </x:c>
      <x:c r="P21" s="4" t="str">
        <x:f>IF(Master!Q599="","",Master!Q599)</x:f>
      </x:c>
      <x:c r="Q21" s="4" t="str">
        <x:f>IF(Master!R599="","",Master!R599)</x:f>
      </x:c>
      <x:c r="R21" s="4" t="str">
        <x:f>IF(Master!S599="","",Master!S599)</x:f>
      </x:c>
      <x:c r="S21" s="4" t="str">
        <x:f>IF(Master!T599="","",Master!T599)</x:f>
      </x:c>
      <x:c r="T21" s="4" t="str">
        <x:f>IF(Master!U599="","",Master!U599)</x:f>
        <x:v>Independent project; AGPL development in the open</x:v>
      </x:c>
      <x:c r="U21" s="4" t="str">
        <x:f>IF(Master!V599="","",Master!V599)</x:f>
      </x:c>
      <x:c r="V21" s="4" t="str">
        <x:f>IF(Master!W599="","",Master!W599)</x:f>
      </x:c>
      <x:c r="W21" s="4" t="str">
        <x:f>IF(Master!X599="","",Master!X599)</x:f>
      </x:c>
      <x:c r="X21" s="4" t="str">
        <x:f>IF(Master!Y599="","",Master!Y599)</x:f>
      </x:c>
      <x:c r="Y21" s="4" t="str">
        <x:f>IF(Master!Z599="","",Master!Z599)</x:f>
      </x:c>
      <x:c r="Z21" s="4" t="str">
        <x:f>IF(Master!AA599="","",Master!AA599)</x:f>
      </x:c>
      <x:c r="AA21" s="5" t="str">
        <x:f>IF(Master!AB599="","",Master!AB599)</x:f>
      </x:c>
      <x:c r="AB21" s="4" t="str">
        <x:f>IF(Master!AC599="","",Master!AC599)</x:f>
      </x:c>
      <x:c r="AC21" s="4" t="str">
        <x:f>IF(Master!AD599="","",Master!AD599)</x:f>
      </x:c>
      <x:c r="AD21" s="4" t="str">
        <x:f>IF(Master!AE599="","",Master!AE599)</x:f>
      </x:c>
      <x:c r="AE21" s="4" t="str">
        <x:f>IF(Master!AF599="","",Master!AF599)</x:f>
      </x:c>
      <x:c r="AF21" s="8" t="str">
        <x:f>IF(Master!AG599="","",Master!AG599)</x:f>
      </x:c>
    </x:row>
    <x:row r="22" ht="21.950000762939453" customHeight="1">
      <x:c r="A22" s="18" t="s">
        <x:v>872</x:v>
      </x:c>
      <x:c r="B22" s="18" t="str">
        <x:f t="shared" ref="B22:AF22" si="3">IF(""="","","")</x:f>
      </x:c>
      <x:c r="C22" s="18" t="str">
        <x:f t="shared" si="3"/>
      </x:c>
      <x:c r="D22" s="18" t="str">
        <x:f t="shared" si="3"/>
      </x:c>
      <x:c r="E22" s="18" t="str">
        <x:f t="shared" si="3"/>
      </x:c>
      <x:c r="F22" s="18" t="str">
        <x:f t="shared" si="3"/>
      </x:c>
      <x:c r="G22" s="18" t="str">
        <x:f t="shared" si="3"/>
      </x:c>
      <x:c r="H22" s="18" t="str">
        <x:f t="shared" si="3"/>
      </x:c>
      <x:c r="I22" s="18" t="str">
        <x:f t="shared" si="3"/>
      </x:c>
      <x:c r="J22" s="18" t="str">
        <x:f t="shared" si="3"/>
      </x:c>
      <x:c r="K22" s="18" t="str">
        <x:f t="shared" si="3"/>
      </x:c>
      <x:c r="L22" s="18" t="str">
        <x:f t="shared" si="3"/>
      </x:c>
      <x:c r="M22" s="18" t="str">
        <x:f t="shared" si="3"/>
      </x:c>
      <x:c r="N22" s="18" t="str">
        <x:f t="shared" si="3"/>
      </x:c>
      <x:c r="O22" s="18" t="str">
        <x:f t="shared" si="3"/>
      </x:c>
      <x:c r="P22" s="18" t="str">
        <x:f t="shared" si="3"/>
      </x:c>
      <x:c r="Q22" s="18" t="str">
        <x:f t="shared" si="3"/>
      </x:c>
      <x:c r="R22" s="18" t="str">
        <x:f t="shared" si="3"/>
      </x:c>
      <x:c r="S22" s="18" t="str">
        <x:f t="shared" si="3"/>
      </x:c>
      <x:c r="T22" s="18" t="str">
        <x:f t="shared" si="3"/>
      </x:c>
      <x:c r="U22" s="18" t="str">
        <x:f t="shared" si="3"/>
      </x:c>
      <x:c r="V22" s="18" t="str">
        <x:f t="shared" si="3"/>
      </x:c>
      <x:c r="W22" s="18" t="str">
        <x:f t="shared" si="3"/>
      </x:c>
      <x:c r="X22" s="18" t="str">
        <x:f t="shared" si="3"/>
      </x:c>
      <x:c r="Y22" s="18" t="str">
        <x:f t="shared" si="3"/>
      </x:c>
      <x:c r="Z22" s="18" t="str">
        <x:f t="shared" si="3"/>
      </x:c>
      <x:c r="AA22" s="18" t="str">
        <x:f t="shared" si="3"/>
      </x:c>
      <x:c r="AB22" s="18" t="str">
        <x:f t="shared" si="3"/>
      </x:c>
      <x:c r="AC22" s="18" t="str">
        <x:f t="shared" si="3"/>
      </x:c>
      <x:c r="AD22" s="18" t="str">
        <x:f t="shared" si="3"/>
      </x:c>
      <x:c r="AE22" s="18" t="str">
        <x:f t="shared" si="3"/>
      </x:c>
      <x:c r="AF22" s="19" t="str">
        <x:f t="shared" si="3"/>
      </x:c>
    </x:row>
    <x:row r="23" ht="36" customHeight="1">
      <x:c r="A23" s="17" t="s">
        <x:v>873</x:v>
      </x:c>
      <x:c r="B23" s="3" t="str">
        <x:f>IF(Master!C600="","",Master!C600)</x:f>
        <x:v>Stable + PTB/Beta + Canary</x:v>
      </x:c>
      <x:c r="C23" s="3" t="str">
        <x:f>IF(Master!D600="","",Master!D600)</x:f>
        <x:v>Beta rolling</x:v>
      </x:c>
      <x:c r="D23" s="3" t="str">
        <x:f>IF(Master!E600="","",Master!E600)</x:f>
        <x:v>Frequent beta releases</x:v>
      </x:c>
      <x:c r="E23" s="3" t="str">
        <x:f>IF(Master!F600="","",Master!F600)</x:f>
        <x:v>Frequent product updates</x:v>
      </x:c>
      <x:c r="F23" s="3" t="str">
        <x:f>IF(Master!G600="","",Master!G600)</x:f>
        <x:v>Alpha continuous deployment</x:v>
      </x:c>
      <x:c r="G23" s="3" t="str">
        <x:f>IF(Master!H600="","",Master!H600)</x:f>
        <x:v>Stable/canary + beta mobile</x:v>
      </x:c>
      <x:c r="H23" s="3" t="str">
        <x:f>IF(Master!I600="","",Master!I600)</x:f>
        <x:v>Open beta rolling releases</x:v>
      </x:c>
      <x:c r="I23" s="3" t="str">
        <x:f>IF(Master!J600="","",Master!J600)</x:f>
        <x:v>Early rolling</x:v>
      </x:c>
      <x:c r="J23" s="3" t="str">
        <x:f>IF(Master!K600="","",Master!K600)</x:f>
        <x:v>Rapid alpha/beta releases</x:v>
      </x:c>
      <x:c r="K23" s="3" t="str">
        <x:f>IF(Master!L600="","",Master!L600)</x:f>
        <x:v>A few releases per week during current active-development phase; expected to slow (developer report)</x:v>
      </x:c>
      <x:c r="L23" s="3" t="str">
        <x:f>IF(Master!M600="","",Master!M600)</x:f>
        <x:v>Alpha rolling</x:v>
      </x:c>
      <x:c r="M23" s="3" t="str">
        <x:f>IF(Master!N600="","",Master!N600)</x:f>
        <x:v>Open-beta rolling</x:v>
      </x:c>
      <x:c r="N23" s="3" t="str">
        <x:f>IF(Master!O600="","",Master!O600)</x:f>
        <x:v>Matrix spec releases + independent client/server release cadences</x:v>
      </x:c>
      <x:c r="O23" s="3" t="str">
        <x:f>IF(Master!P600="","",Master!P600)</x:f>
        <x:v>Monthly releases + ESR</x:v>
      </x:c>
      <x:c r="P23" s="3" t="str">
        <x:f>IF(Master!Q600="","",Master!Q600)</x:f>
        <x:v>Active releases</x:v>
      </x:c>
      <x:c r="Q23" s="3" t="str">
        <x:f>IF(Master!R600="","",Master!R600)</x:f>
        <x:v>Stable releases</x:v>
      </x:c>
      <x:c r="R23" s="3" t="str">
        <x:f>IF(Master!S600="","",Master!S600)</x:f>
        <x:v>Frequent GitHub releases</x:v>
      </x:c>
      <x:c r="S23" s="3" t="str">
        <x:f>IF(Master!T600="","",Master!T600)</x:f>
        <x:v>Frequent beta updates</x:v>
      </x:c>
      <x:c r="T23" s="3" t="str">
        <x:f>IF(Master!U600="","",Master!U600)</x:f>
        <x:v>Active releases; see https://pqp.gg/blog</x:v>
      </x:c>
      <x:c r="U23" s="3" t="str">
        <x:f>IF(Master!V600="","",Master!V600)</x:f>
        <x:v>Nightly</x:v>
      </x:c>
      <x:c r="V23" s="3" t="str">
        <x:f>IF(Master!W600="","",Master!W600)</x:f>
        <x:v>Frequent stable/enterprise releases</x:v>
      </x:c>
      <x:c r="W23" s="3" t="str">
        <x:f>IF(Master!X600="","",Master!X600)</x:f>
        <x:v>Experimental rolling</x:v>
      </x:c>
      <x:c r="X23" s="3" t="str">
        <x:f>IF(Master!Y600="","",Master!Y600)</x:f>
        <x:v>Frequent product updates</x:v>
      </x:c>
      <x:c r="Y23" s="3" t="str">
        <x:f>IF(Master!Z600="","",Master!Z600)</x:f>
        <x:v>Rolling alpha/dev</x:v>
      </x:c>
      <x:c r="Z23" s="3" t="str">
        <x:f>IF(Master!AA600="","",Master!AA600)</x:f>
        <x:v>Rolling web/backend releases</x:v>
      </x:c>
      <x:c r="AA23" s="6" t="str">
        <x:f>IF(Master!AB600="","",Master!AB600)</x:f>
        <x:v>TS6 Beta + TS3 stable maintenance</x:v>
      </x:c>
      <x:c r="AB23" s="3" t="str">
        <x:f>IF(Master!AC600="","",Master!AC600)</x:f>
        <x:v>Alpha rolling</x:v>
      </x:c>
      <x:c r="AC23" s="3" t="str">
        <x:f>IF(Master!AD600="","",Master!AD600)</x:f>
        <x:v>Alpha rolling</x:v>
      </x:c>
      <x:c r="AD23" s="3" t="str">
        <x:f>IF(Master!AE600="","",Master!AE600)</x:f>
        <x:v>Ships frequently/public beta</x:v>
      </x:c>
      <x:c r="AE23" s="3" t="str">
        <x:f>IF(Master!AF600="","",Master!AF600)</x:f>
        <x:v>Active beta</x:v>
      </x:c>
      <x:c r="AF23" s="8" t="str">
        <x:f>IF(Master!AG600="","",Master!AG600)</x:f>
        <x:v>Frequent stable releases</x:v>
      </x:c>
    </x:row>
    <x:row r="24" ht="36" customHeight="1">
      <x:c r="A24" s="17" t="s">
        <x:v>874</x:v>
      </x:c>
      <x:c r="B24" s="3" t="str">
        <x:f>IF(Master!C601="","",Master!C601)</x:f>
        <x:v>N/A for core proprietary code; selected open-source components/SDKs have public activity</x:v>
      </x:c>
      <x:c r="C24" s="3" t="str">
        <x:f>IF(Master!D601="","",Master!D601)</x:f>
        <x:v>Active GitHub</x:v>
      </x:c>
      <x:c r="D24" s="3" t="str">
        <x:f>IF(Master!E601="","",Master!E601)</x:f>
        <x:v>High public GitHub activity</x:v>
      </x:c>
      <x:c r="E24" s="3" t="str">
        <x:f>IF(Master!F601="","",Master!F601)</x:f>
        <x:v>Closed/private code</x:v>
      </x:c>
      <x:c r="F24" s="3" t="str">
        <x:f>IF(Master!G601="","",Master!G601)</x:f>
        <x:v>Private codebase; public commit velocity unavailable</x:v>
      </x:c>
      <x:c r="G24" s="3" t="str">
        <x:f>IF(Master!H601="","",Master!H601)</x:f>
        <x:v>High public GitHub activity</x:v>
      </x:c>
      <x:c r="H24" s="3" t="str">
        <x:f>IF(Master!I601="","",Master!I601)</x:f>
        <x:v>Active 2026 development</x:v>
      </x:c>
      <x:c r="I24" s="3" t="str">
        <x:f>IF(Master!J601="","",Master!J601)</x:f>
        <x:v>Active Codeberg/GitHub</x:v>
      </x:c>
      <x:c r="J24" s="3" t="str">
        <x:f>IF(Master!K601="","",Master!K601)</x:f>
        <x:v>High solo commit velocity</x:v>
      </x:c>
      <x:c r="K24" s="3" t="str">
        <x:f>IF(Master!L601="","",Master!L601)</x:f>
        <x:v>High: public repository shows 247 commits at verification; developer reports 6 to 10 hours/day of current work</x:v>
      </x:c>
      <x:c r="L24" s="3" t="str">
        <x:f>IF(Master!M601="","",Master!M601)</x:f>
        <x:v>Active</x:v>
      </x:c>
      <x:c r="M24" s="3" t="str">
        <x:f>IF(Master!N601="","",Master!N601)</x:f>
        <x:v>Active</x:v>
      </x:c>
      <x:c r="N24" s="3" t="str">
        <x:f>IF(Master!O601="","",Master!O601)</x:f>
        <x:v>High across spec and ecosystem repos</x:v>
      </x:c>
      <x:c r="O24" s="3" t="str">
        <x:f>IF(Master!P601="","",Master!P601)</x:f>
        <x:v>High public GitHub activity</x:v>
      </x:c>
      <x:c r="P24" s="3" t="str">
        <x:f>IF(Master!Q601="","",Master!Q601)</x:f>
        <x:v>Active GitHub</x:v>
      </x:c>
      <x:c r="Q24" s="3" t="str">
        <x:f>IF(Master!R601="","",Master!R601)</x:f>
        <x:v>Active public GitHub</x:v>
      </x:c>
      <x:c r="R24" s="3" t="str">
        <x:f>IF(Master!S601="","",Master!S601)</x:f>
        <x:v>Active GitHub</x:v>
      </x:c>
      <x:c r="S24" s="3" t="str">
        <x:f>IF(Master!T601="","",Master!T601)</x:f>
        <x:v>Active development</x:v>
      </x:c>
      <x:c r="T24" s="3" t="str">
        <x:f>IF(Master!U601="","",Master!U601)</x:f>
        <x:v>Active public GitHub repository</x:v>
      </x:c>
      <x:c r="U24" s="3" t="str">
        <x:f>IF(Master!V601="","",Master!V601)</x:f>
        <x:v>Closed source</x:v>
      </x:c>
      <x:c r="V24" s="3" t="str">
        <x:f>IF(Master!W601="","",Master!W601)</x:f>
        <x:v>High public GitHub activity</x:v>
      </x:c>
      <x:c r="W24" s="3" t="str">
        <x:f>IF(Master!X601="","",Master!X601)</x:f>
        <x:v>Active GitHub</x:v>
      </x:c>
      <x:c r="X24" s="3" t="str">
        <x:f>IF(Master!Y601="","",Master!Y601)</x:f>
        <x:v>Closed source: commit velocity not public</x:v>
      </x:c>
      <x:c r="Y24" s="3" t="str">
        <x:f>IF(Master!Z601="","",Master!Z601)</x:f>
        <x:v>Active GitHub development</x:v>
      </x:c>
      <x:c r="Z24" s="3" t="str">
        <x:f>IF(Master!AA601="","",Master!AA601)</x:f>
        <x:v>High: active GitHub development in 2026</x:v>
      </x:c>
      <x:c r="AA24" s="6" t="str">
        <x:f>IF(Master!AB601="","",Master!AB601)</x:f>
        <x:v>Closed source; public commit velocity N/A</x:v>
      </x:c>
      <x:c r="AB24" s="3" t="str">
        <x:f>IF(Master!AC601="","",Master!AC601)</x:f>
        <x:v>Active GitHub</x:v>
      </x:c>
      <x:c r="AC24" s="3" t="str">
        <x:f>IF(Master!AD601="","",Master!AD601)</x:f>
        <x:v>Active GitHub backend</x:v>
      </x:c>
      <x:c r="AD24" s="3" t="str">
        <x:f>IF(Master!AE601="","",Master!AE601)</x:f>
        <x:v>Source-available active repository</x:v>
      </x:c>
      <x:c r="AE24" s="3" t="str">
        <x:f>IF(Master!AF601="","",Master!AF601)</x:f>
        <x:v>Active</x:v>
      </x:c>
      <x:c r="AF24" s="8" t="str">
        <x:f>IF(Master!AG601="","",Master!AG601)</x:f>
        <x:v>High public GitHub activity</x:v>
      </x:c>
    </x:row>
    <x:row r="25" ht="36" customHeight="1">
      <x:c r="A25" s="17" t="s">
        <x:v>856</x:v>
      </x:c>
      <x:c r="B25" s="3" t="str">
        <x:f>IF(Master!C602="","",Master!C602)</x:f>
        <x:v>Limited: no comprehensive public product roadmap; blogs/changelogs announce plans and releases</x:v>
      </x:c>
      <x:c r="C25" s="3" t="str">
        <x:f>IF(Master!D602="","",Master!D602)</x:f>
        <x:v>Public repos</x:v>
      </x:c>
      <x:c r="D25" s="3" t="str">
        <x:f>IF(Master!E602="","",Master!E602)</x:f>
        <x:v>public documentation/GitHub</x:v>
      </x:c>
      <x:c r="E25" s="3" t="str">
        <x:f>IF(Master!F602="","",Master!F602)</x:f>
        <x:v>Public site</x:v>
      </x:c>
      <x:c r="F25" s="3" t="str">
        <x:f>IF(Master!G602="","",Master!G602)</x:f>
        <x:v>Public roadmap/story posts</x:v>
      </x:c>
      <x:c r="G25" s="3" t="str">
        <x:f>IF(Master!H602="","",Master!H602)</x:f>
        <x:v>Public 2026 roadmap</x:v>
      </x:c>
      <x:c r="H25" s="3" t="str">
        <x:f>IF(Master!I602="","",Master!I602)</x:f>
        <x:v>Public site/press</x:v>
      </x:c>
      <x:c r="I25" s="3" t="str">
        <x:f>IF(Master!J602="","",Master!J602)</x:f>
        <x:v>Public roadmap</x:v>
      </x:c>
      <x:c r="J25" s="3" t="str">
        <x:f>IF(Master!K602="","",Master!K602)</x:f>
        <x:v>Public roadmap/issues</x:v>
      </x:c>
      <x:c r="K25" s="3" t="str">
        <x:f>IF(Master!L602="","",Master!L602)</x:f>
        <x:v>Yes: active roadmap in the official Kaede community (developer report)</x:v>
      </x:c>
      <x:c r="L25" s="3" t="str">
        <x:f>IF(Master!M602="","",Master!M602)</x:f>
        <x:v>Public site</x:v>
      </x:c>
      <x:c r="M25" s="3" t="str">
        <x:f>IF(Master!N602="","",Master!N602)</x:f>
        <x:v>Public feature tracker</x:v>
      </x:c>
      <x:c r="N25" s="3" t="str">
        <x:f>IF(Master!O602="","",Master!O602)</x:f>
        <x:v>Public spec roadmap/MSC process</x:v>
      </x:c>
      <x:c r="O25" s="3" t="str">
        <x:f>IF(Master!P602="","",Master!P602)</x:f>
        <x:v>Public product roadmap/release documentation</x:v>
      </x:c>
      <x:c r="P25" s="3" t="str">
        <x:f>IF(Master!Q602="","",Master!Q602)</x:f>
        <x:v>public documentation/blog</x:v>
      </x:c>
      <x:c r="Q25" s="3" t="str">
        <x:f>IF(Master!R602="","",Master!R602)</x:f>
        <x:v>Public GitHub milestones/issues</x:v>
      </x:c>
      <x:c r="R25" s="3" t="str">
        <x:f>IF(Master!S602="","",Master!S602)</x:f>
        <x:v>Public GitHub</x:v>
      </x:c>
      <x:c r="S25" s="3" t="str">
        <x:f>IF(Master!T602="","",Master!T602)</x:f>
        <x:v>Public updates</x:v>
      </x:c>
      <x:c r="T25" s="3" t="str">
        <x:f>IF(Master!U602="","",Master!U602)</x:f>
        <x:v>Public site/GitHub</x:v>
      </x:c>
      <x:c r="U25" s="3" t="str">
        <x:f>IF(Master!V602="","",Master!V602)</x:f>
        <x:v>Public site/updates</x:v>
      </x:c>
      <x:c r="V25" s="3" t="str">
        <x:f>IF(Master!W602="","",Master!W602)</x:f>
        <x:v>Public roadmap/release documentation</x:v>
      </x:c>
      <x:c r="W25" s="3" t="str">
        <x:f>IF(Master!X602="","",Master!X602)</x:f>
        <x:v>Public GitHub</x:v>
      </x:c>
      <x:c r="X25" s="3" t="str">
        <x:f>IF(Master!Y602="","",Master!Y602)</x:f>
      </x:c>
      <x:c r="Y25" s="3" t="str">
        <x:f>IF(Master!Z602="","",Master!Z602)</x:f>
        <x:v>Public GitHub roadmap/issues</x:v>
      </x:c>
      <x:c r="Z25" s="3" t="str">
        <x:f>IF(Master!AA602="","",Master!AA602)</x:f>
        <x:v>Public GitHub issues/projects + update posts</x:v>
      </x:c>
      <x:c r="AA25" s="6" t="str">
        <x:f>IF(Master!AB602="","",Master!AB602)</x:f>
        <x:v>Product roadmap/announcements</x:v>
      </x:c>
      <x:c r="AB25" s="3" t="str">
        <x:f>IF(Master!AC602="","",Master!AC602)</x:f>
        <x:v>Public roadmap/issues</x:v>
      </x:c>
      <x:c r="AC25" s="3" t="str">
        <x:f>IF(Master!AD602="","",Master!AD602)</x:f>
        <x:v>Public subreddit/GitHub</x:v>
      </x:c>
      <x:c r="AD25" s="3" t="str">
        <x:f>IF(Master!AE602="","",Master!AE602)</x:f>
        <x:v>Public site</x:v>
      </x:c>
      <x:c r="AE25" s="3" t="str">
        <x:f>IF(Master!AF602="","",Master!AF602)</x:f>
        <x:v>Public roadmap</x:v>
      </x:c>
      <x:c r="AF25" s="8" t="str">
        <x:f>IF(Master!AG602="","",Master!AG602)</x:f>
        <x:v>Public roadmap/issues</x:v>
      </x:c>
    </x:row>
    <x:row r="26" ht="36" customHeight="1">
      <x:c r="A26" s="17" t="s">
        <x:v>875</x:v>
      </x:c>
      <x:c r="B26" s="3" t="str">
        <x:f>IF(Master!C603="","",Master!C603)</x:f>
        <x:v>N/A for core product: no public core GitHub issue tracker; support and feedback channels are used.</x:v>
      </x:c>
      <x:c r="C26" s="3" t="str">
        <x:f>IF(Master!D603="","",Master!D603)</x:f>
        <x:v>Public issues</x:v>
      </x:c>
      <x:c r="D26" s="3" t="str">
        <x:f>IF(Master!E603="","",Master!E603)</x:f>
        <x:v>Public issues</x:v>
      </x:c>
      <x:c r="E26" s="3" t="str">
        <x:f>IF(Master!F603="","",Master!F603)</x:f>
        <x:v>Feedback/support</x:v>
      </x:c>
      <x:c r="F26" s="3" t="str">
        <x:f>IF(Master!G603="","",Master!G603)</x:f>
      </x:c>
      <x:c r="G26" s="3" t="str">
        <x:f>IF(Master!H603="","",Master!H603)</x:f>
        <x:v>Public GitHub issues</x:v>
      </x:c>
      <x:c r="H26" s="3" t="str">
        <x:f>IF(Master!I603="","",Master!I603)</x:f>
        <x:v>Support/community feedback</x:v>
      </x:c>
      <x:c r="I26" s="3" t="str">
        <x:f>IF(Master!J603="","",Master!J603)</x:f>
        <x:v>Public issues</x:v>
      </x:c>
      <x:c r="J26" s="3" t="str">
        <x:f>IF(Master!K603="","",Master!K603)</x:f>
        <x:v>GitHub</x:v>
      </x:c>
      <x:c r="K26" s="3" t="str">
        <x:f>IF(Master!L603="","",Master!L603)</x:f>
        <x:v>Yes: GitHub Issues</x:v>
      </x:c>
      <x:c r="L26" s="3" t="str">
        <x:f>IF(Master!M603="","",Master!M603)</x:f>
        <x:v>Support/community</x:v>
      </x:c>
      <x:c r="M26" s="3" t="str">
        <x:f>IF(Master!N603="","",Master!N603)</x:f>
        <x:v>Community feedback</x:v>
      </x:c>
      <x:c r="N26" s="3" t="str">
        <x:f>IF(Master!O603="","",Master!O603)</x:f>
        <x:v>Public GitHub issue/MSC processes</x:v>
      </x:c>
      <x:c r="O26" s="3" t="str">
        <x:f>IF(Master!P603="","",Master!P603)</x:f>
        <x:v>Public GitHub issues/support</x:v>
      </x:c>
      <x:c r="P26" s="3" t="str">
        <x:f>IF(Master!Q603="","",Master!Q603)</x:f>
        <x:v>GitHub issues</x:v>
      </x:c>
      <x:c r="Q26" s="3" t="str">
        <x:f>IF(Master!R603="","",Master!R603)</x:f>
        <x:v>Public issues</x:v>
      </x:c>
      <x:c r="R26" s="3" t="str">
        <x:f>IF(Master!S603="","",Master!S603)</x:f>
        <x:v>Public issues</x:v>
      </x:c>
      <x:c r="S26" s="3" t="str">
        <x:f>IF(Master!T603="","",Master!T603)</x:f>
        <x:v>Community support</x:v>
      </x:c>
      <x:c r="T26" s="3" t="str">
        <x:f>IF(Master!U603="","",Master!U603)</x:f>
        <x:v>GitHub/support</x:v>
      </x:c>
      <x:c r="U26" s="3" t="str">
        <x:f>IF(Master!V603="","",Master!V603)</x:f>
        <x:v>Support</x:v>
      </x:c>
      <x:c r="V26" s="3" t="str">
        <x:f>IF(Master!W603="","",Master!W603)</x:f>
        <x:v>Public GitHub issues</x:v>
      </x:c>
      <x:c r="W26" s="3" t="str">
        <x:f>IF(Master!X603="","",Master!X603)</x:f>
        <x:v>Public issues</x:v>
      </x:c>
      <x:c r="X26" s="3" t="str">
        <x:f>IF(Master!Y603="","",Master!Y603)</x:f>
        <x:v>Private issue process/support</x:v>
      </x:c>
      <x:c r="Y26" s="3" t="str">
        <x:f>IF(Master!Z603="","",Master!Z603)</x:f>
        <x:v>Public GitHub issues</x:v>
      </x:c>
      <x:c r="Z26" s="3" t="str">
        <x:f>IF(Master!AA603="","",Master!AA603)</x:f>
        <x:v>Public issue trackers</x:v>
      </x:c>
      <x:c r="AA26" s="6" t="str">
        <x:f>IF(Master!AB603="","",Master!AB603)</x:f>
        <x:v>Support/feedback</x:v>
      </x:c>
      <x:c r="AB26" s="3" t="str">
        <x:f>IF(Master!AC603="","",Master!AC603)</x:f>
        <x:v>GitHub issues</x:v>
      </x:c>
      <x:c r="AC26" s="3" t="str">
        <x:f>IF(Master!AD603="","",Master!AD603)</x:f>
        <x:v>GitHub issues</x:v>
      </x:c>
      <x:c r="AD26" s="3" t="str">
        <x:f>IF(Master!AE603="","",Master!AE603)</x:f>
        <x:v>Support</x:v>
      </x:c>
      <x:c r="AE26" s="3" t="str">
        <x:f>IF(Master!AF603="","",Master!AF603)</x:f>
        <x:v>Support</x:v>
      </x:c>
      <x:c r="AF26" s="8" t="str">
        <x:f>IF(Master!AG603="","",Master!AG603)</x:f>
        <x:v>Public GitHub issues</x:v>
      </x:c>
    </x:row>
    <x:row r="27" ht="36" customHeight="1">
      <x:c r="A27" s="17" t="s">
        <x:v>876</x:v>
      </x:c>
      <x:c r="B27" s="3" t="str">
        <x:f>IF(Master!C604="","",Master!C604)</x:f>
        <x:v>Yes: public changelogs, patch notes, support updates, and developer changelog</x:v>
      </x:c>
      <x:c r="C27" s="3" t="str">
        <x:f>IF(Master!D604="","",Master!D604)</x:f>
        <x:v>Git history</x:v>
      </x:c>
      <x:c r="D27" s="3" t="str">
        <x:f>IF(Master!E604="","",Master!E604)</x:f>
        <x:v>Many GitHub releases</x:v>
      </x:c>
      <x:c r="E27" s="3" t="str">
        <x:f>IF(Master!F604="","",Master!F604)</x:f>
        <x:v>App release notes</x:v>
      </x:c>
      <x:c r="F27" s="3" t="str">
        <x:f>IF(Master!G604="","",Master!G604)</x:f>
      </x:c>
      <x:c r="G27" s="3" t="str">
        <x:f>IF(Master!H604="","",Master!H604)</x:f>
        <x:v>Public blog/changelog</x:v>
      </x:c>
      <x:c r="H27" s="3" t="str">
        <x:f>IF(Master!I604="","",Master!I604)</x:f>
        <x:v>Public updates/press</x:v>
      </x:c>
      <x:c r="I27" s="3" t="str">
        <x:f>IF(Master!J604="","",Master!J604)</x:f>
        <x:v>Public commits</x:v>
      </x:c>
      <x:c r="J27" s="3" t="str">
        <x:f>IF(Master!K604="","",Master!K604)</x:f>
        <x:v>GitHub releases</x:v>
      </x:c>
      <x:c r="K27" s="3" t="str">
        <x:f>IF(Master!L604="","",Master!L604)</x:f>
        <x:v>No conventional public changelog or release-note stream found; repository history is active.</x:v>
      </x:c>
      <x:c r="L27" s="3" t="str">
        <x:f>IF(Master!M604="","",Master!M604)</x:f>
        <x:v>Public updates</x:v>
      </x:c>
      <x:c r="M27" s="3" t="str">
        <x:f>IF(Master!N604="","",Master!N604)</x:f>
        <x:v>Public site updates</x:v>
      </x:c>
      <x:c r="N27" s="3" t="str">
        <x:f>IF(Master!O604="","",Master!O604)</x:f>
        <x:v>Public specification changelogs and project release notes</x:v>
      </x:c>
      <x:c r="O27" s="3" t="str">
        <x:f>IF(Master!P604="","",Master!P604)</x:f>
        <x:v>Public release notes</x:v>
      </x:c>
      <x:c r="P27" s="3" t="str">
        <x:f>IF(Master!Q604="","",Master!Q604)</x:f>
        <x:v>public documentation/blog</x:v>
      </x:c>
      <x:c r="Q27" s="3" t="str">
        <x:f>IF(Master!R604="","",Master!R604)</x:f>
        <x:v>Public releases/changelog</x:v>
      </x:c>
      <x:c r="R27" s="3" t="str">
        <x:f>IF(Master!S604="","",Master!S604)</x:f>
        <x:v>GitHub releases</x:v>
      </x:c>
      <x:c r="S27" s="3" t="str">
        <x:f>IF(Master!T604="","",Master!T604)</x:f>
        <x:v>Public changelog/blog</x:v>
      </x:c>
      <x:c r="T27" s="3" t="str">
        <x:f>IF(Master!U604="","",Master!U604)</x:f>
        <x:v>Yes: https://pqp.gg/blog</x:v>
      </x:c>
      <x:c r="U27" s="3" t="str">
        <x:f>IF(Master!V604="","",Master!V604)</x:f>
        <x:v>Public site updates</x:v>
      </x:c>
      <x:c r="V27" s="3" t="str">
        <x:f>IF(Master!W604="","",Master!W604)</x:f>
        <x:v>Public release notes</x:v>
      </x:c>
      <x:c r="W27" s="3" t="str">
        <x:f>IF(Master!X604="","",Master!X604)</x:f>
        <x:v>GitHub commits</x:v>
      </x:c>
      <x:c r="X27" s="3" t="str">
        <x:f>IF(Master!Y604="","",Master!Y604)</x:f>
        <x:v>Public changelog/help documentation</x:v>
      </x:c>
      <x:c r="Y27" s="3" t="str">
        <x:f>IF(Master!Z604="","",Master!Z604)</x:f>
        <x:v>GitHub releases/commits</x:v>
      </x:c>
      <x:c r="Z27" s="3" t="str">
        <x:f>IF(Master!AA604="","",Master!AA604)</x:f>
        <x:v>Yes: GitHub changelogs/releases and Stoat updates</x:v>
      </x:c>
      <x:c r="AA27" s="6" t="str">
        <x:f>IF(Master!AB604="","",Master!AB604)</x:f>
        <x:v>Public news/release notes</x:v>
      </x:c>
      <x:c r="AB27" s="3" t="str">
        <x:f>IF(Master!AC604="","",Master!AC604)</x:f>
        <x:v>GitHub releases</x:v>
      </x:c>
      <x:c r="AC27" s="3" t="str">
        <x:f>IF(Master!AD604="","",Master!AD604)</x:f>
        <x:v>Public updates</x:v>
      </x:c>
      <x:c r="AD27" s="3" t="str">
        <x:f>IF(Master!AE604="","",Master!AE604)</x:f>
        <x:v>Public site/repository</x:v>
      </x:c>
      <x:c r="AE27" s="3" t="str">
        <x:f>IF(Master!AF604="","",Master!AF604)</x:f>
        <x:v>Public roadmap/updates</x:v>
      </x:c>
      <x:c r="AF27" s="8" t="str">
        <x:f>IF(Master!AG604="","",Master!AG604)</x:f>
        <x:v>Public release notes</x:v>
      </x:c>
    </x:row>
    <x:row r="28" ht="36" customHeight="1">
      <x:c r="A28" s="17" t="s">
        <x:v>857</x:v>
      </x:c>
      <x:c r="B28" s="3" t="str">
        <x:f>IF(Master!C618="","",Master!C618)</x:f>
        <x:v>Yes</x:v>
      </x:c>
      <x:c r="C28" s="3" t="str">
        <x:f>IF(Master!D618="","",Master!D618)</x:f>
      </x:c>
      <x:c r="D28" s="3" t="str">
        <x:f>IF(Master!E618="","",Master!E618)</x:f>
      </x:c>
      <x:c r="E28" s="3" t="str">
        <x:f>IF(Master!F618="","",Master!F618)</x:f>
      </x:c>
      <x:c r="F28" s="3" t="str">
        <x:f>IF(Master!G618="","",Master!G618)</x:f>
      </x:c>
      <x:c r="G28" s="3" t="str">
        <x:f>IF(Master!H618="","",Master!H618)</x:f>
      </x:c>
      <x:c r="H28" s="3" t="str">
        <x:f>IF(Master!I618="","",Master!I618)</x:f>
      </x:c>
      <x:c r="I28" s="3" t="str">
        <x:f>IF(Master!J618="","",Master!J618)</x:f>
      </x:c>
      <x:c r="J28" s="3" t="str">
        <x:f>IF(Master!K618="","",Master!K618)</x:f>
      </x:c>
      <x:c r="K28" s="3" t="str">
        <x:f>IF(Master!L618="","",Master!L618)</x:f>
        <x:v>No public security advisories located</x:v>
      </x:c>
      <x:c r="L28" s="3" t="str">
        <x:f>IF(Master!M618="","",Master!M618)</x:f>
      </x:c>
      <x:c r="M28" s="3" t="str">
        <x:f>IF(Master!N618="","",Master!N618)</x:f>
      </x:c>
      <x:c r="N28" s="3" t="str">
        <x:f>IF(Master!O618="","",Master!O618)</x:f>
        <x:v>Yes</x:v>
      </x:c>
      <x:c r="O28" s="3" t="str">
        <x:f>IF(Master!P618="","",Master!P618)</x:f>
        <x:v>Yes</x:v>
      </x:c>
      <x:c r="P28" s="3" t="str">
        <x:f>IF(Master!Q618="","",Master!Q618)</x:f>
      </x:c>
      <x:c r="Q28" s="3" t="str">
        <x:f>IF(Master!R618="","",Master!R618)</x:f>
        <x:v>Yes</x:v>
      </x:c>
      <x:c r="R28" s="3" t="str">
        <x:f>IF(Master!S618="","",Master!S618)</x:f>
      </x:c>
      <x:c r="S28" s="3" t="str">
        <x:f>IF(Master!T618="","",Master!T618)</x:f>
      </x:c>
      <x:c r="T28" s="3" t="str">
        <x:f>IF(Master!U618="","",Master!U618)</x:f>
        <x:v>No public breach/CVE story; security contact is published</x:v>
      </x:c>
      <x:c r="U28" s="3" t="str">
        <x:f>IF(Master!V618="","",Master!V618)</x:f>
        <x:v>No Known</x:v>
      </x:c>
      <x:c r="V28" s="3" t="str">
        <x:f>IF(Master!W618="","",Master!W618)</x:f>
        <x:v>Yes</x:v>
      </x:c>
      <x:c r="W28" s="3" t="str">
        <x:f>IF(Master!X618="","",Master!X618)</x:f>
      </x:c>
      <x:c r="X28" s="3" t="str">
        <x:f>IF(Master!Y618="","",Master!Y618)</x:f>
      </x:c>
      <x:c r="Y28" s="3" t="str">
        <x:f>IF(Master!Z618="","",Master!Z618)</x:f>
      </x:c>
      <x:c r="Z28" s="3" t="str">
        <x:f>IF(Master!AA618="","",Master!AA618)</x:f>
      </x:c>
      <x:c r="AA28" s="6" t="str">
        <x:f>IF(Master!AB618="","",Master!AB618)</x:f>
      </x:c>
      <x:c r="AB28" s="3" t="str">
        <x:f>IF(Master!AC618="","",Master!AC618)</x:f>
      </x:c>
      <x:c r="AC28" s="3" t="str">
        <x:f>IF(Master!AD618="","",Master!AD618)</x:f>
      </x:c>
      <x:c r="AD28" s="3" t="str">
        <x:f>IF(Master!AE618="","",Master!AE618)</x:f>
      </x:c>
      <x:c r="AE28" s="3" t="str">
        <x:f>IF(Master!AF618="","",Master!AF618)</x:f>
      </x:c>
      <x:c r="AF28" s="8" t="str">
        <x:f>IF(Master!AG618="","",Master!AG618)</x:f>
      </x:c>
    </x:row>
    <x:row r="29" ht="21.950000762939453" customHeight="1">
      <x:c r="A29" s="18" t="s">
        <x:v>413</x:v>
      </x:c>
      <x:c r="B29" s="18" t="str">
        <x:f t="shared" ref="B29:AF29" si="4">IF(""="","","")</x:f>
      </x:c>
      <x:c r="C29" s="18" t="str">
        <x:f t="shared" si="4"/>
      </x:c>
      <x:c r="D29" s="18" t="str">
        <x:f t="shared" si="4"/>
      </x:c>
      <x:c r="E29" s="18" t="str">
        <x:f t="shared" si="4"/>
      </x:c>
      <x:c r="F29" s="18" t="str">
        <x:f t="shared" si="4"/>
      </x:c>
      <x:c r="G29" s="18" t="str">
        <x:f t="shared" si="4"/>
      </x:c>
      <x:c r="H29" s="18" t="str">
        <x:f t="shared" si="4"/>
      </x:c>
      <x:c r="I29" s="18" t="str">
        <x:f t="shared" si="4"/>
      </x:c>
      <x:c r="J29" s="18" t="str">
        <x:f t="shared" si="4"/>
      </x:c>
      <x:c r="K29" s="18" t="str">
        <x:f t="shared" si="4"/>
      </x:c>
      <x:c r="L29" s="18" t="str">
        <x:f t="shared" si="4"/>
      </x:c>
      <x:c r="M29" s="18" t="str">
        <x:f t="shared" si="4"/>
      </x:c>
      <x:c r="N29" s="18" t="str">
        <x:f t="shared" si="4"/>
      </x:c>
      <x:c r="O29" s="18" t="str">
        <x:f t="shared" si="4"/>
      </x:c>
      <x:c r="P29" s="18" t="str">
        <x:f t="shared" si="4"/>
      </x:c>
      <x:c r="Q29" s="18" t="str">
        <x:f t="shared" si="4"/>
      </x:c>
      <x:c r="R29" s="18" t="str">
        <x:f t="shared" si="4"/>
      </x:c>
      <x:c r="S29" s="18" t="str">
        <x:f t="shared" si="4"/>
      </x:c>
      <x:c r="T29" s="18" t="str">
        <x:f t="shared" si="4"/>
      </x:c>
      <x:c r="U29" s="18" t="str">
        <x:f t="shared" si="4"/>
      </x:c>
      <x:c r="V29" s="18" t="str">
        <x:f t="shared" si="4"/>
      </x:c>
      <x:c r="W29" s="18" t="str">
        <x:f t="shared" si="4"/>
      </x:c>
      <x:c r="X29" s="18" t="str">
        <x:f t="shared" si="4"/>
      </x:c>
      <x:c r="Y29" s="18" t="str">
        <x:f t="shared" si="4"/>
      </x:c>
      <x:c r="Z29" s="18" t="str">
        <x:f t="shared" si="4"/>
      </x:c>
      <x:c r="AA29" s="18" t="str">
        <x:f t="shared" si="4"/>
      </x:c>
      <x:c r="AB29" s="18" t="str">
        <x:f t="shared" si="4"/>
      </x:c>
      <x:c r="AC29" s="18" t="str">
        <x:f t="shared" si="4"/>
      </x:c>
      <x:c r="AD29" s="18" t="str">
        <x:f t="shared" si="4"/>
      </x:c>
      <x:c r="AE29" s="18" t="str">
        <x:f t="shared" si="4"/>
      </x:c>
      <x:c r="AF29" s="19" t="str">
        <x:f t="shared" si="4"/>
      </x:c>
    </x:row>
    <x:row r="30" ht="36" customHeight="1">
      <x:c r="A30" s="17" t="s">
        <x:v>877</x:v>
      </x:c>
      <x:c r="B30" s="3" t="str">
        <x:f>IF(Master!C605="","",Master!C605)</x:f>
        <x:v>11 years 4 months (as of 2026-09-15); Stable + PTB/Beta + Canary</x:v>
      </x:c>
      <x:c r="C30" s="3" t="str">
        <x:f>IF(Master!D605="","",Master!D605)</x:f>
        <x:v>&lt;1 year; Beta rolling</x:v>
      </x:c>
      <x:c r="D30" s="3" t="str">
        <x:f>IF(Master!E605="","",Master!E605)</x:f>
        <x:v>~3 years; Frequent beta releases</x:v>
      </x:c>
      <x:c r="E30" s="3" t="str">
        <x:f>IF(Master!F605="","",Master!F605)</x:f>
        <x:v>&lt;1 year; Frequent product updates</x:v>
      </x:c>
      <x:c r="F30" s="3" t="str">
        <x:f>IF(Master!G605="","",Master!G605)</x:f>
        <x:v>10 months; Alpha continuous deployment</x:v>
      </x:c>
      <x:c r="G30" s="3" t="str">
        <x:f>IF(Master!H605="","",Master!H605)</x:f>
        <x:v>~6 years; Stable/canary + beta mobile</x:v>
      </x:c>
      <x:c r="H30" s="3" t="str">
        <x:f>IF(Master!I605="","",Master!I605)</x:f>
        <x:v>&lt;1 year; Open beta rolling releases</x:v>
      </x:c>
      <x:c r="I30" s="3" t="str">
        <x:f>IF(Master!J605="","",Master!J605)</x:f>
        <x:v>&lt;1 year; Early rolling</x:v>
      </x:c>
      <x:c r="J30" s="3" t="str">
        <x:f>IF(Master!K605="","",Master!K605)</x:f>
        <x:v>&lt;1 year; Rapid alpha/beta releases</x:v>
      </x:c>
      <x:c r="K30" s="3" t="str">
        <x:f>IF(Master!L605="","",Master!L605)</x:f>
        <x:v>https://github.com/CookieNom/KaedeChat</x:v>
      </x:c>
      <x:c r="L30" s="3" t="str">
        <x:f>IF(Master!M605="","",Master!M605)</x:f>
      </x:c>
      <x:c r="M30" s="3" t="str">
        <x:f>IF(Master!N605="","",Master!N605)</x:f>
        <x:v>&lt;1 year; Open-beta rolling</x:v>
      </x:c>
      <x:c r="N30" s="3" t="str">
        <x:f>IF(Master!O605="","",Master!O605)</x:f>
        <x:v>~12 years; Matrix spec releases + independent client/server release cadences</x:v>
      </x:c>
      <x:c r="O30" s="3" t="str">
        <x:f>IF(Master!P605="","",Master!P605)</x:f>
        <x:v>~11 years; Monthly releases + ESR</x:v>
      </x:c>
      <x:c r="P30" s="3" t="str">
        <x:f>IF(Master!Q605="","",Master!Q605)</x:f>
      </x:c>
      <x:c r="Q30" s="3" t="str">
        <x:f>IF(Master!R605="","",Master!R605)</x:f>
        <x:v>~21 years; Stable releases</x:v>
      </x:c>
      <x:c r="R30" s="3" t="str">
        <x:f>IF(Master!S605="","",Master!S605)</x:f>
      </x:c>
      <x:c r="S30" s="3" t="str">
        <x:f>IF(Master!T605="","",Master!T605)</x:f>
        <x:v>~2 years; Frequent beta updates</x:v>
      </x:c>
      <x:c r="T30" s="3" t="str">
        <x:f>IF(Master!U605="","",Master!U605)</x:f>
        <x:v>Young open beta; independently run; release notes published at pqp.gg/blog.</x:v>
      </x:c>
      <x:c r="U30" s="3" t="str">
        <x:f>IF(Master!V605="","",Master!V605)</x:f>
        <x:v>5 years; Active 2026 releases</x:v>
      </x:c>
      <x:c r="V30" s="3" t="str">
        <x:f>IF(Master!W605="","",Master!W605)</x:f>
        <x:v>~11 years; Frequent stable/enterprise releases</x:v>
      </x:c>
      <x:c r="W30" s="3" t="str">
        <x:f>IF(Master!X605="","",Master!X605)</x:f>
      </x:c>
      <x:c r="X30" s="3" t="str">
        <x:f>IF(Master!Y605="","",Master!Y605)</x:f>
      </x:c>
      <x:c r="Y30" s="3" t="str">
        <x:f>IF(Master!Z605="","",Master!Z605)</x:f>
        <x:v>~5 years; Rolling alpha/dev</x:v>
      </x:c>
      <x:c r="Z30" s="3" t="str">
        <x:f>IF(Master!AA605="","",Master!AA605)</x:f>
        <x:v>~5 years; Rolling web/backend releases</x:v>
      </x:c>
      <x:c r="AA30" s="6" t="str">
        <x:f>IF(Master!AB605="","",Master!AB605)</x:f>
        <x:v>~27 years project / ~25 years public; TS6 Beta + TS3 stable maintenance</x:v>
      </x:c>
      <x:c r="AB30" s="3" t="str">
        <x:f>IF(Master!AC605="","",Master!AC605)</x:f>
      </x:c>
      <x:c r="AC30" s="3" t="str">
        <x:f>IF(Master!AD605="","",Master!AD605)</x:f>
        <x:v>&lt;1 year; Alpha rolling</x:v>
      </x:c>
      <x:c r="AD30" s="3" t="str">
        <x:f>IF(Master!AE605="","",Master!AE605)</x:f>
        <x:v>~1 year; Ships frequently/public beta</x:v>
      </x:c>
      <x:c r="AE30" s="3" t="str">
        <x:f>IF(Master!AF605="","",Master!AF605)</x:f>
        <x:v>&lt;1 year; Active beta</x:v>
      </x:c>
      <x:c r="AF30" s="8" t="str">
        <x:f>IF(Master!AG605="","",Master!AG605)</x:f>
        <x:v>~14 years; Frequent stable releases</x:v>
      </x:c>
    </x:row>
    <x:row r="31" ht="21.950000762939453" customHeight="1">
      <x:c r="A31" s="18" t="s">
        <x:v>878</x:v>
      </x:c>
      <x:c r="B31" s="18" t="str">
        <x:f t="shared" ref="B31:AF31" si="5">IF(""="","","")</x:f>
      </x:c>
      <x:c r="C31" s="18" t="str">
        <x:f t="shared" si="5"/>
      </x:c>
      <x:c r="D31" s="18" t="str">
        <x:f t="shared" si="5"/>
      </x:c>
      <x:c r="E31" s="18" t="str">
        <x:f t="shared" si="5"/>
      </x:c>
      <x:c r="F31" s="18" t="str">
        <x:f t="shared" si="5"/>
      </x:c>
      <x:c r="G31" s="18" t="str">
        <x:f t="shared" si="5"/>
      </x:c>
      <x:c r="H31" s="18" t="str">
        <x:f t="shared" si="5"/>
      </x:c>
      <x:c r="I31" s="18" t="str">
        <x:f t="shared" si="5"/>
      </x:c>
      <x:c r="J31" s="18" t="str">
        <x:f t="shared" si="5"/>
      </x:c>
      <x:c r="K31" s="18" t="str">
        <x:f t="shared" si="5"/>
      </x:c>
      <x:c r="L31" s="18" t="str">
        <x:f t="shared" si="5"/>
      </x:c>
      <x:c r="M31" s="18" t="str">
        <x:f t="shared" si="5"/>
      </x:c>
      <x:c r="N31" s="18" t="str">
        <x:f t="shared" si="5"/>
      </x:c>
      <x:c r="O31" s="18" t="str">
        <x:f t="shared" si="5"/>
      </x:c>
      <x:c r="P31" s="18" t="str">
        <x:f t="shared" si="5"/>
      </x:c>
      <x:c r="Q31" s="18" t="str">
        <x:f t="shared" si="5"/>
      </x:c>
      <x:c r="R31" s="18" t="str">
        <x:f t="shared" si="5"/>
      </x:c>
      <x:c r="S31" s="18" t="str">
        <x:f t="shared" si="5"/>
      </x:c>
      <x:c r="T31" s="18" t="str">
        <x:f t="shared" si="5"/>
      </x:c>
      <x:c r="U31" s="18" t="str">
        <x:f t="shared" si="5"/>
      </x:c>
      <x:c r="V31" s="18" t="str">
        <x:f t="shared" si="5"/>
      </x:c>
      <x:c r="W31" s="18" t="str">
        <x:f t="shared" si="5"/>
      </x:c>
      <x:c r="X31" s="18" t="str">
        <x:f t="shared" si="5"/>
      </x:c>
      <x:c r="Y31" s="18" t="str">
        <x:f t="shared" si="5"/>
      </x:c>
      <x:c r="Z31" s="18" t="str">
        <x:f t="shared" si="5"/>
      </x:c>
      <x:c r="AA31" s="18" t="str">
        <x:f t="shared" si="5"/>
      </x:c>
      <x:c r="AB31" s="18" t="str">
        <x:f t="shared" si="5"/>
      </x:c>
      <x:c r="AC31" s="18" t="str">
        <x:f t="shared" si="5"/>
      </x:c>
      <x:c r="AD31" s="18" t="str">
        <x:f t="shared" si="5"/>
      </x:c>
      <x:c r="AE31" s="18" t="str">
        <x:f t="shared" si="5"/>
      </x:c>
      <x:c r="AF31" s="19" t="str">
        <x:f t="shared" si="5"/>
      </x:c>
    </x:row>
    <x:row r="32" ht="36" customHeight="1">
      <x:c r="A32" s="17" t="s">
        <x:v>879</x:v>
      </x:c>
      <x:c r="B32" s="3" t="str">
        <x:f>IF(Master!C606="","",Master!C606)</x:f>
        <x:v>Closed source</x:v>
      </x:c>
      <x:c r="C32" s="3" t="str">
        <x:f>IF(Master!D606="","",Master!D606)</x:f>
      </x:c>
      <x:c r="D32" s="3" t="str">
        <x:f>IF(Master!E606="","",Master!E606)</x:f>
      </x:c>
      <x:c r="E32" s="3" t="str">
        <x:f>IF(Master!F606="","",Master!F606)</x:f>
      </x:c>
      <x:c r="F32" s="3" t="str">
        <x:f>IF(Master!G606="","",Master!G606)</x:f>
      </x:c>
      <x:c r="G32" s="3" t="str">
        <x:f>IF(Master!H606="","",Master!H606)</x:f>
      </x:c>
      <x:c r="H32" s="3" t="str">
        <x:f>IF(Master!I606="","",Master!I606)</x:f>
      </x:c>
      <x:c r="I32" s="3" t="str">
        <x:f>IF(Master!J606="","",Master!J606)</x:f>
      </x:c>
      <x:c r="J32" s="3" t="str">
        <x:f>IF(Master!K606="","",Master!K606)</x:f>
      </x:c>
      <x:c r="K32" s="3" t="str">
        <x:f>IF(Master!L606="","",Master!L606)</x:f>
        <x:v>Yes: GitHub Actions/workflows plus Make-based check/test/audit/release checks</x:v>
      </x:c>
      <x:c r="L32" s="3" t="str">
        <x:f>IF(Master!M606="","",Master!M606)</x:f>
      </x:c>
      <x:c r="M32" s="3" t="str">
        <x:f>IF(Master!N606="","",Master!N606)</x:f>
      </x:c>
      <x:c r="N32" s="3" t="str">
        <x:f>IF(Master!O606="","",Master!O606)</x:f>
        <x:v>Public repos/CI</x:v>
      </x:c>
      <x:c r="O32" s="3" t="str">
        <x:f>IF(Master!P606="","",Master!P606)</x:f>
      </x:c>
      <x:c r="P32" s="3" t="str">
        <x:f>IF(Master!Q606="","",Master!Q606)</x:f>
      </x:c>
      <x:c r="Q32" s="3" t="str">
        <x:f>IF(Master!R606="","",Master!R606)</x:f>
      </x:c>
      <x:c r="R32" s="3" t="str">
        <x:f>IF(Master!S606="","",Master!S606)</x:f>
      </x:c>
      <x:c r="S32" s="3" t="str">
        <x:f>IF(Master!T606="","",Master!T606)</x:f>
      </x:c>
      <x:c r="T32" s="3" t="str">
        <x:f>IF(Master!U606="","",Master!U606)</x:f>
      </x:c>
      <x:c r="U32" s="3" t="str">
        <x:f>IF(Master!V606="","",Master!V606)</x:f>
      </x:c>
      <x:c r="V32" s="3" t="str">
        <x:f>IF(Master!W606="","",Master!W606)</x:f>
      </x:c>
      <x:c r="W32" s="3" t="str">
        <x:f>IF(Master!X606="","",Master!X606)</x:f>
      </x:c>
      <x:c r="X32" s="3" t="str">
        <x:f>IF(Master!Y606="","",Master!Y606)</x:f>
      </x:c>
      <x:c r="Y32" s="3" t="str">
        <x:f>IF(Master!Z606="","",Master!Z606)</x:f>
      </x:c>
      <x:c r="Z32" s="3" t="str">
        <x:f>IF(Master!AA606="","",Master!AA606)</x:f>
      </x:c>
      <x:c r="AA32" s="6" t="str">
        <x:f>IF(Master!AB606="","",Master!AB606)</x:f>
      </x:c>
      <x:c r="AB32" s="3" t="str">
        <x:f>IF(Master!AC606="","",Master!AC606)</x:f>
      </x:c>
      <x:c r="AC32" s="3" t="str">
        <x:f>IF(Master!AD606="","",Master!AD606)</x:f>
      </x:c>
      <x:c r="AD32" s="3" t="str">
        <x:f>IF(Master!AE606="","",Master!AE606)</x:f>
      </x:c>
      <x:c r="AE32" s="3" t="str">
        <x:f>IF(Master!AF606="","",Master!AF606)</x:f>
      </x:c>
      <x:c r="AF32" s="8" t="str">
        <x:f>IF(Master!AG606="","",Master!AG606)</x:f>
      </x:c>
    </x:row>
    <x:row r="33" ht="23.100000381469727" customHeight="1">
      <x:c r="A33" s="17" t="s">
        <x:v>880</x:v>
      </x:c>
      <x:c r="B33" s="4" t="str">
        <x:f>IF(Master!C607="","",Master!C607)</x:f>
      </x:c>
      <x:c r="C33" s="4" t="str">
        <x:f>IF(Master!D607="","",Master!D607)</x:f>
      </x:c>
      <x:c r="D33" s="4" t="str">
        <x:f>IF(Master!E607="","",Master!E607)</x:f>
      </x:c>
      <x:c r="E33" s="4" t="str">
        <x:f>IF(Master!F607="","",Master!F607)</x:f>
      </x:c>
      <x:c r="F33" s="4" t="str">
        <x:f>IF(Master!G607="","",Master!G607)</x:f>
      </x:c>
      <x:c r="G33" s="4" t="str">
        <x:f>IF(Master!H607="","",Master!H607)</x:f>
      </x:c>
      <x:c r="H33" s="4" t="str">
        <x:f>IF(Master!I607="","",Master!I607)</x:f>
      </x:c>
      <x:c r="I33" s="4" t="str">
        <x:f>IF(Master!J607="","",Master!J607)</x:f>
      </x:c>
      <x:c r="J33" s="4" t="str">
        <x:f>IF(Master!K607="","",Master!K607)</x:f>
      </x:c>
      <x:c r="K33" s="4" t="str">
        <x:f>IF(Master!L607="","",Master!L607)</x:f>
        <x:v>Not publicly documented</x:v>
      </x:c>
      <x:c r="L33" s="4" t="str">
        <x:f>IF(Master!M607="","",Master!M607)</x:f>
      </x:c>
      <x:c r="M33" s="4" t="str">
        <x:f>IF(Master!N607="","",Master!N607)</x:f>
      </x:c>
      <x:c r="N33" s="4" t="str">
        <x:f>IF(Master!O607="","",Master!O607)</x:f>
      </x:c>
      <x:c r="O33" s="4" t="str">
        <x:f>IF(Master!P607="","",Master!P607)</x:f>
      </x:c>
      <x:c r="P33" s="4" t="str">
        <x:f>IF(Master!Q607="","",Master!Q607)</x:f>
      </x:c>
      <x:c r="Q33" s="4" t="str">
        <x:f>IF(Master!R607="","",Master!R607)</x:f>
      </x:c>
      <x:c r="R33" s="4" t="str">
        <x:f>IF(Master!S607="","",Master!S607)</x:f>
      </x:c>
      <x:c r="S33" s="4" t="str">
        <x:f>IF(Master!T607="","",Master!T607)</x:f>
      </x:c>
      <x:c r="T33" s="4" t="str">
        <x:f>IF(Master!U607="","",Master!U607)</x:f>
      </x:c>
      <x:c r="U33" s="4" t="str">
        <x:f>IF(Master!V607="","",Master!V607)</x:f>
      </x:c>
      <x:c r="V33" s="4" t="str">
        <x:f>IF(Master!W607="","",Master!W607)</x:f>
      </x:c>
      <x:c r="W33" s="4" t="str">
        <x:f>IF(Master!X607="","",Master!X607)</x:f>
      </x:c>
      <x:c r="X33" s="4" t="str">
        <x:f>IF(Master!Y607="","",Master!Y607)</x:f>
      </x:c>
      <x:c r="Y33" s="4" t="str">
        <x:f>IF(Master!Z607="","",Master!Z607)</x:f>
      </x:c>
      <x:c r="Z33" s="4" t="str">
        <x:f>IF(Master!AA607="","",Master!AA607)</x:f>
      </x:c>
      <x:c r="AA33" s="5" t="str">
        <x:f>IF(Master!AB607="","",Master!AB607)</x:f>
      </x:c>
      <x:c r="AB33" s="4" t="str">
        <x:f>IF(Master!AC607="","",Master!AC607)</x:f>
      </x:c>
      <x:c r="AC33" s="4" t="str">
        <x:f>IF(Master!AD607="","",Master!AD607)</x:f>
      </x:c>
      <x:c r="AD33" s="4" t="str">
        <x:f>IF(Master!AE607="","",Master!AE607)</x:f>
      </x:c>
      <x:c r="AE33" s="4" t="str">
        <x:f>IF(Master!AF607="","",Master!AF607)</x:f>
      </x:c>
      <x:c r="AF33" s="8" t="str">
        <x:f>IF(Master!AG607="","",Master!AG607)</x:f>
      </x:c>
    </x:row>
    <x:row r="34" ht="23.100000381469727" customHeight="1">
      <x:c r="A34" s="17" t="s">
        <x:v>881</x:v>
      </x:c>
      <x:c r="B34" s="4" t="str">
        <x:f>IF(Master!C608="","",Master!C608)</x:f>
      </x:c>
      <x:c r="C34" s="4" t="str">
        <x:f>IF(Master!D608="","",Master!D608)</x:f>
      </x:c>
      <x:c r="D34" s="4" t="str">
        <x:f>IF(Master!E608="","",Master!E608)</x:f>
      </x:c>
      <x:c r="E34" s="4" t="str">
        <x:f>IF(Master!F608="","",Master!F608)</x:f>
      </x:c>
      <x:c r="F34" s="4" t="str">
        <x:f>IF(Master!G608="","",Master!G608)</x:f>
      </x:c>
      <x:c r="G34" s="4" t="str">
        <x:f>IF(Master!H608="","",Master!H608)</x:f>
      </x:c>
      <x:c r="H34" s="4" t="str">
        <x:f>IF(Master!I608="","",Master!I608)</x:f>
      </x:c>
      <x:c r="I34" s="4" t="str">
        <x:f>IF(Master!J608="","",Master!J608)</x:f>
      </x:c>
      <x:c r="J34" s="4" t="str">
        <x:f>IF(Master!K608="","",Master!K608)</x:f>
      </x:c>
      <x:c r="K34" s="4" t="str">
        <x:f>IF(Master!L608="","",Master!L608)</x:f>
        <x:v>Not publicly documented</x:v>
      </x:c>
      <x:c r="L34" s="4" t="str">
        <x:f>IF(Master!M608="","",Master!M608)</x:f>
      </x:c>
      <x:c r="M34" s="4" t="str">
        <x:f>IF(Master!N608="","",Master!N608)</x:f>
      </x:c>
      <x:c r="N34" s="4" t="str">
        <x:f>IF(Master!O608="","",Master!O608)</x:f>
      </x:c>
      <x:c r="O34" s="4" t="str">
        <x:f>IF(Master!P608="","",Master!P608)</x:f>
      </x:c>
      <x:c r="P34" s="4" t="str">
        <x:f>IF(Master!Q608="","",Master!Q608)</x:f>
      </x:c>
      <x:c r="Q34" s="4" t="str">
        <x:f>IF(Master!R608="","",Master!R608)</x:f>
      </x:c>
      <x:c r="R34" s="4" t="str">
        <x:f>IF(Master!S608="","",Master!S608)</x:f>
      </x:c>
      <x:c r="S34" s="4" t="str">
        <x:f>IF(Master!T608="","",Master!T608)</x:f>
      </x:c>
      <x:c r="T34" s="4" t="str">
        <x:f>IF(Master!U608="","",Master!U608)</x:f>
      </x:c>
      <x:c r="U34" s="4" t="str">
        <x:f>IF(Master!V608="","",Master!V608)</x:f>
      </x:c>
      <x:c r="V34" s="4" t="str">
        <x:f>IF(Master!W608="","",Master!W608)</x:f>
      </x:c>
      <x:c r="W34" s="4" t="str">
        <x:f>IF(Master!X608="","",Master!X608)</x:f>
      </x:c>
      <x:c r="X34" s="4" t="str">
        <x:f>IF(Master!Y608="","",Master!Y608)</x:f>
      </x:c>
      <x:c r="Y34" s="4" t="str">
        <x:f>IF(Master!Z608="","",Master!Z608)</x:f>
      </x:c>
      <x:c r="Z34" s="4" t="str">
        <x:f>IF(Master!AA608="","",Master!AA608)</x:f>
      </x:c>
      <x:c r="AA34" s="5" t="str">
        <x:f>IF(Master!AB608="","",Master!AB608)</x:f>
      </x:c>
      <x:c r="AB34" s="4" t="str">
        <x:f>IF(Master!AC608="","",Master!AC608)</x:f>
      </x:c>
      <x:c r="AC34" s="4" t="str">
        <x:f>IF(Master!AD608="","",Master!AD608)</x:f>
      </x:c>
      <x:c r="AD34" s="4" t="str">
        <x:f>IF(Master!AE608="","",Master!AE608)</x:f>
      </x:c>
      <x:c r="AE34" s="4" t="str">
        <x:f>IF(Master!AF608="","",Master!AF608)</x:f>
      </x:c>
      <x:c r="AF34" s="8" t="str">
        <x:f>IF(Master!AG608="","",Master!AG608)</x:f>
      </x:c>
    </x:row>
    <x:row r="35" ht="36" customHeight="1">
      <x:c r="A35" s="17" t="s">
        <x:v>882</x:v>
      </x:c>
      <x:c r="B35" s="3" t="str">
        <x:f>IF(Master!C609="","",Master!C609)</x:f>
        <x:v>Company development</x:v>
      </x:c>
      <x:c r="C35" s="3" t="str">
        <x:f>IF(Master!D609="","",Master!D609)</x:f>
      </x:c>
      <x:c r="D35" s="3" t="str">
        <x:f>IF(Master!E609="","",Master!E609)</x:f>
      </x:c>
      <x:c r="E35" s="3" t="str">
        <x:f>IF(Master!F609="","",Master!F609)</x:f>
      </x:c>
      <x:c r="F35" s="3" t="str">
        <x:f>IF(Master!G609="","",Master!G609)</x:f>
      </x:c>
      <x:c r="G35" s="3" t="str">
        <x:f>IF(Master!H609="","",Master!H609)</x:f>
      </x:c>
      <x:c r="H35" s="3" t="str">
        <x:f>IF(Master!I609="","",Master!I609)</x:f>
      </x:c>
      <x:c r="I35" s="3" t="str">
        <x:f>IF(Master!J609="","",Master!J609)</x:f>
      </x:c>
      <x:c r="J35" s="3" t="str">
        <x:f>IF(Master!K609="","",Master!K609)</x:f>
      </x:c>
      <x:c r="K35" s="3" t="str">
        <x:f>IF(Master!L609="","",Master!L609)</x:f>
        <x:v>Solo-maintainer bus factor; private security researcher assists with bug finding</x:v>
      </x:c>
      <x:c r="L35" s="3" t="str">
        <x:f>IF(Master!M609="","",Master!M609)</x:f>
      </x:c>
      <x:c r="M35" s="3" t="str">
        <x:f>IF(Master!N609="","",Master!N609)</x:f>
      </x:c>
      <x:c r="N35" s="3" t="str">
        <x:f>IF(Master!O609="","",Master!O609)</x:f>
      </x:c>
      <x:c r="O35" s="3" t="str">
        <x:f>IF(Master!P609="","",Master!P609)</x:f>
      </x:c>
      <x:c r="P35" s="3" t="str">
        <x:f>IF(Master!Q609="","",Master!Q609)</x:f>
      </x:c>
      <x:c r="Q35" s="3" t="str">
        <x:f>IF(Master!R609="","",Master!R609)</x:f>
      </x:c>
      <x:c r="R35" s="3" t="str">
        <x:f>IF(Master!S609="","",Master!S609)</x:f>
      </x:c>
      <x:c r="S35" s="3" t="str">
        <x:f>IF(Master!T609="","",Master!T609)</x:f>
      </x:c>
      <x:c r="T35" s="3" t="str">
        <x:f>IF(Master!U609="","",Master!U609)</x:f>
      </x:c>
      <x:c r="U35" s="3" t="str">
        <x:f>IF(Master!V609="","",Master!V609)</x:f>
        <x:v>Company Development</x:v>
      </x:c>
      <x:c r="V35" s="3" t="str">
        <x:f>IF(Master!W609="","",Master!W609)</x:f>
      </x:c>
      <x:c r="W35" s="3" t="str">
        <x:f>IF(Master!X609="","",Master!X609)</x:f>
      </x:c>
      <x:c r="X35" s="3" t="str">
        <x:f>IF(Master!Y609="","",Master!Y609)</x:f>
      </x:c>
      <x:c r="Y35" s="3" t="str">
        <x:f>IF(Master!Z609="","",Master!Z609)</x:f>
      </x:c>
      <x:c r="Z35" s="3" t="str">
        <x:f>IF(Master!AA609="","",Master!AA609)</x:f>
        <x:v>Open-source contributors</x:v>
      </x:c>
      <x:c r="AA35" s="6" t="str">
        <x:f>IF(Master!AB609="","",Master!AB609)</x:f>
      </x:c>
      <x:c r="AB35" s="3" t="str">
        <x:f>IF(Master!AC609="","",Master!AC609)</x:f>
      </x:c>
      <x:c r="AC35" s="3" t="str">
        <x:f>IF(Master!AD609="","",Master!AD609)</x:f>
      </x:c>
      <x:c r="AD35" s="3" t="str">
        <x:f>IF(Master!AE609="","",Master!AE609)</x:f>
      </x:c>
      <x:c r="AE35" s="3" t="str">
        <x:f>IF(Master!AF609="","",Master!AF609)</x:f>
      </x:c>
      <x:c r="AF35" s="8" t="str">
        <x:f>IF(Master!AG609="","",Master!AG609)</x:f>
      </x:c>
    </x:row>
    <x:row r="36" ht="36" customHeight="1">
      <x:c r="A36" s="17" t="s">
        <x:v>883</x:v>
      </x:c>
      <x:c r="B36" s="3" t="str">
        <x:f>IF(Master!C610="","",Master!C610)</x:f>
        <x:v>SaaS continuous</x:v>
      </x:c>
      <x:c r="C36" s="3" t="str">
        <x:f>IF(Master!D610="","",Master!D610)</x:f>
      </x:c>
      <x:c r="D36" s="3" t="str">
        <x:f>IF(Master!E610="","",Master!E610)</x:f>
      </x:c>
      <x:c r="E36" s="3" t="str">
        <x:f>IF(Master!F610="","",Master!F610)</x:f>
      </x:c>
      <x:c r="F36" s="3" t="str">
        <x:f>IF(Master!G610="","",Master!G610)</x:f>
      </x:c>
      <x:c r="G36" s="3" t="str">
        <x:f>IF(Master!H610="","",Master!H610)</x:f>
      </x:c>
      <x:c r="H36" s="3" t="str">
        <x:f>IF(Master!I610="","",Master!I610)</x:f>
      </x:c>
      <x:c r="I36" s="3" t="str">
        <x:f>IF(Master!J610="","",Master!J610)</x:f>
      </x:c>
      <x:c r="J36" s="3" t="str">
        <x:f>IF(Master!K610="","",Master!K610)</x:f>
      </x:c>
      <x:c r="K36" s="3" t="str">
        <x:f>IF(Master!L610="","",Master!L610)</x:f>
        <x:v>No published version-support/EOL policy</x:v>
      </x:c>
      <x:c r="L36" s="3" t="str">
        <x:f>IF(Master!M610="","",Master!M610)</x:f>
      </x:c>
      <x:c r="M36" s="3" t="str">
        <x:f>IF(Master!N610="","",Master!N610)</x:f>
      </x:c>
      <x:c r="N36" s="3" t="str">
        <x:f>IF(Master!O610="","",Master!O610)</x:f>
      </x:c>
      <x:c r="O36" s="3" t="str">
        <x:f>IF(Master!P610="","",Master!P610)</x:f>
        <x:v>Yes: ESR/support lifecycle</x:v>
      </x:c>
      <x:c r="P36" s="3" t="str">
        <x:f>IF(Master!Q610="","",Master!Q610)</x:f>
      </x:c>
      <x:c r="Q36" s="3" t="str">
        <x:f>IF(Master!R610="","",Master!R610)</x:f>
      </x:c>
      <x:c r="R36" s="3" t="str">
        <x:f>IF(Master!S610="","",Master!S610)</x:f>
      </x:c>
      <x:c r="S36" s="3" t="str">
        <x:f>IF(Master!T610="","",Master!T610)</x:f>
      </x:c>
      <x:c r="T36" s="3" t="str">
        <x:f>IF(Master!U610="","",Master!U610)</x:f>
      </x:c>
      <x:c r="U36" s="3" t="str">
        <x:f>IF(Master!V610="","",Master!V610)</x:f>
        <x:v>SaaS Continuious</x:v>
      </x:c>
      <x:c r="V36" s="3" t="str">
        <x:f>IF(Master!W610="","",Master!W610)</x:f>
        <x:v>Yes: documented support window</x:v>
      </x:c>
      <x:c r="W36" s="3" t="str">
        <x:f>IF(Master!X610="","",Master!X610)</x:f>
      </x:c>
      <x:c r="X36" s="3" t="str">
        <x:f>IF(Master!Y610="","",Master!Y610)</x:f>
      </x:c>
      <x:c r="Y36" s="3" t="str">
        <x:f>IF(Master!Z610="","",Master!Z610)</x:f>
      </x:c>
      <x:c r="Z36" s="3" t="str">
        <x:f>IF(Master!AA610="","",Master!AA610)</x:f>
      </x:c>
      <x:c r="AA36" s="6" t="str">
        <x:f>IF(Master!AB610="","",Master!AB610)</x:f>
      </x:c>
      <x:c r="AB36" s="3" t="str">
        <x:f>IF(Master!AC610="","",Master!AC610)</x:f>
      </x:c>
      <x:c r="AC36" s="3" t="str">
        <x:f>IF(Master!AD610="","",Master!AD610)</x:f>
      </x:c>
      <x:c r="AD36" s="3" t="str">
        <x:f>IF(Master!AE610="","",Master!AE610)</x:f>
      </x:c>
      <x:c r="AE36" s="3" t="str">
        <x:f>IF(Master!AF610="","",Master!AF610)</x:f>
      </x:c>
      <x:c r="AF36" s="8" t="str">
        <x:f>IF(Master!AG610="","",Master!AG610)</x:f>
      </x:c>
    </x:row>
  </x:sheetData>
  <x:mergeCells>
    <x:mergeCell ref="A1:AF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Directory'!A1","Maintenance &amp; Updates: release cadence, project health, and support lifecycle"),"Maintenance &amp; Updates: release cadence, project health, and support lifecycle")</x:f>
        <x:v>Maintenance &amp; Updates: release cadence, project health, and support lifecycle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884</x:v>
      </x:c>
      <x:c r="B3" s="3" t="str">
        <x:f>IF(Master!C611="","",Master!C611)</x:f>
        <x:v>Stable + PTB/Beta + Canary</x:v>
      </x:c>
      <x:c r="C3" s="3" t="str">
        <x:f>IF(Master!D611="","",Master!D611)</x:f>
        <x:v>Beta rolling</x:v>
      </x:c>
      <x:c r="D3" s="3" t="str">
        <x:f>IF(Master!E611="","",Master!E611)</x:f>
        <x:v>Frequent beta releases</x:v>
      </x:c>
      <x:c r="E3" s="3" t="str">
        <x:f>IF(Master!F611="","",Master!F611)</x:f>
        <x:v>Frequent product updates</x:v>
      </x:c>
      <x:c r="F3" s="3" t="str">
        <x:f>IF(Master!G611="","",Master!G611)</x:f>
        <x:v>Alpha continuous deployment</x:v>
      </x:c>
      <x:c r="G3" s="3" t="str">
        <x:f>IF(Master!H611="","",Master!H611)</x:f>
        <x:v>Stable/canary + beta mobile</x:v>
      </x:c>
      <x:c r="H3" s="3" t="str">
        <x:f>IF(Master!I611="","",Master!I611)</x:f>
        <x:v>Open beta rolling releases</x:v>
      </x:c>
      <x:c r="I3" s="3" t="str">
        <x:f>IF(Master!J611="","",Master!J611)</x:f>
        <x:v>Early rolling</x:v>
      </x:c>
      <x:c r="J3" s="3" t="str">
        <x:f>IF(Master!K611="","",Master!K611)</x:f>
        <x:v>Rapid alpha/beta releases</x:v>
      </x:c>
      <x:c r="K3" s="3" t="str">
        <x:f>IF(Master!L611="","",Master!L611)</x:f>
        <x:v>A few releases per week during current active-development phase; expected to slow (developer report)</x:v>
      </x:c>
      <x:c r="L3" s="3" t="str">
        <x:f>IF(Master!M611="","",Master!M611)</x:f>
        <x:v>Alpha rolling</x:v>
      </x:c>
      <x:c r="M3" s="3" t="str">
        <x:f>IF(Master!N611="","",Master!N611)</x:f>
        <x:v>Open-beta rolling</x:v>
      </x:c>
      <x:c r="N3" s="3" t="str">
        <x:f>IF(Master!O611="","",Master!O611)</x:f>
        <x:v>Matrix spec releases + independent client/server release cadences</x:v>
      </x:c>
      <x:c r="O3" s="3" t="str">
        <x:f>IF(Master!P611="","",Master!P611)</x:f>
        <x:v>Monthly releases + ESR</x:v>
      </x:c>
      <x:c r="P3" s="3" t="str">
        <x:f>IF(Master!Q611="","",Master!Q611)</x:f>
        <x:v>Active releases</x:v>
      </x:c>
      <x:c r="Q3" s="3" t="str">
        <x:f>IF(Master!R611="","",Master!R611)</x:f>
        <x:v>Stable releases</x:v>
      </x:c>
      <x:c r="R3" s="3" t="str">
        <x:f>IF(Master!S611="","",Master!S611)</x:f>
        <x:v>Frequent GitHub releases</x:v>
      </x:c>
      <x:c r="S3" s="3" t="str">
        <x:f>IF(Master!T611="","",Master!T611)</x:f>
        <x:v>Frequent beta updates</x:v>
      </x:c>
      <x:c r="T3" s="3" t="str">
        <x:f>IF(Master!U611="","",Master!U611)</x:f>
        <x:v>Active beta releases; see https://pqp.gg/blog</x:v>
      </x:c>
      <x:c r="U3" s="3" t="str">
        <x:f>IF(Master!V611="","",Master!V611)</x:f>
        <x:v>Active 2026 releases</x:v>
      </x:c>
      <x:c r="V3" s="3" t="str">
        <x:f>IF(Master!W611="","",Master!W611)</x:f>
        <x:v>Frequent stable/enterprise releases</x:v>
      </x:c>
      <x:c r="W3" s="3" t="str">
        <x:f>IF(Master!X611="","",Master!X611)</x:f>
        <x:v>Experimental rolling</x:v>
      </x:c>
      <x:c r="X3" s="3" t="str">
        <x:f>IF(Master!Y611="","",Master!Y611)</x:f>
        <x:v>Frequent product updates</x:v>
      </x:c>
      <x:c r="Y3" s="3" t="str">
        <x:f>IF(Master!Z611="","",Master!Z611)</x:f>
        <x:v>Rolling alpha/dev</x:v>
      </x:c>
      <x:c r="Z3" s="3" t="str">
        <x:f>IF(Master!AA611="","",Master!AA611)</x:f>
        <x:v>Rolling web/backend releases</x:v>
      </x:c>
      <x:c r="AA3" s="6" t="str">
        <x:f>IF(Master!AB611="","",Master!AB611)</x:f>
        <x:v>TS6 Beta + TS3 stable maintenance</x:v>
      </x:c>
      <x:c r="AB3" s="3" t="str">
        <x:f>IF(Master!AC611="","",Master!AC611)</x:f>
        <x:v>Alpha rolling</x:v>
      </x:c>
      <x:c r="AC3" s="3" t="str">
        <x:f>IF(Master!AD611="","",Master!AD611)</x:f>
        <x:v>Alpha rolling</x:v>
      </x:c>
      <x:c r="AD3" s="3" t="str">
        <x:f>IF(Master!AE611="","",Master!AE611)</x:f>
        <x:v>Ships frequently/public beta</x:v>
      </x:c>
      <x:c r="AE3" s="3" t="str">
        <x:f>IF(Master!AF611="","",Master!AF611)</x:f>
        <x:v>Active beta</x:v>
      </x:c>
      <x:c r="AF3" s="8" t="str">
        <x:f>IF(Master!AG611="","",Master!AG611)</x:f>
        <x:v>Frequent stable releases</x:v>
      </x:c>
    </x:row>
    <x:row r="4" ht="36" customHeight="1">
      <x:c r="A4" s="17" t="s">
        <x:v>885</x:v>
      </x:c>
      <x:c r="B4" s="3" t="str">
        <x:f>IF(Master!C612="","",Master!C612)</x:f>
        <x:v>N/A for core proprietary code; selected open-source components/SDKs have public activity</x:v>
      </x:c>
      <x:c r="C4" s="3" t="str">
        <x:f>IF(Master!D612="","",Master!D612)</x:f>
        <x:v>Active GitHub</x:v>
      </x:c>
      <x:c r="D4" s="3" t="str">
        <x:f>IF(Master!E612="","",Master!E612)</x:f>
        <x:v>High public GitHub activity</x:v>
      </x:c>
      <x:c r="E4" s="3" t="str">
        <x:f>IF(Master!F612="","",Master!F612)</x:f>
        <x:v>Closed/private code</x:v>
      </x:c>
      <x:c r="F4" s="3" t="str">
        <x:f>IF(Master!G612="","",Master!G612)</x:f>
        <x:v>Private codebase; public commit velocity unavailable</x:v>
      </x:c>
      <x:c r="G4" s="3" t="str">
        <x:f>IF(Master!H612="","",Master!H612)</x:f>
        <x:v>High public GitHub activity</x:v>
      </x:c>
      <x:c r="H4" s="3" t="str">
        <x:f>IF(Master!I612="","",Master!I612)</x:f>
        <x:v>Active 2026 development</x:v>
      </x:c>
      <x:c r="I4" s="3" t="str">
        <x:f>IF(Master!J612="","",Master!J612)</x:f>
        <x:v>Active Codeberg/GitHub</x:v>
      </x:c>
      <x:c r="J4" s="3" t="str">
        <x:f>IF(Master!K612="","",Master!K612)</x:f>
        <x:v>High solo commit velocity</x:v>
      </x:c>
      <x:c r="K4" s="3" t="str">
        <x:f>IF(Master!L612="","",Master!L612)</x:f>
        <x:v>High: public repository shows 247 commits at verification; developer reports 6 to 10 hours/day of current work</x:v>
      </x:c>
      <x:c r="L4" s="3" t="str">
        <x:f>IF(Master!M612="","",Master!M612)</x:f>
        <x:v>Active</x:v>
      </x:c>
      <x:c r="M4" s="3" t="str">
        <x:f>IF(Master!N612="","",Master!N612)</x:f>
        <x:v>Active</x:v>
      </x:c>
      <x:c r="N4" s="3" t="str">
        <x:f>IF(Master!O612="","",Master!O612)</x:f>
        <x:v>High across spec and ecosystem repos</x:v>
      </x:c>
      <x:c r="O4" s="3" t="str">
        <x:f>IF(Master!P612="","",Master!P612)</x:f>
        <x:v>High public GitHub activity</x:v>
      </x:c>
      <x:c r="P4" s="3" t="str">
        <x:f>IF(Master!Q612="","",Master!Q612)</x:f>
        <x:v>Active GitHub</x:v>
      </x:c>
      <x:c r="Q4" s="3" t="str">
        <x:f>IF(Master!R612="","",Master!R612)</x:f>
        <x:v>Active public GitHub</x:v>
      </x:c>
      <x:c r="R4" s="3" t="str">
        <x:f>IF(Master!S612="","",Master!S612)</x:f>
        <x:v>Active GitHub</x:v>
      </x:c>
      <x:c r="S4" s="3" t="str">
        <x:f>IF(Master!T612="","",Master!T612)</x:f>
        <x:v>Active development</x:v>
      </x:c>
      <x:c r="T4" s="3" t="str">
        <x:f>IF(Master!U612="","",Master!U612)</x:f>
        <x:v>Active public GitHub repository</x:v>
      </x:c>
      <x:c r="U4" s="3" t="str">
        <x:f>IF(Master!V612="","",Master!V612)</x:f>
        <x:v>Closed source</x:v>
      </x:c>
      <x:c r="V4" s="3" t="str">
        <x:f>IF(Master!W612="","",Master!W612)</x:f>
        <x:v>High public GitHub activity</x:v>
      </x:c>
      <x:c r="W4" s="3" t="str">
        <x:f>IF(Master!X612="","",Master!X612)</x:f>
        <x:v>Active GitHub</x:v>
      </x:c>
      <x:c r="X4" s="3" t="str">
        <x:f>IF(Master!Y612="","",Master!Y612)</x:f>
        <x:v>Closed source: commit velocity not public</x:v>
      </x:c>
      <x:c r="Y4" s="3" t="str">
        <x:f>IF(Master!Z612="","",Master!Z612)</x:f>
        <x:v>Active GitHub development</x:v>
      </x:c>
      <x:c r="Z4" s="3" t="str">
        <x:f>IF(Master!AA612="","",Master!AA612)</x:f>
        <x:v>High: active GitHub development in 2026</x:v>
      </x:c>
      <x:c r="AA4" s="6" t="str">
        <x:f>IF(Master!AB612="","",Master!AB612)</x:f>
        <x:v>Closed source; public commit velocity N/A</x:v>
      </x:c>
      <x:c r="AB4" s="3" t="str">
        <x:f>IF(Master!AC612="","",Master!AC612)</x:f>
        <x:v>Active GitHub</x:v>
      </x:c>
      <x:c r="AC4" s="3" t="str">
        <x:f>IF(Master!AD612="","",Master!AD612)</x:f>
        <x:v>Active GitHub backend</x:v>
      </x:c>
      <x:c r="AD4" s="3" t="str">
        <x:f>IF(Master!AE612="","",Master!AE612)</x:f>
        <x:v>Source-available active repository</x:v>
      </x:c>
      <x:c r="AE4" s="3" t="str">
        <x:f>IF(Master!AF612="","",Master!AF612)</x:f>
        <x:v>Active</x:v>
      </x:c>
      <x:c r="AF4" s="8" t="str">
        <x:f>IF(Master!AG612="","",Master!AG612)</x:f>
        <x:v>High public GitHub activity</x:v>
      </x:c>
    </x:row>
    <x:row r="5" ht="36" customHeight="1">
      <x:c r="A5" s="17" t="s">
        <x:v>886</x:v>
      </x:c>
      <x:c r="B5" s="3" t="str">
        <x:f>IF(Master!C613="","",Master!C613)</x:f>
        <x:v>Corp (Discord Inc.)</x:v>
      </x:c>
      <x:c r="C5" s="3" t="str">
        <x:f>IF(Master!D613="","",Master!D613)</x:f>
        <x:v>Open-source team</x:v>
      </x:c>
      <x:c r="D5" s="3" t="str">
        <x:f>IF(Master!E613="","",Master!E613)</x:f>
        <x:v>Solo-led + contributors</x:v>
      </x:c>
      <x:c r="E5" s="3" t="str">
        <x:f>IF(Master!F613="","",Master!F613)</x:f>
        <x:v>Tiny Canadian team</x:v>
      </x:c>
      <x:c r="F5" s="3" t="str">
        <x:f>IF(Master!G613="","",Master!G613)</x:f>
        <x:v>Solo founder / tiny team</x:v>
      </x:c>
      <x:c r="G5" s="3" t="str">
        <x:f>IF(Master!H613="","",Master!H613)</x:f>
        <x:v>Small company/open-source team</x:v>
      </x:c>
      <x:c r="H5" s="3" t="str">
        <x:f>IF(Master!I613="","",Master!I613)</x:f>
        <x:v>Founder-led company</x:v>
      </x:c>
      <x:c r="I5" s="3" t="str">
        <x:f>IF(Master!J613="","",Master!J613)</x:f>
        <x:v>Volunteer project</x:v>
      </x:c>
      <x:c r="J5" s="3" t="str">
        <x:f>IF(Master!K613="","",Master!K613)</x:f>
        <x:v>Solo dev</x:v>
      </x:c>
      <x:c r="K5" s="3" t="str">
        <x:f>IF(Master!L613="","",Master!L613)</x:f>
        <x:v>1 primary developer; security-researcher friend provides private review/bug reports (developer report)</x:v>
      </x:c>
      <x:c r="L5" s="3" t="str">
        <x:f>IF(Master!M613="","",Master!M613)</x:f>
        <x:v>Small team</x:v>
      </x:c>
      <x:c r="M5" s="3" t="str">
        <x:f>IF(Master!N613="","",Master!N613)</x:f>
        <x:v>Small team</x:v>
      </x:c>
      <x:c r="N5" s="3" t="str">
        <x:f>IF(Master!O613="","",Master!O613)</x:f>
        <x:v>Nonprofit foundation + ecosystem companies/projects</x:v>
      </x:c>
      <x:c r="O5" s="3" t="str">
        <x:f>IF(Master!P613="","",Master!P613)</x:f>
        <x:v>Corp + open-source community</x:v>
      </x:c>
      <x:c r="P5" s="3" t="str">
        <x:f>IF(Master!Q613="","",Master!Q613)</x:f>
        <x:v>Company/open-source team</x:v>
      </x:c>
      <x:c r="Q5" s="3" t="str">
        <x:f>IF(Master!R613="","",Master!R613)</x:f>
        <x:v>Community project</x:v>
      </x:c>
      <x:c r="R5" s="3" t="str">
        <x:f>IF(Master!S613="","",Master!S613)</x:f>
        <x:v>Solo/small community</x:v>
      </x:c>
      <x:c r="S5" s="3" t="str">
        <x:f>IF(Master!T613="","",Master!T613)</x:f>
        <x:v>Small startup team</x:v>
      </x:c>
      <x:c r="T5" s="3" t="str">
        <x:f>IF(Master!U613="","",Master!U613)</x:f>
        <x:v>Independently run; exact team size not stated</x:v>
      </x:c>
      <x:c r="U5" s="3" t="str">
        <x:f>IF(Master!V613="","",Master!V613)</x:f>
        <x:v>Small private company</x:v>
      </x:c>
      <x:c r="V5" s="3" t="str">
        <x:f>IF(Master!W613="","",Master!W613)</x:f>
        <x:v>Corp + community</x:v>
      </x:c>
      <x:c r="W5" s="3" t="str">
        <x:f>IF(Master!X613="","",Master!X613)</x:f>
        <x:v>Open-source community</x:v>
      </x:c>
      <x:c r="X5" s="3" t="str">
        <x:f>IF(Master!Y613="","",Master!Y613)</x:f>
        <x:v>Corp</x:v>
      </x:c>
      <x:c r="Y5" s="3" t="str">
        <x:f>IF(Master!Z613="","",Master!Z613)</x:f>
        <x:v>Volunteer project</x:v>
      </x:c>
      <x:c r="Z5" s="3" t="str">
        <x:f>IF(Master!AA613="","",Master!AA613)</x:f>
        <x:v>Small open-source collective</x:v>
      </x:c>
      <x:c r="AA5" s="6" t="str">
        <x:f>IF(Master!AB613="","",Master!AB613)</x:f>
        <x:v>Corp</x:v>
      </x:c>
      <x:c r="AB5" s="3" t="str">
        <x:f>IF(Master!AC613="","",Master!AC613)</x:f>
        <x:v>Volunteer/open-source team</x:v>
      </x:c>
      <x:c r="AC5" s="3" t="str">
        <x:f>IF(Master!AD613="","",Master!AD613)</x:f>
        <x:v>Small founder-led team</x:v>
      </x:c>
      <x:c r="AD5" s="3" t="str">
        <x:f>IF(Master!AE613="","",Master!AE613)</x:f>
        <x:v>Solo developer</x:v>
      </x:c>
      <x:c r="AE5" s="3" t="str">
        <x:f>IF(Master!AF613="","",Master!AF613)</x:f>
        <x:v>Small team</x:v>
      </x:c>
      <x:c r="AF5" s="8" t="str">
        <x:f>IF(Master!AG613="","",Master!AG613)</x:f>
        <x:v>Independent company + community</x:v>
      </x:c>
    </x:row>
    <x:row r="6" ht="36" customHeight="1">
      <x:c r="A6" s="17" t="s">
        <x:v>887</x:v>
      </x:c>
      <x:c r="B6" s="3" t="str">
        <x:f>IF(Master!C614="","",Master!C614)</x:f>
        <x:v>Limited: no comprehensive public product roadmap; blogs/changelogs announce plans and releases</x:v>
      </x:c>
      <x:c r="C6" s="3" t="str">
        <x:f>IF(Master!D614="","",Master!D614)</x:f>
        <x:v>Public repos</x:v>
      </x:c>
      <x:c r="D6" s="3" t="str">
        <x:f>IF(Master!E614="","",Master!E614)</x:f>
        <x:v>public documentation/GitHub</x:v>
      </x:c>
      <x:c r="E6" s="3" t="str">
        <x:f>IF(Master!F614="","",Master!F614)</x:f>
        <x:v>Public site</x:v>
      </x:c>
      <x:c r="F6" s="3" t="str">
        <x:f>IF(Master!G614="","",Master!G614)</x:f>
        <x:v>Public roadmap/story posts</x:v>
      </x:c>
      <x:c r="G6" s="3" t="str">
        <x:f>IF(Master!H614="","",Master!H614)</x:f>
        <x:v>Public 2026 roadmap</x:v>
      </x:c>
      <x:c r="H6" s="3" t="str">
        <x:f>IF(Master!I614="","",Master!I614)</x:f>
        <x:v>Public site/press</x:v>
      </x:c>
      <x:c r="I6" s="3" t="str">
        <x:f>IF(Master!J614="","",Master!J614)</x:f>
        <x:v>Public roadmap</x:v>
      </x:c>
      <x:c r="J6" s="3" t="str">
        <x:f>IF(Master!K614="","",Master!K614)</x:f>
        <x:v>Public roadmap/issues</x:v>
      </x:c>
      <x:c r="K6" s="3" t="str">
        <x:f>IF(Master!L614="","",Master!L614)</x:f>
        <x:v>Yes: active roadmap in the official Kaede community (developer report)</x:v>
      </x:c>
      <x:c r="L6" s="3" t="str">
        <x:f>IF(Master!M614="","",Master!M614)</x:f>
        <x:v>Public site</x:v>
      </x:c>
      <x:c r="M6" s="3" t="str">
        <x:f>IF(Master!N614="","",Master!N614)</x:f>
        <x:v>Public feature tracker</x:v>
      </x:c>
      <x:c r="N6" s="3" t="str">
        <x:f>IF(Master!O614="","",Master!O614)</x:f>
        <x:v>Public spec roadmap/MSC process</x:v>
      </x:c>
      <x:c r="O6" s="3" t="str">
        <x:f>IF(Master!P614="","",Master!P614)</x:f>
        <x:v>Public product roadmap/release documentation</x:v>
      </x:c>
      <x:c r="P6" s="3" t="str">
        <x:f>IF(Master!Q614="","",Master!Q614)</x:f>
        <x:v>public documentation/blog</x:v>
      </x:c>
      <x:c r="Q6" s="3" t="str">
        <x:f>IF(Master!R614="","",Master!R614)</x:f>
        <x:v>Public GitHub milestones/issues</x:v>
      </x:c>
      <x:c r="R6" s="3" t="str">
        <x:f>IF(Master!S614="","",Master!S614)</x:f>
        <x:v>Public GitHub</x:v>
      </x:c>
      <x:c r="S6" s="3" t="str">
        <x:f>IF(Master!T614="","",Master!T614)</x:f>
        <x:v>Public updates</x:v>
      </x:c>
      <x:c r="T6" s="3" t="str">
        <x:f>IF(Master!U614="","",Master!U614)</x:f>
        <x:v>Public site/GitHub</x:v>
      </x:c>
      <x:c r="U6" s="3" t="str">
        <x:f>IF(Master!V614="","",Master!V614)</x:f>
        <x:v>Public site/updates</x:v>
      </x:c>
      <x:c r="V6" s="3" t="str">
        <x:f>IF(Master!W614="","",Master!W614)</x:f>
        <x:v>Public roadmap/release documentation</x:v>
      </x:c>
      <x:c r="W6" s="3" t="str">
        <x:f>IF(Master!X614="","",Master!X614)</x:f>
        <x:v>Public GitHub</x:v>
      </x:c>
      <x:c r="X6" s="3" t="str">
        <x:f>IF(Master!Y614="","",Master!Y614)</x:f>
      </x:c>
      <x:c r="Y6" s="3" t="str">
        <x:f>IF(Master!Z614="","",Master!Z614)</x:f>
        <x:v>Public GitHub roadmap/issues</x:v>
      </x:c>
      <x:c r="Z6" s="3" t="str">
        <x:f>IF(Master!AA614="","",Master!AA614)</x:f>
        <x:v>Public GitHub issues/projects + update posts</x:v>
      </x:c>
      <x:c r="AA6" s="6" t="str">
        <x:f>IF(Master!AB614="","",Master!AB614)</x:f>
        <x:v>Product roadmap/announcements</x:v>
      </x:c>
      <x:c r="AB6" s="3" t="str">
        <x:f>IF(Master!AC614="","",Master!AC614)</x:f>
        <x:v>Public roadmap/issues</x:v>
      </x:c>
      <x:c r="AC6" s="3" t="str">
        <x:f>IF(Master!AD614="","",Master!AD614)</x:f>
        <x:v>Public subreddit/GitHub</x:v>
      </x:c>
      <x:c r="AD6" s="3" t="str">
        <x:f>IF(Master!AE614="","",Master!AE614)</x:f>
        <x:v>Public site</x:v>
      </x:c>
      <x:c r="AE6" s="3" t="str">
        <x:f>IF(Master!AF614="","",Master!AF614)</x:f>
        <x:v>Public roadmap</x:v>
      </x:c>
      <x:c r="AF6" s="8" t="str">
        <x:f>IF(Master!AG614="","",Master!AG614)</x:f>
        <x:v>Public roadmap/issues</x:v>
      </x:c>
    </x:row>
    <x:row r="7" ht="36" customHeight="1">
      <x:c r="A7" s="17" t="s">
        <x:v>888</x:v>
      </x:c>
      <x:c r="B7" s="3" t="str">
        <x:f>IF(Master!C615="","",Master!C615)</x:f>
        <x:v>N/A for core product: no public core GitHub issue tracker; support and feedback channels are used.</x:v>
      </x:c>
      <x:c r="C7" s="3" t="str">
        <x:f>IF(Master!D615="","",Master!D615)</x:f>
        <x:v>Public issues</x:v>
      </x:c>
      <x:c r="D7" s="3" t="str">
        <x:f>IF(Master!E615="","",Master!E615)</x:f>
        <x:v>Public issues</x:v>
      </x:c>
      <x:c r="E7" s="3" t="str">
        <x:f>IF(Master!F615="","",Master!F615)</x:f>
        <x:v>Feedback/support</x:v>
      </x:c>
      <x:c r="F7" s="3" t="str">
        <x:f>IF(Master!G615="","",Master!G615)</x:f>
      </x:c>
      <x:c r="G7" s="3" t="str">
        <x:f>IF(Master!H615="","",Master!H615)</x:f>
        <x:v>Public GitHub issues</x:v>
      </x:c>
      <x:c r="H7" s="3" t="str">
        <x:f>IF(Master!I615="","",Master!I615)</x:f>
        <x:v>Support/community feedback</x:v>
      </x:c>
      <x:c r="I7" s="3" t="str">
        <x:f>IF(Master!J615="","",Master!J615)</x:f>
        <x:v>Public issues</x:v>
      </x:c>
      <x:c r="J7" s="3" t="str">
        <x:f>IF(Master!K615="","",Master!K615)</x:f>
        <x:v>GitHub</x:v>
      </x:c>
      <x:c r="K7" s="3" t="str">
        <x:f>IF(Master!L615="","",Master!L615)</x:f>
      </x:c>
      <x:c r="L7" s="3" t="str">
        <x:f>IF(Master!M615="","",Master!M615)</x:f>
        <x:v>Support/community</x:v>
      </x:c>
      <x:c r="M7" s="3" t="str">
        <x:f>IF(Master!N615="","",Master!N615)</x:f>
        <x:v>Community feedback</x:v>
      </x:c>
      <x:c r="N7" s="3" t="str">
        <x:f>IF(Master!O615="","",Master!O615)</x:f>
        <x:v>Public GitHub issue/MSC processes</x:v>
      </x:c>
      <x:c r="O7" s="3" t="str">
        <x:f>IF(Master!P615="","",Master!P615)</x:f>
        <x:v>Public GitHub issues/support</x:v>
      </x:c>
      <x:c r="P7" s="3" t="str">
        <x:f>IF(Master!Q615="","",Master!Q615)</x:f>
        <x:v>GitHub issues</x:v>
      </x:c>
      <x:c r="Q7" s="3" t="str">
        <x:f>IF(Master!R615="","",Master!R615)</x:f>
        <x:v>Public issues</x:v>
      </x:c>
      <x:c r="R7" s="3" t="str">
        <x:f>IF(Master!S615="","",Master!S615)</x:f>
        <x:v>Public issues</x:v>
      </x:c>
      <x:c r="S7" s="3" t="str">
        <x:f>IF(Master!T615="","",Master!T615)</x:f>
        <x:v>Community support</x:v>
      </x:c>
      <x:c r="T7" s="3" t="str">
        <x:f>IF(Master!U615="","",Master!U615)</x:f>
        <x:v>GitHub/support</x:v>
      </x:c>
      <x:c r="U7" s="3" t="str">
        <x:f>IF(Master!V615="","",Master!V615)</x:f>
        <x:v>Support</x:v>
      </x:c>
      <x:c r="V7" s="3" t="str">
        <x:f>IF(Master!W615="","",Master!W615)</x:f>
        <x:v>Public GitHub issues</x:v>
      </x:c>
      <x:c r="W7" s="3" t="str">
        <x:f>IF(Master!X615="","",Master!X615)</x:f>
        <x:v>Public issues</x:v>
      </x:c>
      <x:c r="X7" s="3" t="str">
        <x:f>IF(Master!Y615="","",Master!Y615)</x:f>
        <x:v>Private issue process/support</x:v>
      </x:c>
      <x:c r="Y7" s="3" t="str">
        <x:f>IF(Master!Z615="","",Master!Z615)</x:f>
        <x:v>Public GitHub issues</x:v>
      </x:c>
      <x:c r="Z7" s="3" t="str">
        <x:f>IF(Master!AA615="","",Master!AA615)</x:f>
        <x:v>Public issue trackers</x:v>
      </x:c>
      <x:c r="AA7" s="6" t="str">
        <x:f>IF(Master!AB615="","",Master!AB615)</x:f>
        <x:v>Support/feedback</x:v>
      </x:c>
      <x:c r="AB7" s="3" t="str">
        <x:f>IF(Master!AC615="","",Master!AC615)</x:f>
        <x:v>GitHub issues</x:v>
      </x:c>
      <x:c r="AC7" s="3" t="str">
        <x:f>IF(Master!AD615="","",Master!AD615)</x:f>
        <x:v>GitHub issues</x:v>
      </x:c>
      <x:c r="AD7" s="3" t="str">
        <x:f>IF(Master!AE615="","",Master!AE615)</x:f>
        <x:v>Support</x:v>
      </x:c>
      <x:c r="AE7" s="3" t="str">
        <x:f>IF(Master!AF615="","",Master!AF615)</x:f>
        <x:v>Support</x:v>
      </x:c>
      <x:c r="AF7" s="8" t="str">
        <x:f>IF(Master!AG615="","",Master!AG615)</x:f>
        <x:v>Public GitHub issues</x:v>
      </x:c>
    </x:row>
    <x:row r="8" ht="36" customHeight="1">
      <x:c r="A8" s="17" t="s">
        <x:v>889</x:v>
      </x:c>
      <x:c r="B8" s="3" t="str">
        <x:f>IF(Master!C616="","",Master!C616)</x:f>
        <x:v>Yes: public changelogs, patch notes, support updates, and developer changelog</x:v>
      </x:c>
      <x:c r="C8" s="3" t="str">
        <x:f>IF(Master!D616="","",Master!D616)</x:f>
        <x:v>Git history</x:v>
      </x:c>
      <x:c r="D8" s="3" t="str">
        <x:f>IF(Master!E616="","",Master!E616)</x:f>
        <x:v>Many GitHub releases</x:v>
      </x:c>
      <x:c r="E8" s="3" t="str">
        <x:f>IF(Master!F616="","",Master!F616)</x:f>
        <x:v>App release notes</x:v>
      </x:c>
      <x:c r="F8" s="3" t="str">
        <x:f>IF(Master!G616="","",Master!G616)</x:f>
      </x:c>
      <x:c r="G8" s="3" t="str">
        <x:f>IF(Master!H616="","",Master!H616)</x:f>
        <x:v>Public blog/changelog</x:v>
      </x:c>
      <x:c r="H8" s="3" t="str">
        <x:f>IF(Master!I616="","",Master!I616)</x:f>
        <x:v>Public updates/press</x:v>
      </x:c>
      <x:c r="I8" s="3" t="str">
        <x:f>IF(Master!J616="","",Master!J616)</x:f>
        <x:v>Public commits</x:v>
      </x:c>
      <x:c r="J8" s="3" t="str">
        <x:f>IF(Master!K616="","",Master!K616)</x:f>
        <x:v>GitHub releases</x:v>
      </x:c>
      <x:c r="K8" s="3" t="str">
        <x:f>IF(Master!L616="","",Master!L616)</x:f>
        <x:v>No conventional public changelog or release-note stream found; repository history is active.</x:v>
      </x:c>
      <x:c r="L8" s="3" t="str">
        <x:f>IF(Master!M616="","",Master!M616)</x:f>
        <x:v>Public updates</x:v>
      </x:c>
      <x:c r="M8" s="3" t="str">
        <x:f>IF(Master!N616="","",Master!N616)</x:f>
        <x:v>Public site updates</x:v>
      </x:c>
      <x:c r="N8" s="3" t="str">
        <x:f>IF(Master!O616="","",Master!O616)</x:f>
        <x:v>Public specification changelogs and project release notes</x:v>
      </x:c>
      <x:c r="O8" s="3" t="str">
        <x:f>IF(Master!P616="","",Master!P616)</x:f>
        <x:v>Public release notes</x:v>
      </x:c>
      <x:c r="P8" s="3" t="str">
        <x:f>IF(Master!Q616="","",Master!Q616)</x:f>
        <x:v>public documentation/blog</x:v>
      </x:c>
      <x:c r="Q8" s="3" t="str">
        <x:f>IF(Master!R616="","",Master!R616)</x:f>
        <x:v>Public releases/changelog</x:v>
      </x:c>
      <x:c r="R8" s="3" t="str">
        <x:f>IF(Master!S616="","",Master!S616)</x:f>
        <x:v>GitHub releases</x:v>
      </x:c>
      <x:c r="S8" s="3" t="str">
        <x:f>IF(Master!T616="","",Master!T616)</x:f>
        <x:v>Public changelog/blog</x:v>
      </x:c>
      <x:c r="T8" s="3" t="str">
        <x:f>IF(Master!U616="","",Master!U616)</x:f>
        <x:v>Yes: https://pqp.gg/blog</x:v>
      </x:c>
      <x:c r="U8" s="3" t="str">
        <x:f>IF(Master!V616="","",Master!V616)</x:f>
        <x:v>Public site updates</x:v>
      </x:c>
      <x:c r="V8" s="3" t="str">
        <x:f>IF(Master!W616="","",Master!W616)</x:f>
        <x:v>Public release notes</x:v>
      </x:c>
      <x:c r="W8" s="3" t="str">
        <x:f>IF(Master!X616="","",Master!X616)</x:f>
        <x:v>GitHub commits</x:v>
      </x:c>
      <x:c r="X8" s="3" t="str">
        <x:f>IF(Master!Y616="","",Master!Y616)</x:f>
        <x:v>Public changelog/help documentation</x:v>
      </x:c>
      <x:c r="Y8" s="3" t="str">
        <x:f>IF(Master!Z616="","",Master!Z616)</x:f>
        <x:v>GitHub releases/commits</x:v>
      </x:c>
      <x:c r="Z8" s="3" t="str">
        <x:f>IF(Master!AA616="","",Master!AA616)</x:f>
        <x:v>Yes: GitHub changelogs/releases and Stoat updates</x:v>
      </x:c>
      <x:c r="AA8" s="6" t="str">
        <x:f>IF(Master!AB616="","",Master!AB616)</x:f>
        <x:v>Public news/release notes</x:v>
      </x:c>
      <x:c r="AB8" s="3" t="str">
        <x:f>IF(Master!AC616="","",Master!AC616)</x:f>
        <x:v>GitHub releases</x:v>
      </x:c>
      <x:c r="AC8" s="3" t="str">
        <x:f>IF(Master!AD616="","",Master!AD616)</x:f>
        <x:v>Public updates</x:v>
      </x:c>
      <x:c r="AD8" s="3" t="str">
        <x:f>IF(Master!AE616="","",Master!AE616)</x:f>
        <x:v>Public site/repository</x:v>
      </x:c>
      <x:c r="AE8" s="3" t="str">
        <x:f>IF(Master!AF616="","",Master!AF616)</x:f>
        <x:v>Public roadmap/updates</x:v>
      </x:c>
      <x:c r="AF8" s="8" t="str">
        <x:f>IF(Master!AG616="","",Master!AG616)</x:f>
        <x:v>Public release notes</x:v>
      </x:c>
    </x:row>
    <x:row r="9" ht="21.950000762939453" customHeight="1">
      <x:c r="A9" s="18" t="s">
        <x:v>890</x:v>
      </x:c>
      <x:c r="B9" s="18" t="str">
        <x:f t="shared" ref="B9:AF9" si="0">IF(""="","","")</x:f>
      </x:c>
      <x:c r="C9" s="18" t="str">
        <x:f t="shared" si="0"/>
      </x:c>
      <x:c r="D9" s="18" t="str">
        <x:f t="shared" si="0"/>
      </x:c>
      <x:c r="E9" s="18" t="str">
        <x:f t="shared" si="0"/>
      </x:c>
      <x:c r="F9" s="18" t="str">
        <x:f t="shared" si="0"/>
      </x:c>
      <x:c r="G9" s="18" t="str">
        <x:f t="shared" si="0"/>
      </x:c>
      <x:c r="H9" s="18" t="str">
        <x:f t="shared" si="0"/>
      </x:c>
      <x:c r="I9" s="18" t="str">
        <x:f t="shared" si="0"/>
      </x:c>
      <x:c r="J9" s="18" t="str">
        <x:f t="shared" si="0"/>
      </x:c>
      <x:c r="K9" s="18" t="str">
        <x:f t="shared" si="0"/>
      </x:c>
      <x:c r="L9" s="18" t="str">
        <x:f t="shared" si="0"/>
      </x:c>
      <x:c r="M9" s="18" t="str">
        <x:f t="shared" si="0"/>
      </x:c>
      <x:c r="N9" s="18" t="str">
        <x:f t="shared" si="0"/>
      </x:c>
      <x:c r="O9" s="18" t="str">
        <x:f t="shared" si="0"/>
      </x:c>
      <x:c r="P9" s="18" t="str">
        <x:f t="shared" si="0"/>
      </x:c>
      <x:c r="Q9" s="18" t="str">
        <x:f t="shared" si="0"/>
      </x:c>
      <x:c r="R9" s="18" t="str">
        <x:f t="shared" si="0"/>
      </x:c>
      <x:c r="S9" s="18" t="str">
        <x:f t="shared" si="0"/>
      </x:c>
      <x:c r="T9" s="18" t="str">
        <x:f t="shared" si="0"/>
      </x:c>
      <x:c r="U9" s="18" t="str">
        <x:f t="shared" si="0"/>
      </x:c>
      <x:c r="V9" s="18" t="str">
        <x:f t="shared" si="0"/>
      </x:c>
      <x:c r="W9" s="18" t="str">
        <x:f t="shared" si="0"/>
      </x:c>
      <x:c r="X9" s="18" t="str">
        <x:f t="shared" si="0"/>
      </x:c>
      <x:c r="Y9" s="18" t="str">
        <x:f t="shared" si="0"/>
      </x:c>
      <x:c r="Z9" s="18" t="str">
        <x:f t="shared" si="0"/>
      </x:c>
      <x:c r="AA9" s="18" t="str">
        <x:f t="shared" si="0"/>
      </x:c>
      <x:c r="AB9" s="18" t="str">
        <x:f t="shared" si="0"/>
      </x:c>
      <x:c r="AC9" s="18" t="str">
        <x:f t="shared" si="0"/>
      </x:c>
      <x:c r="AD9" s="18" t="str">
        <x:f t="shared" si="0"/>
      </x:c>
      <x:c r="AE9" s="18" t="str">
        <x:f t="shared" si="0"/>
      </x:c>
      <x:c r="AF9" s="19" t="str">
        <x:f t="shared" si="0"/>
      </x:c>
    </x:row>
    <x:row r="10" ht="23.100000381469727" customHeight="1">
      <x:c r="A10" s="17" t="s">
        <x:v>855</x:v>
      </x:c>
      <x:c r="B10" s="4" t="str">
        <x:f>IF(Master!C617="","",Master!C617)</x:f>
      </x:c>
      <x:c r="C10" s="4" t="str">
        <x:f>IF(Master!D617="","",Master!D617)</x:f>
      </x:c>
      <x:c r="D10" s="4" t="str">
        <x:f>IF(Master!E617="","",Master!E617)</x:f>
      </x:c>
      <x:c r="E10" s="4" t="str">
        <x:f>IF(Master!F617="","",Master!F617)</x:f>
      </x:c>
      <x:c r="F10" s="4" t="str">
        <x:f>IF(Master!G617="","",Master!G617)</x:f>
      </x:c>
      <x:c r="G10" s="4" t="str">
        <x:f>IF(Master!H617="","",Master!H617)</x:f>
      </x:c>
      <x:c r="H10" s="4" t="str">
        <x:f>IF(Master!I617="","",Master!I617)</x:f>
      </x:c>
      <x:c r="I10" s="4" t="str">
        <x:f>IF(Master!J617="","",Master!J617)</x:f>
      </x:c>
      <x:c r="J10" s="4" t="str">
        <x:f>IF(Master!K617="","",Master!K617)</x:f>
      </x:c>
      <x:c r="K10" s="4" t="str">
        <x:f>IF(Master!L617="","",Master!L617)</x:f>
        <x:v>No formal public launch</x:v>
      </x:c>
      <x:c r="L10" s="4" t="str">
        <x:f>IF(Master!M617="","",Master!M617)</x:f>
      </x:c>
      <x:c r="M10" s="4" t="str">
        <x:f>IF(Master!N617="","",Master!N617)</x:f>
      </x:c>
      <x:c r="N10" s="4" t="str">
        <x:f>IF(Master!O617="","",Master!O617)</x:f>
      </x:c>
      <x:c r="O10" s="4" t="str">
        <x:f>IF(Master!P617="","",Master!P617)</x:f>
      </x:c>
      <x:c r="P10" s="4" t="str">
        <x:f>IF(Master!Q617="","",Master!Q617)</x:f>
      </x:c>
      <x:c r="Q10" s="4" t="str">
        <x:f>IF(Master!R617="","",Master!R617)</x:f>
      </x:c>
      <x:c r="R10" s="4" t="str">
        <x:f>IF(Master!S617="","",Master!S617)</x:f>
      </x:c>
      <x:c r="S10" s="4" t="str">
        <x:f>IF(Master!T617="","",Master!T617)</x:f>
      </x:c>
      <x:c r="T10" s="4" t="str">
        <x:f>IF(Master!U617="","",Master!U617)</x:f>
      </x:c>
      <x:c r="U10" s="4" t="str">
        <x:f>IF(Master!V617="","",Master!V617)</x:f>
        <x:v>2026 Sept 16</x:v>
      </x:c>
      <x:c r="V10" s="4" t="str">
        <x:f>IF(Master!W617="","",Master!W617)</x:f>
      </x:c>
      <x:c r="W10" s="4" t="str">
        <x:f>IF(Master!X617="","",Master!X617)</x:f>
      </x:c>
      <x:c r="X10" s="4" t="str">
        <x:f>IF(Master!Y617="","",Master!Y617)</x:f>
      </x:c>
      <x:c r="Y10" s="4" t="str">
        <x:f>IF(Master!Z617="","",Master!Z617)</x:f>
      </x:c>
      <x:c r="Z10" s="4" t="str">
        <x:f>IF(Master!AA617="","",Master!AA617)</x:f>
      </x:c>
      <x:c r="AA10" s="5" t="str">
        <x:f>IF(Master!AB617="","",Master!AB617)</x:f>
      </x:c>
      <x:c r="AB10" s="4" t="str">
        <x:f>IF(Master!AC617="","",Master!AC617)</x:f>
      </x:c>
      <x:c r="AC10" s="4" t="str">
        <x:f>IF(Master!AD617="","",Master!AD617)</x:f>
      </x:c>
      <x:c r="AD10" s="4" t="str">
        <x:f>IF(Master!AE617="","",Master!AE617)</x:f>
      </x:c>
      <x:c r="AE10" s="4" t="str">
        <x:f>IF(Master!AF617="","",Master!AF617)</x:f>
      </x:c>
      <x:c r="AF10" s="8" t="str">
        <x:f>IF(Master!AG617="","",Master!AG617)</x:f>
      </x:c>
    </x:row>
    <x:row r="11" ht="36" customHeight="1">
      <x:c r="A11" s="17" t="s">
        <x:v>857</x:v>
      </x:c>
      <x:c r="B11" s="3" t="str">
        <x:f>IF(Master!C618="","",Master!C618)</x:f>
        <x:v>Yes</x:v>
      </x:c>
      <x:c r="C11" s="3" t="str">
        <x:f>IF(Master!D618="","",Master!D618)</x:f>
      </x:c>
      <x:c r="D11" s="3" t="str">
        <x:f>IF(Master!E618="","",Master!E618)</x:f>
      </x:c>
      <x:c r="E11" s="3" t="str">
        <x:f>IF(Master!F618="","",Master!F618)</x:f>
      </x:c>
      <x:c r="F11" s="3" t="str">
        <x:f>IF(Master!G618="","",Master!G618)</x:f>
      </x:c>
      <x:c r="G11" s="3" t="str">
        <x:f>IF(Master!H618="","",Master!H618)</x:f>
      </x:c>
      <x:c r="H11" s="3" t="str">
        <x:f>IF(Master!I618="","",Master!I618)</x:f>
      </x:c>
      <x:c r="I11" s="3" t="str">
        <x:f>IF(Master!J618="","",Master!J618)</x:f>
      </x:c>
      <x:c r="J11" s="3" t="str">
        <x:f>IF(Master!K618="","",Master!K618)</x:f>
      </x:c>
      <x:c r="K11" s="3" t="str">
        <x:f>IF(Master!L618="","",Master!L618)</x:f>
        <x:v>No public security advisories located</x:v>
      </x:c>
      <x:c r="L11" s="3" t="str">
        <x:f>IF(Master!M618="","",Master!M618)</x:f>
      </x:c>
      <x:c r="M11" s="3" t="str">
        <x:f>IF(Master!N618="","",Master!N618)</x:f>
      </x:c>
      <x:c r="N11" s="3" t="str">
        <x:f>IF(Master!O618="","",Master!O618)</x:f>
        <x:v>Yes</x:v>
      </x:c>
      <x:c r="O11" s="3" t="str">
        <x:f>IF(Master!P618="","",Master!P618)</x:f>
        <x:v>Yes</x:v>
      </x:c>
      <x:c r="P11" s="3" t="str">
        <x:f>IF(Master!Q618="","",Master!Q618)</x:f>
      </x:c>
      <x:c r="Q11" s="3" t="str">
        <x:f>IF(Master!R618="","",Master!R618)</x:f>
        <x:v>Yes</x:v>
      </x:c>
      <x:c r="R11" s="3" t="str">
        <x:f>IF(Master!S618="","",Master!S618)</x:f>
      </x:c>
      <x:c r="S11" s="3" t="str">
        <x:f>IF(Master!T618="","",Master!T618)</x:f>
      </x:c>
      <x:c r="T11" s="3" t="str">
        <x:f>IF(Master!U618="","",Master!U618)</x:f>
        <x:v>No public breach/CVE story; security contact is published</x:v>
      </x:c>
      <x:c r="U11" s="3" t="str">
        <x:f>IF(Master!V618="","",Master!V618)</x:f>
        <x:v>No Known</x:v>
      </x:c>
      <x:c r="V11" s="3" t="str">
        <x:f>IF(Master!W618="","",Master!W618)</x:f>
        <x:v>Yes</x:v>
      </x:c>
      <x:c r="W11" s="3" t="str">
        <x:f>IF(Master!X618="","",Master!X618)</x:f>
      </x:c>
      <x:c r="X11" s="3" t="str">
        <x:f>IF(Master!Y618="","",Master!Y618)</x:f>
      </x:c>
      <x:c r="Y11" s="3" t="str">
        <x:f>IF(Master!Z618="","",Master!Z618)</x:f>
      </x:c>
      <x:c r="Z11" s="3" t="str">
        <x:f>IF(Master!AA618="","",Master!AA618)</x:f>
      </x:c>
      <x:c r="AA11" s="6" t="str">
        <x:f>IF(Master!AB618="","",Master!AB618)</x:f>
      </x:c>
      <x:c r="AB11" s="3" t="str">
        <x:f>IF(Master!AC618="","",Master!AC618)</x:f>
      </x:c>
      <x:c r="AC11" s="3" t="str">
        <x:f>IF(Master!AD618="","",Master!AD618)</x:f>
      </x:c>
      <x:c r="AD11" s="3" t="str">
        <x:f>IF(Master!AE618="","",Master!AE618)</x:f>
      </x:c>
      <x:c r="AE11" s="3" t="str">
        <x:f>IF(Master!AF618="","",Master!AF618)</x:f>
      </x:c>
      <x:c r="AF11" s="8" t="str">
        <x:f>IF(Master!AG618="","",Master!AG618)</x:f>
      </x:c>
    </x:row>
    <x:row r="12" ht="36" customHeight="1">
      <x:c r="A12" s="17" t="s">
        <x:v>891</x:v>
      </x:c>
      <x:c r="B12" s="3" t="str">
        <x:f>IF(Master!C619="","",Master!C619)</x:f>
        <x:v>Service continuously updated / no version EOL</x:v>
      </x:c>
      <x:c r="C12" s="3" t="str">
        <x:f>IF(Master!D619="","",Master!D619)</x:f>
      </x:c>
      <x:c r="D12" s="3" t="str">
        <x:f>IF(Master!E619="","",Master!E619)</x:f>
      </x:c>
      <x:c r="E12" s="3" t="str">
        <x:f>IF(Master!F619="","",Master!F619)</x:f>
      </x:c>
      <x:c r="F12" s="3" t="str">
        <x:f>IF(Master!G619="","",Master!G619)</x:f>
      </x:c>
      <x:c r="G12" s="3" t="str">
        <x:f>IF(Master!H619="","",Master!H619)</x:f>
      </x:c>
      <x:c r="H12" s="3" t="str">
        <x:f>IF(Master!I619="","",Master!I619)</x:f>
      </x:c>
      <x:c r="I12" s="3" t="str">
        <x:f>IF(Master!J619="","",Master!J619)</x:f>
      </x:c>
      <x:c r="J12" s="3" t="str">
        <x:f>IF(Master!K619="","",Master!K619)</x:f>
      </x:c>
      <x:c r="K12" s="3" t="str">
        <x:f>IF(Master!L619="","",Master!L619)</x:f>
        <x:v>No published version-support/EOL policy</x:v>
      </x:c>
      <x:c r="L12" s="3" t="str">
        <x:f>IF(Master!M619="","",Master!M619)</x:f>
      </x:c>
      <x:c r="M12" s="3" t="str">
        <x:f>IF(Master!N619="","",Master!N619)</x:f>
      </x:c>
      <x:c r="N12" s="3" t="str">
        <x:f>IF(Master!O619="","",Master!O619)</x:f>
      </x:c>
      <x:c r="O12" s="3" t="str">
        <x:f>IF(Master!P619="","",Master!P619)</x:f>
      </x:c>
      <x:c r="P12" s="3" t="str">
        <x:f>IF(Master!Q619="","",Master!Q619)</x:f>
      </x:c>
      <x:c r="Q12" s="3" t="str">
        <x:f>IF(Master!R619="","",Master!R619)</x:f>
      </x:c>
      <x:c r="R12" s="3" t="str">
        <x:f>IF(Master!S619="","",Master!S619)</x:f>
      </x:c>
      <x:c r="S12" s="3" t="str">
        <x:f>IF(Master!T619="","",Master!T619)</x:f>
      </x:c>
      <x:c r="T12" s="3" t="str">
        <x:f>IF(Master!U619="","",Master!U619)</x:f>
      </x:c>
      <x:c r="U12" s="3" t="str">
        <x:f>IF(Master!V619="","",Master!V619)</x:f>
      </x:c>
      <x:c r="V12" s="3" t="str">
        <x:f>IF(Master!W619="","",Master!W619)</x:f>
        <x:v>Yes: version support window documented</x:v>
      </x:c>
      <x:c r="W12" s="3" t="str">
        <x:f>IF(Master!X619="","",Master!X619)</x:f>
      </x:c>
      <x:c r="X12" s="3" t="str">
        <x:f>IF(Master!Y619="","",Master!Y619)</x:f>
      </x:c>
      <x:c r="Y12" s="3" t="str">
        <x:f>IF(Master!Z619="","",Master!Z619)</x:f>
      </x:c>
      <x:c r="Z12" s="3" t="str">
        <x:f>IF(Master!AA619="","",Master!AA619)</x:f>
      </x:c>
      <x:c r="AA12" s="6" t="str">
        <x:f>IF(Master!AB619="","",Master!AB619)</x:f>
      </x:c>
      <x:c r="AB12" s="3" t="str">
        <x:f>IF(Master!AC619="","",Master!AC619)</x:f>
      </x:c>
      <x:c r="AC12" s="3" t="str">
        <x:f>IF(Master!AD619="","",Master!AD619)</x:f>
      </x:c>
      <x:c r="AD12" s="3" t="str">
        <x:f>IF(Master!AE619="","",Master!AE619)</x:f>
      </x:c>
      <x:c r="AE12" s="3" t="str">
        <x:f>IF(Master!AF619="","",Master!AF619)</x:f>
      </x:c>
      <x:c r="AF12" s="8" t="str">
        <x:f>IF(Master!AG619="","",Master!AG619)</x:f>
      </x:c>
    </x:row>
    <x:row r="13" ht="23.100000381469727" customHeight="1">
      <x:c r="A13" s="17" t="s">
        <x:v>892</x:v>
      </x:c>
      <x:c r="B13" s="4" t="str">
        <x:f>IF(Master!C620="","",Master!C620)</x:f>
      </x:c>
      <x:c r="C13" s="4" t="str">
        <x:f>IF(Master!D620="","",Master!D620)</x:f>
      </x:c>
      <x:c r="D13" s="4" t="str">
        <x:f>IF(Master!E620="","",Master!E620)</x:f>
      </x:c>
      <x:c r="E13" s="4" t="str">
        <x:f>IF(Master!F620="","",Master!F620)</x:f>
      </x:c>
      <x:c r="F13" s="4" t="str">
        <x:f>IF(Master!G620="","",Master!G620)</x:f>
      </x:c>
      <x:c r="G13" s="4" t="str">
        <x:f>IF(Master!H620="","",Master!H620)</x:f>
      </x:c>
      <x:c r="H13" s="4" t="str">
        <x:f>IF(Master!I620="","",Master!I620)</x:f>
      </x:c>
      <x:c r="I13" s="4" t="str">
        <x:f>IF(Master!J620="","",Master!J620)</x:f>
      </x:c>
      <x:c r="J13" s="4" t="str">
        <x:f>IF(Master!K620="","",Master!K620)</x:f>
      </x:c>
      <x:c r="K13" s="4" t="str">
        <x:f>IF(Master!L620="","",Master!L620)</x:f>
        <x:v>Not publicly documented</x:v>
      </x:c>
      <x:c r="L13" s="4" t="str">
        <x:f>IF(Master!M620="","",Master!M620)</x:f>
      </x:c>
      <x:c r="M13" s="4" t="str">
        <x:f>IF(Master!N620="","",Master!N620)</x:f>
      </x:c>
      <x:c r="N13" s="4" t="str">
        <x:f>IF(Master!O620="","",Master!O620)</x:f>
      </x:c>
      <x:c r="O13" s="4" t="str">
        <x:f>IF(Master!P620="","",Master!P620)</x:f>
      </x:c>
      <x:c r="P13" s="4" t="str">
        <x:f>IF(Master!Q620="","",Master!Q620)</x:f>
      </x:c>
      <x:c r="Q13" s="4" t="str">
        <x:f>IF(Master!R620="","",Master!R620)</x:f>
      </x:c>
      <x:c r="R13" s="4" t="str">
        <x:f>IF(Master!S620="","",Master!S620)</x:f>
      </x:c>
      <x:c r="S13" s="4" t="str">
        <x:f>IF(Master!T620="","",Master!T620)</x:f>
      </x:c>
      <x:c r="T13" s="4" t="str">
        <x:f>IF(Master!U620="","",Master!U620)</x:f>
      </x:c>
      <x:c r="U13" s="4" t="str">
        <x:f>IF(Master!V620="","",Master!V620)</x:f>
      </x:c>
      <x:c r="V13" s="4" t="str">
        <x:f>IF(Master!W620="","",Master!W620)</x:f>
      </x:c>
      <x:c r="W13" s="4" t="str">
        <x:f>IF(Master!X620="","",Master!X620)</x:f>
      </x:c>
      <x:c r="X13" s="4" t="str">
        <x:f>IF(Master!Y620="","",Master!Y620)</x:f>
      </x:c>
      <x:c r="Y13" s="4" t="str">
        <x:f>IF(Master!Z620="","",Master!Z620)</x:f>
      </x:c>
      <x:c r="Z13" s="4" t="str">
        <x:f>IF(Master!AA620="","",Master!AA620)</x:f>
      </x:c>
      <x:c r="AA13" s="5" t="str">
        <x:f>IF(Master!AB620="","",Master!AB620)</x:f>
      </x:c>
      <x:c r="AB13" s="4" t="str">
        <x:f>IF(Master!AC620="","",Master!AC620)</x:f>
      </x:c>
      <x:c r="AC13" s="4" t="str">
        <x:f>IF(Master!AD620="","",Master!AD620)</x:f>
      </x:c>
      <x:c r="AD13" s="4" t="str">
        <x:f>IF(Master!AE620="","",Master!AE620)</x:f>
      </x:c>
      <x:c r="AE13" s="4" t="str">
        <x:f>IF(Master!AF620="","",Master!AF620)</x:f>
      </x:c>
      <x:c r="AF13" s="8" t="str">
        <x:f>IF(Master!AG620="","",Master!AG620)</x:f>
      </x:c>
    </x:row>
    <x:row r="14" ht="23.100000381469727" customHeight="1">
      <x:c r="A14" s="17" t="s">
        <x:v>893</x:v>
      </x:c>
      <x:c r="B14" s="4" t="str">
        <x:f>IF(Master!C621="","",Master!C621)</x:f>
      </x:c>
      <x:c r="C14" s="4" t="str">
        <x:f>IF(Master!D621="","",Master!D621)</x:f>
      </x:c>
      <x:c r="D14" s="4" t="str">
        <x:f>IF(Master!E621="","",Master!E621)</x:f>
      </x:c>
      <x:c r="E14" s="4" t="str">
        <x:f>IF(Master!F621="","",Master!F621)</x:f>
      </x:c>
      <x:c r="F14" s="4" t="str">
        <x:f>IF(Master!G621="","",Master!G621)</x:f>
      </x:c>
      <x:c r="G14" s="4" t="str">
        <x:f>IF(Master!H621="","",Master!H621)</x:f>
      </x:c>
      <x:c r="H14" s="4" t="str">
        <x:f>IF(Master!I621="","",Master!I621)</x:f>
      </x:c>
      <x:c r="I14" s="4" t="str">
        <x:f>IF(Master!J621="","",Master!J621)</x:f>
      </x:c>
      <x:c r="J14" s="4" t="str">
        <x:f>IF(Master!K621="","",Master!K621)</x:f>
      </x:c>
      <x:c r="K14" s="4" t="str">
        <x:f>IF(Master!L621="","",Master!L621)</x:f>
        <x:v>Not publicly documented</x:v>
      </x:c>
      <x:c r="L14" s="4" t="str">
        <x:f>IF(Master!M621="","",Master!M621)</x:f>
      </x:c>
      <x:c r="M14" s="4" t="str">
        <x:f>IF(Master!N621="","",Master!N621)</x:f>
      </x:c>
      <x:c r="N14" s="4" t="str">
        <x:f>IF(Master!O621="","",Master!O621)</x:f>
      </x:c>
      <x:c r="O14" s="4" t="str">
        <x:f>IF(Master!P621="","",Master!P621)</x:f>
      </x:c>
      <x:c r="P14" s="4" t="str">
        <x:f>IF(Master!Q621="","",Master!Q621)</x:f>
      </x:c>
      <x:c r="Q14" s="4" t="str">
        <x:f>IF(Master!R621="","",Master!R621)</x:f>
      </x:c>
      <x:c r="R14" s="4" t="str">
        <x:f>IF(Master!S621="","",Master!S621)</x:f>
      </x:c>
      <x:c r="S14" s="4" t="str">
        <x:f>IF(Master!T621="","",Master!T621)</x:f>
      </x:c>
      <x:c r="T14" s="4" t="str">
        <x:f>IF(Master!U621="","",Master!U621)</x:f>
      </x:c>
      <x:c r="U14" s="4" t="str">
        <x:f>IF(Master!V621="","",Master!V621)</x:f>
      </x:c>
      <x:c r="V14" s="4" t="str">
        <x:f>IF(Master!W621="","",Master!W621)</x:f>
      </x:c>
      <x:c r="W14" s="4" t="str">
        <x:f>IF(Master!X621="","",Master!X621)</x:f>
      </x:c>
      <x:c r="X14" s="4" t="str">
        <x:f>IF(Master!Y621="","",Master!Y621)</x:f>
      </x:c>
      <x:c r="Y14" s="4" t="str">
        <x:f>IF(Master!Z621="","",Master!Z621)</x:f>
      </x:c>
      <x:c r="Z14" s="4" t="str">
        <x:f>IF(Master!AA621="","",Master!AA621)</x:f>
      </x:c>
      <x:c r="AA14" s="5" t="str">
        <x:f>IF(Master!AB621="","",Master!AB621)</x:f>
      </x:c>
      <x:c r="AB14" s="4" t="str">
        <x:f>IF(Master!AC621="","",Master!AC621)</x:f>
      </x:c>
      <x:c r="AC14" s="4" t="str">
        <x:f>IF(Master!AD621="","",Master!AD621)</x:f>
      </x:c>
      <x:c r="AD14" s="4" t="str">
        <x:f>IF(Master!AE621="","",Master!AE621)</x:f>
      </x:c>
      <x:c r="AE14" s="4" t="str">
        <x:f>IF(Master!AF621="","",Master!AF621)</x:f>
      </x:c>
      <x:c r="AF14" s="8" t="str">
        <x:f>IF(Master!AG621="","",Master!AG621)</x:f>
      </x:c>
    </x:row>
  </x:sheetData>
  <x:mergeCells>
    <x:mergeCell ref="A1:AF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Directory'!A1","Developer Extensibility"),"Developer Extensibility")</x:f>
        <x:v>Developer Extensibility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894</x:v>
      </x:c>
      <x:c r="B3" s="3" t="str">
        <x:f>IF(Master!C622="","",Master!C622)</x:f>
        <x:v>REST/HTTP API + Gateway WebSocket</x:v>
      </x:c>
      <x:c r="C3" s="3" t="str">
        <x:f>IF(Master!D622="","",Master!D622)</x:f>
        <x:v>Nostr/Concord protocols</x:v>
      </x:c>
      <x:c r="D3" s="3" t="str">
        <x:f>IF(Master!E622="","",Master!E622)</x:f>
        <x:v>Custom server/WebSocket APIs</x:v>
      </x:c>
      <x:c r="E3" s="3" t="str">
        <x:f>IF(Master!F622="","",Master!F622)</x:f>
      </x:c>
      <x:c r="F3" s="3" t="str">
        <x:f>IF(Master!G622="","",Master!G622)</x:f>
        <x:v>Bot API planned after public release</x:v>
      </x:c>
      <x:c r="G3" s="3" t="str">
        <x:f>IF(Master!H622="","",Master!H622)</x:f>
        <x:v>REST + Gateway/WebSocket, deliberately Discord-like</x:v>
      </x:c>
      <x:c r="H3" s="3" t="str">
        <x:f>IF(Master!I622="","",Master!I622)</x:f>
      </x:c>
      <x:c r="I3" s="3" t="str">
        <x:f>IF(Master!J622="","",Master!J622)</x:f>
        <x:v>Discord-compatible API</x:v>
      </x:c>
      <x:c r="J3" s="3" t="str">
        <x:f>IF(Master!K622="","",Master!K622)</x:f>
        <x:v>Custom protocol; no HTTP API emphasis</x:v>
      </x:c>
      <x:c r="K3" s="3" t="str">
        <x:f>IF(Master!L622="","",Master!L622)</x:f>
        <x:v>Scoped REST + direct Gateway/WebSocket API; federated bot workers connect directly to target authorities</x:v>
      </x:c>
      <x:c r="L3" s="3" t="str">
        <x:f>IF(Master!M622="","",Master!M622)</x:f>
      </x:c>
      <x:c r="M3" s="3" t="str">
        <x:f>IF(Master!N622="","",Master!N622)</x:f>
        <x:v>Discord-compatible API</x:v>
      </x:c>
      <x:c r="N3" s="3" t="str">
        <x:f>IF(Master!O622="","",Master!O622)</x:f>
        <x:v>Open Client-Server, Server-Server, Application Service APIs; WebSocket-like sync transports depending spec version</x:v>
      </x:c>
      <x:c r="O3" s="3" t="str">
        <x:f>IF(Master!P622="","",Master!P622)</x:f>
        <x:v>REST + WebSocket API</x:v>
      </x:c>
      <x:c r="P3" s="3" t="str">
        <x:f>IF(Master!Q622="","",Master!Q622)</x:f>
        <x:v>API-first design</x:v>
      </x:c>
      <x:c r="Q3" s="3" t="str">
        <x:f>IF(Master!R622="","",Master!R622)</x:f>
        <x:v>Server RPC/API (Ice) + protocol libraries</x:v>
      </x:c>
      <x:c r="R3" s="3" t="str">
        <x:f>IF(Master!S622="","",Master!S622)</x:f>
      </x:c>
      <x:c r="S3" s="3" t="str">
        <x:f>IF(Master!T622="","",Master!T622)</x:f>
      </x:c>
      <x:c r="T3" s="3" t="str">
        <x:f>IF(Master!U622="","",Master!U622)</x:f>
        <x:v>No public bot-token / third-party API; session-only application API by design</x:v>
      </x:c>
      <x:c r="U3" s="3" t="str">
        <x:f>IF(Master!V622="","",Master!V622)</x:f>
      </x:c>
      <x:c r="V3" s="3" t="str">
        <x:f>IF(Master!W622="","",Master!W622)</x:f>
        <x:v>REST + realtime/WebSocket/DDP + Apps engine</x:v>
      </x:c>
      <x:c r="W3" s="3" t="str">
        <x:f>IF(Master!X622="","",Master!X622)</x:f>
        <x:v>ATProto + Roomy SDK</x:v>
      </x:c>
      <x:c r="X3" s="3" t="str">
        <x:f>IF(Master!Y622="","",Master!Y622)</x:f>
        <x:v>Root Community API + hosted app/bot runtime</x:v>
      </x:c>
      <x:c r="Y3" s="3" t="str">
        <x:f>IF(Master!Z622="","",Master!Z622)</x:f>
        <x:v>Discord-compatible REST + Gateway</x:v>
      </x:c>
      <x:c r="Z3" s="3" t="str">
        <x:f>IF(Master!AA622="","",Master!AA622)</x:f>
        <x:v>REST + WebSocket event API</x:v>
      </x:c>
      <x:c r="AA3" s="6" t="str">
        <x:f>IF(Master!AB622="","",Master!AB622)</x:f>
      </x:c>
      <x:c r="AB3" s="3" t="str">
        <x:f>IF(Master!AC622="","",Master!AC622)</x:f>
        <x:v>Official API used by client</x:v>
      </x:c>
      <x:c r="AC3" s="3" t="str">
        <x:f>IF(Master!AD622="","",Master!AD622)</x:f>
        <x:v>Custom API/federation</x:v>
      </x:c>
      <x:c r="AD3" s="3" t="str">
        <x:f>IF(Master!AE622="","",Master!AE622)</x:f>
      </x:c>
      <x:c r="AE3" s="3" t="str">
        <x:f>IF(Master!AF622="","",Master!AF622)</x:f>
      </x:c>
      <x:c r="AF3" s="8" t="str">
        <x:f>IF(Master!AG622="","",Master!AG622)</x:f>
        <x:v>REST + realtime event queues</x:v>
      </x:c>
    </x:row>
    <x:row r="4" ht="36" customHeight="1">
      <x:c r="A4" s="17" t="s">
        <x:v>895</x:v>
      </x:c>
      <x:c r="B4" s="3" t="str">
        <x:f>IF(Master!C623="","",Master!C623)</x:f>
        <x:v>Yes</x:v>
      </x:c>
      <x:c r="C4" s="3" t="str">
        <x:f>IF(Master!D623="","",Master!D623)</x:f>
        <x:v>Nostr relays/integrations</x:v>
      </x:c>
      <x:c r="D4" s="3" t="str">
        <x:f>IF(Master!E623="","",Master!E623)</x:f>
        <x:v>Plugins</x:v>
      </x:c>
      <x:c r="E4" s="3" t="str">
        <x:f>IF(Master!F623="","",Master!F623)</x:f>
      </x:c>
      <x:c r="F4" s="3" t="str">
        <x:f>IF(Master!G623="","",Master!G623)</x:f>
        <x:v>No current public webhook API verified</x:v>
      </x:c>
      <x:c r="G4" s="3" t="str">
        <x:f>IF(Master!H623="","",Master!H623)</x:f>
      </x:c>
      <x:c r="H4" s="3" t="str">
        <x:f>IF(Master!I623="","",Master!I623)</x:f>
      </x:c>
      <x:c r="I4" s="3" t="str">
        <x:f>IF(Master!J623="","",Master!J623)</x:f>
        <x:v>Discord-compatible target</x:v>
      </x:c>
      <x:c r="J4" s="3" t="str">
        <x:f>IF(Master!K623="","",Master!K623)</x:f>
        <x:v>No</x:v>
      </x:c>
      <x:c r="K4" s="3" t="str">
        <x:f>IF(Master!L623="","",Master!L623)</x:f>
        <x:v>Yes</x:v>
      </x:c>
      <x:c r="L4" s="3" t="str">
        <x:f>IF(Master!M623="","",Master!M623)</x:f>
      </x:c>
      <x:c r="M4" s="3" t="str">
        <x:f>IF(Master!N623="","",Master!N623)</x:f>
        <x:v>Webhooks supported</x:v>
      </x:c>
      <x:c r="N4" s="3" t="str">
        <x:f>IF(Master!O623="","",Master!O623)</x:f>
        <x:v>Application services/webhooks via integrations</x:v>
      </x:c>
      <x:c r="O4" s="3" t="str">
        <x:f>IF(Master!P623="","",Master!P623)</x:f>
        <x:v>Yes</x:v>
      </x:c>
      <x:c r="P4" s="3" t="str">
        <x:f>IF(Master!Q623="","",Master!Q623)</x:f>
        <x:v>Integrations</x:v>
      </x:c>
      <x:c r="Q4" s="3" t="str">
        <x:f>IF(Master!R623="","",Master!R623)</x:f>
        <x:v>No Discord-style incoming webhooks</x:v>
      </x:c>
      <x:c r="R4" s="3" t="str">
        <x:f>IF(Master!S623="","",Master!S623)</x:f>
      </x:c>
      <x:c r="S4" s="3" t="str">
        <x:f>IF(Master!T623="","",Master!T623)</x:f>
      </x:c>
      <x:c r="T4" s="3" t="str">
        <x:f>IF(Master!U623="","",Master!U623)</x:f>
        <x:v>Yes: Discord-compatible incoming webhooks</x:v>
      </x:c>
      <x:c r="U4" s="3" t="str">
        <x:f>IF(Master!V623="","",Master!V623)</x:f>
        <x:v>Yes: Discord, GitHub and Slack-compatible incoming webhooks</x:v>
      </x:c>
      <x:c r="V4" s="3" t="str">
        <x:f>IF(Master!W623="","",Master!W623)</x:f>
        <x:v>Yes</x:v>
      </x:c>
      <x:c r="W4" s="3" t="str">
        <x:f>IF(Master!X623="","",Master!X623)</x:f>
        <x:v>Bridge/integrations</x:v>
      </x:c>
      <x:c r="X4" s="3" t="str">
        <x:f>IF(Master!Y623="","",Master!Y623)</x:f>
      </x:c>
      <x:c r="Y4" s="3" t="str">
        <x:f>IF(Master!Z623="","",Master!Z623)</x:f>
        <x:v>Discord-compatible webhooks target</x:v>
      </x:c>
      <x:c r="Z4" s="3" t="str">
        <x:f>IF(Master!AA623="","",Master!AA623)</x:f>
      </x:c>
      <x:c r="AA4" s="6" t="str">
        <x:f>IF(Master!AB623="","",Master!AB623)</x:f>
      </x:c>
      <x:c r="AB4" s="3" t="str">
        <x:f>IF(Master!AC623="","",Master!AC623)</x:f>
        <x:v>Incoming webhooks</x:v>
      </x:c>
      <x:c r="AC4" s="3" t="str">
        <x:f>IF(Master!AD623="","",Master!AD623)</x:f>
      </x:c>
      <x:c r="AD4" s="3" t="str">
        <x:f>IF(Master!AE623="","",Master!AE623)</x:f>
      </x:c>
      <x:c r="AE4" s="3" t="str">
        <x:f>IF(Master!AF623="","",Master!AF623)</x:f>
      </x:c>
      <x:c r="AF4" s="8" t="str">
        <x:f>IF(Master!AG623="","",Master!AG623)</x:f>
        <x:v>Yes: incoming webhooks/integrations</x:v>
      </x:c>
    </x:row>
    <x:row r="5" ht="36" customHeight="1">
      <x:c r="A5" s="17" t="s">
        <x:v>896</x:v>
      </x:c>
      <x:c r="B5" s="3" t="str">
        <x:f>IF(Master!C624="","",Master!C624)</x:f>
        <x:v>Yes: webhook events and interaction endpoints</x:v>
      </x:c>
      <x:c r="C5" s="3" t="str">
        <x:f>IF(Master!D624="","",Master!D624)</x:f>
        <x:v>Nostr events</x:v>
      </x:c>
      <x:c r="D5" s="3" t="str">
        <x:f>IF(Master!E624="","",Master!E624)</x:f>
        <x:v>Events/plugins</x:v>
      </x:c>
      <x:c r="E5" s="3" t="str">
        <x:f>IF(Master!F624="","",Master!F624)</x:f>
      </x:c>
      <x:c r="F5" s="3" t="str">
        <x:f>IF(Master!G624="","",Master!G624)</x:f>
        <x:v>No current public event webhook API verified</x:v>
      </x:c>
      <x:c r="G5" s="3" t="str">
        <x:f>IF(Master!H624="","",Master!H624)</x:f>
        <x:v>Gateway events/webhooks</x:v>
      </x:c>
      <x:c r="H5" s="3" t="str">
        <x:f>IF(Master!I624="","",Master!I624)</x:f>
      </x:c>
      <x:c r="I5" s="3" t="str">
        <x:f>IF(Master!J624="","",Master!J624)</x:f>
        <x:v>Gateway/events</x:v>
      </x:c>
      <x:c r="J5" s="3" t="str">
        <x:f>IF(Master!K624="","",Master!K624)</x:f>
        <x:v>No</x:v>
      </x:c>
      <x:c r="K5" s="3" t="str">
        <x:f>IF(Master!L624="","",Master!L624)</x:f>
        <x:v>Gateway event stream is primary realtime event mechanism; no generic outbound webhook subscription system was verified</x:v>
      </x:c>
      <x:c r="L5" s="3" t="str">
        <x:f>IF(Master!M624="","",Master!M624)</x:f>
      </x:c>
      <x:c r="M5" s="3" t="str">
        <x:f>IF(Master!N624="","",Master!N624)</x:f>
        <x:v>Events/interactions</x:v>
      </x:c>
      <x:c r="N5" s="3" t="str">
        <x:f>IF(Master!O624="","",Master!O624)</x:f>
        <x:v>Application Service transactions/events</x:v>
      </x:c>
      <x:c r="O5" s="3" t="str">
        <x:f>IF(Master!P624="","",Master!P624)</x:f>
        <x:v>Yes</x:v>
      </x:c>
      <x:c r="P5" s="3" t="str">
        <x:f>IF(Master!Q624="","",Master!Q624)</x:f>
        <x:v>Integrations</x:v>
      </x:c>
      <x:c r="Q5" s="3" t="str">
        <x:f>IF(Master!R624="","",Master!R624)</x:f>
        <x:v>No Discord-style outbound webhooks</x:v>
      </x:c>
      <x:c r="R5" s="3" t="str">
        <x:f>IF(Master!S624="","",Master!S624)</x:f>
      </x:c>
      <x:c r="S5" s="3" t="str">
        <x:f>IF(Master!T624="","",Master!T624)</x:f>
      </x:c>
      <x:c r="T5" s="3" t="str">
        <x:f>IF(Master!U624="","",Master!U624)</x:f>
        <x:v>Not publicly claimed</x:v>
      </x:c>
      <x:c r="U5" s="3" t="str">
        <x:f>IF(Master!V624="","",Master!V624)</x:f>
      </x:c>
      <x:c r="V5" s="3" t="str">
        <x:f>IF(Master!W624="","",Master!W624)</x:f>
        <x:v>Yes</x:v>
      </x:c>
      <x:c r="W5" s="3" t="str">
        <x:f>IF(Master!X624="","",Master!X624)</x:f>
        <x:v>ATProto events</x:v>
      </x:c>
      <x:c r="X5" s="3" t="str">
        <x:f>IF(Master!Y624="","",Master!Y624)</x:f>
        <x:v>Event subscriptions in hosted runtime</x:v>
      </x:c>
      <x:c r="Y5" s="3" t="str">
        <x:f>IF(Master!Z624="","",Master!Z624)</x:f>
        <x:v>Gateway events</x:v>
      </x:c>
      <x:c r="Z5" s="3" t="str">
        <x:f>IF(Master!AA624="","",Master!AA624)</x:f>
      </x:c>
      <x:c r="AA5" s="6" t="str">
        <x:f>IF(Master!AB624="","",Master!AB624)</x:f>
      </x:c>
      <x:c r="AB5" s="3" t="str">
        <x:f>IF(Master!AC624="","",Master!AC624)</x:f>
        <x:v>API/events</x:v>
      </x:c>
      <x:c r="AC5" s="3" t="str">
        <x:f>IF(Master!AD624="","",Master!AD624)</x:f>
        <x:v>Federation events/webhooks planned</x:v>
      </x:c>
      <x:c r="AD5" s="3" t="str">
        <x:f>IF(Master!AE624="","",Master!AE624)</x:f>
      </x:c>
      <x:c r="AE5" s="3" t="str">
        <x:f>IF(Master!AF624="","",Master!AF624)</x:f>
      </x:c>
      <x:c r="AF5" s="8" t="str">
        <x:f>IF(Master!AG624="","",Master!AG624)</x:f>
        <x:v>Yes: bots/webhooks/event queues</x:v>
      </x:c>
    </x:row>
    <x:row r="6" ht="36" customHeight="1">
      <x:c r="A6" s="17" t="s">
        <x:v>897</x:v>
      </x:c>
      <x:c r="B6" s="3" t="str">
        <x:f>IF(Master!C625="","",Master!C625)</x:f>
        <x:v>JS/TS: official Embedded App SDK; no official general bot SDKs for Python/Rust/Go; Social SDK targets C++/Unity/Unreal</x:v>
      </x:c>
      <x:c r="C6" s="3" t="str">
        <x:f>IF(Master!D625="","",Master!D625)</x:f>
        <x:v>Nostr libraries</x:v>
      </x:c>
      <x:c r="D6" s="3" t="str">
        <x:f>IF(Master!E625="","",Master!E625)</x:f>
        <x:v>Custom/open-source ecosystem</x:v>
      </x:c>
      <x:c r="E6" s="3" t="str">
        <x:f>IF(Master!F625="","",Master!F625)</x:f>
      </x:c>
      <x:c r="F6" s="3" t="str">
        <x:f>IF(Master!G625="","",Master!G625)</x:f>
        <x:v>No public SDKs yet</x:v>
      </x:c>
      <x:c r="G6" s="3" t="str">
        <x:f>IF(Master!H625="","",Master!H625)</x:f>
      </x:c>
      <x:c r="H6" s="3" t="str">
        <x:f>IF(Master!I625="","",Master!I625)</x:f>
      </x:c>
      <x:c r="I6" s="3" t="str">
        <x:f>IF(Master!J625="","",Master!J625)</x:f>
        <x:v>Discord bot libraries largely reusable</x:v>
      </x:c>
      <x:c r="J6" s="3" t="str">
        <x:f>IF(Master!K625="","",Master!K625)</x:f>
        <x:v>Open source</x:v>
      </x:c>
      <x:c r="K6" s="3" t="str">
        <x:f>IF(Master!L625="","",Master!L625)</x:f>
        <x:v>Official Python SDK: kaede-bot</x:v>
      </x:c>
      <x:c r="L6" s="3" t="str">
        <x:f>IF(Master!M625="","",Master!M625)</x:f>
      </x:c>
      <x:c r="M6" s="3" t="str">
        <x:f>IF(Master!N625="","",Master!N625)</x:f>
        <x:v>discord.py/discord.js compatibility</x:v>
      </x:c>
      <x:c r="N6" s="3" t="str">
        <x:f>IF(Master!O625="","",Master!O625)</x:f>
        <x:v>Many SDKs including JS/TS, Rust, Python, Go/community</x:v>
      </x:c>
      <x:c r="O6" s="3" t="str">
        <x:f>IF(Master!P625="","",Master!P625)</x:f>
        <x:v>Client/server APIs; Go/JS ecosystem</x:v>
      </x:c>
      <x:c r="P6" s="3" t="str">
        <x:f>IF(Master!Q625="","",Master!Q625)</x:f>
        <x:v>SDK/integration ecosystem</x:v>
      </x:c>
      <x:c r="Q6" s="3" t="str">
        <x:f>IF(Master!R625="","",Master!R625)</x:f>
        <x:v>Community libraries</x:v>
      </x:c>
      <x:c r="R6" s="3" t="str">
        <x:f>IF(Master!S625="","",Master!S625)</x:f>
        <x:v>Official Nerimity.js</x:v>
      </x:c>
      <x:c r="S6" s="3" t="str">
        <x:f>IF(Master!T625="","",Master!T625)</x:f>
      </x:c>
      <x:c r="T6" s="3" t="str">
        <x:f>IF(Master!U625="","",Master!U625)</x:f>
        <x:v>None publicly offered for third-party bot development</x:v>
      </x:c>
      <x:c r="U6" s="3" t="str">
        <x:f>IF(Master!V625="","",Master!V625)</x:f>
      </x:c>
      <x:c r="V6" s="3" t="str">
        <x:f>IF(Master!W625="","",Master!W625)</x:f>
        <x:v>SDKs/APIs + Apps framework</x:v>
      </x:c>
      <x:c r="W6" s="3" t="str">
        <x:f>IF(Master!X625="","",Master!X625)</x:f>
        <x:v>Roomy SDK</x:v>
      </x:c>
      <x:c r="X6" s="3" t="str">
        <x:f>IF(Master!Y625="","",Master!Y625)</x:f>
        <x:v>Official TypeScript SDK / Node runtime</x:v>
      </x:c>
      <x:c r="Y6" s="3" t="str">
        <x:f>IF(Master!Z625="","",Master!Z625)</x:f>
        <x:v>Discord ecosystem compatibility; Spacebar documentation</x:v>
      </x:c>
      <x:c r="Z6" s="3" t="str">
        <x:f>IF(Master!AA625="","",Master!AA625)</x:f>
        <x:v>Official TypeScript client SDK; community libraries</x:v>
      </x:c>
      <x:c r="AA6" s="6" t="str">
        <x:f>IF(Master!AB625="","",Master!AB625)</x:f>
      </x:c>
      <x:c r="AB6" s="3" t="str">
        <x:f>IF(Master!AC625="","",Master!AC625)</x:f>
        <x:v>Official .NET SDK</x:v>
      </x:c>
      <x:c r="AC6" s="3" t="str">
        <x:f>IF(Master!AD625="","",Master!AD625)</x:f>
      </x:c>
      <x:c r="AD6" s="3" t="str">
        <x:f>IF(Master!AE625="","",Master!AE625)</x:f>
      </x:c>
      <x:c r="AE6" s="3" t="str">
        <x:f>IF(Master!AF625="","",Master!AF625)</x:f>
      </x:c>
      <x:c r="AF6" s="8" t="str">
        <x:f>IF(Master!AG625="","",Master!AG625)</x:f>
        <x:v>Official/community libraries including Python; broad API</x:v>
      </x:c>
    </x:row>
    <x:row r="7" ht="36" customHeight="1">
      <x:c r="A7" s="17" t="s">
        <x:v>898</x:v>
      </x:c>
      <x:c r="B7" s="3" t="str">
        <x:f>IF(Master!C626="","",Master!C626)</x:f>
        <x:v>Yes: slash commands, components, modals, interactions</x:v>
      </x:c>
      <x:c r="C7" s="3" t="str">
        <x:f>IF(Master!D626="","",Master!D626)</x:f>
        <x:v>Protocol-driven</x:v>
      </x:c>
      <x:c r="D7" s="3" t="str">
        <x:f>IF(Master!E626="","",Master!E626)</x:f>
        <x:v>Plugin system</x:v>
      </x:c>
      <x:c r="E7" s="3" t="str">
        <x:f>IF(Master!F626="","",Master!F626)</x:f>
      </x:c>
      <x:c r="F7" s="3" t="str">
        <x:f>IF(Master!G626="","",Master!G626)</x:f>
        <x:v>Native slash commands exist; developer interaction API planned</x:v>
      </x:c>
      <x:c r="G7" s="3" t="str">
        <x:f>IF(Master!H626="","",Master!H626)</x:f>
      </x:c>
      <x:c r="H7" s="3" t="str">
        <x:f>IF(Master!I626="","",Master!I626)</x:f>
      </x:c>
      <x:c r="I7" s="3" t="str">
        <x:f>IF(Master!J626="","",Master!J626)</x:f>
        <x:v>Interactions target</x:v>
      </x:c>
      <x:c r="J7" s="3" t="str">
        <x:f>IF(Master!K626="","",Master!K626)</x:f>
        <x:v>No bot ecosystem yet</x:v>
      </x:c>
      <x:c r="K7" s="3" t="str">
        <x:f>IF(Master!L626="","",Master!L626)</x:f>
        <x:v>Yes: commands, buttons, selects, checkboxes, text inputs, modals, polls, files and forwarding are documented</x:v>
      </x:c>
      <x:c r="L7" s="3" t="str">
        <x:f>IF(Master!M626="","",Master!M626)</x:f>
      </x:c>
      <x:c r="M7" s="3" t="str">
        <x:f>IF(Master!N626="","",Master!N626)</x:f>
        <x:v>Slash commands/buttons/modals</x:v>
      </x:c>
      <x:c r="N7" s="3" t="str">
        <x:f>IF(Master!O626="","",Master!O626)</x:f>
        <x:v>Client extensions/bots; interaction UX client-dependent</x:v>
      </x:c>
      <x:c r="O7" s="3" t="str">
        <x:f>IF(Master!P626="","",Master!P626)</x:f>
        <x:v>Slash commands + interactive messages</x:v>
      </x:c>
      <x:c r="P7" s="3" t="str">
        <x:f>IF(Master!Q626="","",Master!Q626)</x:f>
        <x:v>Bots</x:v>
      </x:c>
      <x:c r="Q7" s="3" t="str">
        <x:f>IF(Master!R626="","",Master!R626)</x:f>
        <x:v>N/A</x:v>
      </x:c>
      <x:c r="R7" s="3" t="str">
        <x:f>IF(Master!S626="","",Master!S626)</x:f>
        <x:v>Bots/API</x:v>
      </x:c>
      <x:c r="S7" s="3" t="str">
        <x:f>IF(Master!T626="","",Master!T626)</x:f>
      </x:c>
      <x:c r="T7" s="3" t="str">
        <x:f>IF(Master!U626="","",Master!U626)</x:f>
      </x:c>
      <x:c r="U7" s="3" t="str">
        <x:f>IF(Master!V626="","",Master!V626)</x:f>
      </x:c>
      <x:c r="V7" s="3" t="str">
        <x:f>IF(Master!W626="","",Master!W626)</x:f>
        <x:v>Slash commands/apps</x:v>
      </x:c>
      <x:c r="W7" s="3" t="str">
        <x:f>IF(Master!X626="","",Master!X626)</x:f>
      </x:c>
      <x:c r="X7" s="3" t="str">
        <x:f>IF(Master!Y626="","",Master!Y626)</x:f>
        <x:v>Bots/commands + full GUI Apps</x:v>
      </x:c>
      <x:c r="Y7" s="3" t="str">
        <x:f>IF(Master!Z626="","",Master!Z626)</x:f>
        <x:v>Discord interaction compatibility target</x:v>
      </x:c>
      <x:c r="Z7" s="3" t="str">
        <x:f>IF(Master!AA626="","",Master!AA626)</x:f>
      </x:c>
      <x:c r="AA7" s="6" t="str">
        <x:f>IF(Master!AB626="","",Master!AB626)</x:f>
      </x:c>
      <x:c r="AB7" s="3" t="str">
        <x:f>IF(Master!AC626="","",Master!AC626)</x:f>
        <x:v>Bots/OAuth apps</x:v>
      </x:c>
      <x:c r="AC7" s="3" t="str">
        <x:f>IF(Master!AD626="","",Master!AD626)</x:f>
      </x:c>
      <x:c r="AD7" s="3" t="str">
        <x:f>IF(Master!AE626="","",Master!AE626)</x:f>
        <x:v>Native modules rather than bot-first</x:v>
      </x:c>
      <x:c r="AE7" s="3" t="str">
        <x:f>IF(Master!AF626="","",Master!AF626)</x:f>
      </x:c>
      <x:c r="AF7" s="8" t="str">
        <x:f>IF(Master!AG626="","",Master!AG626)</x:f>
        <x:v>Slash-command-style integrations/bots</x:v>
      </x:c>
    </x:row>
    <x:row r="8" ht="36" customHeight="1">
      <x:c r="A8" s="17" t="s">
        <x:v>899</x:v>
      </x:c>
      <x:c r="B8" s="3" t="str">
        <x:f>IF(Master!C627="","",Master!C627)</x:f>
        <x:v>No official client plugin/modding architecture</x:v>
      </x:c>
      <x:c r="C8" s="3" t="str">
        <x:f>IF(Master!D627="","",Master!D627)</x:f>
        <x:v>Independent clients possible</x:v>
      </x:c>
      <x:c r="D8" s="3" t="str">
        <x:f>IF(Master!E627="","",Master!E627)</x:f>
        <x:v>Plugin system</x:v>
      </x:c>
      <x:c r="E8" s="3" t="str">
        <x:f>IF(Master!F627="","",Master!F627)</x:f>
      </x:c>
      <x:c r="F8" s="3" t="str">
        <x:f>IF(Master!G627="","",Master!G627)</x:f>
        <x:v>No</x:v>
      </x:c>
      <x:c r="G8" s="3" t="str">
        <x:f>IF(Master!H627="","",Master!H627)</x:f>
        <x:v>No official client-plugin architecture verified</x:v>
      </x:c>
      <x:c r="H8" s="3" t="str">
        <x:f>IF(Master!I627="","",Master!I627)</x:f>
        <x:v>No client plugins verified</x:v>
      </x:c>
      <x:c r="I8" s="3" t="str">
        <x:f>IF(Master!J627="","",Master!J627)</x:f>
        <x:v>Independent clients encouraged</x:v>
      </x:c>
      <x:c r="J8" s="3" t="str">
        <x:f>IF(Master!K627="","",Master!K627)</x:f>
        <x:v>No plugin ecosystem</x:v>
      </x:c>
      <x:c r="K8" s="3" t="str">
        <x:f>IF(Master!L627="","",Master!L627)</x:f>
        <x:v>No general client plugin architecture documented; custom CSS/theme support is developer reported.</x:v>
      </x:c>
      <x:c r="L8" s="3" t="str">
        <x:f>IF(Master!M627="","",Master!M627)</x:f>
      </x:c>
      <x:c r="M8" s="3" t="str">
        <x:f>IF(Master!N627="","",Master!N627)</x:f>
        <x:v>No client plugins verified</x:v>
      </x:c>
      <x:c r="N8" s="3" t="str">
        <x:f>IF(Master!O627="","",Master!O627)</x:f>
        <x:v>Multiple independent clients rather than plugins to one official client</x:v>
      </x:c>
      <x:c r="O8" s="3" t="str">
        <x:f>IF(Master!P627="","",Master!P627)</x:f>
        <x:v>Plugin architecture (server/webapp)</x:v>
      </x:c>
      <x:c r="P8" s="3" t="str">
        <x:f>IF(Master!Q627="","",Master!Q627)</x:f>
      </x:c>
      <x:c r="Q8" s="3" t="str">
        <x:f>IF(Master!R627="","",Master!R627)</x:f>
        <x:v>Plugins supported</x:v>
      </x:c>
      <x:c r="R8" s="3" t="str">
        <x:f>IF(Master!S627="","",Master!S627)</x:f>
        <x:v>Themes/RPC</x:v>
      </x:c>
      <x:c r="S8" s="3" t="str">
        <x:f>IF(Master!T627="","",Master!T627)</x:f>
      </x:c>
      <x:c r="T8" s="3" t="str">
        <x:f>IF(Master!U627="","",Master!U627)</x:f>
        <x:v>No official plugin architecture claimed</x:v>
      </x:c>
      <x:c r="U8" s="3" t="str">
        <x:f>IF(Master!V627="","",Master!V627)</x:f>
      </x:c>
      <x:c r="V8" s="3" t="str">
        <x:f>IF(Master!W627="","",Master!W627)</x:f>
        <x:v>Apps/plugin framework</x:v>
      </x:c>
      <x:c r="W8" s="3" t="str">
        <x:f>IF(Master!X627="","",Master!X627)</x:f>
        <x:v>Open protocol client ecosystem</x:v>
      </x:c>
      <x:c r="X8" s="3" t="str">
        <x:f>IF(Master!Y627="","",Master!Y627)</x:f>
        <x:v>No client modding</x:v>
      </x:c>
      <x:c r="Y8" s="3" t="str">
        <x:f>IF(Master!Z627="","",Master!Z627)</x:f>
        <x:v>Spacebar-aware client theming/plugin goals</x:v>
      </x:c>
      <x:c r="Z8" s="3" t="str">
        <x:f>IF(Master!AA627="","",Master!AA627)</x:f>
        <x:v>Community clients/themes; no stable official plugin architecture verified</x:v>
      </x:c>
      <x:c r="AA8" s="6" t="str">
        <x:f>IF(Master!AB627="","",Master!AB627)</x:f>
        <x:v>Plugins/addons ecosystem</x:v>
      </x:c>
      <x:c r="AB8" s="3" t="str">
        <x:f>IF(Master!AC627="","",Master!AC627)</x:f>
        <x:v>Themes rather than client mods</x:v>
      </x:c>
      <x:c r="AC8" s="3" t="str">
        <x:f>IF(Master!AD627="","",Master!AD627)</x:f>
        <x:v>No</x:v>
      </x:c>
      <x:c r="AD8" s="3" t="str">
        <x:f>IF(Master!AE627="","",Master!AE627)</x:f>
        <x:v>No</x:v>
      </x:c>
      <x:c r="AE8" s="3" t="str">
        <x:f>IF(Master!AF627="","",Master!AF627)</x:f>
      </x:c>
      <x:c r="AF8" s="8" t="str">
        <x:f>IF(Master!AG627="","",Master!AG627)</x:f>
        <x:v>No client plugin architecture</x:v>
      </x:c>
    </x:row>
    <x:row r="9" ht="36" customHeight="1">
      <x:c r="A9" s="17" t="s">
        <x:v>900</x:v>
      </x:c>
      <x:c r="B9" s="3" t="str">
        <x:f>IF(Master!C628="","",Master!C628)</x:f>
        <x:v>Yes: Developer Portal + per-route/global REST limits; Gateway 120 events/60s/connection</x:v>
      </x:c>
      <x:c r="C9" s="3" t="str">
        <x:f>IF(Master!D628="","",Master!D628)</x:f>
        <x:v>Open source</x:v>
      </x:c>
      <x:c r="D9" s="3" t="str">
        <x:f>IF(Master!E628="","",Master!E628)</x:f>
        <x:v>Operator configured</x:v>
      </x:c>
      <x:c r="E9" s="3" t="str">
        <x:f>IF(Master!F628="","",Master!F628)</x:f>
      </x:c>
      <x:c r="F9" s="3" t="str">
        <x:f>IF(Master!G628="","",Master!G628)</x:f>
        <x:v>No public developer portal/API limits yet</x:v>
      </x:c>
      <x:c r="G9" s="3" t="str">
        <x:f>IF(Master!H628="","",Master!H628)</x:f>
      </x:c>
      <x:c r="H9" s="3" t="str">
        <x:f>IF(Master!I628="","",Master!I628)</x:f>
      </x:c>
      <x:c r="I9" s="3" t="str">
        <x:f>IF(Master!J628="","",Master!J628)</x:f>
        <x:v>Public source/API</x:v>
      </x:c>
      <x:c r="J9" s="3" t="str">
        <x:f>IF(Master!K628="","",Master!K628)</x:f>
        <x:v>Source/whitepaper</x:v>
      </x:c>
      <x:c r="K9" s="3" t="str">
        <x:f>IF(Master!L628="","",Master!L628)</x:f>
        <x:v>Rate limiting is implemented and Retry-After is handled; exact per-endpoint quotas are not exhaustively summarized in the reviewed documentation</x:v>
      </x:c>
      <x:c r="L9" s="3" t="str">
        <x:f>IF(Master!M628="","",Master!M628)</x:f>
      </x:c>
      <x:c r="M9" s="3" t="str">
        <x:f>IF(Master!N628="","",Master!N628)</x:f>
      </x:c>
      <x:c r="N9" s="3" t="str">
        <x:f>IF(Master!O628="","",Master!O628)</x:f>
        <x:v>Public spec/API; rate limits homeserver-dependent</x:v>
      </x:c>
      <x:c r="O9" s="3" t="str">
        <x:f>IF(Master!P628="","",Master!P628)</x:f>
        <x:v>Documented APIs/rate limits</x:v>
      </x:c>
      <x:c r="P9" s="3" t="str">
        <x:f>IF(Master!Q628="","",Master!Q628)</x:f>
        <x:v>Public API/documentation</x:v>
      </x:c>
      <x:c r="Q9" s="3" t="str">
        <x:f>IF(Master!R628="","",Master!R628)</x:f>
        <x:v>Public protocol/documentation; limits server-controlled</x:v>
      </x:c>
      <x:c r="R9" s="3" t="str">
        <x:f>IF(Master!S628="","",Master!S628)</x:f>
        <x:v>Public API documentation</x:v>
      </x:c>
      <x:c r="S9" s="3" t="str">
        <x:f>IF(Master!T628="","",Master!T628)</x:f>
      </x:c>
      <x:c r="T9" s="3" t="str">
        <x:f>IF(Master!U628="","",Master!U628)</x:f>
        <x:v>No public third-party API/developer portal</x:v>
      </x:c>
      <x:c r="U9" s="3" t="str">
        <x:f>IF(Master!V628="","",Master!V628)</x:f>
      </x:c>
      <x:c r="V9" s="3" t="str">
        <x:f>IF(Master!W628="","",Master!W628)</x:f>
        <x:v>Public API documentation/rate limits</x:v>
      </x:c>
      <x:c r="W9" s="3" t="str">
        <x:f>IF(Master!X628="","",Master!X628)</x:f>
        <x:v>Public code</x:v>
      </x:c>
      <x:c r="X9" s="3" t="str">
        <x:f>IF(Master!Y628="","",Master!Y628)</x:f>
      </x:c>
      <x:c r="Y9" s="3" t="str">
        <x:f>IF(Master!Z628="","",Master!Z628)</x:f>
        <x:v>Documented API; operator-configurable</x:v>
      </x:c>
      <x:c r="Z9" s="3" t="str">
        <x:f>IF(Master!AA628="","",Master!AA628)</x:f>
      </x:c>
      <x:c r="AA9" s="6" t="str">
        <x:f>IF(Master!AB628="","",Master!AB628)</x:f>
      </x:c>
      <x:c r="AB9" s="3" t="str">
        <x:f>IF(Master!AC628="","",Master!AC628)</x:f>
        <x:v>Public API</x:v>
      </x:c>
      <x:c r="AC9" s="3" t="str">
        <x:f>IF(Master!AD628="","",Master!AD628)</x:f>
      </x:c>
      <x:c r="AD9" s="3" t="str">
        <x:f>IF(Master!AE628="","",Master!AE628)</x:f>
      </x:c>
      <x:c r="AE9" s="3" t="str">
        <x:f>IF(Master!AF628="","",Master!AF628)</x:f>
      </x:c>
      <x:c r="AF9" s="8" t="str">
        <x:f>IF(Master!AG628="","",Master!AG628)</x:f>
        <x:v>Public API documentation/rate behavior</x:v>
      </x:c>
    </x:row>
    <x:row r="10" ht="21.950000762939453" customHeight="1">
      <x:c r="A10" s="18" t="s">
        <x:v>901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902</x:v>
      </x:c>
      <x:c r="B11" s="3" t="str">
        <x:f>IF(Master!C637="","",Master!C637)</x:f>
        <x:v>Yes</x:v>
      </x:c>
      <x:c r="C11" s="3" t="str">
        <x:f>IF(Master!D637="","",Master!D637)</x:f>
      </x:c>
      <x:c r="D11" s="3" t="str">
        <x:f>IF(Master!E637="","",Master!E637)</x:f>
      </x:c>
      <x:c r="E11" s="3" t="str">
        <x:f>IF(Master!F637="","",Master!F637)</x:f>
      </x:c>
      <x:c r="F11" s="3" t="str">
        <x:f>IF(Master!G637="","",Master!G637)</x:f>
        <x:v>Yes</x:v>
      </x:c>
      <x:c r="G11" s="3" t="str">
        <x:f>IF(Master!H637="","",Master!H637)</x:f>
        <x:v>Yes</x:v>
      </x:c>
      <x:c r="H11" s="3" t="str">
        <x:f>IF(Master!I637="","",Master!I637)</x:f>
      </x:c>
      <x:c r="I11" s="3" t="str">
        <x:f>IF(Master!J637="","",Master!J637)</x:f>
        <x:v>Yes</x:v>
      </x:c>
      <x:c r="J11" s="3" t="str">
        <x:f>IF(Master!K637="","",Master!K637)</x:f>
        <x:v>Yes</x:v>
      </x:c>
      <x:c r="K11" s="3" t="str">
        <x:f>IF(Master!L637="","",Master!L637)</x:f>
        <x:v>Yes: bot applications are federated accounts with scoped installs</x:v>
      </x:c>
      <x:c r="L11" s="3" t="str">
        <x:f>IF(Master!M637="","",Master!M637)</x:f>
      </x:c>
      <x:c r="M11" s="3" t="str">
        <x:f>IF(Master!N637="","",Master!N637)</x:f>
        <x:v>Yes</x:v>
      </x:c>
      <x:c r="N11" s="3" t="str">
        <x:f>IF(Master!O637="","",Master!O637)</x:f>
        <x:v>Yes</x:v>
      </x:c>
      <x:c r="O11" s="3" t="str">
        <x:f>IF(Master!P637="","",Master!P637)</x:f>
        <x:v>Yes</x:v>
      </x:c>
      <x:c r="P11" s="3" t="str">
        <x:f>IF(Master!Q637="","",Master!Q637)</x:f>
        <x:v>Yes</x:v>
      </x:c>
      <x:c r="Q11" s="3" t="str">
        <x:f>IF(Master!R637="","",Master!R637)</x:f>
      </x:c>
      <x:c r="R11" s="3" t="str">
        <x:f>IF(Master!S637="","",Master!S637)</x:f>
        <x:v>Yes</x:v>
      </x:c>
      <x:c r="S11" s="3" t="str">
        <x:f>IF(Master!T637="","",Master!T637)</x:f>
      </x:c>
      <x:c r="T11" s="3" t="str">
        <x:f>IF(Master!U637="","",Master!U637)</x:f>
        <x:v>No public bot API yet</x:v>
      </x:c>
      <x:c r="U11" s="3" t="str">
        <x:f>IF(Master!V637="","",Master!V637)</x:f>
        <x:v>No</x:v>
      </x:c>
      <x:c r="V11" s="3" t="str">
        <x:f>IF(Master!W637="","",Master!W637)</x:f>
        <x:v>Yes</x:v>
      </x:c>
      <x:c r="W11" s="3" t="str">
        <x:f>IF(Master!X637="","",Master!X637)</x:f>
      </x:c>
      <x:c r="X11" s="3" t="str">
        <x:f>IF(Master!Y637="","",Master!Y637)</x:f>
        <x:v>Yes</x:v>
      </x:c>
      <x:c r="Y11" s="3" t="str">
        <x:f>IF(Master!Z637="","",Master!Z637)</x:f>
        <x:v>Yes</x:v>
      </x:c>
      <x:c r="Z11" s="3" t="str">
        <x:f>IF(Master!AA637="","",Master!AA637)</x:f>
        <x:v>Yes</x:v>
      </x:c>
      <x:c r="AA11" s="6" t="str">
        <x:f>IF(Master!AB637="","",Master!AB637)</x:f>
      </x:c>
      <x:c r="AB11" s="3" t="str">
        <x:f>IF(Master!AC637="","",Master!AC637)</x:f>
        <x:v>Yes</x:v>
      </x:c>
      <x:c r="AC11" s="3" t="str">
        <x:f>IF(Master!AD637="","",Master!AD637)</x:f>
      </x:c>
      <x:c r="AD11" s="3" t="str">
        <x:f>IF(Master!AE637="","",Master!AE637)</x:f>
        <x:v>Yes</x:v>
      </x:c>
      <x:c r="AE11" s="3" t="str">
        <x:f>IF(Master!AF637="","",Master!AF637)</x:f>
      </x:c>
      <x:c r="AF11" s="8" t="str">
        <x:f>IF(Master!AG637="","",Master!AG637)</x:f>
        <x:v>Yes</x:v>
      </x:c>
    </x:row>
    <x:row r="12" ht="36" customHeight="1">
      <x:c r="A12" s="17" t="s">
        <x:v>903</x:v>
      </x:c>
      <x:c r="B12" s="3" t="str">
        <x:f>IF(Master!C649="","",Master!C649)</x:f>
        <x:v>Yes</x:v>
      </x:c>
      <x:c r="C12" s="3" t="str">
        <x:f>IF(Master!D649="","",Master!D649)</x:f>
      </x:c>
      <x:c r="D12" s="3" t="str">
        <x:f>IF(Master!E649="","",Master!E649)</x:f>
      </x:c>
      <x:c r="E12" s="3" t="str">
        <x:f>IF(Master!F649="","",Master!F649)</x:f>
      </x:c>
      <x:c r="F12" s="3" t="str">
        <x:f>IF(Master!G649="","",Master!G649)</x:f>
      </x:c>
      <x:c r="G12" s="3" t="str">
        <x:f>IF(Master!H649="","",Master!H649)</x:f>
      </x:c>
      <x:c r="H12" s="3" t="str">
        <x:f>IF(Master!I649="","",Master!I649)</x:f>
      </x:c>
      <x:c r="I12" s="3" t="str">
        <x:f>IF(Master!J649="","",Master!J649)</x:f>
      </x:c>
      <x:c r="J12" s="3" t="str">
        <x:f>IF(Master!K649="","",Master!K649)</x:f>
      </x:c>
      <x:c r="K12" s="3" t="str">
        <x:f>IF(Master!L649="","",Master!L649)</x:f>
        <x:v>No OAuth2 login flow documented; apps use Kaede-specific install templates/scoped credentials</x:v>
      </x:c>
      <x:c r="L12" s="3" t="str">
        <x:f>IF(Master!M649="","",Master!M649)</x:f>
      </x:c>
      <x:c r="M12" s="3" t="str">
        <x:f>IF(Master!N649="","",Master!N649)</x:f>
      </x:c>
      <x:c r="N12" s="3" t="str">
        <x:f>IF(Master!O649="","",Master!O649)</x:f>
      </x:c>
      <x:c r="O12" s="3" t="str">
        <x:f>IF(Master!P649="","",Master!P649)</x:f>
        <x:v>Yes</x:v>
      </x:c>
      <x:c r="P12" s="3" t="str">
        <x:f>IF(Master!Q649="","",Master!Q649)</x:f>
      </x:c>
      <x:c r="Q12" s="3" t="str">
        <x:f>IF(Master!R649="","",Master!R649)</x:f>
      </x:c>
      <x:c r="R12" s="3" t="str">
        <x:f>IF(Master!S649="","",Master!S649)</x:f>
      </x:c>
      <x:c r="S12" s="3" t="str">
        <x:f>IF(Master!T649="","",Master!T649)</x:f>
      </x:c>
      <x:c r="T12" s="3" t="str">
        <x:f>IF(Master!U649="","",Master!U649)</x:f>
      </x:c>
      <x:c r="U12" s="3" t="str">
        <x:f>IF(Master!V649="","",Master!V649)</x:f>
      </x:c>
      <x:c r="V12" s="3" t="str">
        <x:f>IF(Master!W649="","",Master!W649)</x:f>
        <x:v>Yes</x:v>
      </x:c>
      <x:c r="W12" s="3" t="str">
        <x:f>IF(Master!X649="","",Master!X649)</x:f>
      </x:c>
      <x:c r="X12" s="3" t="str">
        <x:f>IF(Master!Y649="","",Master!Y649)</x:f>
      </x:c>
      <x:c r="Y12" s="3" t="str">
        <x:f>IF(Master!Z649="","",Master!Z649)</x:f>
      </x:c>
      <x:c r="Z12" s="3" t="str">
        <x:f>IF(Master!AA649="","",Master!AA649)</x:f>
      </x:c>
      <x:c r="AA12" s="6" t="str">
        <x:f>IF(Master!AB649="","",Master!AB649)</x:f>
      </x:c>
      <x:c r="AB12" s="3" t="str">
        <x:f>IF(Master!AC649="","",Master!AC649)</x:f>
        <x:v>Yes</x:v>
      </x:c>
      <x:c r="AC12" s="3" t="str">
        <x:f>IF(Master!AD649="","",Master!AD649)</x:f>
      </x:c>
      <x:c r="AD12" s="3" t="str">
        <x:f>IF(Master!AE649="","",Master!AE649)</x:f>
      </x:c>
      <x:c r="AE12" s="3" t="str">
        <x:f>IF(Master!AF649="","",Master!AF649)</x:f>
      </x:c>
      <x:c r="AF12" s="8" t="str">
        <x:f>IF(Master!AG649="","",Master!AG649)</x:f>
      </x:c>
    </x:row>
    <x:row r="13" ht="36" customHeight="1">
      <x:c r="A13" s="17" t="s">
        <x:v>904</x:v>
      </x:c>
      <x:c r="B13" s="3" t="str">
        <x:f>IF(Master!C650="","",Master!C650)</x:f>
        <x:v>Yes: Developer Portal + per-route/global REST limits; Gateway 120 events/60s/connection</x:v>
      </x:c>
      <x:c r="C13" s="3" t="str">
        <x:f>IF(Master!D650="","",Master!D650)</x:f>
        <x:v>Open source</x:v>
      </x:c>
      <x:c r="D13" s="3" t="str">
        <x:f>IF(Master!E650="","",Master!E650)</x:f>
        <x:v>Operator configured</x:v>
      </x:c>
      <x:c r="E13" s="3" t="str">
        <x:f>IF(Master!F650="","",Master!F650)</x:f>
      </x:c>
      <x:c r="F13" s="3" t="str">
        <x:f>IF(Master!G650="","",Master!G650)</x:f>
        <x:v>No public developer portal/API limits yet</x:v>
      </x:c>
      <x:c r="G13" s="3" t="str">
        <x:f>IF(Master!H650="","",Master!H650)</x:f>
      </x:c>
      <x:c r="H13" s="3" t="str">
        <x:f>IF(Master!I650="","",Master!I650)</x:f>
      </x:c>
      <x:c r="I13" s="3" t="str">
        <x:f>IF(Master!J650="","",Master!J650)</x:f>
        <x:v>Public source/API</x:v>
      </x:c>
      <x:c r="J13" s="3" t="str">
        <x:f>IF(Master!K650="","",Master!K650)</x:f>
        <x:v>Source/whitepaper</x:v>
      </x:c>
      <x:c r="K13" s="3" t="str">
        <x:f>IF(Master!L650="","",Master!L650)</x:f>
        <x:v>Yes</x:v>
      </x:c>
      <x:c r="L13" s="3" t="str">
        <x:f>IF(Master!M650="","",Master!M650)</x:f>
      </x:c>
      <x:c r="M13" s="3" t="str">
        <x:f>IF(Master!N650="","",Master!N650)</x:f>
      </x:c>
      <x:c r="N13" s="3" t="str">
        <x:f>IF(Master!O650="","",Master!O650)</x:f>
        <x:v>Public spec/API; rate limits homeserver-dependent</x:v>
      </x:c>
      <x:c r="O13" s="3" t="str">
        <x:f>IF(Master!P650="","",Master!P650)</x:f>
        <x:v>Documented APIs/rate limits</x:v>
      </x:c>
      <x:c r="P13" s="3" t="str">
        <x:f>IF(Master!Q650="","",Master!Q650)</x:f>
        <x:v>Public API/documentation</x:v>
      </x:c>
      <x:c r="Q13" s="3" t="str">
        <x:f>IF(Master!R650="","",Master!R650)</x:f>
        <x:v>Public protocol/documentation; limits server-controlled</x:v>
      </x:c>
      <x:c r="R13" s="3" t="str">
        <x:f>IF(Master!S650="","",Master!S650)</x:f>
        <x:v>Public API documentation</x:v>
      </x:c>
      <x:c r="S13" s="3" t="str">
        <x:f>IF(Master!T650="","",Master!T650)</x:f>
      </x:c>
      <x:c r="T13" s="3" t="str">
        <x:f>IF(Master!U650="","",Master!U650)</x:f>
        <x:v>No public developer portal</x:v>
      </x:c>
      <x:c r="U13" s="3" t="str">
        <x:f>IF(Master!V650="","",Master!V650)</x:f>
        <x:v>No</x:v>
      </x:c>
      <x:c r="V13" s="3" t="str">
        <x:f>IF(Master!W650="","",Master!W650)</x:f>
        <x:v>Public API documentation/rate limits</x:v>
      </x:c>
      <x:c r="W13" s="3" t="str">
        <x:f>IF(Master!X650="","",Master!X650)</x:f>
        <x:v>Public code</x:v>
      </x:c>
      <x:c r="X13" s="3" t="str">
        <x:f>IF(Master!Y650="","",Master!Y650)</x:f>
      </x:c>
      <x:c r="Y13" s="3" t="str">
        <x:f>IF(Master!Z650="","",Master!Z650)</x:f>
        <x:v>Documented API; operator-configurable</x:v>
      </x:c>
      <x:c r="Z13" s="3" t="str">
        <x:f>IF(Master!AA650="","",Master!AA650)</x:f>
      </x:c>
      <x:c r="AA13" s="6" t="str">
        <x:f>IF(Master!AB650="","",Master!AB650)</x:f>
      </x:c>
      <x:c r="AB13" s="3" t="str">
        <x:f>IF(Master!AC650="","",Master!AC650)</x:f>
        <x:v>Public API</x:v>
      </x:c>
      <x:c r="AC13" s="3" t="str">
        <x:f>IF(Master!AD650="","",Master!AD650)</x:f>
      </x:c>
      <x:c r="AD13" s="3" t="str">
        <x:f>IF(Master!AE650="","",Master!AE650)</x:f>
      </x:c>
      <x:c r="AE13" s="3" t="str">
        <x:f>IF(Master!AF650="","",Master!AF650)</x:f>
      </x:c>
      <x:c r="AF13" s="8" t="str">
        <x:f>IF(Master!AG650="","",Master!AG650)</x:f>
        <x:v>Public API documentation/rate behavior</x:v>
      </x:c>
    </x:row>
    <x:row r="14" ht="36" customHeight="1">
      <x:c r="A14" s="17" t="s">
        <x:v>905</x:v>
      </x:c>
      <x:c r="B14" s="3" t="str">
        <x:f>IF(Master!C646="","",Master!C646)</x:f>
        <x:v>Yes</x:v>
      </x:c>
      <x:c r="C14" s="3" t="str">
        <x:f>IF(Master!D646="","",Master!D646)</x:f>
      </x:c>
      <x:c r="D14" s="3" t="str">
        <x:f>IF(Master!E646="","",Master!E646)</x:f>
      </x:c>
      <x:c r="E14" s="3" t="str">
        <x:f>IF(Master!F646="","",Master!F646)</x:f>
      </x:c>
      <x:c r="F14" s="3" t="str">
        <x:f>IF(Master!G646="","",Master!G646)</x:f>
      </x:c>
      <x:c r="G14" s="3" t="str">
        <x:f>IF(Master!H646="","",Master!H646)</x:f>
      </x:c>
      <x:c r="H14" s="3" t="str">
        <x:f>IF(Master!I646="","",Master!I646)</x:f>
      </x:c>
      <x:c r="I14" s="3" t="str">
        <x:f>IF(Master!J646="","",Master!J646)</x:f>
      </x:c>
      <x:c r="J14" s="3" t="str">
        <x:f>IF(Master!K646="","",Master!K646)</x:f>
      </x:c>
      <x:c r="K14" s="3" t="str">
        <x:f>IF(Master!L646="","",Master!L646)</x:f>
        <x:v>No embedded iframe/web-app runtime</x:v>
      </x:c>
      <x:c r="L14" s="3" t="str">
        <x:f>IF(Master!M646="","",Master!M646)</x:f>
      </x:c>
      <x:c r="M14" s="3" t="str">
        <x:f>IF(Master!N646="","",Master!N646)</x:f>
      </x:c>
      <x:c r="N14" s="3" t="str">
        <x:f>IF(Master!O646="","",Master!O646)</x:f>
      </x:c>
      <x:c r="O14" s="3" t="str">
        <x:f>IF(Master!P646="","",Master!P646)</x:f>
        <x:v>Yes</x:v>
      </x:c>
      <x:c r="P14" s="3" t="str">
        <x:f>IF(Master!Q646="","",Master!Q646)</x:f>
        <x:v>Yes</x:v>
      </x:c>
      <x:c r="Q14" s="3" t="str">
        <x:f>IF(Master!R646="","",Master!R646)</x:f>
      </x:c>
      <x:c r="R14" s="3" t="str">
        <x:f>IF(Master!S646="","",Master!S646)</x:f>
      </x:c>
      <x:c r="S14" s="3" t="str">
        <x:f>IF(Master!T646="","",Master!T646)</x:f>
      </x:c>
      <x:c r="T14" s="3" t="str">
        <x:f>IF(Master!U646="","",Master!U646)</x:f>
      </x:c>
      <x:c r="U14" s="3" t="str">
        <x:f>IF(Master!V646="","",Master!V646)</x:f>
        <x:v>Yes: Portals / embedded workspaces</x:v>
      </x:c>
      <x:c r="V14" s="3" t="str">
        <x:f>IF(Master!W646="","",Master!W646)</x:f>
        <x:v>Yes</x:v>
      </x:c>
      <x:c r="W14" s="3" t="str">
        <x:f>IF(Master!X646="","",Master!X646)</x:f>
      </x:c>
      <x:c r="X14" s="3" t="str">
        <x:f>IF(Master!Y646="","",Master!Y646)</x:f>
        <x:v>Yes</x:v>
      </x:c>
      <x:c r="Y14" s="3" t="str">
        <x:f>IF(Master!Z646="","",Master!Z646)</x:f>
      </x:c>
      <x:c r="Z14" s="3" t="str">
        <x:f>IF(Master!AA646="","",Master!AA646)</x:f>
      </x:c>
      <x:c r="AA14" s="6" t="str">
        <x:f>IF(Master!AB646="","",Master!AB646)</x:f>
      </x:c>
      <x:c r="AB14" s="3" t="str">
        <x:f>IF(Master!AC646="","",Master!AC646)</x:f>
      </x:c>
      <x:c r="AC14" s="3" t="str">
        <x:f>IF(Master!AD646="","",Master!AD646)</x:f>
      </x:c>
      <x:c r="AD14" s="3" t="str">
        <x:f>IF(Master!AE646="","",Master!AE646)</x:f>
      </x:c>
      <x:c r="AE14" s="3" t="str">
        <x:f>IF(Master!AF646="","",Master!AF646)</x:f>
      </x:c>
      <x:c r="AF14" s="8" t="str">
        <x:f>IF(Master!AG646="","",Master!AG646)</x:f>
      </x:c>
    </x:row>
    <x:row r="15" ht="36" customHeight="1">
      <x:c r="A15" s="17" t="s">
        <x:v>906</x:v>
      </x:c>
      <x:c r="B15" s="3" t="str">
        <x:f>IF(Master!C629="","",Master!C629)</x:f>
        <x:v>Yes: App Directory / platform apps</x:v>
      </x:c>
      <x:c r="C15" s="3" t="str">
        <x:f>IF(Master!D629="","",Master!D629)</x:f>
      </x:c>
      <x:c r="D15" s="3" t="str">
        <x:f>IF(Master!E629="","",Master!E629)</x:f>
      </x:c>
      <x:c r="E15" s="3" t="str">
        <x:f>IF(Master!F629="","",Master!F629)</x:f>
      </x:c>
      <x:c r="F15" s="3" t="str">
        <x:f>IF(Master!G629="","",Master!G629)</x:f>
      </x:c>
      <x:c r="G15" s="3" t="str">
        <x:f>IF(Master!H629="","",Master!H629)</x:f>
      </x:c>
      <x:c r="H15" s="3" t="str">
        <x:f>IF(Master!I629="","",Master!I629)</x:f>
      </x:c>
      <x:c r="I15" s="3" t="str">
        <x:f>IF(Master!J629="","",Master!J629)</x:f>
      </x:c>
      <x:c r="J15" s="3" t="str">
        <x:f>IF(Master!K629="","",Master!K629)</x:f>
      </x:c>
      <x:c r="K15" s="3" t="str">
        <x:f>IF(Master!L629="","",Master!L629)</x:f>
        <x:v>Yes: federated public App Directory for reviewed applications/bots</x:v>
      </x:c>
      <x:c r="L15" s="3" t="str">
        <x:f>IF(Master!M629="","",Master!M629)</x:f>
      </x:c>
      <x:c r="M15" s="3" t="str">
        <x:f>IF(Master!N629="","",Master!N629)</x:f>
      </x:c>
      <x:c r="N15" s="3" t="str">
        <x:f>IF(Master!O629="","",Master!O629)</x:f>
      </x:c>
      <x:c r="O15" s="3" t="str">
        <x:f>IF(Master!P629="","",Master!P629)</x:f>
        <x:v>Plugin marketplace/ecosystem</x:v>
      </x:c>
      <x:c r="P15" s="3" t="str">
        <x:f>IF(Master!Q629="","",Master!Q629)</x:f>
      </x:c>
      <x:c r="Q15" s="3" t="str">
        <x:f>IF(Master!R629="","",Master!R629)</x:f>
      </x:c>
      <x:c r="R15" s="3" t="str">
        <x:f>IF(Master!S629="","",Master!S629)</x:f>
      </x:c>
      <x:c r="S15" s="3" t="str">
        <x:f>IF(Master!T629="","",Master!T629)</x:f>
      </x:c>
      <x:c r="T15" s="3" t="str">
        <x:f>IF(Master!U629="","",Master!U629)</x:f>
      </x:c>
      <x:c r="U15" s="3" t="str">
        <x:f>IF(Master!V629="","",Master!V629)</x:f>
        <x:v>No</x:v>
      </x:c>
      <x:c r="V15" s="3" t="str">
        <x:f>IF(Master!W629="","",Master!W629)</x:f>
        <x:v>Yes: Marketplace</x:v>
      </x:c>
      <x:c r="W15" s="3" t="str">
        <x:f>IF(Master!X629="","",Master!X629)</x:f>
      </x:c>
      <x:c r="X15" s="3" t="str">
        <x:f>IF(Master!Y629="","",Master!Y629)</x:f>
      </x:c>
      <x:c r="Y15" s="3" t="str">
        <x:f>IF(Master!Z629="","",Master!Z629)</x:f>
      </x:c>
      <x:c r="Z15" s="3" t="str">
        <x:f>IF(Master!AA629="","",Master!AA629)</x:f>
      </x:c>
      <x:c r="AA15" s="6" t="str">
        <x:f>IF(Master!AB629="","",Master!AB629)</x:f>
      </x:c>
      <x:c r="AB15" s="3" t="str">
        <x:f>IF(Master!AC629="","",Master!AC629)</x:f>
      </x:c>
      <x:c r="AC15" s="3" t="str">
        <x:f>IF(Master!AD629="","",Master!AD629)</x:f>
      </x:c>
      <x:c r="AD15" s="3" t="str">
        <x:f>IF(Master!AE629="","",Master!AE629)</x:f>
      </x:c>
      <x:c r="AE15" s="3" t="str">
        <x:f>IF(Master!AF629="","",Master!AF629)</x:f>
      </x:c>
      <x:c r="AF15" s="8" t="str">
        <x:f>IF(Master!AG629="","",Master!AG629)</x:f>
        <x:v>Integration directory</x:v>
      </x:c>
    </x:row>
    <x:row r="16" ht="36" customHeight="1">
      <x:c r="A16" s="17" t="s">
        <x:v>907</x:v>
      </x:c>
      <x:c r="B16" s="3" t="str">
        <x:f>IF(Master!C630="","",Master!C630)</x:f>
        <x:v>Yes: user-installable apps supported</x:v>
      </x:c>
      <x:c r="C16" s="3" t="str">
        <x:f>IF(Master!D630="","",Master!D630)</x:f>
      </x:c>
      <x:c r="D16" s="3" t="str">
        <x:f>IF(Master!E630="","",Master!E630)</x:f>
      </x:c>
      <x:c r="E16" s="3" t="str">
        <x:f>IF(Master!F630="","",Master!F630)</x:f>
      </x:c>
      <x:c r="F16" s="3" t="str">
        <x:f>IF(Master!G630="","",Master!G630)</x:f>
      </x:c>
      <x:c r="G16" s="3" t="str">
        <x:f>IF(Master!H630="","",Master!H630)</x:f>
      </x:c>
      <x:c r="H16" s="3" t="str">
        <x:f>IF(Master!I630="","",Master!I630)</x:f>
      </x:c>
      <x:c r="I16" s="3" t="str">
        <x:f>IF(Master!J630="","",Master!J630)</x:f>
      </x:c>
      <x:c r="J16" s="3" t="str">
        <x:f>IF(Master!K630="","",Master!K630)</x:f>
      </x:c>
      <x:c r="K16" s="3" t="str">
        <x:f>IF(Master!L630="","",Master!L630)</x:f>
        <x:v>Yes: guild and user installation contexts are supported</x:v>
      </x:c>
      <x:c r="L16" s="3" t="str">
        <x:f>IF(Master!M630="","",Master!M630)</x:f>
      </x:c>
      <x:c r="M16" s="3" t="str">
        <x:f>IF(Master!N630="","",Master!N630)</x:f>
      </x:c>
      <x:c r="N16" s="3" t="str">
        <x:f>IF(Master!O630="","",Master!O630)</x:f>
      </x:c>
      <x:c r="O16" s="3" t="str">
        <x:f>IF(Master!P630="","",Master!P630)</x:f>
      </x:c>
      <x:c r="P16" s="3" t="str">
        <x:f>IF(Master!Q630="","",Master!Q630)</x:f>
      </x:c>
      <x:c r="Q16" s="3" t="str">
        <x:f>IF(Master!R630="","",Master!R630)</x:f>
      </x:c>
      <x:c r="R16" s="3" t="str">
        <x:f>IF(Master!S630="","",Master!S630)</x:f>
      </x:c>
      <x:c r="S16" s="3" t="str">
        <x:f>IF(Master!T630="","",Master!T630)</x:f>
      </x:c>
      <x:c r="T16" s="3" t="str">
        <x:f>IF(Master!U630="","",Master!U630)</x:f>
      </x:c>
      <x:c r="U16" s="3" t="str">
        <x:f>IF(Master!V630="","",Master!V630)</x:f>
        <x:v>No</x:v>
      </x:c>
      <x:c r="V16" s="3" t="str">
        <x:f>IF(Master!W630="","",Master!W630)</x:f>
        <x:v>Workspace-admin app install</x:v>
      </x:c>
      <x:c r="W16" s="3" t="str">
        <x:f>IF(Master!X630="","",Master!X630)</x:f>
      </x:c>
      <x:c r="X16" s="3" t="str">
        <x:f>IF(Master!Y630="","",Master!Y630)</x:f>
      </x:c>
      <x:c r="Y16" s="3" t="str">
        <x:f>IF(Master!Z630="","",Master!Z630)</x:f>
      </x:c>
      <x:c r="Z16" s="3" t="str">
        <x:f>IF(Master!AA630="","",Master!AA630)</x:f>
      </x:c>
      <x:c r="AA16" s="6" t="str">
        <x:f>IF(Master!AB630="","",Master!AB630)</x:f>
      </x:c>
      <x:c r="AB16" s="3" t="str">
        <x:f>IF(Master!AC630="","",Master!AC630)</x:f>
      </x:c>
      <x:c r="AC16" s="3" t="str">
        <x:f>IF(Master!AD630="","",Master!AD630)</x:f>
      </x:c>
      <x:c r="AD16" s="3" t="str">
        <x:f>IF(Master!AE630="","",Master!AE630)</x:f>
      </x:c>
      <x:c r="AE16" s="3" t="str">
        <x:f>IF(Master!AF630="","",Master!AF630)</x:f>
      </x:c>
      <x:c r="AF16" s="8" t="str">
        <x:f>IF(Master!AG630="","",Master!AG630)</x:f>
      </x:c>
    </x:row>
  </x:sheetData>
  <x:mergeCells>
    <x:mergeCell ref="A1:A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Directory'!A1","Developer APIs, Bots &amp; Extensibility: Granular"),"Developer APIs, Bots &amp; Extensibility: Granular")</x:f>
        <x:v>Developer APIs, Bots &amp; Extensibility: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908</x:v>
      </x:c>
      <x:c r="B3" s="4" t="str">
        <x:f>IF(Master!C631="","",Master!C631)</x:f>
      </x:c>
      <x:c r="C3" s="4" t="str">
        <x:f>IF(Master!D631="","",Master!D631)</x:f>
      </x:c>
      <x:c r="D3" s="4" t="str">
        <x:f>IF(Master!E631="","",Master!E631)</x:f>
      </x:c>
      <x:c r="E3" s="4" t="str">
        <x:f>IF(Master!F631="","",Master!F631)</x:f>
      </x:c>
      <x:c r="F3" s="4" t="str">
        <x:f>IF(Master!G631="","",Master!G631)</x:f>
      </x:c>
      <x:c r="G3" s="4" t="str">
        <x:f>IF(Master!H631="","",Master!H631)</x:f>
      </x:c>
      <x:c r="H3" s="4" t="str">
        <x:f>IF(Master!I631="","",Master!I631)</x:f>
      </x:c>
      <x:c r="I3" s="4" t="str">
        <x:f>IF(Master!J631="","",Master!J631)</x:f>
      </x:c>
      <x:c r="J3" s="4" t="str">
        <x:f>IF(Master!K631="","",Master!K631)</x:f>
      </x:c>
      <x:c r="K3" s="4" t="str">
        <x:f>IF(Master!L631="","",Master!L631)</x:f>
        <x:v>Scoped REST + direct Gateway/WebSocket API; federated bot workers connect directly to target authorities</x:v>
      </x:c>
      <x:c r="L3" s="4" t="str">
        <x:f>IF(Master!M631="","",Master!M631)</x:f>
      </x:c>
      <x:c r="M3" s="4" t="str">
        <x:f>IF(Master!N631="","",Master!N631)</x:f>
      </x:c>
      <x:c r="N3" s="4" t="str">
        <x:f>IF(Master!O631="","",Master!O631)</x:f>
      </x:c>
      <x:c r="O3" s="4" t="str">
        <x:f>IF(Master!P631="","",Master!P631)</x:f>
      </x:c>
      <x:c r="P3" s="4" t="str">
        <x:f>IF(Master!Q631="","",Master!Q631)</x:f>
      </x:c>
      <x:c r="Q3" s="4" t="str">
        <x:f>IF(Master!R631="","",Master!R631)</x:f>
      </x:c>
      <x:c r="R3" s="4" t="str">
        <x:f>IF(Master!S631="","",Master!S631)</x:f>
      </x:c>
      <x:c r="S3" s="4" t="str">
        <x:f>IF(Master!T631="","",Master!T631)</x:f>
      </x:c>
      <x:c r="T3" s="4" t="str">
        <x:f>IF(Master!U631="","",Master!U631)</x:f>
        <x:v>Session-only application API; incoming Discord-compatible webhooks; no public bot-token/third-party API</x:v>
      </x:c>
      <x:c r="U3" s="4" t="str">
        <x:f>IF(Master!V631="","",Master!V631)</x:f>
      </x:c>
      <x:c r="V3" s="4" t="str">
        <x:f>IF(Master!W631="","",Master!W631)</x:f>
      </x:c>
      <x:c r="W3" s="4" t="str">
        <x:f>IF(Master!X631="","",Master!X631)</x:f>
      </x:c>
      <x:c r="X3" s="4" t="str">
        <x:f>IF(Master!Y631="","",Master!Y631)</x:f>
      </x:c>
      <x:c r="Y3" s="4" t="str">
        <x:f>IF(Master!Z631="","",Master!Z631)</x:f>
      </x:c>
      <x:c r="Z3" s="4" t="str">
        <x:f>IF(Master!AA631="","",Master!AA631)</x:f>
      </x:c>
      <x:c r="AA3" s="5" t="str">
        <x:f>IF(Master!AB631="","",Master!AB631)</x:f>
      </x:c>
      <x:c r="AB3" s="4" t="str">
        <x:f>IF(Master!AC631="","",Master!AC631)</x:f>
      </x:c>
      <x:c r="AC3" s="4" t="str">
        <x:f>IF(Master!AD631="","",Master!AD631)</x:f>
      </x:c>
      <x:c r="AD3" s="4" t="str">
        <x:f>IF(Master!AE631="","",Master!AE631)</x:f>
      </x:c>
      <x:c r="AE3" s="4" t="str">
        <x:f>IF(Master!AF631="","",Master!AF631)</x:f>
      </x:c>
      <x:c r="AF3" s="8" t="str">
        <x:f>IF(Master!AG631="","",Master!AG631)</x:f>
      </x:c>
    </x:row>
    <x:row r="4" ht="36" customHeight="1">
      <x:c r="A4" s="17" t="s">
        <x:v>909</x:v>
      </x:c>
      <x:c r="B4" s="3" t="str">
        <x:f>IF(Master!C632="","",Master!C632)</x:f>
        <x:v>Yes</x:v>
      </x:c>
      <x:c r="C4" s="3" t="str">
        <x:f>IF(Master!D632="","",Master!D632)</x:f>
        <x:v>No</x:v>
      </x:c>
      <x:c r="D4" s="3" t="str">
        <x:f>IF(Master!E632="","",Master!E632)</x:f>
      </x:c>
      <x:c r="E4" s="3" t="str">
        <x:f>IF(Master!F632="","",Master!F632)</x:f>
      </x:c>
      <x:c r="F4" s="3" t="str">
        <x:f>IF(Master!G632="","",Master!G632)</x:f>
      </x:c>
      <x:c r="G4" s="3" t="str">
        <x:f>IF(Master!H632="","",Master!H632)</x:f>
        <x:v>Yes</x:v>
      </x:c>
      <x:c r="H4" s="3" t="str">
        <x:f>IF(Master!I632="","",Master!I632)</x:f>
      </x:c>
      <x:c r="I4" s="3" t="str">
        <x:f>IF(Master!J632="","",Master!J632)</x:f>
      </x:c>
      <x:c r="J4" s="3" t="str">
        <x:f>IF(Master!K632="","",Master!K632)</x:f>
        <x:v>Yes</x:v>
      </x:c>
      <x:c r="K4" s="3" t="str">
        <x:f>IF(Master!L632="","",Master!L632)</x:f>
        <x:v>Yes</x:v>
      </x:c>
      <x:c r="L4" s="3" t="str">
        <x:f>IF(Master!M632="","",Master!M632)</x:f>
      </x:c>
      <x:c r="M4" s="3" t="str">
        <x:f>IF(Master!N632="","",Master!N632)</x:f>
      </x:c>
      <x:c r="N4" s="3" t="str">
        <x:f>IF(Master!O632="","",Master!O632)</x:f>
      </x:c>
      <x:c r="O4" s="3" t="str">
        <x:f>IF(Master!P632="","",Master!P632)</x:f>
        <x:v>Yes</x:v>
      </x:c>
      <x:c r="P4" s="3" t="str">
        <x:f>IF(Master!Q632="","",Master!Q632)</x:f>
      </x:c>
      <x:c r="Q4" s="3" t="str">
        <x:f>IF(Master!R632="","",Master!R632)</x:f>
      </x:c>
      <x:c r="R4" s="3" t="str">
        <x:f>IF(Master!S632="","",Master!S632)</x:f>
        <x:v>Yes</x:v>
      </x:c>
      <x:c r="S4" s="3" t="str">
        <x:f>IF(Master!T632="","",Master!T632)</x:f>
      </x:c>
      <x:c r="T4" s="3" t="str">
        <x:f>IF(Master!U632="","",Master!U632)</x:f>
        <x:v>No public third-party REST API</x:v>
      </x:c>
      <x:c r="U4" s="3" t="str">
        <x:f>IF(Master!V632="","",Master!V632)</x:f>
      </x:c>
      <x:c r="V4" s="3" t="str">
        <x:f>IF(Master!W632="","",Master!W632)</x:f>
        <x:v>Yes</x:v>
      </x:c>
      <x:c r="W4" s="3" t="str">
        <x:f>IF(Master!X632="","",Master!X632)</x:f>
      </x:c>
      <x:c r="X4" s="3" t="str">
        <x:f>IF(Master!Y632="","",Master!Y632)</x:f>
      </x:c>
      <x:c r="Y4" s="3" t="str">
        <x:f>IF(Master!Z632="","",Master!Z632)</x:f>
        <x:v>Yes</x:v>
      </x:c>
      <x:c r="Z4" s="3" t="str">
        <x:f>IF(Master!AA632="","",Master!AA632)</x:f>
        <x:v>Yes</x:v>
      </x:c>
      <x:c r="AA4" s="6" t="str">
        <x:f>IF(Master!AB632="","",Master!AB632)</x:f>
      </x:c>
      <x:c r="AB4" s="3" t="str">
        <x:f>IF(Master!AC632="","",Master!AC632)</x:f>
      </x:c>
      <x:c r="AC4" s="3" t="str">
        <x:f>IF(Master!AD632="","",Master!AD632)</x:f>
      </x:c>
      <x:c r="AD4" s="3" t="str">
        <x:f>IF(Master!AE632="","",Master!AE632)</x:f>
      </x:c>
      <x:c r="AE4" s="3" t="str">
        <x:f>IF(Master!AF632="","",Master!AF632)</x:f>
      </x:c>
      <x:c r="AF4" s="8" t="str">
        <x:f>IF(Master!AG632="","",Master!AG632)</x:f>
        <x:v>Yes</x:v>
      </x:c>
    </x:row>
    <x:row r="5" ht="36" customHeight="1">
      <x:c r="A5" s="17" t="s">
        <x:v>910</x:v>
      </x:c>
      <x:c r="B5" s="3" t="str">
        <x:f>IF(Master!C633="","",Master!C633)</x:f>
        <x:v>Yes</x:v>
      </x:c>
      <x:c r="C5" s="3" t="str">
        <x:f>IF(Master!D633="","",Master!D633)</x:f>
      </x:c>
      <x:c r="D5" s="3" t="str">
        <x:f>IF(Master!E633="","",Master!E633)</x:f>
        <x:v>Yes</x:v>
      </x:c>
      <x:c r="E5" s="3" t="str">
        <x:f>IF(Master!F633="","",Master!F633)</x:f>
      </x:c>
      <x:c r="F5" s="3" t="str">
        <x:f>IF(Master!G633="","",Master!G633)</x:f>
      </x:c>
      <x:c r="G5" s="3" t="str">
        <x:f>IF(Master!H633="","",Master!H633)</x:f>
        <x:v>Yes</x:v>
      </x:c>
      <x:c r="H5" s="3" t="str">
        <x:f>IF(Master!I633="","",Master!I633)</x:f>
      </x:c>
      <x:c r="I5" s="3" t="str">
        <x:f>IF(Master!J633="","",Master!J633)</x:f>
      </x:c>
      <x:c r="J5" s="3" t="str">
        <x:f>IF(Master!K633="","",Master!K633)</x:f>
      </x:c>
      <x:c r="K5" s="3" t="str">
        <x:f>IF(Master!L633="","",Master!L633)</x:f>
        <x:v>Yes</x:v>
      </x:c>
      <x:c r="L5" s="3" t="str">
        <x:f>IF(Master!M633="","",Master!M633)</x:f>
      </x:c>
      <x:c r="M5" s="3" t="str">
        <x:f>IF(Master!N633="","",Master!N633)</x:f>
      </x:c>
      <x:c r="N5" s="3" t="str">
        <x:f>IF(Master!O633="","",Master!O633)</x:f>
        <x:v>Yes</x:v>
      </x:c>
      <x:c r="O5" s="3" t="str">
        <x:f>IF(Master!P633="","",Master!P633)</x:f>
        <x:v>Yes</x:v>
      </x:c>
      <x:c r="P5" s="3" t="str">
        <x:f>IF(Master!Q633="","",Master!Q633)</x:f>
      </x:c>
      <x:c r="Q5" s="3" t="str">
        <x:f>IF(Master!R633="","",Master!R633)</x:f>
      </x:c>
      <x:c r="R5" s="3" t="str">
        <x:f>IF(Master!S633="","",Master!S633)</x:f>
      </x:c>
      <x:c r="S5" s="3" t="str">
        <x:f>IF(Master!T633="","",Master!T633)</x:f>
      </x:c>
      <x:c r="T5" s="3" t="str">
        <x:f>IF(Master!U633="","",Master!U633)</x:f>
        <x:v>No public third-party gateway/bot API</x:v>
      </x:c>
      <x:c r="U5" s="3" t="str">
        <x:f>IF(Master!V633="","",Master!V633)</x:f>
      </x:c>
      <x:c r="V5" s="3" t="str">
        <x:f>IF(Master!W633="","",Master!W633)</x:f>
        <x:v>Yes</x:v>
      </x:c>
      <x:c r="W5" s="3" t="str">
        <x:f>IF(Master!X633="","",Master!X633)</x:f>
      </x:c>
      <x:c r="X5" s="3" t="str">
        <x:f>IF(Master!Y633="","",Master!Y633)</x:f>
      </x:c>
      <x:c r="Y5" s="3" t="str">
        <x:f>IF(Master!Z633="","",Master!Z633)</x:f>
        <x:v>Yes</x:v>
      </x:c>
      <x:c r="Z5" s="3" t="str">
        <x:f>IF(Master!AA633="","",Master!AA633)</x:f>
        <x:v>Yes</x:v>
      </x:c>
      <x:c r="AA5" s="6" t="str">
        <x:f>IF(Master!AB633="","",Master!AB633)</x:f>
      </x:c>
      <x:c r="AB5" s="3" t="str">
        <x:f>IF(Master!AC633="","",Master!AC633)</x:f>
      </x:c>
      <x:c r="AC5" s="3" t="str">
        <x:f>IF(Master!AD633="","",Master!AD633)</x:f>
      </x:c>
      <x:c r="AD5" s="3" t="str">
        <x:f>IF(Master!AE633="","",Master!AE633)</x:f>
      </x:c>
      <x:c r="AE5" s="3" t="str">
        <x:f>IF(Master!AF633="","",Master!AF633)</x:f>
      </x:c>
      <x:c r="AF5" s="8" t="str">
        <x:f>IF(Master!AG633="","",Master!AG633)</x:f>
      </x:c>
    </x:row>
    <x:row r="6" ht="36" customHeight="1">
      <x:c r="A6" s="17" t="s">
        <x:v>911</x:v>
      </x:c>
      <x:c r="B6" s="3" t="str">
        <x:f>IF(Master!C634="","",Master!C634)</x:f>
        <x:v>Yes</x:v>
      </x:c>
      <x:c r="C6" s="3" t="str">
        <x:f>IF(Master!D634="","",Master!D634)</x:f>
      </x:c>
      <x:c r="D6" s="3" t="str">
        <x:f>IF(Master!E634="","",Master!E634)</x:f>
        <x:v>Yes</x:v>
      </x:c>
      <x:c r="E6" s="3" t="str">
        <x:f>IF(Master!F634="","",Master!F634)</x:f>
      </x:c>
      <x:c r="F6" s="3" t="str">
        <x:f>IF(Master!G634="","",Master!G634)</x:f>
      </x:c>
      <x:c r="G6" s="3" t="str">
        <x:f>IF(Master!H634="","",Master!H634)</x:f>
        <x:v>Yes</x:v>
      </x:c>
      <x:c r="H6" s="3" t="str">
        <x:f>IF(Master!I634="","",Master!I634)</x:f>
      </x:c>
      <x:c r="I6" s="3" t="str">
        <x:f>IF(Master!J634="","",Master!J634)</x:f>
      </x:c>
      <x:c r="J6" s="3" t="str">
        <x:f>IF(Master!K634="","",Master!K634)</x:f>
      </x:c>
      <x:c r="K6" s="3" t="str">
        <x:f>IF(Master!L634="","",Master!L634)</x:f>
        <x:v>Yes</x:v>
      </x:c>
      <x:c r="L6" s="3" t="str">
        <x:f>IF(Master!M634="","",Master!M634)</x:f>
      </x:c>
      <x:c r="M6" s="3" t="str">
        <x:f>IF(Master!N634="","",Master!N634)</x:f>
      </x:c>
      <x:c r="N6" s="3" t="str">
        <x:f>IF(Master!O634="","",Master!O634)</x:f>
        <x:v>Yes</x:v>
      </x:c>
      <x:c r="O6" s="3" t="str">
        <x:f>IF(Master!P634="","",Master!P634)</x:f>
        <x:v>Yes</x:v>
      </x:c>
      <x:c r="P6" s="3" t="str">
        <x:f>IF(Master!Q634="","",Master!Q634)</x:f>
      </x:c>
      <x:c r="Q6" s="3" t="str">
        <x:f>IF(Master!R634="","",Master!R634)</x:f>
      </x:c>
      <x:c r="R6" s="3" t="str">
        <x:f>IF(Master!S634="","",Master!S634)</x:f>
        <x:v>Yes</x:v>
      </x:c>
      <x:c r="S6" s="3" t="str">
        <x:f>IF(Master!T634="","",Master!T634)</x:f>
      </x:c>
      <x:c r="T6" s="3" t="str">
        <x:f>IF(Master!U634="","",Master!U634)</x:f>
        <x:v>No public third-party realtime API</x:v>
      </x:c>
      <x:c r="U6" s="3" t="str">
        <x:f>IF(Master!V634="","",Master!V634)</x:f>
      </x:c>
      <x:c r="V6" s="3" t="str">
        <x:f>IF(Master!W634="","",Master!W634)</x:f>
        <x:v>Yes</x:v>
      </x:c>
      <x:c r="W6" s="3" t="str">
        <x:f>IF(Master!X634="","",Master!X634)</x:f>
      </x:c>
      <x:c r="X6" s="3" t="str">
        <x:f>IF(Master!Y634="","",Master!Y634)</x:f>
      </x:c>
      <x:c r="Y6" s="3" t="str">
        <x:f>IF(Master!Z634="","",Master!Z634)</x:f>
        <x:v>Yes</x:v>
      </x:c>
      <x:c r="Z6" s="3" t="str">
        <x:f>IF(Master!AA634="","",Master!AA634)</x:f>
        <x:v>Yes</x:v>
      </x:c>
      <x:c r="AA6" s="6" t="str">
        <x:f>IF(Master!AB634="","",Master!AB634)</x:f>
      </x:c>
      <x:c r="AB6" s="3" t="str">
        <x:f>IF(Master!AC634="","",Master!AC634)</x:f>
      </x:c>
      <x:c r="AC6" s="3" t="str">
        <x:f>IF(Master!AD634="","",Master!AD634)</x:f>
      </x:c>
      <x:c r="AD6" s="3" t="str">
        <x:f>IF(Master!AE634="","",Master!AE634)</x:f>
      </x:c>
      <x:c r="AE6" s="3" t="str">
        <x:f>IF(Master!AF634="","",Master!AF634)</x:f>
      </x:c>
      <x:c r="AF6" s="8" t="str">
        <x:f>IF(Master!AG634="","",Master!AG634)</x:f>
        <x:v>Yes</x:v>
      </x:c>
    </x:row>
    <x:row r="7" ht="36" customHeight="1">
      <x:c r="A7" s="17" t="s">
        <x:v>912</x:v>
      </x:c>
      <x:c r="B7" s="3" t="str">
        <x:f>IF(Master!C635="","",Master!C635)</x:f>
        <x:v>Yes</x:v>
      </x:c>
      <x:c r="C7" s="3" t="str">
        <x:f>IF(Master!D635="","",Master!D635)</x:f>
        <x:v>Nostr relays/integrations</x:v>
      </x:c>
      <x:c r="D7" s="3" t="str">
        <x:f>IF(Master!E635="","",Master!E635)</x:f>
        <x:v>Plugins</x:v>
      </x:c>
      <x:c r="E7" s="3" t="str">
        <x:f>IF(Master!F635="","",Master!F635)</x:f>
      </x:c>
      <x:c r="F7" s="3" t="str">
        <x:f>IF(Master!G635="","",Master!G635)</x:f>
        <x:v>No current public webhook API verified</x:v>
      </x:c>
      <x:c r="G7" s="3" t="str">
        <x:f>IF(Master!H635="","",Master!H635)</x:f>
      </x:c>
      <x:c r="H7" s="3" t="str">
        <x:f>IF(Master!I635="","",Master!I635)</x:f>
      </x:c>
      <x:c r="I7" s="3" t="str">
        <x:f>IF(Master!J635="","",Master!J635)</x:f>
        <x:v>Discord-compatible target</x:v>
      </x:c>
      <x:c r="J7" s="3" t="str">
        <x:f>IF(Master!K635="","",Master!K635)</x:f>
        <x:v>No</x:v>
      </x:c>
      <x:c r="K7" s="3" t="str">
        <x:f>IF(Master!L635="","",Master!L635)</x:f>
        <x:v>Yes</x:v>
      </x:c>
      <x:c r="L7" s="3" t="str">
        <x:f>IF(Master!M635="","",Master!M635)</x:f>
      </x:c>
      <x:c r="M7" s="3" t="str">
        <x:f>IF(Master!N635="","",Master!N635)</x:f>
        <x:v>Webhooks supported</x:v>
      </x:c>
      <x:c r="N7" s="3" t="str">
        <x:f>IF(Master!O635="","",Master!O635)</x:f>
        <x:v>Application services/webhooks via integrations</x:v>
      </x:c>
      <x:c r="O7" s="3" t="str">
        <x:f>IF(Master!P635="","",Master!P635)</x:f>
        <x:v>Yes</x:v>
      </x:c>
      <x:c r="P7" s="3" t="str">
        <x:f>IF(Master!Q635="","",Master!Q635)</x:f>
        <x:v>Integrations</x:v>
      </x:c>
      <x:c r="Q7" s="3" t="str">
        <x:f>IF(Master!R635="","",Master!R635)</x:f>
        <x:v>No Discord-style incoming webhooks</x:v>
      </x:c>
      <x:c r="R7" s="3" t="str">
        <x:f>IF(Master!S635="","",Master!S635)</x:f>
      </x:c>
      <x:c r="S7" s="3" t="str">
        <x:f>IF(Master!T635="","",Master!T635)</x:f>
      </x:c>
      <x:c r="T7" s="3" t="str">
        <x:f>IF(Master!U635="","",Master!U635)</x:f>
        <x:v>Yes: Discord-compatible incoming webhooks</x:v>
      </x:c>
      <x:c r="U7" s="3" t="str">
        <x:f>IF(Master!V635="","",Master!V635)</x:f>
        <x:v>Yes: Discord/GitHub/Slack-compatible</x:v>
      </x:c>
      <x:c r="V7" s="3" t="str">
        <x:f>IF(Master!W635="","",Master!W635)</x:f>
        <x:v>Yes</x:v>
      </x:c>
      <x:c r="W7" s="3" t="str">
        <x:f>IF(Master!X635="","",Master!X635)</x:f>
        <x:v>Bridge/integrations</x:v>
      </x:c>
      <x:c r="X7" s="3" t="str">
        <x:f>IF(Master!Y635="","",Master!Y635)</x:f>
      </x:c>
      <x:c r="Y7" s="3" t="str">
        <x:f>IF(Master!Z635="","",Master!Z635)</x:f>
        <x:v>Discord-compatible webhooks target</x:v>
      </x:c>
      <x:c r="Z7" s="3" t="str">
        <x:f>IF(Master!AA635="","",Master!AA635)</x:f>
      </x:c>
      <x:c r="AA7" s="6" t="str">
        <x:f>IF(Master!AB635="","",Master!AB635)</x:f>
      </x:c>
      <x:c r="AB7" s="3" t="str">
        <x:f>IF(Master!AC635="","",Master!AC635)</x:f>
        <x:v>Incoming webhooks</x:v>
      </x:c>
      <x:c r="AC7" s="3" t="str">
        <x:f>IF(Master!AD635="","",Master!AD635)</x:f>
      </x:c>
      <x:c r="AD7" s="3" t="str">
        <x:f>IF(Master!AE635="","",Master!AE635)</x:f>
      </x:c>
      <x:c r="AE7" s="3" t="str">
        <x:f>IF(Master!AF635="","",Master!AF635)</x:f>
      </x:c>
      <x:c r="AF7" s="8" t="str">
        <x:f>IF(Master!AG635="","",Master!AG635)</x:f>
        <x:v>Yes: incoming webhooks/integrations</x:v>
      </x:c>
    </x:row>
    <x:row r="8" ht="36" customHeight="1">
      <x:c r="A8" s="17" t="s">
        <x:v>913</x:v>
      </x:c>
      <x:c r="B8" s="3" t="str">
        <x:f>IF(Master!C636="","",Master!C636)</x:f>
        <x:v>Yes: webhook events and interaction endpoints</x:v>
      </x:c>
      <x:c r="C8" s="3" t="str">
        <x:f>IF(Master!D636="","",Master!D636)</x:f>
        <x:v>Nostr events</x:v>
      </x:c>
      <x:c r="D8" s="3" t="str">
        <x:f>IF(Master!E636="","",Master!E636)</x:f>
        <x:v>Events/plugins</x:v>
      </x:c>
      <x:c r="E8" s="3" t="str">
        <x:f>IF(Master!F636="","",Master!F636)</x:f>
      </x:c>
      <x:c r="F8" s="3" t="str">
        <x:f>IF(Master!G636="","",Master!G636)</x:f>
        <x:v>No current public event webhook API verified</x:v>
      </x:c>
      <x:c r="G8" s="3" t="str">
        <x:f>IF(Master!H636="","",Master!H636)</x:f>
        <x:v>Gateway events/webhooks</x:v>
      </x:c>
      <x:c r="H8" s="3" t="str">
        <x:f>IF(Master!I636="","",Master!I636)</x:f>
      </x:c>
      <x:c r="I8" s="3" t="str">
        <x:f>IF(Master!J636="","",Master!J636)</x:f>
        <x:v>Gateway/events</x:v>
      </x:c>
      <x:c r="J8" s="3" t="str">
        <x:f>IF(Master!K636="","",Master!K636)</x:f>
        <x:v>No</x:v>
      </x:c>
      <x:c r="K8" s="3" t="str">
        <x:f>IF(Master!L636="","",Master!L636)</x:f>
        <x:v>Gateway event stream is primary realtime event mechanism; no generic outbound webhook subscription system was verified</x:v>
      </x:c>
      <x:c r="L8" s="3" t="str">
        <x:f>IF(Master!M636="","",Master!M636)</x:f>
      </x:c>
      <x:c r="M8" s="3" t="str">
        <x:f>IF(Master!N636="","",Master!N636)</x:f>
        <x:v>Events/interactions</x:v>
      </x:c>
      <x:c r="N8" s="3" t="str">
        <x:f>IF(Master!O636="","",Master!O636)</x:f>
        <x:v>Application Service transactions/events</x:v>
      </x:c>
      <x:c r="O8" s="3" t="str">
        <x:f>IF(Master!P636="","",Master!P636)</x:f>
        <x:v>Yes</x:v>
      </x:c>
      <x:c r="P8" s="3" t="str">
        <x:f>IF(Master!Q636="","",Master!Q636)</x:f>
        <x:v>Integrations</x:v>
      </x:c>
      <x:c r="Q8" s="3" t="str">
        <x:f>IF(Master!R636="","",Master!R636)</x:f>
        <x:v>No Discord-style outbound webhooks</x:v>
      </x:c>
      <x:c r="R8" s="3" t="str">
        <x:f>IF(Master!S636="","",Master!S636)</x:f>
      </x:c>
      <x:c r="S8" s="3" t="str">
        <x:f>IF(Master!T636="","",Master!T636)</x:f>
      </x:c>
      <x:c r="T8" s="3" t="str">
        <x:f>IF(Master!U636="","",Master!U636)</x:f>
        <x:v>Not publicly claimed</x:v>
      </x:c>
      <x:c r="U8" s="3" t="str">
        <x:f>IF(Master!V636="","",Master!V636)</x:f>
      </x:c>
      <x:c r="V8" s="3" t="str">
        <x:f>IF(Master!W636="","",Master!W636)</x:f>
        <x:v>Yes</x:v>
      </x:c>
      <x:c r="W8" s="3" t="str">
        <x:f>IF(Master!X636="","",Master!X636)</x:f>
        <x:v>ATProto events</x:v>
      </x:c>
      <x:c r="X8" s="3" t="str">
        <x:f>IF(Master!Y636="","",Master!Y636)</x:f>
        <x:v>Event subscriptions in hosted runtime</x:v>
      </x:c>
      <x:c r="Y8" s="3" t="str">
        <x:f>IF(Master!Z636="","",Master!Z636)</x:f>
        <x:v>Gateway events</x:v>
      </x:c>
      <x:c r="Z8" s="3" t="str">
        <x:f>IF(Master!AA636="","",Master!AA636)</x:f>
      </x:c>
      <x:c r="AA8" s="6" t="str">
        <x:f>IF(Master!AB636="","",Master!AB636)</x:f>
      </x:c>
      <x:c r="AB8" s="3" t="str">
        <x:f>IF(Master!AC636="","",Master!AC636)</x:f>
        <x:v>API/events</x:v>
      </x:c>
      <x:c r="AC8" s="3" t="str">
        <x:f>IF(Master!AD636="","",Master!AD636)</x:f>
        <x:v>Federation events/webhooks planned</x:v>
      </x:c>
      <x:c r="AD8" s="3" t="str">
        <x:f>IF(Master!AE636="","",Master!AE636)</x:f>
      </x:c>
      <x:c r="AE8" s="3" t="str">
        <x:f>IF(Master!AF636="","",Master!AF636)</x:f>
      </x:c>
      <x:c r="AF8" s="8" t="str">
        <x:f>IF(Master!AG636="","",Master!AG636)</x:f>
        <x:v>Yes: bots/webhooks/event queues</x:v>
      </x:c>
    </x:row>
    <x:row r="9" ht="36" customHeight="1">
      <x:c r="A9" s="17" t="s">
        <x:v>902</x:v>
      </x:c>
      <x:c r="B9" s="3" t="str">
        <x:f>IF(Master!C637="","",Master!C637)</x:f>
        <x:v>Yes</x:v>
      </x:c>
      <x:c r="C9" s="3" t="str">
        <x:f>IF(Master!D637="","",Master!D637)</x:f>
      </x:c>
      <x:c r="D9" s="3" t="str">
        <x:f>IF(Master!E637="","",Master!E637)</x:f>
      </x:c>
      <x:c r="E9" s="3" t="str">
        <x:f>IF(Master!F637="","",Master!F637)</x:f>
      </x:c>
      <x:c r="F9" s="3" t="str">
        <x:f>IF(Master!G637="","",Master!G637)</x:f>
        <x:v>Yes</x:v>
      </x:c>
      <x:c r="G9" s="3" t="str">
        <x:f>IF(Master!H637="","",Master!H637)</x:f>
        <x:v>Yes</x:v>
      </x:c>
      <x:c r="H9" s="3" t="str">
        <x:f>IF(Master!I637="","",Master!I637)</x:f>
      </x:c>
      <x:c r="I9" s="3" t="str">
        <x:f>IF(Master!J637="","",Master!J637)</x:f>
        <x:v>Yes</x:v>
      </x:c>
      <x:c r="J9" s="3" t="str">
        <x:f>IF(Master!K637="","",Master!K637)</x:f>
        <x:v>Yes</x:v>
      </x:c>
      <x:c r="K9" s="3" t="str">
        <x:f>IF(Master!L637="","",Master!L637)</x:f>
        <x:v>Yes: bot applications are federated accounts with scoped installs</x:v>
      </x:c>
      <x:c r="L9" s="3" t="str">
        <x:f>IF(Master!M637="","",Master!M637)</x:f>
      </x:c>
      <x:c r="M9" s="3" t="str">
        <x:f>IF(Master!N637="","",Master!N637)</x:f>
        <x:v>Yes</x:v>
      </x:c>
      <x:c r="N9" s="3" t="str">
        <x:f>IF(Master!O637="","",Master!O637)</x:f>
        <x:v>Yes</x:v>
      </x:c>
      <x:c r="O9" s="3" t="str">
        <x:f>IF(Master!P637="","",Master!P637)</x:f>
        <x:v>Yes</x:v>
      </x:c>
      <x:c r="P9" s="3" t="str">
        <x:f>IF(Master!Q637="","",Master!Q637)</x:f>
        <x:v>Yes</x:v>
      </x:c>
      <x:c r="Q9" s="3" t="str">
        <x:f>IF(Master!R637="","",Master!R637)</x:f>
      </x:c>
      <x:c r="R9" s="3" t="str">
        <x:f>IF(Master!S637="","",Master!S637)</x:f>
        <x:v>Yes</x:v>
      </x:c>
      <x:c r="S9" s="3" t="str">
        <x:f>IF(Master!T637="","",Master!T637)</x:f>
      </x:c>
      <x:c r="T9" s="3" t="str">
        <x:f>IF(Master!U637="","",Master!U637)</x:f>
        <x:v>No public bot API yet</x:v>
      </x:c>
      <x:c r="U9" s="3" t="str">
        <x:f>IF(Master!V637="","",Master!V637)</x:f>
        <x:v>No</x:v>
      </x:c>
      <x:c r="V9" s="3" t="str">
        <x:f>IF(Master!W637="","",Master!W637)</x:f>
        <x:v>Yes</x:v>
      </x:c>
      <x:c r="W9" s="3" t="str">
        <x:f>IF(Master!X637="","",Master!X637)</x:f>
      </x:c>
      <x:c r="X9" s="3" t="str">
        <x:f>IF(Master!Y637="","",Master!Y637)</x:f>
        <x:v>Yes</x:v>
      </x:c>
      <x:c r="Y9" s="3" t="str">
        <x:f>IF(Master!Z637="","",Master!Z637)</x:f>
        <x:v>Yes</x:v>
      </x:c>
      <x:c r="Z9" s="3" t="str">
        <x:f>IF(Master!AA637="","",Master!AA637)</x:f>
        <x:v>Yes</x:v>
      </x:c>
      <x:c r="AA9" s="6" t="str">
        <x:f>IF(Master!AB637="","",Master!AB637)</x:f>
      </x:c>
      <x:c r="AB9" s="3" t="str">
        <x:f>IF(Master!AC637="","",Master!AC637)</x:f>
        <x:v>Yes</x:v>
      </x:c>
      <x:c r="AC9" s="3" t="str">
        <x:f>IF(Master!AD637="","",Master!AD637)</x:f>
      </x:c>
      <x:c r="AD9" s="3" t="str">
        <x:f>IF(Master!AE637="","",Master!AE637)</x:f>
        <x:v>Yes</x:v>
      </x:c>
      <x:c r="AE9" s="3" t="str">
        <x:f>IF(Master!AF637="","",Master!AF637)</x:f>
      </x:c>
      <x:c r="AF9" s="8" t="str">
        <x:f>IF(Master!AG637="","",Master!AG637)</x:f>
        <x:v>Yes</x:v>
      </x:c>
    </x:row>
    <x:row r="10" ht="21.950000762939453" customHeight="1">
      <x:c r="A10" s="18" t="s">
        <x:v>914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915</x:v>
      </x:c>
      <x:c r="B11" s="3" t="str">
        <x:f>IF(Master!C638="","",Master!C638)</x:f>
        <x:v>Yes</x:v>
      </x:c>
      <x:c r="C11" s="3" t="str">
        <x:f>IF(Master!D638="","",Master!D638)</x:f>
      </x:c>
      <x:c r="D11" s="3" t="str">
        <x:f>IF(Master!E638="","",Master!E638)</x:f>
      </x:c>
      <x:c r="E11" s="3" t="str">
        <x:f>IF(Master!F638="","",Master!F638)</x:f>
      </x:c>
      <x:c r="F11" s="3" t="str">
        <x:f>IF(Master!G638="","",Master!G638)</x:f>
      </x:c>
      <x:c r="G11" s="3" t="str">
        <x:f>IF(Master!H638="","",Master!H638)</x:f>
      </x:c>
      <x:c r="H11" s="3" t="str">
        <x:f>IF(Master!I638="","",Master!I638)</x:f>
      </x:c>
      <x:c r="I11" s="3" t="str">
        <x:f>IF(Master!J638="","",Master!J638)</x:f>
      </x:c>
      <x:c r="J11" s="3" t="str">
        <x:f>IF(Master!K638="","",Master!K638)</x:f>
      </x:c>
      <x:c r="K11" s="3" t="str">
        <x:f>IF(Master!L638="","",Master!L638)</x:f>
        <x:v>No official JS/TS bot SDK documented</x:v>
      </x:c>
      <x:c r="L11" s="3" t="str">
        <x:f>IF(Master!M638="","",Master!M638)</x:f>
      </x:c>
      <x:c r="M11" s="3" t="str">
        <x:f>IF(Master!N638="","",Master!N638)</x:f>
        <x:v>Yes</x:v>
      </x:c>
      <x:c r="N11" s="3" t="str">
        <x:f>IF(Master!O638="","",Master!O638)</x:f>
        <x:v>Yes</x:v>
      </x:c>
      <x:c r="O11" s="3" t="str">
        <x:f>IF(Master!P638="","",Master!P638)</x:f>
        <x:v>Yes</x:v>
      </x:c>
      <x:c r="P11" s="3" t="str">
        <x:f>IF(Master!Q638="","",Master!Q638)</x:f>
      </x:c>
      <x:c r="Q11" s="3" t="str">
        <x:f>IF(Master!R638="","",Master!R638)</x:f>
      </x:c>
      <x:c r="R11" s="3" t="str">
        <x:f>IF(Master!S638="","",Master!S638)</x:f>
        <x:v>Yes</x:v>
      </x:c>
      <x:c r="S11" s="3" t="str">
        <x:f>IF(Master!T638="","",Master!T638)</x:f>
      </x:c>
      <x:c r="T11" s="3" t="str">
        <x:f>IF(Master!U638="","",Master!U638)</x:f>
        <x:v>No public SDK</x:v>
      </x:c>
      <x:c r="U11" s="3" t="str">
        <x:f>IF(Master!V638="","",Master!V638)</x:f>
        <x:v>No</x:v>
      </x:c>
      <x:c r="V11" s="3" t="str">
        <x:f>IF(Master!W638="","",Master!W638)</x:f>
      </x:c>
      <x:c r="W11" s="3" t="str">
        <x:f>IF(Master!X638="","",Master!X638)</x:f>
      </x:c>
      <x:c r="X11" s="3" t="str">
        <x:f>IF(Master!Y638="","",Master!Y638)</x:f>
        <x:v>Yes</x:v>
      </x:c>
      <x:c r="Y11" s="3" t="str">
        <x:f>IF(Master!Z638="","",Master!Z638)</x:f>
      </x:c>
      <x:c r="Z11" s="3" t="str">
        <x:f>IF(Master!AA638="","",Master!AA638)</x:f>
        <x:v>Yes</x:v>
      </x:c>
      <x:c r="AA11" s="6" t="str">
        <x:f>IF(Master!AB638="","",Master!AB638)</x:f>
      </x:c>
      <x:c r="AB11" s="3" t="str">
        <x:f>IF(Master!AC638="","",Master!AC638)</x:f>
      </x:c>
      <x:c r="AC11" s="3" t="str">
        <x:f>IF(Master!AD638="","",Master!AD638)</x:f>
      </x:c>
      <x:c r="AD11" s="3" t="str">
        <x:f>IF(Master!AE638="","",Master!AE638)</x:f>
      </x:c>
      <x:c r="AE11" s="3" t="str">
        <x:f>IF(Master!AF638="","",Master!AF638)</x:f>
      </x:c>
      <x:c r="AF11" s="8" t="str">
        <x:f>IF(Master!AG638="","",Master!AG638)</x:f>
      </x:c>
    </x:row>
    <x:row r="12" ht="36" customHeight="1">
      <x:c r="A12" s="17" t="s">
        <x:v>916</x:v>
      </x:c>
      <x:c r="B12" s="3" t="str">
        <x:f>IF(Master!C639="","",Master!C639)</x:f>
      </x:c>
      <x:c r="C12" s="3" t="str">
        <x:f>IF(Master!D639="","",Master!D639)</x:f>
      </x:c>
      <x:c r="D12" s="3" t="str">
        <x:f>IF(Master!E639="","",Master!E639)</x:f>
      </x:c>
      <x:c r="E12" s="3" t="str">
        <x:f>IF(Master!F639="","",Master!F639)</x:f>
      </x:c>
      <x:c r="F12" s="3" t="str">
        <x:f>IF(Master!G639="","",Master!G639)</x:f>
      </x:c>
      <x:c r="G12" s="3" t="str">
        <x:f>IF(Master!H639="","",Master!H639)</x:f>
      </x:c>
      <x:c r="H12" s="3" t="str">
        <x:f>IF(Master!I639="","",Master!I639)</x:f>
      </x:c>
      <x:c r="I12" s="3" t="str">
        <x:f>IF(Master!J639="","",Master!J639)</x:f>
      </x:c>
      <x:c r="J12" s="3" t="str">
        <x:f>IF(Master!K639="","",Master!K639)</x:f>
      </x:c>
      <x:c r="K12" s="3" t="str">
        <x:f>IF(Master!L639="","",Master!L639)</x:f>
        <x:v>Yes: official kaede-bot package</x:v>
      </x:c>
      <x:c r="L12" s="3" t="str">
        <x:f>IF(Master!M639="","",Master!M639)</x:f>
      </x:c>
      <x:c r="M12" s="3" t="str">
        <x:f>IF(Master!N639="","",Master!N639)</x:f>
      </x:c>
      <x:c r="N12" s="3" t="str">
        <x:f>IF(Master!O639="","",Master!O639)</x:f>
        <x:v>Yes</x:v>
      </x:c>
      <x:c r="O12" s="3" t="str">
        <x:f>IF(Master!P639="","",Master!P639)</x:f>
      </x:c>
      <x:c r="P12" s="3" t="str">
        <x:f>IF(Master!Q639="","",Master!Q639)</x:f>
      </x:c>
      <x:c r="Q12" s="3" t="str">
        <x:f>IF(Master!R639="","",Master!R639)</x:f>
      </x:c>
      <x:c r="R12" s="3" t="str">
        <x:f>IF(Master!S639="","",Master!S639)</x:f>
      </x:c>
      <x:c r="S12" s="3" t="str">
        <x:f>IF(Master!T639="","",Master!T639)</x:f>
      </x:c>
      <x:c r="T12" s="3" t="str">
        <x:f>IF(Master!U639="","",Master!U639)</x:f>
        <x:v>No public SDK</x:v>
      </x:c>
      <x:c r="U12" s="3" t="str">
        <x:f>IF(Master!V639="","",Master!V639)</x:f>
        <x:v>No</x:v>
      </x:c>
      <x:c r="V12" s="3" t="str">
        <x:f>IF(Master!W639="","",Master!W639)</x:f>
      </x:c>
      <x:c r="W12" s="3" t="str">
        <x:f>IF(Master!X639="","",Master!X639)</x:f>
      </x:c>
      <x:c r="X12" s="3" t="str">
        <x:f>IF(Master!Y639="","",Master!Y639)</x:f>
      </x:c>
      <x:c r="Y12" s="3" t="str">
        <x:f>IF(Master!Z639="","",Master!Z639)</x:f>
      </x:c>
      <x:c r="Z12" s="3" t="str">
        <x:f>IF(Master!AA639="","",Master!AA639)</x:f>
      </x:c>
      <x:c r="AA12" s="6" t="str">
        <x:f>IF(Master!AB639="","",Master!AB639)</x:f>
      </x:c>
      <x:c r="AB12" s="3" t="str">
        <x:f>IF(Master!AC639="","",Master!AC639)</x:f>
      </x:c>
      <x:c r="AC12" s="3" t="str">
        <x:f>IF(Master!AD639="","",Master!AD639)</x:f>
      </x:c>
      <x:c r="AD12" s="3" t="str">
        <x:f>IF(Master!AE639="","",Master!AE639)</x:f>
      </x:c>
      <x:c r="AE12" s="3" t="str">
        <x:f>IF(Master!AF639="","",Master!AF639)</x:f>
      </x:c>
      <x:c r="AF12" s="8" t="str">
        <x:f>IF(Master!AG639="","",Master!AG639)</x:f>
        <x:v>Yes</x:v>
      </x:c>
    </x:row>
    <x:row r="13" ht="36" customHeight="1">
      <x:c r="A13" s="17" t="s">
        <x:v>917</x:v>
      </x:c>
      <x:c r="B13" s="3" t="str">
        <x:f>IF(Master!C640="","",Master!C640)</x:f>
      </x:c>
      <x:c r="C13" s="3" t="str">
        <x:f>IF(Master!D640="","",Master!D640)</x:f>
      </x:c>
      <x:c r="D13" s="3" t="str">
        <x:f>IF(Master!E640="","",Master!E640)</x:f>
      </x:c>
      <x:c r="E13" s="3" t="str">
        <x:f>IF(Master!F640="","",Master!F640)</x:f>
      </x:c>
      <x:c r="F13" s="3" t="str">
        <x:f>IF(Master!G640="","",Master!G640)</x:f>
      </x:c>
      <x:c r="G13" s="3" t="str">
        <x:f>IF(Master!H640="","",Master!H640)</x:f>
      </x:c>
      <x:c r="H13" s="3" t="str">
        <x:f>IF(Master!I640="","",Master!I640)</x:f>
      </x:c>
      <x:c r="I13" s="3" t="str">
        <x:f>IF(Master!J640="","",Master!J640)</x:f>
      </x:c>
      <x:c r="J13" s="3" t="str">
        <x:f>IF(Master!K640="","",Master!K640)</x:f>
      </x:c>
      <x:c r="K13" s="3" t="str">
        <x:f>IF(Master!L640="","",Master!L640)</x:f>
        <x:v>No official Rust bot SDK documented</x:v>
      </x:c>
      <x:c r="L13" s="3" t="str">
        <x:f>IF(Master!M640="","",Master!M640)</x:f>
      </x:c>
      <x:c r="M13" s="3" t="str">
        <x:f>IF(Master!N640="","",Master!N640)</x:f>
      </x:c>
      <x:c r="N13" s="3" t="str">
        <x:f>IF(Master!O640="","",Master!O640)</x:f>
        <x:v>Yes</x:v>
      </x:c>
      <x:c r="O13" s="3" t="str">
        <x:f>IF(Master!P640="","",Master!P640)</x:f>
      </x:c>
      <x:c r="P13" s="3" t="str">
        <x:f>IF(Master!Q640="","",Master!Q640)</x:f>
      </x:c>
      <x:c r="Q13" s="3" t="str">
        <x:f>IF(Master!R640="","",Master!R640)</x:f>
      </x:c>
      <x:c r="R13" s="3" t="str">
        <x:f>IF(Master!S640="","",Master!S640)</x:f>
      </x:c>
      <x:c r="S13" s="3" t="str">
        <x:f>IF(Master!T640="","",Master!T640)</x:f>
      </x:c>
      <x:c r="T13" s="3" t="str">
        <x:f>IF(Master!U640="","",Master!U640)</x:f>
        <x:v>No public SDK</x:v>
      </x:c>
      <x:c r="U13" s="3" t="str">
        <x:f>IF(Master!V640="","",Master!V640)</x:f>
        <x:v>No</x:v>
      </x:c>
      <x:c r="V13" s="3" t="str">
        <x:f>IF(Master!W640="","",Master!W640)</x:f>
      </x:c>
      <x:c r="W13" s="3" t="str">
        <x:f>IF(Master!X640="","",Master!X640)</x:f>
      </x:c>
      <x:c r="X13" s="3" t="str">
        <x:f>IF(Master!Y640="","",Master!Y640)</x:f>
      </x:c>
      <x:c r="Y13" s="3" t="str">
        <x:f>IF(Master!Z640="","",Master!Z640)</x:f>
      </x:c>
      <x:c r="Z13" s="3" t="str">
        <x:f>IF(Master!AA640="","",Master!AA640)</x:f>
      </x:c>
      <x:c r="AA13" s="6" t="str">
        <x:f>IF(Master!AB640="","",Master!AB640)</x:f>
      </x:c>
      <x:c r="AB13" s="3" t="str">
        <x:f>IF(Master!AC640="","",Master!AC640)</x:f>
      </x:c>
      <x:c r="AC13" s="3" t="str">
        <x:f>IF(Master!AD640="","",Master!AD640)</x:f>
      </x:c>
      <x:c r="AD13" s="3" t="str">
        <x:f>IF(Master!AE640="","",Master!AE640)</x:f>
      </x:c>
      <x:c r="AE13" s="3" t="str">
        <x:f>IF(Master!AF640="","",Master!AF640)</x:f>
      </x:c>
      <x:c r="AF13" s="8" t="str">
        <x:f>IF(Master!AG640="","",Master!AG640)</x:f>
      </x:c>
    </x:row>
    <x:row r="14" ht="36" customHeight="1">
      <x:c r="A14" s="17" t="s">
        <x:v>918</x:v>
      </x:c>
      <x:c r="B14" s="3" t="str">
        <x:f>IF(Master!C641="","",Master!C641)</x:f>
      </x:c>
      <x:c r="C14" s="3" t="str">
        <x:f>IF(Master!D641="","",Master!D641)</x:f>
      </x:c>
      <x:c r="D14" s="3" t="str">
        <x:f>IF(Master!E641="","",Master!E641)</x:f>
      </x:c>
      <x:c r="E14" s="3" t="str">
        <x:f>IF(Master!F641="","",Master!F641)</x:f>
      </x:c>
      <x:c r="F14" s="3" t="str">
        <x:f>IF(Master!G641="","",Master!G641)</x:f>
      </x:c>
      <x:c r="G14" s="3" t="str">
        <x:f>IF(Master!H641="","",Master!H641)</x:f>
      </x:c>
      <x:c r="H14" s="3" t="str">
        <x:f>IF(Master!I641="","",Master!I641)</x:f>
      </x:c>
      <x:c r="I14" s="3" t="str">
        <x:f>IF(Master!J641="","",Master!J641)</x:f>
      </x:c>
      <x:c r="J14" s="3" t="str">
        <x:f>IF(Master!K641="","",Master!K641)</x:f>
      </x:c>
      <x:c r="K14" s="3" t="str">
        <x:f>IF(Master!L641="","",Master!L641)</x:f>
        <x:v>No official Go bot SDK documented</x:v>
      </x:c>
      <x:c r="L14" s="3" t="str">
        <x:f>IF(Master!M641="","",Master!M641)</x:f>
      </x:c>
      <x:c r="M14" s="3" t="str">
        <x:f>IF(Master!N641="","",Master!N641)</x:f>
      </x:c>
      <x:c r="N14" s="3" t="str">
        <x:f>IF(Master!O641="","",Master!O641)</x:f>
        <x:v>Yes</x:v>
      </x:c>
      <x:c r="O14" s="3" t="str">
        <x:f>IF(Master!P641="","",Master!P641)</x:f>
        <x:v>Yes</x:v>
      </x:c>
      <x:c r="P14" s="3" t="str">
        <x:f>IF(Master!Q641="","",Master!Q641)</x:f>
      </x:c>
      <x:c r="Q14" s="3" t="str">
        <x:f>IF(Master!R641="","",Master!R641)</x:f>
      </x:c>
      <x:c r="R14" s="3" t="str">
        <x:f>IF(Master!S641="","",Master!S641)</x:f>
      </x:c>
      <x:c r="S14" s="3" t="str">
        <x:f>IF(Master!T641="","",Master!T641)</x:f>
      </x:c>
      <x:c r="T14" s="3" t="str">
        <x:f>IF(Master!U641="","",Master!U641)</x:f>
        <x:v>No public SDK</x:v>
      </x:c>
      <x:c r="U14" s="3" t="str">
        <x:f>IF(Master!V641="","",Master!V641)</x:f>
        <x:v>No</x:v>
      </x:c>
      <x:c r="V14" s="3" t="str">
        <x:f>IF(Master!W641="","",Master!W641)</x:f>
      </x:c>
      <x:c r="W14" s="3" t="str">
        <x:f>IF(Master!X641="","",Master!X641)</x:f>
      </x:c>
      <x:c r="X14" s="3" t="str">
        <x:f>IF(Master!Y641="","",Master!Y641)</x:f>
      </x:c>
      <x:c r="Y14" s="3" t="str">
        <x:f>IF(Master!Z641="","",Master!Z641)</x:f>
      </x:c>
      <x:c r="Z14" s="3" t="str">
        <x:f>IF(Master!AA641="","",Master!AA641)</x:f>
      </x:c>
      <x:c r="AA14" s="6" t="str">
        <x:f>IF(Master!AB641="","",Master!AB641)</x:f>
      </x:c>
      <x:c r="AB14" s="3" t="str">
        <x:f>IF(Master!AC641="","",Master!AC641)</x:f>
      </x:c>
      <x:c r="AC14" s="3" t="str">
        <x:f>IF(Master!AD641="","",Master!AD641)</x:f>
      </x:c>
      <x:c r="AD14" s="3" t="str">
        <x:f>IF(Master!AE641="","",Master!AE641)</x:f>
      </x:c>
      <x:c r="AE14" s="3" t="str">
        <x:f>IF(Master!AF641="","",Master!AF641)</x:f>
      </x:c>
      <x:c r="AF14" s="8" t="str">
        <x:f>IF(Master!AG641="","",Master!AG641)</x:f>
      </x:c>
    </x:row>
    <x:row r="15" ht="36" customHeight="1">
      <x:c r="A15" s="17" t="s">
        <x:v>919</x:v>
      </x:c>
      <x:c r="B15" s="3" t="str">
        <x:f>IF(Master!C642="","",Master!C642)</x:f>
        <x:v>JS/TS: official Embedded App SDK; no official general bot SDKs for Python/Rust/Go; Social SDK targets C++/Unity/Unreal</x:v>
      </x:c>
      <x:c r="C15" s="3" t="str">
        <x:f>IF(Master!D642="","",Master!D642)</x:f>
        <x:v>Nostr libraries</x:v>
      </x:c>
      <x:c r="D15" s="3" t="str">
        <x:f>IF(Master!E642="","",Master!E642)</x:f>
        <x:v>Custom/open-source ecosystem</x:v>
      </x:c>
      <x:c r="E15" s="3" t="str">
        <x:f>IF(Master!F642="","",Master!F642)</x:f>
      </x:c>
      <x:c r="F15" s="3" t="str">
        <x:f>IF(Master!G642="","",Master!G642)</x:f>
        <x:v>No public SDKs yet</x:v>
      </x:c>
      <x:c r="G15" s="3" t="str">
        <x:f>IF(Master!H642="","",Master!H642)</x:f>
      </x:c>
      <x:c r="H15" s="3" t="str">
        <x:f>IF(Master!I642="","",Master!I642)</x:f>
      </x:c>
      <x:c r="I15" s="3" t="str">
        <x:f>IF(Master!J642="","",Master!J642)</x:f>
        <x:v>Discord bot libraries largely reusable</x:v>
      </x:c>
      <x:c r="J15" s="3" t="str">
        <x:f>IF(Master!K642="","",Master!K642)</x:f>
        <x:v>Open source</x:v>
      </x:c>
      <x:c r="K15" s="3" t="str">
        <x:f>IF(Master!L642="","",Master!L642)</x:f>
        <x:v>Early ecosystem; official Python SDK is the primary SDK</x:v>
      </x:c>
      <x:c r="L15" s="3" t="str">
        <x:f>IF(Master!M642="","",Master!M642)</x:f>
      </x:c>
      <x:c r="M15" s="3" t="str">
        <x:f>IF(Master!N642="","",Master!N642)</x:f>
        <x:v>discord.py/discord.js compatibility</x:v>
      </x:c>
      <x:c r="N15" s="3" t="str">
        <x:f>IF(Master!O642="","",Master!O642)</x:f>
        <x:v>Many SDKs including JS/TS, Rust, Python, Go/community</x:v>
      </x:c>
      <x:c r="O15" s="3" t="str">
        <x:f>IF(Master!P642="","",Master!P642)</x:f>
        <x:v>Client/server APIs; Go/JS ecosystem</x:v>
      </x:c>
      <x:c r="P15" s="3" t="str">
        <x:f>IF(Master!Q642="","",Master!Q642)</x:f>
        <x:v>SDK/integration ecosystem</x:v>
      </x:c>
      <x:c r="Q15" s="3" t="str">
        <x:f>IF(Master!R642="","",Master!R642)</x:f>
        <x:v>Community libraries</x:v>
      </x:c>
      <x:c r="R15" s="3" t="str">
        <x:f>IF(Master!S642="","",Master!S642)</x:f>
        <x:v>Official Nerimity.js</x:v>
      </x:c>
      <x:c r="S15" s="3" t="str">
        <x:f>IF(Master!T642="","",Master!T642)</x:f>
      </x:c>
      <x:c r="T15" s="3" t="str">
        <x:f>IF(Master!U642="","",Master!U642)</x:f>
      </x:c>
      <x:c r="U15" s="3" t="str">
        <x:f>IF(Master!V642="","",Master!V642)</x:f>
        <x:v>No</x:v>
      </x:c>
      <x:c r="V15" s="3" t="str">
        <x:f>IF(Master!W642="","",Master!W642)</x:f>
        <x:v>SDKs/APIs + Apps framework</x:v>
      </x:c>
      <x:c r="W15" s="3" t="str">
        <x:f>IF(Master!X642="","",Master!X642)</x:f>
        <x:v>Roomy SDK</x:v>
      </x:c>
      <x:c r="X15" s="3" t="str">
        <x:f>IF(Master!Y642="","",Master!Y642)</x:f>
        <x:v>Official TypeScript SDK / Node runtime</x:v>
      </x:c>
      <x:c r="Y15" s="3" t="str">
        <x:f>IF(Master!Z642="","",Master!Z642)</x:f>
        <x:v>Discord ecosystem compatibility; Spacebar documentation</x:v>
      </x:c>
      <x:c r="Z15" s="3" t="str">
        <x:f>IF(Master!AA642="","",Master!AA642)</x:f>
        <x:v>Official TypeScript client SDK; community libraries</x:v>
      </x:c>
      <x:c r="AA15" s="6" t="str">
        <x:f>IF(Master!AB642="","",Master!AB642)</x:f>
      </x:c>
      <x:c r="AB15" s="3" t="str">
        <x:f>IF(Master!AC642="","",Master!AC642)</x:f>
        <x:v>Official .NET SDK</x:v>
      </x:c>
      <x:c r="AC15" s="3" t="str">
        <x:f>IF(Master!AD642="","",Master!AD642)</x:f>
      </x:c>
      <x:c r="AD15" s="3" t="str">
        <x:f>IF(Master!AE642="","",Master!AE642)</x:f>
      </x:c>
      <x:c r="AE15" s="3" t="str">
        <x:f>IF(Master!AF642="","",Master!AF642)</x:f>
      </x:c>
      <x:c r="AF15" s="8" t="str">
        <x:f>IF(Master!AG642="","",Master!AG642)</x:f>
        <x:v>Official/community libraries including Python; broad API</x:v>
      </x:c>
    </x:row>
    <x:row r="16" ht="21.950000762939453" customHeight="1">
      <x:c r="A16" s="18" t="s">
        <x:v>920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921</x:v>
      </x:c>
      <x:c r="B17" s="3" t="str">
        <x:f>IF(Master!C643="","",Master!C643)</x:f>
        <x:v>Yes: slash commands, components, modals, interactions</x:v>
      </x:c>
      <x:c r="C17" s="3" t="str">
        <x:f>IF(Master!D643="","",Master!D643)</x:f>
        <x:v>Protocol-driven</x:v>
      </x:c>
      <x:c r="D17" s="3" t="str">
        <x:f>IF(Master!E643="","",Master!E643)</x:f>
        <x:v>Plugin system</x:v>
      </x:c>
      <x:c r="E17" s="3" t="str">
        <x:f>IF(Master!F643="","",Master!F643)</x:f>
      </x:c>
      <x:c r="F17" s="3" t="str">
        <x:f>IF(Master!G643="","",Master!G643)</x:f>
        <x:v>Native slash commands exist; developer interaction API planned</x:v>
      </x:c>
      <x:c r="G17" s="3" t="str">
        <x:f>IF(Master!H643="","",Master!H643)</x:f>
      </x:c>
      <x:c r="H17" s="3" t="str">
        <x:f>IF(Master!I643="","",Master!I643)</x:f>
      </x:c>
      <x:c r="I17" s="3" t="str">
        <x:f>IF(Master!J643="","",Master!J643)</x:f>
        <x:v>Interactions target</x:v>
      </x:c>
      <x:c r="J17" s="3" t="str">
        <x:f>IF(Master!K643="","",Master!K643)</x:f>
        <x:v>No bot ecosystem yet</x:v>
      </x:c>
      <x:c r="K17" s="3" t="str">
        <x:f>IF(Master!L643="","",Master!L643)</x:f>
        <x:v>Yes</x:v>
      </x:c>
      <x:c r="L17" s="3" t="str">
        <x:f>IF(Master!M643="","",Master!M643)</x:f>
      </x:c>
      <x:c r="M17" s="3" t="str">
        <x:f>IF(Master!N643="","",Master!N643)</x:f>
        <x:v>Slash commands/buttons/modals</x:v>
      </x:c>
      <x:c r="N17" s="3" t="str">
        <x:f>IF(Master!O643="","",Master!O643)</x:f>
        <x:v>Client extensions/bots; interaction UX client-dependent</x:v>
      </x:c>
      <x:c r="O17" s="3" t="str">
        <x:f>IF(Master!P643="","",Master!P643)</x:f>
        <x:v>Slash commands + interactive messages</x:v>
      </x:c>
      <x:c r="P17" s="3" t="str">
        <x:f>IF(Master!Q643="","",Master!Q643)</x:f>
        <x:v>Bots</x:v>
      </x:c>
      <x:c r="Q17" s="3" t="str">
        <x:f>IF(Master!R643="","",Master!R643)</x:f>
        <x:v>N/A</x:v>
      </x:c>
      <x:c r="R17" s="3" t="str">
        <x:f>IF(Master!S643="","",Master!S643)</x:f>
        <x:v>Bots/API</x:v>
      </x:c>
      <x:c r="S17" s="3" t="str">
        <x:f>IF(Master!T643="","",Master!T643)</x:f>
      </x:c>
      <x:c r="T17" s="3" t="str">
        <x:f>IF(Master!U643="","",Master!U643)</x:f>
        <x:v>No public third-party interactions API; built-in /roll, /flip and /draw exist</x:v>
      </x:c>
      <x:c r="U17" s="3" t="str">
        <x:f>IF(Master!V643="","",Master!V643)</x:f>
        <x:v>minimal</x:v>
      </x:c>
      <x:c r="V17" s="3" t="str">
        <x:f>IF(Master!W643="","",Master!W643)</x:f>
        <x:v>Slash commands/apps</x:v>
      </x:c>
      <x:c r="W17" s="3" t="str">
        <x:f>IF(Master!X643="","",Master!X643)</x:f>
      </x:c>
      <x:c r="X17" s="3" t="str">
        <x:f>IF(Master!Y643="","",Master!Y643)</x:f>
        <x:v>Bots/commands + full GUI Apps</x:v>
      </x:c>
      <x:c r="Y17" s="3" t="str">
        <x:f>IF(Master!Z643="","",Master!Z643)</x:f>
        <x:v>Discord interaction compatibility target</x:v>
      </x:c>
      <x:c r="Z17" s="3" t="str">
        <x:f>IF(Master!AA643="","",Master!AA643)</x:f>
      </x:c>
      <x:c r="AA17" s="6" t="str">
        <x:f>IF(Master!AB643="","",Master!AB643)</x:f>
      </x:c>
      <x:c r="AB17" s="3" t="str">
        <x:f>IF(Master!AC643="","",Master!AC643)</x:f>
        <x:v>Bots/OAuth apps</x:v>
      </x:c>
      <x:c r="AC17" s="3" t="str">
        <x:f>IF(Master!AD643="","",Master!AD643)</x:f>
      </x:c>
      <x:c r="AD17" s="3" t="str">
        <x:f>IF(Master!AE643="","",Master!AE643)</x:f>
        <x:v>Native modules rather than bot-first</x:v>
      </x:c>
      <x:c r="AE17" s="3" t="str">
        <x:f>IF(Master!AF643="","",Master!AF643)</x:f>
      </x:c>
      <x:c r="AF17" s="8" t="str">
        <x:f>IF(Master!AG643="","",Master!AG643)</x:f>
        <x:v>Slash-command-style integrations/bots</x:v>
      </x:c>
    </x:row>
    <x:row r="18" ht="36" customHeight="1">
      <x:c r="A18" s="17" t="s">
        <x:v>922</x:v>
      </x:c>
      <x:c r="B18" s="3" t="str">
        <x:f>IF(Master!C644="","",Master!C644)</x:f>
        <x:v>Yes: slash commands, components, modals, interactions</x:v>
      </x:c>
      <x:c r="C18" s="3" t="str">
        <x:f>IF(Master!D644="","",Master!D644)</x:f>
        <x:v>Protocol-driven</x:v>
      </x:c>
      <x:c r="D18" s="3" t="str">
        <x:f>IF(Master!E644="","",Master!E644)</x:f>
        <x:v>Plugin system</x:v>
      </x:c>
      <x:c r="E18" s="3" t="str">
        <x:f>IF(Master!F644="","",Master!F644)</x:f>
      </x:c>
      <x:c r="F18" s="3" t="str">
        <x:f>IF(Master!G644="","",Master!G644)</x:f>
        <x:v>Native slash commands exist; developer interaction API planned</x:v>
      </x:c>
      <x:c r="G18" s="3" t="str">
        <x:f>IF(Master!H644="","",Master!H644)</x:f>
      </x:c>
      <x:c r="H18" s="3" t="str">
        <x:f>IF(Master!I644="","",Master!I644)</x:f>
      </x:c>
      <x:c r="I18" s="3" t="str">
        <x:f>IF(Master!J644="","",Master!J644)</x:f>
        <x:v>Interactions target</x:v>
      </x:c>
      <x:c r="J18" s="3" t="str">
        <x:f>IF(Master!K644="","",Master!K644)</x:f>
        <x:v>No bot ecosystem yet</x:v>
      </x:c>
      <x:c r="K18" s="3" t="str">
        <x:f>IF(Master!L644="","",Master!L644)</x:f>
        <x:v>Yes</x:v>
      </x:c>
      <x:c r="L18" s="3" t="str">
        <x:f>IF(Master!M644="","",Master!M644)</x:f>
      </x:c>
      <x:c r="M18" s="3" t="str">
        <x:f>IF(Master!N644="","",Master!N644)</x:f>
        <x:v>Slash commands/buttons/modals</x:v>
      </x:c>
      <x:c r="N18" s="3" t="str">
        <x:f>IF(Master!O644="","",Master!O644)</x:f>
        <x:v>Client extensions/bots; interaction UX client-dependent</x:v>
      </x:c>
      <x:c r="O18" s="3" t="str">
        <x:f>IF(Master!P644="","",Master!P644)</x:f>
        <x:v>Slash commands + interactive messages</x:v>
      </x:c>
      <x:c r="P18" s="3" t="str">
        <x:f>IF(Master!Q644="","",Master!Q644)</x:f>
        <x:v>Bots</x:v>
      </x:c>
      <x:c r="Q18" s="3" t="str">
        <x:f>IF(Master!R644="","",Master!R644)</x:f>
        <x:v>N/A</x:v>
      </x:c>
      <x:c r="R18" s="3" t="str">
        <x:f>IF(Master!S644="","",Master!S644)</x:f>
        <x:v>Bots/API</x:v>
      </x:c>
      <x:c r="S18" s="3" t="str">
        <x:f>IF(Master!T644="","",Master!T644)</x:f>
      </x:c>
      <x:c r="T18" s="3" t="str">
        <x:f>IF(Master!U644="","",Master!U644)</x:f>
      </x:c>
      <x:c r="U18" s="3" t="str">
        <x:f>IF(Master!V644="","",Master!V644)</x:f>
        <x:v>Yes</x:v>
      </x:c>
      <x:c r="V18" s="3" t="str">
        <x:f>IF(Master!W644="","",Master!W644)</x:f>
        <x:v>Slash commands/apps</x:v>
      </x:c>
      <x:c r="W18" s="3" t="str">
        <x:f>IF(Master!X644="","",Master!X644)</x:f>
      </x:c>
      <x:c r="X18" s="3" t="str">
        <x:f>IF(Master!Y644="","",Master!Y644)</x:f>
        <x:v>Bots/commands + full GUI Apps</x:v>
      </x:c>
      <x:c r="Y18" s="3" t="str">
        <x:f>IF(Master!Z644="","",Master!Z644)</x:f>
        <x:v>Discord interaction compatibility target</x:v>
      </x:c>
      <x:c r="Z18" s="3" t="str">
        <x:f>IF(Master!AA644="","",Master!AA644)</x:f>
      </x:c>
      <x:c r="AA18" s="6" t="str">
        <x:f>IF(Master!AB644="","",Master!AB644)</x:f>
      </x:c>
      <x:c r="AB18" s="3" t="str">
        <x:f>IF(Master!AC644="","",Master!AC644)</x:f>
        <x:v>Bots/OAuth apps</x:v>
      </x:c>
      <x:c r="AC18" s="3" t="str">
        <x:f>IF(Master!AD644="","",Master!AD644)</x:f>
      </x:c>
      <x:c r="AD18" s="3" t="str">
        <x:f>IF(Master!AE644="","",Master!AE644)</x:f>
        <x:v>Native modules rather than bot-first</x:v>
      </x:c>
      <x:c r="AE18" s="3" t="str">
        <x:f>IF(Master!AF644="","",Master!AF644)</x:f>
      </x:c>
      <x:c r="AF18" s="8" t="str">
        <x:f>IF(Master!AG644="","",Master!AG644)</x:f>
        <x:v>Slash-command-style integrations/bots</x:v>
      </x:c>
    </x:row>
    <x:row r="19" ht="36" customHeight="1">
      <x:c r="A19" s="17" t="s">
        <x:v>923</x:v>
      </x:c>
      <x:c r="B19" s="3" t="str">
        <x:f>IF(Master!C645="","",Master!C645)</x:f>
        <x:v>Yes: slash commands, components, modals, interactions</x:v>
      </x:c>
      <x:c r="C19" s="3" t="str">
        <x:f>IF(Master!D645="","",Master!D645)</x:f>
        <x:v>Protocol-driven</x:v>
      </x:c>
      <x:c r="D19" s="3" t="str">
        <x:f>IF(Master!E645="","",Master!E645)</x:f>
        <x:v>Plugin system</x:v>
      </x:c>
      <x:c r="E19" s="3" t="str">
        <x:f>IF(Master!F645="","",Master!F645)</x:f>
      </x:c>
      <x:c r="F19" s="3" t="str">
        <x:f>IF(Master!G645="","",Master!G645)</x:f>
        <x:v>Native slash commands exist; developer interaction API planned</x:v>
      </x:c>
      <x:c r="G19" s="3" t="str">
        <x:f>IF(Master!H645="","",Master!H645)</x:f>
      </x:c>
      <x:c r="H19" s="3" t="str">
        <x:f>IF(Master!I645="","",Master!I645)</x:f>
      </x:c>
      <x:c r="I19" s="3" t="str">
        <x:f>IF(Master!J645="","",Master!J645)</x:f>
        <x:v>Interactions target</x:v>
      </x:c>
      <x:c r="J19" s="3" t="str">
        <x:f>IF(Master!K645="","",Master!K645)</x:f>
        <x:v>No bot ecosystem yet</x:v>
      </x:c>
      <x:c r="K19" s="3" t="str">
        <x:f>IF(Master!L645="","",Master!L645)</x:f>
        <x:v>Yes</x:v>
      </x:c>
      <x:c r="L19" s="3" t="str">
        <x:f>IF(Master!M645="","",Master!M645)</x:f>
      </x:c>
      <x:c r="M19" s="3" t="str">
        <x:f>IF(Master!N645="","",Master!N645)</x:f>
        <x:v>Slash commands/buttons/modals</x:v>
      </x:c>
      <x:c r="N19" s="3" t="str">
        <x:f>IF(Master!O645="","",Master!O645)</x:f>
        <x:v>Client extensions/bots; interaction UX client-dependent</x:v>
      </x:c>
      <x:c r="O19" s="3" t="str">
        <x:f>IF(Master!P645="","",Master!P645)</x:f>
        <x:v>Slash commands + interactive messages</x:v>
      </x:c>
      <x:c r="P19" s="3" t="str">
        <x:f>IF(Master!Q645="","",Master!Q645)</x:f>
        <x:v>Bots</x:v>
      </x:c>
      <x:c r="Q19" s="3" t="str">
        <x:f>IF(Master!R645="","",Master!R645)</x:f>
        <x:v>N/A</x:v>
      </x:c>
      <x:c r="R19" s="3" t="str">
        <x:f>IF(Master!S645="","",Master!S645)</x:f>
        <x:v>Bots/API</x:v>
      </x:c>
      <x:c r="S19" s="3" t="str">
        <x:f>IF(Master!T645="","",Master!T645)</x:f>
      </x:c>
      <x:c r="T19" s="3" t="str">
        <x:f>IF(Master!U645="","",Master!U645)</x:f>
      </x:c>
      <x:c r="U19" s="3" t="str">
        <x:f>IF(Master!V645="","",Master!V645)</x:f>
        <x:v>Yes</x:v>
      </x:c>
      <x:c r="V19" s="3" t="str">
        <x:f>IF(Master!W645="","",Master!W645)</x:f>
        <x:v>Slash commands/apps</x:v>
      </x:c>
      <x:c r="W19" s="3" t="str">
        <x:f>IF(Master!X645="","",Master!X645)</x:f>
      </x:c>
      <x:c r="X19" s="3" t="str">
        <x:f>IF(Master!Y645="","",Master!Y645)</x:f>
        <x:v>Bots/commands + full GUI Apps</x:v>
      </x:c>
      <x:c r="Y19" s="3" t="str">
        <x:f>IF(Master!Z645="","",Master!Z645)</x:f>
        <x:v>Discord interaction compatibility target</x:v>
      </x:c>
      <x:c r="Z19" s="3" t="str">
        <x:f>IF(Master!AA645="","",Master!AA645)</x:f>
      </x:c>
      <x:c r="AA19" s="6" t="str">
        <x:f>IF(Master!AB645="","",Master!AB645)</x:f>
      </x:c>
      <x:c r="AB19" s="3" t="str">
        <x:f>IF(Master!AC645="","",Master!AC645)</x:f>
        <x:v>Bots/OAuth apps</x:v>
      </x:c>
      <x:c r="AC19" s="3" t="str">
        <x:f>IF(Master!AD645="","",Master!AD645)</x:f>
      </x:c>
      <x:c r="AD19" s="3" t="str">
        <x:f>IF(Master!AE645="","",Master!AE645)</x:f>
        <x:v>Native modules rather than bot-first</x:v>
      </x:c>
      <x:c r="AE19" s="3" t="str">
        <x:f>IF(Master!AF645="","",Master!AF645)</x:f>
      </x:c>
      <x:c r="AF19" s="8" t="str">
        <x:f>IF(Master!AG645="","",Master!AG645)</x:f>
        <x:v>Slash-command-style integrations/bots</x:v>
      </x:c>
    </x:row>
    <x:row r="20" ht="36" customHeight="1">
      <x:c r="A20" s="17" t="s">
        <x:v>905</x:v>
      </x:c>
      <x:c r="B20" s="3" t="str">
        <x:f>IF(Master!C646="","",Master!C646)</x:f>
        <x:v>Yes</x:v>
      </x:c>
      <x:c r="C20" s="3" t="str">
        <x:f>IF(Master!D646="","",Master!D646)</x:f>
      </x:c>
      <x:c r="D20" s="3" t="str">
        <x:f>IF(Master!E646="","",Master!E646)</x:f>
      </x:c>
      <x:c r="E20" s="3" t="str">
        <x:f>IF(Master!F646="","",Master!F646)</x:f>
      </x:c>
      <x:c r="F20" s="3" t="str">
        <x:f>IF(Master!G646="","",Master!G646)</x:f>
      </x:c>
      <x:c r="G20" s="3" t="str">
        <x:f>IF(Master!H646="","",Master!H646)</x:f>
      </x:c>
      <x:c r="H20" s="3" t="str">
        <x:f>IF(Master!I646="","",Master!I646)</x:f>
      </x:c>
      <x:c r="I20" s="3" t="str">
        <x:f>IF(Master!J646="","",Master!J646)</x:f>
      </x:c>
      <x:c r="J20" s="3" t="str">
        <x:f>IF(Master!K646="","",Master!K646)</x:f>
      </x:c>
      <x:c r="K20" s="3" t="str">
        <x:f>IF(Master!L646="","",Master!L646)</x:f>
        <x:v>No embedded iframe/web-app runtime</x:v>
      </x:c>
      <x:c r="L20" s="3" t="str">
        <x:f>IF(Master!M646="","",Master!M646)</x:f>
      </x:c>
      <x:c r="M20" s="3" t="str">
        <x:f>IF(Master!N646="","",Master!N646)</x:f>
      </x:c>
      <x:c r="N20" s="3" t="str">
        <x:f>IF(Master!O646="","",Master!O646)</x:f>
      </x:c>
      <x:c r="O20" s="3" t="str">
        <x:f>IF(Master!P646="","",Master!P646)</x:f>
        <x:v>Yes</x:v>
      </x:c>
      <x:c r="P20" s="3" t="str">
        <x:f>IF(Master!Q646="","",Master!Q646)</x:f>
        <x:v>Yes</x:v>
      </x:c>
      <x:c r="Q20" s="3" t="str">
        <x:f>IF(Master!R646="","",Master!R646)</x:f>
      </x:c>
      <x:c r="R20" s="3" t="str">
        <x:f>IF(Master!S646="","",Master!S646)</x:f>
      </x:c>
      <x:c r="S20" s="3" t="str">
        <x:f>IF(Master!T646="","",Master!T646)</x:f>
      </x:c>
      <x:c r="T20" s="3" t="str">
        <x:f>IF(Master!U646="","",Master!U646)</x:f>
      </x:c>
      <x:c r="U20" s="3" t="str">
        <x:f>IF(Master!V646="","",Master!V646)</x:f>
        <x:v>Yes: Portals / embedded workspaces</x:v>
      </x:c>
      <x:c r="V20" s="3" t="str">
        <x:f>IF(Master!W646="","",Master!W646)</x:f>
        <x:v>Yes</x:v>
      </x:c>
      <x:c r="W20" s="3" t="str">
        <x:f>IF(Master!X646="","",Master!X646)</x:f>
      </x:c>
      <x:c r="X20" s="3" t="str">
        <x:f>IF(Master!Y646="","",Master!Y646)</x:f>
        <x:v>Yes</x:v>
      </x:c>
      <x:c r="Y20" s="3" t="str">
        <x:f>IF(Master!Z646="","",Master!Z646)</x:f>
      </x:c>
      <x:c r="Z20" s="3" t="str">
        <x:f>IF(Master!AA646="","",Master!AA646)</x:f>
      </x:c>
      <x:c r="AA20" s="6" t="str">
        <x:f>IF(Master!AB646="","",Master!AB646)</x:f>
      </x:c>
      <x:c r="AB20" s="3" t="str">
        <x:f>IF(Master!AC646="","",Master!AC646)</x:f>
      </x:c>
      <x:c r="AC20" s="3" t="str">
        <x:f>IF(Master!AD646="","",Master!AD646)</x:f>
      </x:c>
      <x:c r="AD20" s="3" t="str">
        <x:f>IF(Master!AE646="","",Master!AE646)</x:f>
      </x:c>
      <x:c r="AE20" s="3" t="str">
        <x:f>IF(Master!AF646="","",Master!AF646)</x:f>
      </x:c>
      <x:c r="AF20" s="8" t="str">
        <x:f>IF(Master!AG646="","",Master!AG646)</x:f>
      </x:c>
    </x:row>
    <x:row r="21" ht="21.950000762939453" customHeight="1">
      <x:c r="A21" s="18" t="s">
        <x:v>924</x:v>
      </x:c>
      <x:c r="B21" s="18" t="str">
        <x:f t="shared" ref="B21:AF21" si="2">IF(""="","","")</x:f>
      </x:c>
      <x:c r="C21" s="18" t="str">
        <x:f t="shared" si="2"/>
      </x:c>
      <x:c r="D21" s="18" t="str">
        <x:f t="shared" si="2"/>
      </x:c>
      <x:c r="E21" s="18" t="str">
        <x:f t="shared" si="2"/>
      </x:c>
      <x:c r="F21" s="18" t="str">
        <x:f t="shared" si="2"/>
      </x:c>
      <x:c r="G21" s="18" t="str">
        <x:f t="shared" si="2"/>
      </x:c>
      <x:c r="H21" s="18" t="str">
        <x:f t="shared" si="2"/>
      </x:c>
      <x:c r="I21" s="18" t="str">
        <x:f t="shared" si="2"/>
      </x:c>
      <x:c r="J21" s="18" t="str">
        <x:f t="shared" si="2"/>
      </x:c>
      <x:c r="K21" s="18" t="str">
        <x:f t="shared" si="2"/>
      </x:c>
      <x:c r="L21" s="18" t="str">
        <x:f t="shared" si="2"/>
      </x:c>
      <x:c r="M21" s="18" t="str">
        <x:f t="shared" si="2"/>
      </x:c>
      <x:c r="N21" s="18" t="str">
        <x:f t="shared" si="2"/>
      </x:c>
      <x:c r="O21" s="18" t="str">
        <x:f t="shared" si="2"/>
      </x:c>
      <x:c r="P21" s="18" t="str">
        <x:f t="shared" si="2"/>
      </x:c>
      <x:c r="Q21" s="18" t="str">
        <x:f t="shared" si="2"/>
      </x:c>
      <x:c r="R21" s="18" t="str">
        <x:f t="shared" si="2"/>
      </x:c>
      <x:c r="S21" s="18" t="str">
        <x:f t="shared" si="2"/>
      </x:c>
      <x:c r="T21" s="18" t="str">
        <x:f t="shared" si="2"/>
      </x:c>
      <x:c r="U21" s="18" t="str">
        <x:f t="shared" si="2"/>
      </x:c>
      <x:c r="V21" s="18" t="str">
        <x:f t="shared" si="2"/>
      </x:c>
      <x:c r="W21" s="18" t="str">
        <x:f t="shared" si="2"/>
      </x:c>
      <x:c r="X21" s="18" t="str">
        <x:f t="shared" si="2"/>
      </x:c>
      <x:c r="Y21" s="18" t="str">
        <x:f t="shared" si="2"/>
      </x:c>
      <x:c r="Z21" s="18" t="str">
        <x:f t="shared" si="2"/>
      </x:c>
      <x:c r="AA21" s="18" t="str">
        <x:f t="shared" si="2"/>
      </x:c>
      <x:c r="AB21" s="18" t="str">
        <x:f t="shared" si="2"/>
      </x:c>
      <x:c r="AC21" s="18" t="str">
        <x:f t="shared" si="2"/>
      </x:c>
      <x:c r="AD21" s="18" t="str">
        <x:f t="shared" si="2"/>
      </x:c>
      <x:c r="AE21" s="18" t="str">
        <x:f t="shared" si="2"/>
      </x:c>
      <x:c r="AF21" s="19" t="str">
        <x:f t="shared" si="2"/>
      </x:c>
    </x:row>
    <x:row r="22" ht="36" customHeight="1">
      <x:c r="A22" s="17" t="s">
        <x:v>925</x:v>
      </x:c>
      <x:c r="B22" s="3" t="str">
        <x:f>IF(Master!C647="","",Master!C647)</x:f>
      </x:c>
      <x:c r="C22" s="3" t="str">
        <x:f>IF(Master!D647="","",Master!D647)</x:f>
      </x:c>
      <x:c r="D22" s="3" t="str">
        <x:f>IF(Master!E647="","",Master!E647)</x:f>
        <x:v>Yes</x:v>
      </x:c>
      <x:c r="E22" s="3" t="str">
        <x:f>IF(Master!F647="","",Master!F647)</x:f>
      </x:c>
      <x:c r="F22" s="3" t="str">
        <x:f>IF(Master!G647="","",Master!G647)</x:f>
      </x:c>
      <x:c r="G22" s="3" t="str">
        <x:f>IF(Master!H647="","",Master!H647)</x:f>
      </x:c>
      <x:c r="H22" s="3" t="str">
        <x:f>IF(Master!I647="","",Master!I647)</x:f>
      </x:c>
      <x:c r="I22" s="3" t="str">
        <x:f>IF(Master!J647="","",Master!J647)</x:f>
      </x:c>
      <x:c r="J22" s="3" t="str">
        <x:f>IF(Master!K647="","",Master!K647)</x:f>
      </x:c>
      <x:c r="K22" s="3" t="str">
        <x:f>IF(Master!L647="","",Master!L647)</x:f>
        <x:v>No server-plugin system documented</x:v>
      </x:c>
      <x:c r="L22" s="3" t="str">
        <x:f>IF(Master!M647="","",Master!M647)</x:f>
      </x:c>
      <x:c r="M22" s="3" t="str">
        <x:f>IF(Master!N647="","",Master!N647)</x:f>
      </x:c>
      <x:c r="N22" s="3" t="str">
        <x:f>IF(Master!O647="","",Master!O647)</x:f>
      </x:c>
      <x:c r="O22" s="3" t="str">
        <x:f>IF(Master!P647="","",Master!P647)</x:f>
        <x:v>Yes</x:v>
      </x:c>
      <x:c r="P22" s="3" t="str">
        <x:f>IF(Master!Q647="","",Master!Q647)</x:f>
      </x:c>
      <x:c r="Q22" s="3" t="str">
        <x:f>IF(Master!R647="","",Master!R647)</x:f>
        <x:v>Yes</x:v>
      </x:c>
      <x:c r="R22" s="3" t="str">
        <x:f>IF(Master!S647="","",Master!S647)</x:f>
      </x:c>
      <x:c r="S22" s="3" t="str">
        <x:f>IF(Master!T647="","",Master!T647)</x:f>
      </x:c>
      <x:c r="T22" s="3" t="str">
        <x:f>IF(Master!U647="","",Master!U647)</x:f>
      </x:c>
      <x:c r="U22" s="3" t="str">
        <x:f>IF(Master!V647="","",Master!V647)</x:f>
        <x:v>no</x:v>
      </x:c>
      <x:c r="V22" s="3" t="str">
        <x:f>IF(Master!W647="","",Master!W647)</x:f>
        <x:v>Yes</x:v>
      </x:c>
      <x:c r="W22" s="3" t="str">
        <x:f>IF(Master!X647="","",Master!X647)</x:f>
      </x:c>
      <x:c r="X22" s="3" t="str">
        <x:f>IF(Master!Y647="","",Master!Y647)</x:f>
      </x:c>
      <x:c r="Y22" s="3" t="str">
        <x:f>IF(Master!Z647="","",Master!Z647)</x:f>
      </x:c>
      <x:c r="Z22" s="3" t="str">
        <x:f>IF(Master!AA647="","",Master!AA647)</x:f>
      </x:c>
      <x:c r="AA22" s="6" t="str">
        <x:f>IF(Master!AB647="","",Master!AB647)</x:f>
        <x:v>Yes</x:v>
      </x:c>
      <x:c r="AB22" s="3" t="str">
        <x:f>IF(Master!AC647="","",Master!AC647)</x:f>
      </x:c>
      <x:c r="AC22" s="3" t="str">
        <x:f>IF(Master!AD647="","",Master!AD647)</x:f>
      </x:c>
      <x:c r="AD22" s="3" t="str">
        <x:f>IF(Master!AE647="","",Master!AE647)</x:f>
      </x:c>
      <x:c r="AE22" s="3" t="str">
        <x:f>IF(Master!AF647="","",Master!AF647)</x:f>
      </x:c>
      <x:c r="AF22" s="8" t="str">
        <x:f>IF(Master!AG647="","",Master!AG647)</x:f>
      </x:c>
    </x:row>
    <x:row r="23" ht="36" customHeight="1">
      <x:c r="A23" s="17" t="s">
        <x:v>926</x:v>
      </x:c>
      <x:c r="B23" s="3" t="str">
        <x:f>IF(Master!C648="","",Master!C648)</x:f>
        <x:v>No official client plugin/modding architecture</x:v>
      </x:c>
      <x:c r="C23" s="3" t="str">
        <x:f>IF(Master!D648="","",Master!D648)</x:f>
        <x:v>Independent clients possible</x:v>
      </x:c>
      <x:c r="D23" s="3" t="str">
        <x:f>IF(Master!E648="","",Master!E648)</x:f>
        <x:v>Plugin system</x:v>
      </x:c>
      <x:c r="E23" s="3" t="str">
        <x:f>IF(Master!F648="","",Master!F648)</x:f>
      </x:c>
      <x:c r="F23" s="3" t="str">
        <x:f>IF(Master!G648="","",Master!G648)</x:f>
        <x:v>No</x:v>
      </x:c>
      <x:c r="G23" s="3" t="str">
        <x:f>IF(Master!H648="","",Master!H648)</x:f>
        <x:v>No official client-plugin architecture verified</x:v>
      </x:c>
      <x:c r="H23" s="3" t="str">
        <x:f>IF(Master!I648="","",Master!I648)</x:f>
        <x:v>No client plugins verified</x:v>
      </x:c>
      <x:c r="I23" s="3" t="str">
        <x:f>IF(Master!J648="","",Master!J648)</x:f>
        <x:v>Independent clients encouraged</x:v>
      </x:c>
      <x:c r="J23" s="3" t="str">
        <x:f>IF(Master!K648="","",Master!K648)</x:f>
        <x:v>No plugin ecosystem</x:v>
      </x:c>
      <x:c r="K23" s="3" t="str">
        <x:f>IF(Master!L648="","",Master!L648)</x:f>
        <x:v>No general client plugin architecture documented; custom CSS/theme support is developer reported.</x:v>
      </x:c>
      <x:c r="L23" s="3" t="str">
        <x:f>IF(Master!M648="","",Master!M648)</x:f>
      </x:c>
      <x:c r="M23" s="3" t="str">
        <x:f>IF(Master!N648="","",Master!N648)</x:f>
        <x:v>No client plugins verified</x:v>
      </x:c>
      <x:c r="N23" s="3" t="str">
        <x:f>IF(Master!O648="","",Master!O648)</x:f>
        <x:v>Multiple independent clients rather than plugins to one official client</x:v>
      </x:c>
      <x:c r="O23" s="3" t="str">
        <x:f>IF(Master!P648="","",Master!P648)</x:f>
        <x:v>Plugin architecture (server/webapp)</x:v>
      </x:c>
      <x:c r="P23" s="3" t="str">
        <x:f>IF(Master!Q648="","",Master!Q648)</x:f>
      </x:c>
      <x:c r="Q23" s="3" t="str">
        <x:f>IF(Master!R648="","",Master!R648)</x:f>
        <x:v>Plugins supported</x:v>
      </x:c>
      <x:c r="R23" s="3" t="str">
        <x:f>IF(Master!S648="","",Master!S648)</x:f>
        <x:v>Themes/RPC</x:v>
      </x:c>
      <x:c r="S23" s="3" t="str">
        <x:f>IF(Master!T648="","",Master!T648)</x:f>
      </x:c>
      <x:c r="T23" s="3" t="str">
        <x:f>IF(Master!U648="","",Master!U648)</x:f>
        <x:v>No official plugin architecture claimed</x:v>
      </x:c>
      <x:c r="U23" s="3" t="str">
        <x:f>IF(Master!V648="","",Master!V648)</x:f>
        <x:v>no</x:v>
      </x:c>
      <x:c r="V23" s="3" t="str">
        <x:f>IF(Master!W648="","",Master!W648)</x:f>
        <x:v>Apps/plugin framework</x:v>
      </x:c>
      <x:c r="W23" s="3" t="str">
        <x:f>IF(Master!X648="","",Master!X648)</x:f>
        <x:v>Open protocol client ecosystem</x:v>
      </x:c>
      <x:c r="X23" s="3" t="str">
        <x:f>IF(Master!Y648="","",Master!Y648)</x:f>
        <x:v>No client modding</x:v>
      </x:c>
      <x:c r="Y23" s="3" t="str">
        <x:f>IF(Master!Z648="","",Master!Z648)</x:f>
        <x:v>Spacebar-aware client theming/plugin goals</x:v>
      </x:c>
      <x:c r="Z23" s="3" t="str">
        <x:f>IF(Master!AA648="","",Master!AA648)</x:f>
        <x:v>Community clients/themes; no stable official plugin architecture verified</x:v>
      </x:c>
      <x:c r="AA23" s="6" t="str">
        <x:f>IF(Master!AB648="","",Master!AB648)</x:f>
        <x:v>Plugins/addons ecosystem</x:v>
      </x:c>
      <x:c r="AB23" s="3" t="str">
        <x:f>IF(Master!AC648="","",Master!AC648)</x:f>
        <x:v>Themes rather than client mods</x:v>
      </x:c>
      <x:c r="AC23" s="3" t="str">
        <x:f>IF(Master!AD648="","",Master!AD648)</x:f>
        <x:v>No</x:v>
      </x:c>
      <x:c r="AD23" s="3" t="str">
        <x:f>IF(Master!AE648="","",Master!AE648)</x:f>
        <x:v>No</x:v>
      </x:c>
      <x:c r="AE23" s="3" t="str">
        <x:f>IF(Master!AF648="","",Master!AF648)</x:f>
      </x:c>
      <x:c r="AF23" s="8" t="str">
        <x:f>IF(Master!AG648="","",Master!AG648)</x:f>
        <x:v>No client plugin architecture</x:v>
      </x:c>
    </x:row>
    <x:row r="24" ht="36" customHeight="1">
      <x:c r="A24" s="17" t="s">
        <x:v>903</x:v>
      </x:c>
      <x:c r="B24" s="3" t="str">
        <x:f>IF(Master!C649="","",Master!C649)</x:f>
        <x:v>Yes</x:v>
      </x:c>
      <x:c r="C24" s="3" t="str">
        <x:f>IF(Master!D649="","",Master!D649)</x:f>
      </x:c>
      <x:c r="D24" s="3" t="str">
        <x:f>IF(Master!E649="","",Master!E649)</x:f>
      </x:c>
      <x:c r="E24" s="3" t="str">
        <x:f>IF(Master!F649="","",Master!F649)</x:f>
      </x:c>
      <x:c r="F24" s="3" t="str">
        <x:f>IF(Master!G649="","",Master!G649)</x:f>
      </x:c>
      <x:c r="G24" s="3" t="str">
        <x:f>IF(Master!H649="","",Master!H649)</x:f>
      </x:c>
      <x:c r="H24" s="3" t="str">
        <x:f>IF(Master!I649="","",Master!I649)</x:f>
      </x:c>
      <x:c r="I24" s="3" t="str">
        <x:f>IF(Master!J649="","",Master!J649)</x:f>
      </x:c>
      <x:c r="J24" s="3" t="str">
        <x:f>IF(Master!K649="","",Master!K649)</x:f>
      </x:c>
      <x:c r="K24" s="3" t="str">
        <x:f>IF(Master!L649="","",Master!L649)</x:f>
        <x:v>No OAuth2 login flow documented; apps use Kaede-specific install templates/scoped credentials</x:v>
      </x:c>
      <x:c r="L24" s="3" t="str">
        <x:f>IF(Master!M649="","",Master!M649)</x:f>
      </x:c>
      <x:c r="M24" s="3" t="str">
        <x:f>IF(Master!N649="","",Master!N649)</x:f>
      </x:c>
      <x:c r="N24" s="3" t="str">
        <x:f>IF(Master!O649="","",Master!O649)</x:f>
      </x:c>
      <x:c r="O24" s="3" t="str">
        <x:f>IF(Master!P649="","",Master!P649)</x:f>
        <x:v>Yes</x:v>
      </x:c>
      <x:c r="P24" s="3" t="str">
        <x:f>IF(Master!Q649="","",Master!Q649)</x:f>
      </x:c>
      <x:c r="Q24" s="3" t="str">
        <x:f>IF(Master!R649="","",Master!R649)</x:f>
      </x:c>
      <x:c r="R24" s="3" t="str">
        <x:f>IF(Master!S649="","",Master!S649)</x:f>
      </x:c>
      <x:c r="S24" s="3" t="str">
        <x:f>IF(Master!T649="","",Master!T649)</x:f>
      </x:c>
      <x:c r="T24" s="3" t="str">
        <x:f>IF(Master!U649="","",Master!U649)</x:f>
      </x:c>
      <x:c r="U24" s="3" t="str">
        <x:f>IF(Master!V649="","",Master!V649)</x:f>
      </x:c>
      <x:c r="V24" s="3" t="str">
        <x:f>IF(Master!W649="","",Master!W649)</x:f>
        <x:v>Yes</x:v>
      </x:c>
      <x:c r="W24" s="3" t="str">
        <x:f>IF(Master!X649="","",Master!X649)</x:f>
      </x:c>
      <x:c r="X24" s="3" t="str">
        <x:f>IF(Master!Y649="","",Master!Y649)</x:f>
      </x:c>
      <x:c r="Y24" s="3" t="str">
        <x:f>IF(Master!Z649="","",Master!Z649)</x:f>
      </x:c>
      <x:c r="Z24" s="3" t="str">
        <x:f>IF(Master!AA649="","",Master!AA649)</x:f>
      </x:c>
      <x:c r="AA24" s="6" t="str">
        <x:f>IF(Master!AB649="","",Master!AB649)</x:f>
      </x:c>
      <x:c r="AB24" s="3" t="str">
        <x:f>IF(Master!AC649="","",Master!AC649)</x:f>
        <x:v>Yes</x:v>
      </x:c>
      <x:c r="AC24" s="3" t="str">
        <x:f>IF(Master!AD649="","",Master!AD649)</x:f>
      </x:c>
      <x:c r="AD24" s="3" t="str">
        <x:f>IF(Master!AE649="","",Master!AE649)</x:f>
      </x:c>
      <x:c r="AE24" s="3" t="str">
        <x:f>IF(Master!AF649="","",Master!AF649)</x:f>
      </x:c>
      <x:c r="AF24" s="8" t="str">
        <x:f>IF(Master!AG649="","",Master!AG649)</x:f>
      </x:c>
    </x:row>
    <x:row r="25" ht="36" customHeight="1">
      <x:c r="A25" s="17" t="s">
        <x:v>904</x:v>
      </x:c>
      <x:c r="B25" s="3" t="str">
        <x:f>IF(Master!C650="","",Master!C650)</x:f>
        <x:v>Yes: Developer Portal + per-route/global REST limits; Gateway 120 events/60s/connection</x:v>
      </x:c>
      <x:c r="C25" s="3" t="str">
        <x:f>IF(Master!D650="","",Master!D650)</x:f>
        <x:v>Open source</x:v>
      </x:c>
      <x:c r="D25" s="3" t="str">
        <x:f>IF(Master!E650="","",Master!E650)</x:f>
        <x:v>Operator configured</x:v>
      </x:c>
      <x:c r="E25" s="3" t="str">
        <x:f>IF(Master!F650="","",Master!F650)</x:f>
      </x:c>
      <x:c r="F25" s="3" t="str">
        <x:f>IF(Master!G650="","",Master!G650)</x:f>
        <x:v>No public developer portal/API limits yet</x:v>
      </x:c>
      <x:c r="G25" s="3" t="str">
        <x:f>IF(Master!H650="","",Master!H650)</x:f>
      </x:c>
      <x:c r="H25" s="3" t="str">
        <x:f>IF(Master!I650="","",Master!I650)</x:f>
      </x:c>
      <x:c r="I25" s="3" t="str">
        <x:f>IF(Master!J650="","",Master!J650)</x:f>
        <x:v>Public source/API</x:v>
      </x:c>
      <x:c r="J25" s="3" t="str">
        <x:f>IF(Master!K650="","",Master!K650)</x:f>
        <x:v>Source/whitepaper</x:v>
      </x:c>
      <x:c r="K25" s="3" t="str">
        <x:f>IF(Master!L650="","",Master!L650)</x:f>
        <x:v>Yes</x:v>
      </x:c>
      <x:c r="L25" s="3" t="str">
        <x:f>IF(Master!M650="","",Master!M650)</x:f>
      </x:c>
      <x:c r="M25" s="3" t="str">
        <x:f>IF(Master!N650="","",Master!N650)</x:f>
      </x:c>
      <x:c r="N25" s="3" t="str">
        <x:f>IF(Master!O650="","",Master!O650)</x:f>
        <x:v>Public spec/API; rate limits homeserver-dependent</x:v>
      </x:c>
      <x:c r="O25" s="3" t="str">
        <x:f>IF(Master!P650="","",Master!P650)</x:f>
        <x:v>Documented APIs/rate limits</x:v>
      </x:c>
      <x:c r="P25" s="3" t="str">
        <x:f>IF(Master!Q650="","",Master!Q650)</x:f>
        <x:v>Public API/documentation</x:v>
      </x:c>
      <x:c r="Q25" s="3" t="str">
        <x:f>IF(Master!R650="","",Master!R650)</x:f>
        <x:v>Public protocol/documentation; limits server-controlled</x:v>
      </x:c>
      <x:c r="R25" s="3" t="str">
        <x:f>IF(Master!S650="","",Master!S650)</x:f>
        <x:v>Public API documentation</x:v>
      </x:c>
      <x:c r="S25" s="3" t="str">
        <x:f>IF(Master!T650="","",Master!T650)</x:f>
      </x:c>
      <x:c r="T25" s="3" t="str">
        <x:f>IF(Master!U650="","",Master!U650)</x:f>
        <x:v>No public developer portal</x:v>
      </x:c>
      <x:c r="U25" s="3" t="str">
        <x:f>IF(Master!V650="","",Master!V650)</x:f>
        <x:v>No</x:v>
      </x:c>
      <x:c r="V25" s="3" t="str">
        <x:f>IF(Master!W650="","",Master!W650)</x:f>
        <x:v>Public API documentation/rate limits</x:v>
      </x:c>
      <x:c r="W25" s="3" t="str">
        <x:f>IF(Master!X650="","",Master!X650)</x:f>
        <x:v>Public code</x:v>
      </x:c>
      <x:c r="X25" s="3" t="str">
        <x:f>IF(Master!Y650="","",Master!Y650)</x:f>
      </x:c>
      <x:c r="Y25" s="3" t="str">
        <x:f>IF(Master!Z650="","",Master!Z650)</x:f>
        <x:v>Documented API; operator-configurable</x:v>
      </x:c>
      <x:c r="Z25" s="3" t="str">
        <x:f>IF(Master!AA650="","",Master!AA650)</x:f>
      </x:c>
      <x:c r="AA25" s="6" t="str">
        <x:f>IF(Master!AB650="","",Master!AB650)</x:f>
      </x:c>
      <x:c r="AB25" s="3" t="str">
        <x:f>IF(Master!AC650="","",Master!AC650)</x:f>
        <x:v>Public API</x:v>
      </x:c>
      <x:c r="AC25" s="3" t="str">
        <x:f>IF(Master!AD650="","",Master!AD650)</x:f>
      </x:c>
      <x:c r="AD25" s="3" t="str">
        <x:f>IF(Master!AE650="","",Master!AE650)</x:f>
      </x:c>
      <x:c r="AE25" s="3" t="str">
        <x:f>IF(Master!AF650="","",Master!AF650)</x:f>
      </x:c>
      <x:c r="AF25" s="8" t="str">
        <x:f>IF(Master!AG650="","",Master!AG650)</x:f>
        <x:v>Public API documentation/rate behavior</x:v>
      </x:c>
    </x:row>
    <x:row r="26" ht="36" customHeight="1">
      <x:c r="A26" s="17" t="s">
        <x:v>927</x:v>
      </x:c>
      <x:c r="B26" s="3" t="str">
        <x:f>IF(Master!C651="","",Master!C651)</x:f>
        <x:v>Yes: Developer Portal + per-route/global REST limits; Gateway 120 events/60s/connection</x:v>
      </x:c>
      <x:c r="C26" s="3" t="str">
        <x:f>IF(Master!D651="","",Master!D651)</x:f>
        <x:v>Open source</x:v>
      </x:c>
      <x:c r="D26" s="3" t="str">
        <x:f>IF(Master!E651="","",Master!E651)</x:f>
        <x:v>Operator configured</x:v>
      </x:c>
      <x:c r="E26" s="3" t="str">
        <x:f>IF(Master!F651="","",Master!F651)</x:f>
      </x:c>
      <x:c r="F26" s="3" t="str">
        <x:f>IF(Master!G651="","",Master!G651)</x:f>
        <x:v>No public developer portal/API limits yet</x:v>
      </x:c>
      <x:c r="G26" s="3" t="str">
        <x:f>IF(Master!H651="","",Master!H651)</x:f>
      </x:c>
      <x:c r="H26" s="3" t="str">
        <x:f>IF(Master!I651="","",Master!I651)</x:f>
      </x:c>
      <x:c r="I26" s="3" t="str">
        <x:f>IF(Master!J651="","",Master!J651)</x:f>
        <x:v>Public source/API</x:v>
      </x:c>
      <x:c r="J26" s="3" t="str">
        <x:f>IF(Master!K651="","",Master!K651)</x:f>
        <x:v>Source/whitepaper</x:v>
      </x:c>
      <x:c r="K26" s="3" t="str">
        <x:f>IF(Master!L651="","",Master!L651)</x:f>
        <x:v>Rate limiting is implemented and Retry-After is handled; exact per-endpoint quotas are not exhaustively summarized in the reviewed documentation</x:v>
      </x:c>
      <x:c r="L26" s="3" t="str">
        <x:f>IF(Master!M651="","",Master!M651)</x:f>
      </x:c>
      <x:c r="M26" s="3" t="str">
        <x:f>IF(Master!N651="","",Master!N651)</x:f>
      </x:c>
      <x:c r="N26" s="3" t="str">
        <x:f>IF(Master!O651="","",Master!O651)</x:f>
        <x:v>Public spec/API; rate limits homeserver-dependent</x:v>
      </x:c>
      <x:c r="O26" s="3" t="str">
        <x:f>IF(Master!P651="","",Master!P651)</x:f>
        <x:v>Documented APIs/rate limits</x:v>
      </x:c>
      <x:c r="P26" s="3" t="str">
        <x:f>IF(Master!Q651="","",Master!Q651)</x:f>
        <x:v>Public API/documentation</x:v>
      </x:c>
      <x:c r="Q26" s="3" t="str">
        <x:f>IF(Master!R651="","",Master!R651)</x:f>
        <x:v>Public protocol/documentation; limits server-controlled</x:v>
      </x:c>
      <x:c r="R26" s="3" t="str">
        <x:f>IF(Master!S651="","",Master!S651)</x:f>
        <x:v>Public API documentation</x:v>
      </x:c>
      <x:c r="S26" s="3" t="str">
        <x:f>IF(Master!T651="","",Master!T651)</x:f>
      </x:c>
      <x:c r="T26" s="3" t="str">
        <x:f>IF(Master!U651="","",Master!U651)</x:f>
        <x:v>Not for third-party developers; no public bot API</x:v>
      </x:c>
      <x:c r="U26" s="3" t="str">
        <x:f>IF(Master!V651="","",Master!V651)</x:f>
      </x:c>
      <x:c r="V26" s="3" t="str">
        <x:f>IF(Master!W651="","",Master!W651)</x:f>
        <x:v>Public API documentation/rate limits</x:v>
      </x:c>
      <x:c r="W26" s="3" t="str">
        <x:f>IF(Master!X651="","",Master!X651)</x:f>
        <x:v>Public code</x:v>
      </x:c>
      <x:c r="X26" s="3" t="str">
        <x:f>IF(Master!Y651="","",Master!Y651)</x:f>
      </x:c>
      <x:c r="Y26" s="3" t="str">
        <x:f>IF(Master!Z651="","",Master!Z651)</x:f>
        <x:v>Documented API; operator-configurable</x:v>
      </x:c>
      <x:c r="Z26" s="3" t="str">
        <x:f>IF(Master!AA651="","",Master!AA651)</x:f>
      </x:c>
      <x:c r="AA26" s="6" t="str">
        <x:f>IF(Master!AB651="","",Master!AB651)</x:f>
      </x:c>
      <x:c r="AB26" s="3" t="str">
        <x:f>IF(Master!AC651="","",Master!AC651)</x:f>
        <x:v>Public API</x:v>
      </x:c>
      <x:c r="AC26" s="3" t="str">
        <x:f>IF(Master!AD651="","",Master!AD651)</x:f>
      </x:c>
      <x:c r="AD26" s="3" t="str">
        <x:f>IF(Master!AE651="","",Master!AE651)</x:f>
      </x:c>
      <x:c r="AE26" s="3" t="str">
        <x:f>IF(Master!AF651="","",Master!AF651)</x:f>
      </x:c>
      <x:c r="AF26" s="8" t="str">
        <x:f>IF(Master!AG651="","",Master!AG651)</x:f>
        <x:v>Public API documentation/rate behavior</x:v>
      </x:c>
    </x:row>
    <x:row r="27" ht="36" customHeight="1">
      <x:c r="A27" s="17" t="s">
        <x:v>928</x:v>
      </x:c>
      <x:c r="B27" s="3" t="str">
        <x:f>IF(Master!C652="","",Master!C652)</x:f>
      </x:c>
      <x:c r="C27" s="3" t="str">
        <x:f>IF(Master!D652="","",Master!D652)</x:f>
      </x:c>
      <x:c r="D27" s="3" t="str">
        <x:f>IF(Master!E652="","",Master!E652)</x:f>
      </x:c>
      <x:c r="E27" s="3" t="str">
        <x:f>IF(Master!F652="","",Master!F652)</x:f>
      </x:c>
      <x:c r="F27" s="3" t="str">
        <x:f>IF(Master!G652="","",Master!G652)</x:f>
      </x:c>
      <x:c r="G27" s="3" t="str">
        <x:f>IF(Master!H652="","",Master!H652)</x:f>
      </x:c>
      <x:c r="H27" s="3" t="str">
        <x:f>IF(Master!I652="","",Master!I652)</x:f>
      </x:c>
      <x:c r="I27" s="3" t="str">
        <x:f>IF(Master!J652="","",Master!J652)</x:f>
      </x:c>
      <x:c r="J27" s="3" t="str">
        <x:f>IF(Master!K652="","",Master!K652)</x:f>
      </x:c>
      <x:c r="K27" s="3" t="str">
        <x:f>IF(Master!L652="","",Master!L652)</x:f>
        <x:v>No bundled bot hosting; developers run their own Python workers</x:v>
      </x:c>
      <x:c r="L27" s="3" t="str">
        <x:f>IF(Master!M652="","",Master!M652)</x:f>
      </x:c>
      <x:c r="M27" s="3" t="str">
        <x:f>IF(Master!N652="","",Master!N652)</x:f>
      </x:c>
      <x:c r="N27" s="3" t="str">
        <x:f>IF(Master!O652="","",Master!O652)</x:f>
      </x:c>
      <x:c r="O27" s="3" t="str">
        <x:f>IF(Master!P652="","",Master!P652)</x:f>
      </x:c>
      <x:c r="P27" s="3" t="str">
        <x:f>IF(Master!Q652="","",Master!Q652)</x:f>
      </x:c>
      <x:c r="Q27" s="3" t="str">
        <x:f>IF(Master!R652="","",Master!R652)</x:f>
      </x:c>
      <x:c r="R27" s="3" t="str">
        <x:f>IF(Master!S652="","",Master!S652)</x:f>
      </x:c>
      <x:c r="S27" s="3" t="str">
        <x:f>IF(Master!T652="","",Master!T652)</x:f>
      </x:c>
      <x:c r="T27" s="3" t="str">
        <x:f>IF(Master!U652="","",Master!U652)</x:f>
      </x:c>
      <x:c r="U27" s="3" t="str">
        <x:f>IF(Master!V652="","",Master!V652)</x:f>
        <x:v>N/A</x:v>
      </x:c>
      <x:c r="V27" s="3" t="str">
        <x:f>IF(Master!W652="","",Master!W652)</x:f>
      </x:c>
      <x:c r="W27" s="3" t="str">
        <x:f>IF(Master!X652="","",Master!X652)</x:f>
      </x:c>
      <x:c r="X27" s="3" t="str">
        <x:f>IF(Master!Y652="","",Master!Y652)</x:f>
        <x:v>Yes: hosted app runtime</x:v>
      </x:c>
      <x:c r="Y27" s="3" t="str">
        <x:f>IF(Master!Z652="","",Master!Z652)</x:f>
      </x:c>
      <x:c r="Z27" s="3" t="str">
        <x:f>IF(Master!AA652="","",Master!AA652)</x:f>
      </x:c>
      <x:c r="AA27" s="6" t="str">
        <x:f>IF(Master!AB652="","",Master!AB652)</x:f>
      </x:c>
      <x:c r="AB27" s="3" t="str">
        <x:f>IF(Master!AC652="","",Master!AC652)</x:f>
      </x:c>
      <x:c r="AC27" s="3" t="str">
        <x:f>IF(Master!AD652="","",Master!AD652)</x:f>
      </x:c>
      <x:c r="AD27" s="3" t="str">
        <x:f>IF(Master!AE652="","",Master!AE652)</x:f>
      </x:c>
      <x:c r="AE27" s="3" t="str">
        <x:f>IF(Master!AF652="","",Master!AF652)</x:f>
      </x:c>
      <x:c r="AF27" s="8" t="str">
        <x:f>IF(Master!AG652="","",Master!AG652)</x:f>
      </x:c>
    </x:row>
    <x:row r="28" ht="36" customHeight="1">
      <x:c r="A28" s="17" t="s">
        <x:v>929</x:v>
      </x:c>
      <x:c r="B28" s="3" t="str">
        <x:f>IF(Master!C653="","",Master!C653)</x:f>
        <x:v>Developer monetization planned/supported</x:v>
      </x:c>
      <x:c r="C28" s="3" t="str">
        <x:f>IF(Master!D653="","",Master!D653)</x:f>
      </x:c>
      <x:c r="D28" s="3" t="str">
        <x:f>IF(Master!E653="","",Master!E653)</x:f>
      </x:c>
      <x:c r="E28" s="3" t="str">
        <x:f>IF(Master!F653="","",Master!F653)</x:f>
      </x:c>
      <x:c r="F28" s="3" t="str">
        <x:f>IF(Master!G653="","",Master!G653)</x:f>
      </x:c>
      <x:c r="G28" s="3" t="str">
        <x:f>IF(Master!H653="","",Master!H653)</x:f>
      </x:c>
      <x:c r="H28" s="3" t="str">
        <x:f>IF(Master!I653="","",Master!I653)</x:f>
      </x:c>
      <x:c r="I28" s="3" t="str">
        <x:f>IF(Master!J653="","",Master!J653)</x:f>
      </x:c>
      <x:c r="J28" s="3" t="str">
        <x:f>IF(Master!K653="","",Master!K653)</x:f>
      </x:c>
      <x:c r="K28" s="3" t="str">
        <x:f>IF(Master!L653="","",Master!L653)</x:f>
        <x:v>No paid developer features documented</x:v>
      </x:c>
      <x:c r="L28" s="3" t="str">
        <x:f>IF(Master!M653="","",Master!M653)</x:f>
      </x:c>
      <x:c r="M28" s="3" t="str">
        <x:f>IF(Master!N653="","",Master!N653)</x:f>
      </x:c>
      <x:c r="N28" s="3" t="str">
        <x:f>IF(Master!O653="","",Master!O653)</x:f>
      </x:c>
      <x:c r="O28" s="3" t="str">
        <x:f>IF(Master!P653="","",Master!P653)</x:f>
      </x:c>
      <x:c r="P28" s="3" t="str">
        <x:f>IF(Master!Q653="","",Master!Q653)</x:f>
      </x:c>
      <x:c r="Q28" s="3" t="str">
        <x:f>IF(Master!R653="","",Master!R653)</x:f>
      </x:c>
      <x:c r="R28" s="3" t="str">
        <x:f>IF(Master!S653="","",Master!S653)</x:f>
      </x:c>
      <x:c r="S28" s="3" t="str">
        <x:f>IF(Master!T653="","",Master!T653)</x:f>
      </x:c>
      <x:c r="T28" s="3" t="str">
        <x:f>IF(Master!U653="","",Master!U653)</x:f>
      </x:c>
      <x:c r="U28" s="3" t="str">
        <x:f>IF(Master!V653="","",Master!V653)</x:f>
        <x:v>N/A</x:v>
      </x:c>
      <x:c r="V28" s="3" t="str">
        <x:f>IF(Master!W653="","",Master!W653)</x:f>
      </x:c>
      <x:c r="W28" s="3" t="str">
        <x:f>IF(Master!X653="","",Master!X653)</x:f>
      </x:c>
      <x:c r="X28" s="3" t="str">
        <x:f>IF(Master!Y653="","",Master!Y653)</x:f>
        <x:v>Developer monetization planned/supported</x:v>
      </x:c>
      <x:c r="Y28" s="3" t="str">
        <x:f>IF(Master!Z653="","",Master!Z653)</x:f>
      </x:c>
      <x:c r="Z28" s="3" t="str">
        <x:f>IF(Master!AA653="","",Master!AA653)</x:f>
      </x:c>
      <x:c r="AA28" s="6" t="str">
        <x:f>IF(Master!AB653="","",Master!AB653)</x:f>
      </x:c>
      <x:c r="AB28" s="3" t="str">
        <x:f>IF(Master!AC653="","",Master!AC653)</x:f>
      </x:c>
      <x:c r="AC28" s="3" t="str">
        <x:f>IF(Master!AD653="","",Master!AD653)</x:f>
      </x:c>
      <x:c r="AD28" s="3" t="str">
        <x:f>IF(Master!AE653="","",Master!AE653)</x:f>
      </x:c>
      <x:c r="AE28" s="3" t="str">
        <x:f>IF(Master!AF653="","",Master!AF653)</x:f>
      </x:c>
      <x:c r="AF28" s="8" t="str">
        <x:f>IF(Master!AG653="","",Master!AG653)</x:f>
      </x:c>
    </x:row>
    <x:row r="29" ht="21.950000762939453" customHeight="1">
      <x:c r="A29" s="18" t="s">
        <x:v>413</x:v>
      </x:c>
      <x:c r="B29" s="18" t="str">
        <x:f t="shared" ref="B29:AF29" si="3">IF(""="","","")</x:f>
      </x:c>
      <x:c r="C29" s="18" t="str">
        <x:f t="shared" si="3"/>
      </x:c>
      <x:c r="D29" s="18" t="str">
        <x:f t="shared" si="3"/>
      </x:c>
      <x:c r="E29" s="18" t="str">
        <x:f t="shared" si="3"/>
      </x:c>
      <x:c r="F29" s="18" t="str">
        <x:f t="shared" si="3"/>
      </x:c>
      <x:c r="G29" s="18" t="str">
        <x:f t="shared" si="3"/>
      </x:c>
      <x:c r="H29" s="18" t="str">
        <x:f t="shared" si="3"/>
      </x:c>
      <x:c r="I29" s="18" t="str">
        <x:f t="shared" si="3"/>
      </x:c>
      <x:c r="J29" s="18" t="str">
        <x:f t="shared" si="3"/>
      </x:c>
      <x:c r="K29" s="18" t="str">
        <x:f t="shared" si="3"/>
      </x:c>
      <x:c r="L29" s="18" t="str">
        <x:f t="shared" si="3"/>
      </x:c>
      <x:c r="M29" s="18" t="str">
        <x:f t="shared" si="3"/>
      </x:c>
      <x:c r="N29" s="18" t="str">
        <x:f t="shared" si="3"/>
      </x:c>
      <x:c r="O29" s="18" t="str">
        <x:f t="shared" si="3"/>
      </x:c>
      <x:c r="P29" s="18" t="str">
        <x:f t="shared" si="3"/>
      </x:c>
      <x:c r="Q29" s="18" t="str">
        <x:f t="shared" si="3"/>
      </x:c>
      <x:c r="R29" s="18" t="str">
        <x:f t="shared" si="3"/>
      </x:c>
      <x:c r="S29" s="18" t="str">
        <x:f t="shared" si="3"/>
      </x:c>
      <x:c r="T29" s="18" t="str">
        <x:f t="shared" si="3"/>
      </x:c>
      <x:c r="U29" s="18" t="str">
        <x:f t="shared" si="3"/>
      </x:c>
      <x:c r="V29" s="18" t="str">
        <x:f t="shared" si="3"/>
      </x:c>
      <x:c r="W29" s="18" t="str">
        <x:f t="shared" si="3"/>
      </x:c>
      <x:c r="X29" s="18" t="str">
        <x:f t="shared" si="3"/>
      </x:c>
      <x:c r="Y29" s="18" t="str">
        <x:f t="shared" si="3"/>
      </x:c>
      <x:c r="Z29" s="18" t="str">
        <x:f t="shared" si="3"/>
      </x:c>
      <x:c r="AA29" s="18" t="str">
        <x:f t="shared" si="3"/>
      </x:c>
      <x:c r="AB29" s="18" t="str">
        <x:f t="shared" si="3"/>
      </x:c>
      <x:c r="AC29" s="18" t="str">
        <x:f t="shared" si="3"/>
      </x:c>
      <x:c r="AD29" s="18" t="str">
        <x:f t="shared" si="3"/>
      </x:c>
      <x:c r="AE29" s="18" t="str">
        <x:f t="shared" si="3"/>
      </x:c>
      <x:c r="AF29" s="19" t="str">
        <x:f t="shared" si="3"/>
      </x:c>
    </x:row>
    <x:row r="30" ht="36" customHeight="1">
      <x:c r="A30" s="17" t="s">
        <x:v>930</x:v>
      </x:c>
      <x:c r="B30" s="3" t="str">
        <x:f>IF(Master!C654="","",Master!C654)</x:f>
        <x:v>REST/HTTP API + Gateway WebSocket; JS/TS: official Embedded App SDK; no official general bot SDKs for Python/Rust/Go; Social SDK targets C++/Unity/Unreal; Yes: slash commands, components, modals, interactions</x:v>
      </x:c>
      <x:c r="C30" s="3" t="str">
        <x:f>IF(Master!D654="","",Master!D654)</x:f>
        <x:v>Nostr/Concord protocols; Nostr libraries; Protocol-driven</x:v>
      </x:c>
      <x:c r="D30" s="3" t="str">
        <x:f>IF(Master!E654="","",Master!E654)</x:f>
        <x:v>Custom server/WebSocket APIs; Custom/open-source ecosystem; Plugin system</x:v>
      </x:c>
      <x:c r="E30" s="3" t="str">
        <x:f>IF(Master!F654="","",Master!F654)</x:f>
      </x:c>
      <x:c r="F30" s="3" t="str">
        <x:f>IF(Master!G654="","",Master!G654)</x:f>
        <x:v>Bot API planned after public release; No public SDKs yet; Native slash commands exist; developer interaction API planned</x:v>
      </x:c>
      <x:c r="G30" s="3" t="str">
        <x:f>IF(Master!H654="","",Master!H654)</x:f>
      </x:c>
      <x:c r="H30" s="3" t="str">
        <x:f>IF(Master!I654="","",Master!I654)</x:f>
      </x:c>
      <x:c r="I30" s="3" t="str">
        <x:f>IF(Master!J654="","",Master!J654)</x:f>
        <x:v>Discord-compatible API; Discord bot libraries largely reusable; Interactions target</x:v>
      </x:c>
      <x:c r="J30" s="3" t="str">
        <x:f>IF(Master!K654="","",Master!K654)</x:f>
        <x:v>Custom protocol; no HTTP API emphasis; Open source; No bot ecosystem yet</x:v>
      </x:c>
      <x:c r="K30" s="3" t="str">
        <x:f>IF(Master!L654="","",Master!L654)</x:f>
        <x:v>https://github.com/CookieNom/KaedeChat/blob/main/docs/bot-api-quickstart.md</x:v>
      </x:c>
      <x:c r="L30" s="3" t="str">
        <x:f>IF(Master!M654="","",Master!M654)</x:f>
      </x:c>
      <x:c r="M30" s="3" t="str">
        <x:f>IF(Master!N654="","",Master!N654)</x:f>
        <x:v>Discord-compatible API; discord.py/discord.js compatibility; Slash commands/buttons/modals</x:v>
      </x:c>
      <x:c r="N30" s="3" t="str">
        <x:f>IF(Master!O654="","",Master!O654)</x:f>
        <x:v>Open Client-Server, Server-Server, and Application Service APIs. Sync transport varies by spec version. SDKs include JS/TS, Rust, Python, and Go/community options. Bot and extension UX depends on the client.</x:v>
      </x:c>
      <x:c r="O30" s="3" t="str">
        <x:f>IF(Master!P654="","",Master!P654)</x:f>
        <x:v>REST + WebSocket API; Client/server APIs; Go/JS ecosystem; Slash commands + interactive messages</x:v>
      </x:c>
      <x:c r="P30" s="3" t="str">
        <x:f>IF(Master!Q654="","",Master!Q654)</x:f>
        <x:v>API-first design; SDK/integration ecosystem; Bots</x:v>
      </x:c>
      <x:c r="Q30" s="3" t="str">
        <x:f>IF(Master!R654="","",Master!R654)</x:f>
        <x:v>Server RPC/API (Ice) + protocol libraries; Community libraries; N/A</x:v>
      </x:c>
      <x:c r="R30" s="3" t="str">
        <x:f>IF(Master!S654="","",Master!S654)</x:f>
      </x:c>
      <x:c r="S30" s="3" t="str">
        <x:f>IF(Master!T654="","",Master!T654)</x:f>
      </x:c>
      <x:c r="T30" s="3" t="str">
        <x:f>IF(Master!U654="","",Master!U654)</x:f>
        <x:v>Public bot-token/third-party API is intentionally not shipped yet; incoming Discord-compatible webhooks are supported.</x:v>
      </x:c>
      <x:c r="U30" s="3" t="str">
        <x:f>IF(Master!V654="","",Master!V654)</x:f>
      </x:c>
      <x:c r="V30" s="3" t="str">
        <x:f>IF(Master!W654="","",Master!W654)</x:f>
        <x:v>REST + realtime/WebSocket/DDP + Apps engine; SDKs/APIs + Apps framework; Slash commands/apps</x:v>
      </x:c>
      <x:c r="W30" s="3" t="str">
        <x:f>IF(Master!X654="","",Master!X654)</x:f>
      </x:c>
      <x:c r="X30" s="3" t="str">
        <x:f>IF(Master!Y654="","",Master!Y654)</x:f>
        <x:v>Root Community API + hosted app/bot runtime; Official TypeScript SDK / Node runtime; Bots/commands + full GUI Apps</x:v>
      </x:c>
      <x:c r="Y30" s="3" t="str">
        <x:f>IF(Master!Z654="","",Master!Z654)</x:f>
        <x:v>Discord-compatible REST + Gateway; Discord ecosystem compatibility; Spacebar documentation; Discord interaction compatibility target</x:v>
      </x:c>
      <x:c r="Z30" s="3" t="str">
        <x:f>IF(Master!AA654="","",Master!AA654)</x:f>
      </x:c>
      <x:c r="AA30" s="6" t="str">
        <x:f>IF(Master!AB654="","",Master!AB654)</x:f>
      </x:c>
      <x:c r="AB30" s="3" t="str">
        <x:f>IF(Master!AC654="","",Master!AC654)</x:f>
        <x:v>Official API used by client; Official .NET SDK; Bots/OAuth apps</x:v>
      </x:c>
      <x:c r="AC30" s="3" t="str">
        <x:f>IF(Master!AD654="","",Master!AD654)</x:f>
      </x:c>
      <x:c r="AD30" s="3" t="str">
        <x:f>IF(Master!AE654="","",Master!AE654)</x:f>
      </x:c>
      <x:c r="AE30" s="3" t="str">
        <x:f>IF(Master!AF654="","",Master!AF654)</x:f>
      </x:c>
      <x:c r="AF30" s="8" t="str">
        <x:f>IF(Master!AG654="","",Master!AG654)</x:f>
        <x:v>REST + realtime event queues; Official/community libraries including Python; broad API; Slash-command-style integrations/bots</x:v>
      </x:c>
    </x:row>
    <x:row r="31" ht="21.950000762939453" customHeight="1">
      <x:c r="A31" s="18" t="s">
        <x:v>931</x:v>
      </x:c>
      <x:c r="B31" s="18" t="str">
        <x:f t="shared" ref="B31:AF31" si="4">IF(""="","","")</x:f>
      </x:c>
      <x:c r="C31" s="18" t="str">
        <x:f t="shared" si="4"/>
      </x:c>
      <x:c r="D31" s="18" t="str">
        <x:f t="shared" si="4"/>
      </x:c>
      <x:c r="E31" s="18" t="str">
        <x:f t="shared" si="4"/>
      </x:c>
      <x:c r="F31" s="18" t="str">
        <x:f t="shared" si="4"/>
      </x:c>
      <x:c r="G31" s="18" t="str">
        <x:f t="shared" si="4"/>
      </x:c>
      <x:c r="H31" s="18" t="str">
        <x:f t="shared" si="4"/>
      </x:c>
      <x:c r="I31" s="18" t="str">
        <x:f t="shared" si="4"/>
      </x:c>
      <x:c r="J31" s="18" t="str">
        <x:f t="shared" si="4"/>
      </x:c>
      <x:c r="K31" s="18" t="str">
        <x:f t="shared" si="4"/>
      </x:c>
      <x:c r="L31" s="18" t="str">
        <x:f t="shared" si="4"/>
      </x:c>
      <x:c r="M31" s="18" t="str">
        <x:f t="shared" si="4"/>
      </x:c>
      <x:c r="N31" s="18" t="str">
        <x:f t="shared" si="4"/>
      </x:c>
      <x:c r="O31" s="18" t="str">
        <x:f t="shared" si="4"/>
      </x:c>
      <x:c r="P31" s="18" t="str">
        <x:f t="shared" si="4"/>
      </x:c>
      <x:c r="Q31" s="18" t="str">
        <x:f t="shared" si="4"/>
      </x:c>
      <x:c r="R31" s="18" t="str">
        <x:f t="shared" si="4"/>
      </x:c>
      <x:c r="S31" s="18" t="str">
        <x:f t="shared" si="4"/>
      </x:c>
      <x:c r="T31" s="18" t="str">
        <x:f t="shared" si="4"/>
      </x:c>
      <x:c r="U31" s="18" t="str">
        <x:f t="shared" si="4"/>
      </x:c>
      <x:c r="V31" s="18" t="str">
        <x:f t="shared" si="4"/>
      </x:c>
      <x:c r="W31" s="18" t="str">
        <x:f t="shared" si="4"/>
      </x:c>
      <x:c r="X31" s="18" t="str">
        <x:f t="shared" si="4"/>
      </x:c>
      <x:c r="Y31" s="18" t="str">
        <x:f t="shared" si="4"/>
      </x:c>
      <x:c r="Z31" s="18" t="str">
        <x:f t="shared" si="4"/>
      </x:c>
      <x:c r="AA31" s="18" t="str">
        <x:f t="shared" si="4"/>
      </x:c>
      <x:c r="AB31" s="18" t="str">
        <x:f t="shared" si="4"/>
      </x:c>
      <x:c r="AC31" s="18" t="str">
        <x:f t="shared" si="4"/>
      </x:c>
      <x:c r="AD31" s="18" t="str">
        <x:f t="shared" si="4"/>
      </x:c>
      <x:c r="AE31" s="18" t="str">
        <x:f t="shared" si="4"/>
      </x:c>
      <x:c r="AF31" s="19" t="str">
        <x:f t="shared" si="4"/>
      </x:c>
    </x:row>
    <x:row r="32" ht="36" customHeight="1">
      <x:c r="A32" s="17" t="s">
        <x:v>932</x:v>
      </x:c>
      <x:c r="B32" s="3" t="str">
        <x:f>IF(Master!C655="","",Master!C655)</x:f>
        <x:v>Yes: App Directory</x:v>
      </x:c>
      <x:c r="C32" s="3" t="str">
        <x:f>IF(Master!D655="","",Master!D655)</x:f>
      </x:c>
      <x:c r="D32" s="3" t="str">
        <x:f>IF(Master!E655="","",Master!E655)</x:f>
      </x:c>
      <x:c r="E32" s="3" t="str">
        <x:f>IF(Master!F655="","",Master!F655)</x:f>
      </x:c>
      <x:c r="F32" s="3" t="str">
        <x:f>IF(Master!G655="","",Master!G655)</x:f>
      </x:c>
      <x:c r="G32" s="3" t="str">
        <x:f>IF(Master!H655="","",Master!H655)</x:f>
      </x:c>
      <x:c r="H32" s="3" t="str">
        <x:f>IF(Master!I655="","",Master!I655)</x:f>
      </x:c>
      <x:c r="I32" s="3" t="str">
        <x:f>IF(Master!J655="","",Master!J655)</x:f>
      </x:c>
      <x:c r="J32" s="3" t="str">
        <x:f>IF(Master!K655="","",Master!K655)</x:f>
      </x:c>
      <x:c r="K32" s="3" t="str">
        <x:f>IF(Master!L655="","",Master!L655)</x:f>
        <x:v>Yes: federated public App Directory for reviewed applications/bots</x:v>
      </x:c>
      <x:c r="L32" s="3" t="str">
        <x:f>IF(Master!M655="","",Master!M655)</x:f>
      </x:c>
      <x:c r="M32" s="3" t="str">
        <x:f>IF(Master!N655="","",Master!N655)</x:f>
      </x:c>
      <x:c r="N32" s="3" t="str">
        <x:f>IF(Master!O655="","",Master!O655)</x:f>
      </x:c>
      <x:c r="O32" s="3" t="str">
        <x:f>IF(Master!P655="","",Master!P655)</x:f>
        <x:v>Plugin marketplace/ecosystem</x:v>
      </x:c>
      <x:c r="P32" s="3" t="str">
        <x:f>IF(Master!Q655="","",Master!Q655)</x:f>
      </x:c>
      <x:c r="Q32" s="3" t="str">
        <x:f>IF(Master!R655="","",Master!R655)</x:f>
      </x:c>
      <x:c r="R32" s="3" t="str">
        <x:f>IF(Master!S655="","",Master!S655)</x:f>
      </x:c>
      <x:c r="S32" s="3" t="str">
        <x:f>IF(Master!T655="","",Master!T655)</x:f>
      </x:c>
      <x:c r="T32" s="3" t="str">
        <x:f>IF(Master!U655="","",Master!U655)</x:f>
      </x:c>
      <x:c r="U32" s="3" t="str">
        <x:f>IF(Master!V655="","",Master!V655)</x:f>
      </x:c>
      <x:c r="V32" s="3" t="str">
        <x:f>IF(Master!W655="","",Master!W655)</x:f>
        <x:v>Yes: Marketplace</x:v>
      </x:c>
      <x:c r="W32" s="3" t="str">
        <x:f>IF(Master!X655="","",Master!X655)</x:f>
      </x:c>
      <x:c r="X32" s="3" t="str">
        <x:f>IF(Master!Y655="","",Master!Y655)</x:f>
      </x:c>
      <x:c r="Y32" s="3" t="str">
        <x:f>IF(Master!Z655="","",Master!Z655)</x:f>
      </x:c>
      <x:c r="Z32" s="3" t="str">
        <x:f>IF(Master!AA655="","",Master!AA655)</x:f>
      </x:c>
      <x:c r="AA32" s="6" t="str">
        <x:f>IF(Master!AB655="","",Master!AB655)</x:f>
      </x:c>
      <x:c r="AB32" s="3" t="str">
        <x:f>IF(Master!AC655="","",Master!AC655)</x:f>
      </x:c>
      <x:c r="AC32" s="3" t="str">
        <x:f>IF(Master!AD655="","",Master!AD655)</x:f>
      </x:c>
      <x:c r="AD32" s="3" t="str">
        <x:f>IF(Master!AE655="","",Master!AE655)</x:f>
      </x:c>
      <x:c r="AE32" s="3" t="str">
        <x:f>IF(Master!AF655="","",Master!AF655)</x:f>
      </x:c>
      <x:c r="AF32" s="8" t="str">
        <x:f>IF(Master!AG655="","",Master!AG655)</x:f>
        <x:v>Integration directory</x:v>
      </x:c>
    </x:row>
    <x:row r="33" ht="36" customHeight="1">
      <x:c r="A33" s="17" t="s">
        <x:v>933</x:v>
      </x:c>
      <x:c r="B33" s="3" t="str">
        <x:f>IF(Master!C656="","",Master!C656)</x:f>
        <x:v>Yes: Activities run as iframe web apps</x:v>
      </x:c>
      <x:c r="C33" s="3" t="str">
        <x:f>IF(Master!D656="","",Master!D656)</x:f>
      </x:c>
      <x:c r="D33" s="3" t="str">
        <x:f>IF(Master!E656="","",Master!E656)</x:f>
      </x:c>
      <x:c r="E33" s="3" t="str">
        <x:f>IF(Master!F656="","",Master!F656)</x:f>
      </x:c>
      <x:c r="F33" s="3" t="str">
        <x:f>IF(Master!G656="","",Master!G656)</x:f>
      </x:c>
      <x:c r="G33" s="3" t="str">
        <x:f>IF(Master!H656="","",Master!H656)</x:f>
      </x:c>
      <x:c r="H33" s="3" t="str">
        <x:f>IF(Master!I656="","",Master!I656)</x:f>
      </x:c>
      <x:c r="I33" s="3" t="str">
        <x:f>IF(Master!J656="","",Master!J656)</x:f>
      </x:c>
      <x:c r="J33" s="3" t="str">
        <x:f>IF(Master!K656="","",Master!K656)</x:f>
      </x:c>
      <x:c r="K33" s="3" t="str">
        <x:f>IF(Master!L656="","",Master!L656)</x:f>
        <x:v>No embedded web-app/iframe runtime</x:v>
      </x:c>
      <x:c r="L33" s="3" t="str">
        <x:f>IF(Master!M656="","",Master!M656)</x:f>
      </x:c>
      <x:c r="M33" s="3" t="str">
        <x:f>IF(Master!N656="","",Master!N656)</x:f>
      </x:c>
      <x:c r="N33" s="3" t="str">
        <x:f>IF(Master!O656="","",Master!O656)</x:f>
        <x:v>Client-dependent widgets</x:v>
      </x:c>
      <x:c r="O33" s="3" t="str">
        <x:f>IF(Master!P656="","",Master!P656)</x:f>
        <x:v>Plugins can add webapp components</x:v>
      </x:c>
      <x:c r="P33" s="3" t="str">
        <x:f>IF(Master!Q656="","",Master!Q656)</x:f>
      </x:c>
      <x:c r="Q33" s="3" t="str">
        <x:f>IF(Master!R656="","",Master!R656)</x:f>
      </x:c>
      <x:c r="R33" s="3" t="str">
        <x:f>IF(Master!S656="","",Master!S656)</x:f>
      </x:c>
      <x:c r="S33" s="3" t="str">
        <x:f>IF(Master!T656="","",Master!T656)</x:f>
      </x:c>
      <x:c r="T33" s="3" t="str">
        <x:f>IF(Master!U656="","",Master!U656)</x:f>
      </x:c>
      <x:c r="U33" s="3" t="str">
        <x:f>IF(Master!V656="","",Master!V656)</x:f>
        <x:v>Yes: Portals embedded alongside chat</x:v>
      </x:c>
      <x:c r="V33" s="3" t="str">
        <x:f>IF(Master!W656="","",Master!W656)</x:f>
        <x:v>Apps are workspace extensions; iframe model not primary</x:v>
      </x:c>
      <x:c r="W33" s="3" t="str">
        <x:f>IF(Master!X656="","",Master!X656)</x:f>
      </x:c>
      <x:c r="X33" s="3" t="str">
        <x:f>IF(Master!Y656="","",Master!Y656)</x:f>
      </x:c>
      <x:c r="Y33" s="3" t="str">
        <x:f>IF(Master!Z656="","",Master!Z656)</x:f>
      </x:c>
      <x:c r="Z33" s="3" t="str">
        <x:f>IF(Master!AA656="","",Master!AA656)</x:f>
      </x:c>
      <x:c r="AA33" s="6" t="str">
        <x:f>IF(Master!AB656="","",Master!AB656)</x:f>
      </x:c>
      <x:c r="AB33" s="3" t="str">
        <x:f>IF(Master!AC656="","",Master!AC656)</x:f>
      </x:c>
      <x:c r="AC33" s="3" t="str">
        <x:f>IF(Master!AD656="","",Master!AD656)</x:f>
      </x:c>
      <x:c r="AD33" s="3" t="str">
        <x:f>IF(Master!AE656="","",Master!AE656)</x:f>
      </x:c>
      <x:c r="AE33" s="3" t="str">
        <x:f>IF(Master!AF656="","",Master!AF656)</x:f>
      </x:c>
      <x:c r="AF33" s="8" t="str">
        <x:f>IF(Master!AG656="","",Master!AG656)</x:f>
      </x:c>
    </x:row>
    <x:row r="34" ht="36" customHeight="1">
      <x:c r="A34" s="17" t="s">
        <x:v>934</x:v>
      </x:c>
      <x:c r="B34" s="3" t="str">
        <x:f>IF(Master!C657="","",Master!C657)</x:f>
        <x:v>Yes: Activities</x:v>
      </x:c>
      <x:c r="C34" s="3" t="str">
        <x:f>IF(Master!D657="","",Master!D657)</x:f>
      </x:c>
      <x:c r="D34" s="3" t="str">
        <x:f>IF(Master!E657="","",Master!E657)</x:f>
      </x:c>
      <x:c r="E34" s="3" t="str">
        <x:f>IF(Master!F657="","",Master!F657)</x:f>
      </x:c>
      <x:c r="F34" s="3" t="str">
        <x:f>IF(Master!G657="","",Master!G657)</x:f>
      </x:c>
      <x:c r="G34" s="3" t="str">
        <x:f>IF(Master!H657="","",Master!H657)</x:f>
      </x:c>
      <x:c r="H34" s="3" t="str">
        <x:f>IF(Master!I657="","",Master!I657)</x:f>
      </x:c>
      <x:c r="I34" s="3" t="str">
        <x:f>IF(Master!J657="","",Master!J657)</x:f>
      </x:c>
      <x:c r="J34" s="3" t="str">
        <x:f>IF(Master!K657="","",Master!K657)</x:f>
      </x:c>
      <x:c r="K34" s="3" t="str">
        <x:f>IF(Master!L657="","",Master!L657)</x:f>
        <x:v>No shared embedded-app session model</x:v>
      </x:c>
      <x:c r="L34" s="3" t="str">
        <x:f>IF(Master!M657="","",Master!M657)</x:f>
      </x:c>
      <x:c r="M34" s="3" t="str">
        <x:f>IF(Master!N657="","",Master!N657)</x:f>
      </x:c>
      <x:c r="N34" s="3" t="str">
        <x:f>IF(Master!O657="","",Master!O657)</x:f>
        <x:v>Widget-dependent</x:v>
      </x:c>
      <x:c r="O34" s="3" t="str">
        <x:f>IF(Master!P657="","",Master!P657)</x:f>
      </x:c>
      <x:c r="P34" s="3" t="str">
        <x:f>IF(Master!Q657="","",Master!Q657)</x:f>
      </x:c>
      <x:c r="Q34" s="3" t="str">
        <x:f>IF(Master!R657="","",Master!R657)</x:f>
      </x:c>
      <x:c r="R34" s="3" t="str">
        <x:f>IF(Master!S657="","",Master!S657)</x:f>
      </x:c>
      <x:c r="S34" s="3" t="str">
        <x:f>IF(Master!T657="","",Master!T657)</x:f>
      </x:c>
      <x:c r="T34" s="3" t="str">
        <x:f>IF(Master!U657="","",Master!U657)</x:f>
      </x:c>
      <x:c r="U34" s="3" t="str">
        <x:f>IF(Master!V657="","",Master!V657)</x:f>
        <x:v>Yes: Watch Party; Tabletop/Arcade experimental</x:v>
      </x:c>
      <x:c r="V34" s="3" t="str">
        <x:f>IF(Master!W657="","",Master!W657)</x:f>
      </x:c>
      <x:c r="W34" s="3" t="str">
        <x:f>IF(Master!X657="","",Master!X657)</x:f>
      </x:c>
      <x:c r="X34" s="3" t="str">
        <x:f>IF(Master!Y657="","",Master!Y657)</x:f>
      </x:c>
      <x:c r="Y34" s="3" t="str">
        <x:f>IF(Master!Z657="","",Master!Z657)</x:f>
      </x:c>
      <x:c r="Z34" s="3" t="str">
        <x:f>IF(Master!AA657="","",Master!AA657)</x:f>
      </x:c>
      <x:c r="AA34" s="6" t="str">
        <x:f>IF(Master!AB657="","",Master!AB657)</x:f>
      </x:c>
      <x:c r="AB34" s="3" t="str">
        <x:f>IF(Master!AC657="","",Master!AC657)</x:f>
      </x:c>
      <x:c r="AC34" s="3" t="str">
        <x:f>IF(Master!AD657="","",Master!AD657)</x:f>
      </x:c>
      <x:c r="AD34" s="3" t="str">
        <x:f>IF(Master!AE657="","",Master!AE657)</x:f>
      </x:c>
      <x:c r="AE34" s="3" t="str">
        <x:f>IF(Master!AF657="","",Master!AF657)</x:f>
      </x:c>
      <x:c r="AF34" s="8" t="str">
        <x:f>IF(Master!AG657="","",Master!AG657)</x:f>
      </x:c>
    </x:row>
    <x:row r="35" ht="36" customHeight="1">
      <x:c r="A35" s="17" t="s">
        <x:v>935</x:v>
      </x:c>
      <x:c r="B35" s="3" t="str">
        <x:f>IF(Master!C658="","",Master!C658)</x:f>
        <x:v>Yes: OAuth2/scopes + SDK scopes</x:v>
      </x:c>
      <x:c r="C35" s="3" t="str">
        <x:f>IF(Master!D658="","",Master!D658)</x:f>
      </x:c>
      <x:c r="D35" s="3" t="str">
        <x:f>IF(Master!E658="","",Master!E658)</x:f>
      </x:c>
      <x:c r="E35" s="3" t="str">
        <x:f>IF(Master!F658="","",Master!F658)</x:f>
      </x:c>
      <x:c r="F35" s="3" t="str">
        <x:f>IF(Master!G658="","",Master!G658)</x:f>
      </x:c>
      <x:c r="G35" s="3" t="str">
        <x:f>IF(Master!H658="","",Master!H658)</x:f>
      </x:c>
      <x:c r="H35" s="3" t="str">
        <x:f>IF(Master!I658="","",Master!I658)</x:f>
      </x:c>
      <x:c r="I35" s="3" t="str">
        <x:f>IF(Master!J658="","",Master!J658)</x:f>
      </x:c>
      <x:c r="J35" s="3" t="str">
        <x:f>IF(Master!K658="","",Master!K658)</x:f>
      </x:c>
      <x:c r="K35" s="3" t="str">
        <x:f>IF(Master!L658="","",Master!L658)</x:f>
        <x:v>Yes: scopes, intents, permissions, worker keys, E2EE modes and target-domain rules</x:v>
      </x:c>
      <x:c r="L35" s="3" t="str">
        <x:f>IF(Master!M658="","",Master!M658)</x:f>
      </x:c>
      <x:c r="M35" s="3" t="str">
        <x:f>IF(Master!N658="","",Master!N658)</x:f>
      </x:c>
      <x:c r="N35" s="3" t="str">
        <x:f>IF(Master!O658="","",Master!O658)</x:f>
      </x:c>
      <x:c r="O35" s="3" t="str">
        <x:f>IF(Master!P658="","",Master!P658)</x:f>
        <x:v>Plugin permissions/admin install</x:v>
      </x:c>
      <x:c r="P35" s="3" t="str">
        <x:f>IF(Master!Q658="","",Master!Q658)</x:f>
      </x:c>
      <x:c r="Q35" s="3" t="str">
        <x:f>IF(Master!R658="","",Master!R658)</x:f>
      </x:c>
      <x:c r="R35" s="3" t="str">
        <x:f>IF(Master!S658="","",Master!S658)</x:f>
      </x:c>
      <x:c r="S35" s="3" t="str">
        <x:f>IF(Master!T658="","",Master!T658)</x:f>
      </x:c>
      <x:c r="T35" s="3" t="str">
        <x:f>IF(Master!U658="","",Master!U658)</x:f>
      </x:c>
      <x:c r="U35" s="3" t="str">
        <x:f>IF(Master!V658="","",Master!V658)</x:f>
      </x:c>
      <x:c r="V35" s="3" t="str">
        <x:f>IF(Master!W658="","",Master!W658)</x:f>
        <x:v>Apps-Engine permissions/packaging</x:v>
      </x:c>
      <x:c r="W35" s="3" t="str">
        <x:f>IF(Master!X658="","",Master!X658)</x:f>
      </x:c>
      <x:c r="X35" s="3" t="str">
        <x:f>IF(Master!Y658="","",Master!Y658)</x:f>
      </x:c>
      <x:c r="Y35" s="3" t="str">
        <x:f>IF(Master!Z658="","",Master!Z658)</x:f>
      </x:c>
      <x:c r="Z35" s="3" t="str">
        <x:f>IF(Master!AA658="","",Master!AA658)</x:f>
      </x:c>
      <x:c r="AA35" s="6" t="str">
        <x:f>IF(Master!AB658="","",Master!AB658)</x:f>
      </x:c>
      <x:c r="AB35" s="3" t="str">
        <x:f>IF(Master!AC658="","",Master!AC658)</x:f>
      </x:c>
      <x:c r="AC35" s="3" t="str">
        <x:f>IF(Master!AD658="","",Master!AD658)</x:f>
      </x:c>
      <x:c r="AD35" s="3" t="str">
        <x:f>IF(Master!AE658="","",Master!AE658)</x:f>
      </x:c>
      <x:c r="AE35" s="3" t="str">
        <x:f>IF(Master!AF658="","",Master!AF658)</x:f>
      </x:c>
      <x:c r="AF35" s="8" t="str">
        <x:f>IF(Master!AG658="","",Master!AG658)</x:f>
      </x:c>
    </x:row>
    <x:row r="36" ht="36" customHeight="1">
      <x:c r="A36" s="17" t="s">
        <x:v>936</x:v>
      </x:c>
      <x:c r="B36" s="3" t="str">
        <x:f>IF(Master!C659="","",Master!C659)</x:f>
        <x:v>Yes: Activity IAP / SKUs supported</x:v>
      </x:c>
      <x:c r="C36" s="3" t="str">
        <x:f>IF(Master!D659="","",Master!D659)</x:f>
      </x:c>
      <x:c r="D36" s="3" t="str">
        <x:f>IF(Master!E659="","",Master!E659)</x:f>
      </x:c>
      <x:c r="E36" s="3" t="str">
        <x:f>IF(Master!F659="","",Master!F659)</x:f>
      </x:c>
      <x:c r="F36" s="3" t="str">
        <x:f>IF(Master!G659="","",Master!G659)</x:f>
      </x:c>
      <x:c r="G36" s="3" t="str">
        <x:f>IF(Master!H659="","",Master!H659)</x:f>
      </x:c>
      <x:c r="H36" s="3" t="str">
        <x:f>IF(Master!I659="","",Master!I659)</x:f>
      </x:c>
      <x:c r="I36" s="3" t="str">
        <x:f>IF(Master!J659="","",Master!J659)</x:f>
      </x:c>
      <x:c r="J36" s="3" t="str">
        <x:f>IF(Master!K659="","",Master!K659)</x:f>
      </x:c>
      <x:c r="K36" s="3" t="str">
        <x:f>IF(Master!L659="","",Master!L659)</x:f>
        <x:v>No app IAP/monetization system documented</x:v>
      </x:c>
      <x:c r="L36" s="3" t="str">
        <x:f>IF(Master!M659="","",Master!M659)</x:f>
      </x:c>
      <x:c r="M36" s="3" t="str">
        <x:f>IF(Master!N659="","",Master!N659)</x:f>
      </x:c>
      <x:c r="N36" s="3" t="str">
        <x:f>IF(Master!O659="","",Master!O659)</x:f>
      </x:c>
      <x:c r="O36" s="3" t="str">
        <x:f>IF(Master!P659="","",Master!P659)</x:f>
      </x:c>
      <x:c r="P36" s="3" t="str">
        <x:f>IF(Master!Q659="","",Master!Q659)</x:f>
      </x:c>
      <x:c r="Q36" s="3" t="str">
        <x:f>IF(Master!R659="","",Master!R659)</x:f>
      </x:c>
      <x:c r="R36" s="3" t="str">
        <x:f>IF(Master!S659="","",Master!S659)</x:f>
      </x:c>
      <x:c r="S36" s="3" t="str">
        <x:f>IF(Master!T659="","",Master!T659)</x:f>
      </x:c>
      <x:c r="T36" s="3" t="str">
        <x:f>IF(Master!U659="","",Master!U659)</x:f>
      </x:c>
      <x:c r="U36" s="3" t="str">
        <x:f>IF(Master!V659="","",Master!V659)</x:f>
      </x:c>
      <x:c r="V36" s="3" t="str">
        <x:f>IF(Master!W659="","",Master!W659)</x:f>
        <x:v>Paid marketplace apps exist</x:v>
      </x:c>
      <x:c r="W36" s="3" t="str">
        <x:f>IF(Master!X659="","",Master!X659)</x:f>
      </x:c>
      <x:c r="X36" s="3" t="str">
        <x:f>IF(Master!Y659="","",Master!Y659)</x:f>
      </x:c>
      <x:c r="Y36" s="3" t="str">
        <x:f>IF(Master!Z659="","",Master!Z659)</x:f>
      </x:c>
      <x:c r="Z36" s="3" t="str">
        <x:f>IF(Master!AA659="","",Master!AA659)</x:f>
      </x:c>
      <x:c r="AA36" s="6" t="str">
        <x:f>IF(Master!AB659="","",Master!AB659)</x:f>
      </x:c>
      <x:c r="AB36" s="3" t="str">
        <x:f>IF(Master!AC659="","",Master!AC659)</x:f>
      </x:c>
      <x:c r="AC36" s="3" t="str">
        <x:f>IF(Master!AD659="","",Master!AD659)</x:f>
      </x:c>
      <x:c r="AD36" s="3" t="str">
        <x:f>IF(Master!AE659="","",Master!AE659)</x:f>
      </x:c>
      <x:c r="AE36" s="3" t="str">
        <x:f>IF(Master!AF659="","",Master!AF659)</x:f>
      </x:c>
      <x:c r="AF36" s="8" t="str">
        <x:f>IF(Master!AG659="","",Master!AG659)</x:f>
      </x:c>
    </x:row>
  </x:sheetData>
  <x:mergeCells>
    <x:mergeCell ref="A1:AF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Directory'!A1","AI Policy &amp; Transparency"),"AI Policy &amp; Transparency")</x:f>
        <x:v>AI Policy &amp; Transparency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937</x:v>
      </x:c>
      <x:c r="B3" s="3" t="str">
        <x:f>IF(Master!C660="","",Master!C660)</x:f>
        <x:v>Limited: experimental In-Channel Conversation Summaries; AI/ML also used for safety/moderation</x:v>
      </x:c>
      <x:c r="C3" s="3" t="str">
        <x:f>IF(Master!D660="","",Master!D660)</x:f>
        <x:v>No native AI feature verified</x:v>
      </x:c>
      <x:c r="D3" s="3" t="str">
        <x:f>IF(Master!E660="","",Master!E660)</x:f>
        <x:v>No native AI feature verified</x:v>
      </x:c>
      <x:c r="E3" s="3" t="str">
        <x:f>IF(Master!F660="","",Master!F660)</x:f>
        <x:v>No native AI feature advertised</x:v>
      </x:c>
      <x:c r="F3" s="3" t="str">
        <x:f>IF(Master!G660="","",Master!G660)</x:f>
        <x:v>No prominent native generative-AI feature verified</x:v>
      </x:c>
      <x:c r="G3" s="3" t="str">
        <x:f>IF(Master!H660="","",Master!H660)</x:f>
        <x:v>No native AI/LLM inference over messages/files/calls</x:v>
      </x:c>
      <x:c r="H3" s="3" t="str">
        <x:f>IF(Master!I660="","",Master!I660)</x:f>
        <x:v>No prominent native generative AI verified</x:v>
      </x:c>
      <x:c r="I3" s="3" t="str">
        <x:f>IF(Master!J660="","",Master!J660)</x:f>
        <x:v>None</x:v>
      </x:c>
      <x:c r="J3" s="3" t="str">
        <x:f>IF(Master!K660="","",Master!K660)</x:f>
        <x:v>No native AI feature</x:v>
      </x:c>
      <x:c r="K3" s="3" t="str">
        <x:f>IF(Master!L660="","",Master!L660)</x:f>
        <x:v>None</x:v>
      </x:c>
      <x:c r="L3" s="3" t="str">
        <x:f>IF(Master!M660="","",Master!M660)</x:f>
        <x:v>No prominent native generative AI verified</x:v>
      </x:c>
      <x:c r="M3" s="3" t="str">
        <x:f>IF(Master!N660="","",Master!N660)</x:f>
        <x:v>Built-in translation and voice transcription</x:v>
      </x:c>
      <x:c r="N3" s="3" t="str">
        <x:f>IF(Master!O660="","",Master!O660)</x:f>
        <x:v>No platform-wide native AI requirement; client/server vendors may add AI independently</x:v>
      </x:c>
      <x:c r="O3" s="3" t="str">
        <x:f>IF(Master!P660="","",Master!P660)</x:f>
        <x:v>AI features depend on Mattermost AI/enterprise integrations; not core universal</x:v>
      </x:c>
      <x:c r="P3" s="3" t="str">
        <x:f>IF(Master!Q660="","",Master!Q660)</x:f>
        <x:v>Yes: moderation, translation, meeting summaries</x:v>
      </x:c>
      <x:c r="Q3" s="3" t="str">
        <x:f>IF(Master!R660="","",Master!R660)</x:f>
        <x:v>None</x:v>
      </x:c>
      <x:c r="R3" s="3" t="str">
        <x:f>IF(Master!S660="","",Master!S660)</x:f>
        <x:v>No native AI feature verified</x:v>
      </x:c>
      <x:c r="S3" s="3" t="str">
        <x:f>IF(Master!T660="","",Master!T660)</x:f>
        <x:v>No prominent native generative AI verified</x:v>
      </x:c>
      <x:c r="T3" s="3" t="str">
        <x:f>IF(Master!U660="","",Master!U660)</x:f>
        <x:v>No native AI channel tools pitched</x:v>
      </x:c>
      <x:c r="U3" s="3" t="str">
        <x:f>IF(Master!V660="","",Master!V660)</x:f>
        <x:v>No native AI reading messages advertised</x:v>
      </x:c>
      <x:c r="V3" s="3" t="str">
        <x:f>IF(Master!W660="","",Master!W660)</x:f>
        <x:v>Optional AI apps/integrations; not required core</x:v>
      </x:c>
      <x:c r="W3" s="3" t="str">
        <x:f>IF(Master!X660="","",Master!X660)</x:f>
        <x:v>No native AI feature verified</x:v>
      </x:c>
      <x:c r="X3" s="3" t="str">
        <x:f>IF(Master!Y660="","",Master!Y660)</x:f>
        <x:v>No user-facing native generative AI emphasized</x:v>
      </x:c>
      <x:c r="Y3" s="3" t="str">
        <x:f>IF(Master!Z660="","",Master!Z660)</x:f>
        <x:v>No native AI feature requirement</x:v>
      </x:c>
      <x:c r="Z3" s="3" t="str">
        <x:f>IF(Master!AA660="","",Master!AA660)</x:f>
        <x:v>No prominent native generative-AI feature verified</x:v>
      </x:c>
      <x:c r="AA3" s="6" t="str">
        <x:f>IF(Master!AB660="","",Master!AB660)</x:f>
        <x:v>No prominent native generative AI verified</x:v>
      </x:c>
      <x:c r="AB3" s="3" t="str">
        <x:f>IF(Master!AC660="","",Master!AC660)</x:f>
        <x:v>No native AI feature verified</x:v>
      </x:c>
      <x:c r="AC3" s="3" t="str">
        <x:f>IF(Master!AD660="","",Master!AD660)</x:f>
        <x:v>No native AI feature verified</x:v>
      </x:c>
      <x:c r="AD3" s="3" t="str">
        <x:f>IF(Master!AE660="","",Master!AE660)</x:f>
        <x:v>Some game modules include AI NPCs/features</x:v>
      </x:c>
      <x:c r="AE3" s="3" t="str">
        <x:f>IF(Master!AF660="","",Master!AF660)</x:f>
        <x:v>None</x:v>
      </x:c>
      <x:c r="AF3" s="8" t="str">
        <x:f>IF(Master!AG660="","",Master!AG660)</x:f>
        <x:v>No mandatory native AI feature</x:v>
      </x:c>
    </x:row>
    <x:row r="4" ht="36" customHeight="1">
      <x:c r="A4" s="17" t="s">
        <x:v>938</x:v>
      </x:c>
      <x:c r="B4" s="3" t="str">
        <x:f>IF(Master!C661="","",Master!C661)</x:f>
        <x:v>No: Discord says it does not allow AI companies to train models using user messages; voice/video is generally not stored</x:v>
      </x:c>
      <x:c r="C4" s="3" t="str">
        <x:f>IF(Master!D661="","",Master!D661)</x:f>
        <x:v>No central content owner; encrypted content</x:v>
      </x:c>
      <x:c r="D4" s="3" t="str">
        <x:f>IF(Master!E661="","",Master!E661)</x:f>
        <x:v>Self-host/operator controlled</x:v>
      </x:c>
      <x:c r="E4" s="3" t="str">
        <x:f>IF(Master!F661="","",Master!F661)</x:f>
      </x:c>
      <x:c r="F4" s="3" t="str">
        <x:f>IF(Master!G661="","",Master!G661)</x:f>
      </x:c>
      <x:c r="G4" s="3" t="str">
        <x:f>IF(Master!H661="","",Master!H661)</x:f>
        <x:v>No: privacy policy explicitly forbids use for training/evaluation</x:v>
      </x:c>
      <x:c r="H4" s="3" t="str">
        <x:f>IF(Master!I661="","",Master!I661)</x:f>
      </x:c>
      <x:c r="I4" s="3" t="str">
        <x:f>IF(Master!J661="","",Master!J661)</x:f>
        <x:v>N/A/self-host</x:v>
      </x:c>
      <x:c r="J4" s="3" t="str">
        <x:f>IF(Master!K661="","",Master!K661)</x:f>
        <x:v>No server-readable plaintext</x:v>
      </x:c>
      <x:c r="K4" s="3" t="str">
        <x:f>IF(Master!L661="","",Master!L661)</x:f>
        <x:v>No (developer statement)</x:v>
      </x:c>
      <x:c r="L4" s="3" t="str">
        <x:f>IF(Master!M661="","",Master!M661)</x:f>
        <x:v>No behavioral tracking; training policy not explicitly verified</x:v>
      </x:c>
      <x:c r="M4" s="3" t="str">
        <x:f>IF(Master!N661="","",Master!N661)</x:f>
      </x:c>
      <x:c r="N4" s="3" t="str">
        <x:f>IF(Master!O661="","",Master!O661)</x:f>
        <x:v>No single Matrix-wide data controller; training policy depends on homeserver/client provider</x:v>
      </x:c>
      <x:c r="O4" s="3" t="str">
        <x:f>IF(Master!P661="","",Master!P661)</x:f>
        <x:v>Policy/deployment/provider-dependent; self-host can keep data controlled</x:v>
      </x:c>
      <x:c r="P4" s="3" t="str">
        <x:f>IF(Master!Q661="","",Master!Q661)</x:f>
      </x:c>
      <x:c r="Q4" s="3" t="str">
        <x:f>IF(Master!R661="","",Master!R661)</x:f>
        <x:v>No central service/model training; self-hosted</x:v>
      </x:c>
      <x:c r="R4" s="3" t="str">
        <x:f>IF(Master!S661="","",Master!S661)</x:f>
      </x:c>
      <x:c r="S4" s="3" t="str">
        <x:f>IF(Master!T661="","",Master!T661)</x:f>
      </x:c>
      <x:c r="T4" s="3" t="str">
        <x:f>IF(Master!U661="","",Master!U661)</x:f>
        <x:v>No user-content training claim provided; robots.txt Content Signal includes ai-train=no</x:v>
      </x:c>
      <x:c r="U4" s="3" t="str">
        <x:f>IF(Master!V661="","",Master!V661)</x:f>
        <x:v>No: site says messages/uploads never train AI</x:v>
      </x:c>
      <x:c r="V4" s="3" t="str">
        <x:f>IF(Master!W661="","",Master!W661)</x:f>
      </x:c>
      <x:c r="W4" s="3" t="str">
        <x:f>IF(Master!X661="","",Master!X661)</x:f>
        <x:v>Provider/project dependent</x:v>
      </x:c>
      <x:c r="X4" s="3" t="str">
        <x:f>IF(Master!Y661="","",Master!Y661)</x:f>
        <x:v>No: privacy policy states content is not used to train AI models</x:v>
      </x:c>
      <x:c r="Y4" s="3" t="str">
        <x:f>IF(Master!Z661="","",Master!Z661)</x:f>
        <x:v>Self-hosted operator-controlled; no central training policy</x:v>
      </x:c>
      <x:c r="Z4" s="3" t="str">
        <x:f>IF(Master!AA661="","",Master!AA661)</x:f>
      </x:c>
      <x:c r="AA4" s="6" t="str">
        <x:f>IF(Master!AB661="","",Master!AB661)</x:f>
      </x:c>
      <x:c r="AB4" s="3" t="str">
        <x:f>IF(Master!AC661="","",Master!AC661)</x:f>
      </x:c>
      <x:c r="AC4" s="3" t="str">
        <x:f>IF(Master!AD661="","",Master!AD661)</x:f>
      </x:c>
      <x:c r="AD4" s="3" t="str">
        <x:f>IF(Master!AE661="","",Master!AE661)</x:f>
      </x:c>
      <x:c r="AE4" s="3" t="str">
        <x:f>IF(Master!AF661="","",Master!AF661)</x:f>
        <x:v>No model training claim; content stays on operator server</x:v>
      </x:c>
      <x:c r="AF4" s="8" t="str">
        <x:f>IF(Master!AG661="","",Master!AG661)</x:f>
        <x:v>Cloud/provider policy; no general claim of training user content found here</x:v>
      </x:c>
    </x:row>
    <x:row r="5" ht="36" customHeight="1">
      <x:c r="A5" s="17" t="s">
        <x:v>939</x:v>
      </x:c>
      <x:c r="B5" s="3" t="str">
        <x:f>IF(Master!C662="","",Master!C662)</x:f>
        <x:v>None for third-party model training (not permitted); experimental AI features may have separate visibility/privacy controls</x:v>
      </x:c>
      <x:c r="C5" s="3" t="str">
        <x:f>IF(Master!D662="","",Master!D662)</x:f>
        <x:v>N/A</x:v>
      </x:c>
      <x:c r="D5" s="3" t="str">
        <x:f>IF(Master!E662="","",Master!E662)</x:f>
        <x:v>N/A</x:v>
      </x:c>
      <x:c r="E5" s="3" t="str">
        <x:f>IF(Master!F662="","",Master!F662)</x:f>
      </x:c>
      <x:c r="F5" s="3" t="str">
        <x:f>IF(Master!G662="","",Master!G662)</x:f>
      </x:c>
      <x:c r="G5" s="3" t="str">
        <x:f>IF(Master!H662="","",Master!H662)</x:f>
        <x:v>None: not used for training</x:v>
      </x:c>
      <x:c r="H5" s="3" t="str">
        <x:f>IF(Master!I662="","",Master!I662)</x:f>
      </x:c>
      <x:c r="I5" s="3" t="str">
        <x:f>IF(Master!J662="","",Master!J662)</x:f>
        <x:v>None</x:v>
      </x:c>
      <x:c r="J5" s="3" t="str">
        <x:f>IF(Master!K662="","",Master!K662)</x:f>
        <x:v>N/A</x:v>
      </x:c>
      <x:c r="K5" s="3" t="str">
        <x:f>IF(Master!L662="","",Master!L662)</x:f>
        <x:v>None: project states it does not train on user data</x:v>
      </x:c>
      <x:c r="L5" s="3" t="str">
        <x:f>IF(Master!M662="","",Master!M662)</x:f>
      </x:c>
      <x:c r="M5" s="3" t="str">
        <x:f>IF(Master!N662="","",Master!N662)</x:f>
      </x:c>
      <x:c r="N5" s="3" t="str">
        <x:f>IF(Master!O662="","",Master!O662)</x:f>
        <x:v>Provider-specific</x:v>
      </x:c>
      <x:c r="O5" s="3" t="str">
        <x:f>IF(Master!P662="","",Master!P662)</x:f>
        <x:v>Deployment/provider-specific</x:v>
      </x:c>
      <x:c r="P5" s="3" t="str">
        <x:f>IF(Master!Q662="","",Master!Q662)</x:f>
      </x:c>
      <x:c r="Q5" s="3" t="str">
        <x:f>IF(Master!R662="","",Master!R662)</x:f>
        <x:v>N/A</x:v>
      </x:c>
      <x:c r="R5" s="3" t="str">
        <x:f>IF(Master!S662="","",Master!S662)</x:f>
      </x:c>
      <x:c r="S5" s="3" t="str">
        <x:f>IF(Master!T662="","",Master!T662)</x:f>
      </x:c>
      <x:c r="T5" s="3" t="str">
        <x:f>IF(Master!U662="","",Master!U662)</x:f>
        <x:v>Website Content Signal says ai-train=no; no separate chat/voice consent model stated</x:v>
      </x:c>
      <x:c r="U5" s="3" t="str">
        <x:f>IF(Master!V662="","",Master!V662)</x:f>
        <x:v>None</x:v>
      </x:c>
      <x:c r="V5" s="3" t="str">
        <x:f>IF(Master!W662="","",Master!W662)</x:f>
        <x:v>Deployment/provider-specific</x:v>
      </x:c>
      <x:c r="W5" s="3" t="str">
        <x:f>IF(Master!X662="","",Master!X662)</x:f>
      </x:c>
      <x:c r="X5" s="3" t="str">
        <x:f>IF(Master!Y662="","",Master!Y662)</x:f>
        <x:v>None for training</x:v>
      </x:c>
      <x:c r="Y5" s="3" t="str">
        <x:f>IF(Master!Z662="","",Master!Z662)</x:f>
        <x:v>Operator-dependent</x:v>
      </x:c>
      <x:c r="Z5" s="3" t="str">
        <x:f>IF(Master!AA662="","",Master!AA662)</x:f>
      </x:c>
      <x:c r="AA5" s="6" t="str">
        <x:f>IF(Master!AB662="","",Master!AB662)</x:f>
      </x:c>
      <x:c r="AB5" s="3" t="str">
        <x:f>IF(Master!AC662="","",Master!AC662)</x:f>
      </x:c>
      <x:c r="AC5" s="3" t="str">
        <x:f>IF(Master!AD662="","",Master!AD662)</x:f>
      </x:c>
      <x:c r="AD5" s="3" t="str">
        <x:f>IF(Master!AE662="","",Master!AE662)</x:f>
      </x:c>
      <x:c r="AE5" s="3" t="str">
        <x:f>IF(Master!AF662="","",Master!AF662)</x:f>
        <x:v>N/A</x:v>
      </x:c>
      <x:c r="AF5" s="8" t="str">
        <x:f>IF(Master!AG662="","",Master!AG662)</x:f>
      </x:c>
    </x:row>
    <x:row r="6" ht="36" customHeight="1">
      <x:c r="A6" s="17" t="s">
        <x:v>940</x:v>
      </x:c>
      <x:c r="B6" s="3" t="str">
        <x:f>IF(Master!C663="","",Master!C663)</x:f>
      </x:c>
      <x:c r="C6" s="3" t="str">
        <x:f>IF(Master!D663="","",Master!D663)</x:f>
      </x:c>
      <x:c r="D6" s="3" t="str">
        <x:f>IF(Master!E663="","",Master!E663)</x:f>
      </x:c>
      <x:c r="E6" s="3" t="str">
        <x:f>IF(Master!F663="","",Master!F663)</x:f>
      </x:c>
      <x:c r="F6" s="3" t="str">
        <x:f>IF(Master!G663="","",Master!G663)</x:f>
      </x:c>
      <x:c r="G6" s="3" t="str">
        <x:f>IF(Master!H663="","",Master!H663)</x:f>
      </x:c>
      <x:c r="H6" s="3" t="str">
        <x:f>IF(Master!I663="","",Master!I663)</x:f>
      </x:c>
      <x:c r="I6" s="3" t="str">
        <x:f>IF(Master!J663="","",Master!J663)</x:f>
        <x:v>0% allowed by Fermi contribution policy</x:v>
      </x:c>
      <x:c r="J6" s="3" t="str">
        <x:f>IF(Master!K663="","",Master!K663)</x:f>
      </x:c>
      <x:c r="K6" s="3" t="str">
        <x:f>IF(Master!L663="","",Master!L663)</x:f>
        <x:v>Not published</x:v>
      </x:c>
      <x:c r="L6" s="3" t="str">
        <x:f>IF(Master!M663="","",Master!M663)</x:f>
      </x:c>
      <x:c r="M6" s="3" t="str">
        <x:f>IF(Master!N663="","",Master!N663)</x:f>
      </x:c>
      <x:c r="N6" s="3" t="str">
        <x:f>IF(Master!O663="","",Master!O663)</x:f>
      </x:c>
      <x:c r="O6" s="3" t="str">
        <x:f>IF(Master!P663="","",Master!P663)</x:f>
      </x:c>
      <x:c r="P6" s="3" t="str">
        <x:f>IF(Master!Q663="","",Master!Q663)</x:f>
      </x:c>
      <x:c r="Q6" s="3" t="str">
        <x:f>IF(Master!R663="","",Master!R663)</x:f>
        <x:v>N/A</x:v>
      </x:c>
      <x:c r="R6" s="3" t="str">
        <x:f>IF(Master!S663="","",Master!S663)</x:f>
      </x:c>
      <x:c r="S6" s="3" t="str">
        <x:f>IF(Master!T663="","",Master!T663)</x:f>
      </x:c>
      <x:c r="T6" s="3" t="str">
        <x:f>IF(Master!U663="","",Master!U663)</x:f>
        <x:v>Not published</x:v>
      </x:c>
      <x:c r="U6" s="3" t="str">
        <x:f>IF(Master!V663="","",Master!V663)</x:f>
        <x:v>AI Assistance used - Commit Notes</x:v>
      </x:c>
      <x:c r="V6" s="3" t="str">
        <x:f>IF(Master!W663="","",Master!W663)</x:f>
      </x:c>
      <x:c r="W6" s="3" t="str">
        <x:f>IF(Master!X663="","",Master!X663)</x:f>
      </x:c>
      <x:c r="X6" s="3" t="str">
        <x:f>IF(Master!Y663="","",Master!Y663)</x:f>
      </x:c>
      <x:c r="Y6" s="3" t="str">
        <x:f>IF(Master!Z663="","",Master!Z663)</x:f>
      </x:c>
      <x:c r="Z6" s="3" t="str">
        <x:f>IF(Master!AA663="","",Master!AA663)</x:f>
      </x:c>
      <x:c r="AA6" s="6" t="str">
        <x:f>IF(Master!AB663="","",Master!AB663)</x:f>
      </x:c>
      <x:c r="AB6" s="3" t="str">
        <x:f>IF(Master!AC663="","",Master!AC663)</x:f>
      </x:c>
      <x:c r="AC6" s="3" t="str">
        <x:f>IF(Master!AD663="","",Master!AD663)</x:f>
      </x:c>
      <x:c r="AD6" s="3" t="str">
        <x:f>IF(Master!AE663="","",Master!AE663)</x:f>
      </x:c>
      <x:c r="AE6" s="3" t="str">
        <x:f>IF(Master!AF663="","",Master!AF663)</x:f>
      </x:c>
      <x:c r="AF6" s="8" t="str">
        <x:f>IF(Master!AG663="","",Master!AG663)</x:f>
      </x:c>
    </x:row>
    <x:row r="7" ht="36" customHeight="1">
      <x:c r="A7" s="17" t="s">
        <x:v>941</x:v>
      </x:c>
      <x:c r="B7" s="3" t="str">
        <x:f>IF(Master!C664="","",Master!C664)</x:f>
      </x:c>
      <x:c r="C7" s="3" t="str">
        <x:f>IF(Master!D664="","",Master!D664)</x:f>
      </x:c>
      <x:c r="D7" s="3" t="str">
        <x:f>IF(Master!E664="","",Master!E664)</x:f>
      </x:c>
      <x:c r="E7" s="3" t="str">
        <x:f>IF(Master!F664="","",Master!F664)</x:f>
      </x:c>
      <x:c r="F7" s="3" t="str">
        <x:f>IF(Master!G664="","",Master!G664)</x:f>
      </x:c>
      <x:c r="G7" s="3" t="str">
        <x:f>IF(Master!H664="","",Master!H664)</x:f>
        <x:v>No percentage published</x:v>
      </x:c>
      <x:c r="H7" s="3" t="str">
        <x:f>IF(Master!I664="","",Master!I664)</x:f>
      </x:c>
      <x:c r="I7" s="3" t="str">
        <x:f>IF(Master!J664="","",Master!J664)</x:f>
        <x:v>Fermi explicitly bans AI-generated code</x:v>
      </x:c>
      <x:c r="J7" s="3" t="str">
        <x:f>IF(Master!K664="","",Master!K664)</x:f>
        <x:v>Developer publicly discloses Claude use for development tooling</x:v>
      </x:c>
      <x:c r="K7" s="3" t="str">
        <x:f>IF(Master!L664="","",Master!L664)</x:f>
        <x:v>AI is used to speed development; primary developer retains architectural decisions and reviews AI-written code (developer statement)</x:v>
      </x:c>
      <x:c r="L7" s="3" t="str">
        <x:f>IF(Master!M664="","",Master!M664)</x:f>
      </x:c>
      <x:c r="M7" s="3" t="str">
        <x:f>IF(Master!N664="","",Master!N664)</x:f>
        <x:v>AI models used for translation/transcription disclosed</x:v>
      </x:c>
      <x:c r="N7" s="3" t="str">
        <x:f>IF(Master!O664="","",Master!O664)</x:f>
        <x:v>Provider-specific</x:v>
      </x:c>
      <x:c r="O7" s="3" t="str">
        <x:f>IF(Master!P664="","",Master!P664)</x:f>
      </x:c>
      <x:c r="P7" s="3" t="str">
        <x:f>IF(Master!Q664="","",Master!Q664)</x:f>
        <x:v>Publicly discloses AI-powered features</x:v>
      </x:c>
      <x:c r="Q7" s="3" t="str">
        <x:f>IF(Master!R664="","",Master!R664)</x:f>
        <x:v>N/A</x:v>
      </x:c>
      <x:c r="R7" s="3" t="str">
        <x:f>IF(Master!S664="","",Master!S664)</x:f>
      </x:c>
      <x:c r="S7" s="3" t="str">
        <x:f>IF(Master!T664="","",Master!T664)</x:f>
      </x:c>
      <x:c r="T7" s="3" t="str">
        <x:f>IF(Master!U664="","",Master!U664)</x:f>
        <x:v>Built in the open; developer does not claim zero AI use anywhere in the codebase</x:v>
      </x:c>
      <x:c r="U7" s="3" t="str">
        <x:f>IF(Master!V664="","",Master!V664)</x:f>
        <x:v>Public FAQ discloses AI is used for parts of coding, with developer review</x:v>
      </x:c>
      <x:c r="V7" s="3" t="str">
        <x:f>IF(Master!W664="","",Master!W664)</x:f>
      </x:c>
      <x:c r="W7" s="3" t="str">
        <x:f>IF(Master!X664="","",Master!X664)</x:f>
      </x:c>
      <x:c r="X7" s="3" t="str">
        <x:f>IF(Master!Y664="","",Master!Y664)</x:f>
      </x:c>
      <x:c r="Y7" s="3" t="str">
        <x:f>IF(Master!Z664="","",Master!Z664)</x:f>
      </x:c>
      <x:c r="Z7" s="3" t="str">
        <x:f>IF(Master!AA664="","",Master!AA664)</x:f>
      </x:c>
      <x:c r="AA7" s="6" t="str">
        <x:f>IF(Master!AB664="","",Master!AB664)</x:f>
      </x:c>
      <x:c r="AB7" s="3" t="str">
        <x:f>IF(Master!AC664="","",Master!AC664)</x:f>
      </x:c>
      <x:c r="AC7" s="3" t="str">
        <x:f>IF(Master!AD664="","",Master!AD664)</x:f>
      </x:c>
      <x:c r="AD7" s="3" t="str">
        <x:f>IF(Master!AE664="","",Master!AE664)</x:f>
        <x:v>AI is product-feature specific, not general chat summarization</x:v>
      </x:c>
      <x:c r="AE7" s="3" t="str">
        <x:f>IF(Master!AF664="","",Master!AF664)</x:f>
        <x:v>Privacy-first/no surveillance model</x:v>
      </x:c>
      <x:c r="AF7" s="8" t="str">
        <x:f>IF(Master!AG664="","",Master!AG664)</x:f>
      </x:c>
    </x:row>
    <x:row r="8" ht="23.100000381469727" customHeight="1">
      <x:c r="A8" s="17" t="s">
        <x:v>942</x:v>
      </x:c>
      <x:c r="B8" s="4" t="str">
        <x:f>IF(Master!C665="","",Master!C665)</x:f>
      </x:c>
      <x:c r="C8" s="4" t="str">
        <x:f>IF(Master!D665="","",Master!D665)</x:f>
      </x:c>
      <x:c r="D8" s="4" t="str">
        <x:f>IF(Master!E665="","",Master!E665)</x:f>
      </x:c>
      <x:c r="E8" s="4" t="str">
        <x:f>IF(Master!F665="","",Master!F665)</x:f>
      </x:c>
      <x:c r="F8" s="4" t="str">
        <x:f>IF(Master!G665="","",Master!G665)</x:f>
      </x:c>
      <x:c r="G8" s="4" t="str">
        <x:f>IF(Master!H665="","",Master!H665)</x:f>
      </x:c>
      <x:c r="H8" s="4" t="str">
        <x:f>IF(Master!I665="","",Master!I665)</x:f>
      </x:c>
      <x:c r="I8" s="4" t="str">
        <x:f>IF(Master!J665="","",Master!J665)</x:f>
      </x:c>
      <x:c r="J8" s="4" t="str">
        <x:f>IF(Master!K665="","",Master!K665)</x:f>
      </x:c>
      <x:c r="K8" s="4" t="str">
        <x:f>IF(Master!L665="","",Master!L665)</x:f>
        <x:v>No native AI-product governance layer; user data is not used for model training per developer statement</x:v>
      </x:c>
      <x:c r="L8" s="4" t="str">
        <x:f>IF(Master!M665="","",Master!M665)</x:f>
      </x:c>
      <x:c r="M8" s="4" t="str">
        <x:f>IF(Master!N665="","",Master!N665)</x:f>
      </x:c>
      <x:c r="N8" s="4" t="str">
        <x:f>IF(Master!O665="","",Master!O665)</x:f>
      </x:c>
      <x:c r="O8" s="4" t="str">
        <x:f>IF(Master!P665="","",Master!P665)</x:f>
      </x:c>
      <x:c r="P8" s="4" t="str">
        <x:f>IF(Master!Q665="","",Master!Q665)</x:f>
      </x:c>
      <x:c r="Q8" s="4" t="str">
        <x:f>IF(Master!R665="","",Master!R665)</x:f>
      </x:c>
      <x:c r="R8" s="4" t="str">
        <x:f>IF(Master!S665="","",Master!S665)</x:f>
      </x:c>
      <x:c r="S8" s="4" t="str">
        <x:f>IF(Master!T665="","",Master!T665)</x:f>
      </x:c>
      <x:c r="T8" s="4" t="str">
        <x:f>IF(Master!U665="","",Master!U665)</x:f>
      </x:c>
      <x:c r="U8" s="4" t="str">
        <x:f>IF(Master!V665="","",Master!V665)</x:f>
      </x:c>
      <x:c r="V8" s="4" t="str">
        <x:f>IF(Master!W665="","",Master!W665)</x:f>
      </x:c>
      <x:c r="W8" s="4" t="str">
        <x:f>IF(Master!X665="","",Master!X665)</x:f>
      </x:c>
      <x:c r="X8" s="4" t="str">
        <x:f>IF(Master!Y665="","",Master!Y665)</x:f>
      </x:c>
      <x:c r="Y8" s="4" t="str">
        <x:f>IF(Master!Z665="","",Master!Z665)</x:f>
      </x:c>
      <x:c r="Z8" s="4" t="str">
        <x:f>IF(Master!AA665="","",Master!AA665)</x:f>
      </x:c>
      <x:c r="AA8" s="5" t="str">
        <x:f>IF(Master!AB665="","",Master!AB665)</x:f>
      </x:c>
      <x:c r="AB8" s="4" t="str">
        <x:f>IF(Master!AC665="","",Master!AC665)</x:f>
      </x:c>
      <x:c r="AC8" s="4" t="str">
        <x:f>IF(Master!AD665="","",Master!AD665)</x:f>
      </x:c>
      <x:c r="AD8" s="4" t="str">
        <x:f>IF(Master!AE665="","",Master!AE665)</x:f>
      </x:c>
      <x:c r="AE8" s="4" t="str">
        <x:f>IF(Master!AF665="","",Master!AF665)</x:f>
      </x:c>
      <x:c r="AF8" s="8" t="str">
        <x:f>IF(Master!AG665="","",Master!AG665)</x:f>
      </x:c>
    </x:row>
    <x:row r="9" ht="36" customHeight="1">
      <x:c r="A9" s="17" t="s">
        <x:v>943</x:v>
      </x:c>
      <x:c r="B9" s="3" t="str">
        <x:f>IF(Master!C667="","",Master!C667)</x:f>
        <x:v>Yes</x:v>
      </x:c>
      <x:c r="C9" s="3" t="str">
        <x:f>IF(Master!D667="","",Master!D667)</x:f>
        <x:v>No</x:v>
      </x:c>
      <x:c r="D9" s="3" t="str">
        <x:f>IF(Master!E667="","",Master!E667)</x:f>
        <x:v>No</x:v>
      </x:c>
      <x:c r="E9" s="3" t="str">
        <x:f>IF(Master!F667="","",Master!F667)</x:f>
        <x:v>No</x:v>
      </x:c>
      <x:c r="F9" s="3" t="str">
        <x:f>IF(Master!G667="","",Master!G667)</x:f>
        <x:v>No</x:v>
      </x:c>
      <x:c r="G9" s="3" t="str">
        <x:f>IF(Master!H667="","",Master!H667)</x:f>
        <x:v>No</x:v>
      </x:c>
      <x:c r="H9" s="3" t="str">
        <x:f>IF(Master!I667="","",Master!I667)</x:f>
        <x:v>No</x:v>
      </x:c>
      <x:c r="I9" s="3" t="str">
        <x:f>IF(Master!J667="","",Master!J667)</x:f>
        <x:v>No</x:v>
      </x:c>
      <x:c r="J9" s="3" t="str">
        <x:f>IF(Master!K667="","",Master!K667)</x:f>
        <x:v>No</x:v>
      </x:c>
      <x:c r="K9" s="3" t="str">
        <x:f>IF(Master!L667="","",Master!L667)</x:f>
        <x:v>None</x:v>
      </x:c>
      <x:c r="L9" s="3" t="str">
        <x:f>IF(Master!M667="","",Master!M667)</x:f>
        <x:v>No</x:v>
      </x:c>
      <x:c r="M9" s="3" t="str">
        <x:f>IF(Master!N667="","",Master!N667)</x:f>
      </x:c>
      <x:c r="N9" s="3" t="str">
        <x:f>IF(Master!O667="","",Master!O667)</x:f>
        <x:v>No</x:v>
      </x:c>
      <x:c r="O9" s="3" t="str">
        <x:f>IF(Master!P667="","",Master!P667)</x:f>
        <x:v>Yes</x:v>
      </x:c>
      <x:c r="P9" s="3" t="str">
        <x:f>IF(Master!Q667="","",Master!Q667)</x:f>
        <x:v>Yes</x:v>
      </x:c>
      <x:c r="Q9" s="3" t="str">
        <x:f>IF(Master!R667="","",Master!R667)</x:f>
        <x:v>No</x:v>
      </x:c>
      <x:c r="R9" s="3" t="str">
        <x:f>IF(Master!S667="","",Master!S667)</x:f>
        <x:v>No</x:v>
      </x:c>
      <x:c r="S9" s="3" t="str">
        <x:f>IF(Master!T667="","",Master!T667)</x:f>
        <x:v>No</x:v>
      </x:c>
      <x:c r="T9" s="3" t="str">
        <x:f>IF(Master!U667="","",Master!U667)</x:f>
        <x:v>No</x:v>
      </x:c>
      <x:c r="U9" s="3" t="str">
        <x:f>IF(Master!V667="","",Master!V667)</x:f>
        <x:v>No</x:v>
      </x:c>
      <x:c r="V9" s="3" t="str">
        <x:f>IF(Master!W667="","",Master!W667)</x:f>
        <x:v>Yes</x:v>
      </x:c>
      <x:c r="W9" s="3" t="str">
        <x:f>IF(Master!X667="","",Master!X667)</x:f>
        <x:v>No</x:v>
      </x:c>
      <x:c r="X9" s="3" t="str">
        <x:f>IF(Master!Y667="","",Master!Y667)</x:f>
        <x:v>No</x:v>
      </x:c>
      <x:c r="Y9" s="3" t="str">
        <x:f>IF(Master!Z667="","",Master!Z667)</x:f>
        <x:v>No</x:v>
      </x:c>
      <x:c r="Z9" s="3" t="str">
        <x:f>IF(Master!AA667="","",Master!AA667)</x:f>
        <x:v>No</x:v>
      </x:c>
      <x:c r="AA9" s="6" t="str">
        <x:f>IF(Master!AB667="","",Master!AB667)</x:f>
        <x:v>No</x:v>
      </x:c>
      <x:c r="AB9" s="3" t="str">
        <x:f>IF(Master!AC667="","",Master!AC667)</x:f>
        <x:v>No</x:v>
      </x:c>
      <x:c r="AC9" s="3" t="str">
        <x:f>IF(Master!AD667="","",Master!AD667)</x:f>
        <x:v>No</x:v>
      </x:c>
      <x:c r="AD9" s="3" t="str">
        <x:f>IF(Master!AE667="","",Master!AE667)</x:f>
        <x:v>Yes</x:v>
      </x:c>
      <x:c r="AE9" s="3" t="str">
        <x:f>IF(Master!AF667="","",Master!AF667)</x:f>
        <x:v>No</x:v>
      </x:c>
      <x:c r="AF9" s="8" t="str">
        <x:f>IF(Master!AG667="","",Master!AG667)</x:f>
        <x:v>No</x:v>
      </x:c>
    </x:row>
    <x:row r="10" ht="36" customHeight="1">
      <x:c r="A10" s="17" t="s">
        <x:v>944</x:v>
      </x:c>
      <x:c r="B10" s="3" t="str">
        <x:f>IF(Master!C670="","",Master!C670)</x:f>
      </x:c>
      <x:c r="C10" s="3" t="str">
        <x:f>IF(Master!D670="","",Master!D670)</x:f>
      </x:c>
      <x:c r="D10" s="3" t="str">
        <x:f>IF(Master!E670="","",Master!E670)</x:f>
      </x:c>
      <x:c r="E10" s="3" t="str">
        <x:f>IF(Master!F670="","",Master!F670)</x:f>
      </x:c>
      <x:c r="F10" s="3" t="str">
        <x:f>IF(Master!G670="","",Master!G670)</x:f>
      </x:c>
      <x:c r="G10" s="3" t="str">
        <x:f>IF(Master!H670="","",Master!H670)</x:f>
      </x:c>
      <x:c r="H10" s="3" t="str">
        <x:f>IF(Master!I670="","",Master!I670)</x:f>
      </x:c>
      <x:c r="I10" s="3" t="str">
        <x:f>IF(Master!J670="","",Master!J670)</x:f>
      </x:c>
      <x:c r="J10" s="3" t="str">
        <x:f>IF(Master!K670="","",Master!K670)</x:f>
      </x:c>
      <x:c r="K10" s="3" t="str">
        <x:f>IF(Master!L670="","",Master!L670)</x:f>
        <x:v>None</x:v>
      </x:c>
      <x:c r="L10" s="3" t="str">
        <x:f>IF(Master!M670="","",Master!M670)</x:f>
      </x:c>
      <x:c r="M10" s="3" t="str">
        <x:f>IF(Master!N670="","",Master!N670)</x:f>
      </x:c>
      <x:c r="N10" s="3" t="str">
        <x:f>IF(Master!O670="","",Master!O670)</x:f>
      </x:c>
      <x:c r="O10" s="3" t="str">
        <x:f>IF(Master!P670="","",Master!P670)</x:f>
        <x:v>Yes</x:v>
      </x:c>
      <x:c r="P10" s="3" t="str">
        <x:f>IF(Master!Q670="","",Master!Q670)</x:f>
      </x:c>
      <x:c r="Q10" s="3" t="str">
        <x:f>IF(Master!R670="","",Master!R670)</x:f>
      </x:c>
      <x:c r="R10" s="3" t="str">
        <x:f>IF(Master!S670="","",Master!S670)</x:f>
      </x:c>
      <x:c r="S10" s="3" t="str">
        <x:f>IF(Master!T670="","",Master!T670)</x:f>
      </x:c>
      <x:c r="T10" s="3" t="str">
        <x:f>IF(Master!U670="","",Master!U670)</x:f>
      </x:c>
      <x:c r="U10" s="3" t="str">
        <x:f>IF(Master!V670="","",Master!V670)</x:f>
        <x:v>No</x:v>
      </x:c>
      <x:c r="V10" s="3" t="str">
        <x:f>IF(Master!W670="","",Master!W670)</x:f>
      </x:c>
      <x:c r="W10" s="3" t="str">
        <x:f>IF(Master!X670="","",Master!X670)</x:f>
      </x:c>
      <x:c r="X10" s="3" t="str">
        <x:f>IF(Master!Y670="","",Master!Y670)</x:f>
      </x:c>
      <x:c r="Y10" s="3" t="str">
        <x:f>IF(Master!Z670="","",Master!Z670)</x:f>
      </x:c>
      <x:c r="Z10" s="3" t="str">
        <x:f>IF(Master!AA670="","",Master!AA670)</x:f>
      </x:c>
      <x:c r="AA10" s="6" t="str">
        <x:f>IF(Master!AB670="","",Master!AB670)</x:f>
      </x:c>
      <x:c r="AB10" s="3" t="str">
        <x:f>IF(Master!AC670="","",Master!AC670)</x:f>
      </x:c>
      <x:c r="AC10" s="3" t="str">
        <x:f>IF(Master!AD670="","",Master!AD670)</x:f>
      </x:c>
      <x:c r="AD10" s="3" t="str">
        <x:f>IF(Master!AE670="","",Master!AE670)</x:f>
      </x:c>
      <x:c r="AE10" s="3" t="str">
        <x:f>IF(Master!AF670="","",Master!AF670)</x:f>
      </x:c>
      <x:c r="AF10" s="8" t="str">
        <x:f>IF(Master!AG670="","",Master!AG670)</x:f>
      </x:c>
    </x:row>
    <x:row r="11" ht="36" customHeight="1">
      <x:c r="A11" s="17" t="s">
        <x:v>945</x:v>
      </x:c>
      <x:c r="B11" s="3" t="str">
        <x:f>IF(Master!C672="","",Master!C672)</x:f>
        <x:v>Yes</x:v>
      </x:c>
      <x:c r="C11" s="3" t="str">
        <x:f>IF(Master!D672="","",Master!D672)</x:f>
      </x:c>
      <x:c r="D11" s="3" t="str">
        <x:f>IF(Master!E672="","",Master!E672)</x:f>
      </x:c>
      <x:c r="E11" s="3" t="str">
        <x:f>IF(Master!F672="","",Master!F672)</x:f>
      </x:c>
      <x:c r="F11" s="3" t="str">
        <x:f>IF(Master!G672="","",Master!G672)</x:f>
      </x:c>
      <x:c r="G11" s="3" t="str">
        <x:f>IF(Master!H672="","",Master!H672)</x:f>
      </x:c>
      <x:c r="H11" s="3" t="str">
        <x:f>IF(Master!I672="","",Master!I672)</x:f>
      </x:c>
      <x:c r="I11" s="3" t="str">
        <x:f>IF(Master!J672="","",Master!J672)</x:f>
      </x:c>
      <x:c r="J11" s="3" t="str">
        <x:f>IF(Master!K672="","",Master!K672)</x:f>
      </x:c>
      <x:c r="K11" s="3" t="str">
        <x:f>IF(Master!L672="","",Master!L672)</x:f>
        <x:v>None</x:v>
      </x:c>
      <x:c r="L11" s="3" t="str">
        <x:f>IF(Master!M672="","",Master!M672)</x:f>
      </x:c>
      <x:c r="M11" s="3" t="str">
        <x:f>IF(Master!N672="","",Master!N672)</x:f>
      </x:c>
      <x:c r="N11" s="3" t="str">
        <x:f>IF(Master!O672="","",Master!O672)</x:f>
      </x:c>
      <x:c r="O11" s="3" t="str">
        <x:f>IF(Master!P672="","",Master!P672)</x:f>
      </x:c>
      <x:c r="P11" s="3" t="str">
        <x:f>IF(Master!Q672="","",Master!Q672)</x:f>
        <x:v>Yes</x:v>
      </x:c>
      <x:c r="Q11" s="3" t="str">
        <x:f>IF(Master!R672="","",Master!R672)</x:f>
      </x:c>
      <x:c r="R11" s="3" t="str">
        <x:f>IF(Master!S672="","",Master!S672)</x:f>
      </x:c>
      <x:c r="S11" s="3" t="str">
        <x:f>IF(Master!T672="","",Master!T672)</x:f>
      </x:c>
      <x:c r="T11" s="3" t="str">
        <x:f>IF(Master!U672="","",Master!U672)</x:f>
      </x:c>
      <x:c r="U11" s="3" t="str">
        <x:f>IF(Master!V672="","",Master!V672)</x:f>
        <x:v>No</x:v>
      </x:c>
      <x:c r="V11" s="3" t="str">
        <x:f>IF(Master!W672="","",Master!W672)</x:f>
      </x:c>
      <x:c r="W11" s="3" t="str">
        <x:f>IF(Master!X672="","",Master!X672)</x:f>
      </x:c>
      <x:c r="X11" s="3" t="str">
        <x:f>IF(Master!Y672="","",Master!Y672)</x:f>
      </x:c>
      <x:c r="Y11" s="3" t="str">
        <x:f>IF(Master!Z672="","",Master!Z672)</x:f>
      </x:c>
      <x:c r="Z11" s="3" t="str">
        <x:f>IF(Master!AA672="","",Master!AA672)</x:f>
      </x:c>
      <x:c r="AA11" s="6" t="str">
        <x:f>IF(Master!AB672="","",Master!AB672)</x:f>
      </x:c>
      <x:c r="AB11" s="3" t="str">
        <x:f>IF(Master!AC672="","",Master!AC672)</x:f>
      </x:c>
      <x:c r="AC11" s="3" t="str">
        <x:f>IF(Master!AD672="","",Master!AD672)</x:f>
      </x:c>
      <x:c r="AD11" s="3" t="str">
        <x:f>IF(Master!AE672="","",Master!AE672)</x:f>
      </x:c>
      <x:c r="AE11" s="3" t="str">
        <x:f>IF(Master!AF672="","",Master!AF672)</x:f>
      </x:c>
      <x:c r="AF11" s="8" t="str">
        <x:f>IF(Master!AG672="","",Master!AG672)</x:f>
      </x:c>
    </x:row>
    <x:row r="12" ht="36" customHeight="1">
      <x:c r="A12" s="17" t="s">
        <x:v>946</x:v>
      </x:c>
      <x:c r="B12" s="3" t="str">
        <x:f>IF(Master!C673="","",Master!C673)</x:f>
      </x:c>
      <x:c r="C12" s="3" t="str">
        <x:f>IF(Master!D673="","",Master!D673)</x:f>
      </x:c>
      <x:c r="D12" s="3" t="str">
        <x:f>IF(Master!E673="","",Master!E673)</x:f>
      </x:c>
      <x:c r="E12" s="3" t="str">
        <x:f>IF(Master!F673="","",Master!F673)</x:f>
      </x:c>
      <x:c r="F12" s="3" t="str">
        <x:f>IF(Master!G673="","",Master!G673)</x:f>
      </x:c>
      <x:c r="G12" s="3" t="str">
        <x:f>IF(Master!H673="","",Master!H673)</x:f>
      </x:c>
      <x:c r="H12" s="3" t="str">
        <x:f>IF(Master!I673="","",Master!I673)</x:f>
      </x:c>
      <x:c r="I12" s="3" t="str">
        <x:f>IF(Master!J673="","",Master!J673)</x:f>
      </x:c>
      <x:c r="J12" s="3" t="str">
        <x:f>IF(Master!K673="","",Master!K673)</x:f>
      </x:c>
      <x:c r="K12" s="3" t="str">
        <x:f>IF(Master!L673="","",Master!L673)</x:f>
        <x:v>None</x:v>
      </x:c>
      <x:c r="L12" s="3" t="str">
        <x:f>IF(Master!M673="","",Master!M673)</x:f>
      </x:c>
      <x:c r="M12" s="3" t="str">
        <x:f>IF(Master!N673="","",Master!N673)</x:f>
        <x:v>Yes</x:v>
      </x:c>
      <x:c r="N12" s="3" t="str">
        <x:f>IF(Master!O673="","",Master!O673)</x:f>
      </x:c>
      <x:c r="O12" s="3" t="str">
        <x:f>IF(Master!P673="","",Master!P673)</x:f>
      </x:c>
      <x:c r="P12" s="3" t="str">
        <x:f>IF(Master!Q673="","",Master!Q673)</x:f>
        <x:v>Yes</x:v>
      </x:c>
      <x:c r="Q12" s="3" t="str">
        <x:f>IF(Master!R673="","",Master!R673)</x:f>
      </x:c>
      <x:c r="R12" s="3" t="str">
        <x:f>IF(Master!S673="","",Master!S673)</x:f>
      </x:c>
      <x:c r="S12" s="3" t="str">
        <x:f>IF(Master!T673="","",Master!T673)</x:f>
      </x:c>
      <x:c r="T12" s="3" t="str">
        <x:f>IF(Master!U673="","",Master!U673)</x:f>
      </x:c>
      <x:c r="U12" s="3" t="str">
        <x:f>IF(Master!V673="","",Master!V673)</x:f>
        <x:v>No</x:v>
      </x:c>
      <x:c r="V12" s="3" t="str">
        <x:f>IF(Master!W673="","",Master!W673)</x:f>
      </x:c>
      <x:c r="W12" s="3" t="str">
        <x:f>IF(Master!X673="","",Master!X673)</x:f>
      </x:c>
      <x:c r="X12" s="3" t="str">
        <x:f>IF(Master!Y673="","",Master!Y673)</x:f>
      </x:c>
      <x:c r="Y12" s="3" t="str">
        <x:f>IF(Master!Z673="","",Master!Z673)</x:f>
      </x:c>
      <x:c r="Z12" s="3" t="str">
        <x:f>IF(Master!AA673="","",Master!AA673)</x:f>
      </x:c>
      <x:c r="AA12" s="6" t="str">
        <x:f>IF(Master!AB673="","",Master!AB673)</x:f>
      </x:c>
      <x:c r="AB12" s="3" t="str">
        <x:f>IF(Master!AC673="","",Master!AC673)</x:f>
      </x:c>
      <x:c r="AC12" s="3" t="str">
        <x:f>IF(Master!AD673="","",Master!AD673)</x:f>
      </x:c>
      <x:c r="AD12" s="3" t="str">
        <x:f>IF(Master!AE673="","",Master!AE673)</x:f>
      </x:c>
      <x:c r="AE12" s="3" t="str">
        <x:f>IF(Master!AF673="","",Master!AF673)</x:f>
      </x:c>
      <x:c r="AF12" s="8" t="str">
        <x:f>IF(Master!AG673="","",Master!AG673)</x:f>
      </x:c>
    </x:row>
    <x:row r="13" ht="36" customHeight="1">
      <x:c r="A13" s="17" t="s">
        <x:v>947</x:v>
      </x:c>
      <x:c r="B13" s="3" t="str">
        <x:f>IF(Master!C674="","",Master!C674)</x:f>
      </x:c>
      <x:c r="C13" s="3" t="str">
        <x:f>IF(Master!D674="","",Master!D674)</x:f>
      </x:c>
      <x:c r="D13" s="3" t="str">
        <x:f>IF(Master!E674="","",Master!E674)</x:f>
      </x:c>
      <x:c r="E13" s="3" t="str">
        <x:f>IF(Master!F674="","",Master!F674)</x:f>
      </x:c>
      <x:c r="F13" s="3" t="str">
        <x:f>IF(Master!G674="","",Master!G674)</x:f>
      </x:c>
      <x:c r="G13" s="3" t="str">
        <x:f>IF(Master!H674="","",Master!H674)</x:f>
      </x:c>
      <x:c r="H13" s="3" t="str">
        <x:f>IF(Master!I674="","",Master!I674)</x:f>
      </x:c>
      <x:c r="I13" s="3" t="str">
        <x:f>IF(Master!J674="","",Master!J674)</x:f>
      </x:c>
      <x:c r="J13" s="3" t="str">
        <x:f>IF(Master!K674="","",Master!K674)</x:f>
      </x:c>
      <x:c r="K13" s="3" t="str">
        <x:f>IF(Master!L674="","",Master!L674)</x:f>
        <x:v>None</x:v>
      </x:c>
      <x:c r="L13" s="3" t="str">
        <x:f>IF(Master!M674="","",Master!M674)</x:f>
      </x:c>
      <x:c r="M13" s="3" t="str">
        <x:f>IF(Master!N674="","",Master!N674)</x:f>
        <x:v>Yes</x:v>
      </x:c>
      <x:c r="N13" s="3" t="str">
        <x:f>IF(Master!O674="","",Master!O674)</x:f>
      </x:c>
      <x:c r="O13" s="3" t="str">
        <x:f>IF(Master!P674="","",Master!P674)</x:f>
      </x:c>
      <x:c r="P13" s="3" t="str">
        <x:f>IF(Master!Q674="","",Master!Q674)</x:f>
        <x:v>Yes</x:v>
      </x:c>
      <x:c r="Q13" s="3" t="str">
        <x:f>IF(Master!R674="","",Master!R674)</x:f>
      </x:c>
      <x:c r="R13" s="3" t="str">
        <x:f>IF(Master!S674="","",Master!S674)</x:f>
      </x:c>
      <x:c r="S13" s="3" t="str">
        <x:f>IF(Master!T674="","",Master!T674)</x:f>
      </x:c>
      <x:c r="T13" s="3" t="str">
        <x:f>IF(Master!U674="","",Master!U674)</x:f>
      </x:c>
      <x:c r="U13" s="3" t="str">
        <x:f>IF(Master!V674="","",Master!V674)</x:f>
        <x:v>No</x:v>
      </x:c>
      <x:c r="V13" s="3" t="str">
        <x:f>IF(Master!W674="","",Master!W674)</x:f>
      </x:c>
      <x:c r="W13" s="3" t="str">
        <x:f>IF(Master!X674="","",Master!X674)</x:f>
      </x:c>
      <x:c r="X13" s="3" t="str">
        <x:f>IF(Master!Y674="","",Master!Y674)</x:f>
      </x:c>
      <x:c r="Y13" s="3" t="str">
        <x:f>IF(Master!Z674="","",Master!Z674)</x:f>
      </x:c>
      <x:c r="Z13" s="3" t="str">
        <x:f>IF(Master!AA674="","",Master!AA674)</x:f>
      </x:c>
      <x:c r="AA13" s="6" t="str">
        <x:f>IF(Master!AB674="","",Master!AB674)</x:f>
      </x:c>
      <x:c r="AB13" s="3" t="str">
        <x:f>IF(Master!AC674="","",Master!AC674)</x:f>
      </x:c>
      <x:c r="AC13" s="3" t="str">
        <x:f>IF(Master!AD674="","",Master!AD674)</x:f>
      </x:c>
      <x:c r="AD13" s="3" t="str">
        <x:f>IF(Master!AE674="","",Master!AE674)</x:f>
      </x:c>
      <x:c r="AE13" s="3" t="str">
        <x:f>IF(Master!AF674="","",Master!AF674)</x:f>
      </x:c>
      <x:c r="AF13" s="8" t="str">
        <x:f>IF(Master!AG674="","",Master!AG674)</x:f>
      </x:c>
    </x:row>
    <x:row r="14" ht="36" customHeight="1">
      <x:c r="A14" s="17" t="s">
        <x:v>948</x:v>
      </x:c>
      <x:c r="B14" s="3" t="str">
        <x:f>IF(Master!C679="","",Master!C679)</x:f>
      </x:c>
      <x:c r="C14" s="3" t="str">
        <x:f>IF(Master!D679="","",Master!D679)</x:f>
      </x:c>
      <x:c r="D14" s="3" t="str">
        <x:f>IF(Master!E679="","",Master!E679)</x:f>
      </x:c>
      <x:c r="E14" s="3" t="str">
        <x:f>IF(Master!F679="","",Master!F679)</x:f>
      </x:c>
      <x:c r="F14" s="3" t="str">
        <x:f>IF(Master!G679="","",Master!G679)</x:f>
      </x:c>
      <x:c r="G14" s="3" t="str">
        <x:f>IF(Master!H679="","",Master!H679)</x:f>
      </x:c>
      <x:c r="H14" s="3" t="str">
        <x:f>IF(Master!I679="","",Master!I679)</x:f>
      </x:c>
      <x:c r="I14" s="3" t="str">
        <x:f>IF(Master!J679="","",Master!J679)</x:f>
      </x:c>
      <x:c r="J14" s="3" t="str">
        <x:f>IF(Master!K679="","",Master!K679)</x:f>
      </x:c>
      <x:c r="K14" s="3" t="str">
        <x:f>IF(Master!L679="","",Master!L679)</x:f>
        <x:v>Not disclosed</x:v>
      </x:c>
      <x:c r="L14" s="3" t="str">
        <x:f>IF(Master!M679="","",Master!M679)</x:f>
      </x:c>
      <x:c r="M14" s="3" t="str">
        <x:f>IF(Master!N679="","",Master!N679)</x:f>
      </x:c>
      <x:c r="N14" s="3" t="str">
        <x:f>IF(Master!O679="","",Master!O679)</x:f>
        <x:v>Provider/deployment-specific</x:v>
      </x:c>
      <x:c r="O14" s="3" t="str">
        <x:f>IF(Master!P679="","",Master!P679)</x:f>
        <x:v>Provider/deployment-specific</x:v>
      </x:c>
      <x:c r="P14" s="3" t="str">
        <x:f>IF(Master!Q679="","",Master!Q679)</x:f>
      </x:c>
      <x:c r="Q14" s="3" t="str">
        <x:f>IF(Master!R679="","",Master!R679)</x:f>
      </x:c>
      <x:c r="R14" s="3" t="str">
        <x:f>IF(Master!S679="","",Master!S679)</x:f>
      </x:c>
      <x:c r="S14" s="3" t="str">
        <x:f>IF(Master!T679="","",Master!T679)</x:f>
      </x:c>
      <x:c r="T14" s="3" t="str">
        <x:f>IF(Master!U679="","",Master!U679)</x:f>
      </x:c>
      <x:c r="U14" s="3" t="str">
        <x:f>IF(Master!V679="","",Master!V679)</x:f>
        <x:v>None</x:v>
      </x:c>
      <x:c r="V14" s="3" t="str">
        <x:f>IF(Master!W679="","",Master!W679)</x:f>
        <x:v>Provider/deployment-specific</x:v>
      </x:c>
      <x:c r="W14" s="3" t="str">
        <x:f>IF(Master!X679="","",Master!X679)</x:f>
      </x:c>
      <x:c r="X14" s="3" t="str">
        <x:f>IF(Master!Y679="","",Master!Y679)</x:f>
      </x:c>
      <x:c r="Y14" s="3" t="str">
        <x:f>IF(Master!Z679="","",Master!Z679)</x:f>
      </x:c>
      <x:c r="Z14" s="3" t="str">
        <x:f>IF(Master!AA679="","",Master!AA679)</x:f>
      </x:c>
      <x:c r="AA14" s="6" t="str">
        <x:f>IF(Master!AB679="","",Master!AB679)</x:f>
      </x:c>
      <x:c r="AB14" s="3" t="str">
        <x:f>IF(Master!AC679="","",Master!AC679)</x:f>
      </x:c>
      <x:c r="AC14" s="3" t="str">
        <x:f>IF(Master!AD679="","",Master!AD679)</x:f>
      </x:c>
      <x:c r="AD14" s="3" t="str">
        <x:f>IF(Master!AE679="","",Master!AE679)</x:f>
      </x:c>
      <x:c r="AE14" s="3" t="str">
        <x:f>IF(Master!AF679="","",Master!AF679)</x:f>
      </x:c>
      <x:c r="AF14" s="8" t="str">
        <x:f>IF(Master!AG679="","",Master!AG679)</x:f>
      </x:c>
    </x:row>
    <x:row r="15" ht="23.100000381469727" customHeight="1">
      <x:c r="A15" s="17" t="s">
        <x:v>949</x:v>
      </x:c>
      <x:c r="B15" s="4" t="str">
        <x:f>IF(Master!C680="","",Master!C680)</x:f>
      </x:c>
      <x:c r="C15" s="4" t="str">
        <x:f>IF(Master!D680="","",Master!D680)</x:f>
      </x:c>
      <x:c r="D15" s="4" t="str">
        <x:f>IF(Master!E680="","",Master!E680)</x:f>
      </x:c>
      <x:c r="E15" s="4" t="str">
        <x:f>IF(Master!F680="","",Master!F680)</x:f>
      </x:c>
      <x:c r="F15" s="4" t="str">
        <x:f>IF(Master!G680="","",Master!G680)</x:f>
      </x:c>
      <x:c r="G15" s="4" t="str">
        <x:f>IF(Master!H680="","",Master!H680)</x:f>
      </x:c>
      <x:c r="H15" s="4" t="str">
        <x:f>IF(Master!I680="","",Master!I680)</x:f>
      </x:c>
      <x:c r="I15" s="4" t="str">
        <x:f>IF(Master!J680="","",Master!J680)</x:f>
      </x:c>
      <x:c r="J15" s="4" t="str">
        <x:f>IF(Master!K680="","",Master!K680)</x:f>
      </x:c>
      <x:c r="K15" s="4" t="str">
        <x:f>IF(Master!L680="","",Master!L680)</x:f>
        <x:v>No user-facing AI features; not applicable</x:v>
      </x:c>
      <x:c r="L15" s="4" t="str">
        <x:f>IF(Master!M680="","",Master!M680)</x:f>
      </x:c>
      <x:c r="M15" s="4" t="str">
        <x:f>IF(Master!N680="","",Master!N680)</x:f>
      </x:c>
      <x:c r="N15" s="4" t="str">
        <x:f>IF(Master!O680="","",Master!O680)</x:f>
      </x:c>
      <x:c r="O15" s="4" t="str">
        <x:f>IF(Master!P680="","",Master!P680)</x:f>
      </x:c>
      <x:c r="P15" s="4" t="str">
        <x:f>IF(Master!Q680="","",Master!Q680)</x:f>
      </x:c>
      <x:c r="Q15" s="4" t="str">
        <x:f>IF(Master!R680="","",Master!R680)</x:f>
      </x:c>
      <x:c r="R15" s="4" t="str">
        <x:f>IF(Master!S680="","",Master!S680)</x:f>
      </x:c>
      <x:c r="S15" s="4" t="str">
        <x:f>IF(Master!T680="","",Master!T680)</x:f>
      </x:c>
      <x:c r="T15" s="4" t="str">
        <x:f>IF(Master!U680="","",Master!U680)</x:f>
      </x:c>
      <x:c r="U15" s="4" t="str">
        <x:f>IF(Master!V680="","",Master!V680)</x:f>
        <x:v>N/A</x:v>
      </x:c>
      <x:c r="V15" s="4" t="str">
        <x:f>IF(Master!W680="","",Master!W680)</x:f>
      </x:c>
      <x:c r="W15" s="4" t="str">
        <x:f>IF(Master!X680="","",Master!X680)</x:f>
      </x:c>
      <x:c r="X15" s="4" t="str">
        <x:f>IF(Master!Y680="","",Master!Y680)</x:f>
      </x:c>
      <x:c r="Y15" s="4" t="str">
        <x:f>IF(Master!Z680="","",Master!Z680)</x:f>
      </x:c>
      <x:c r="Z15" s="4" t="str">
        <x:f>IF(Master!AA680="","",Master!AA680)</x:f>
      </x:c>
      <x:c r="AA15" s="5" t="str">
        <x:f>IF(Master!AB680="","",Master!AB680)</x:f>
      </x:c>
      <x:c r="AB15" s="4" t="str">
        <x:f>IF(Master!AC680="","",Master!AC680)</x:f>
      </x:c>
      <x:c r="AC15" s="4" t="str">
        <x:f>IF(Master!AD680="","",Master!AD680)</x:f>
      </x:c>
      <x:c r="AD15" s="4" t="str">
        <x:f>IF(Master!AE680="","",Master!AE680)</x:f>
      </x:c>
      <x:c r="AE15" s="4" t="str">
        <x:f>IF(Master!AF680="","",Master!AF680)</x:f>
      </x:c>
      <x:c r="AF15" s="8" t="str">
        <x:f>IF(Master!AG680="","",Master!AG680)</x:f>
      </x:c>
    </x:row>
  </x:sheetData>
  <x:mergeCells>
    <x:mergeCell ref="A1:A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Directory'!A1","AI Features, Training Policy &amp; Transparency: Granular"),"AI Features, Training Policy &amp; Transparency: Granular")</x:f>
        <x:v>AI Features, Training Policy &amp; Transparency: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105</x:v>
      </x:c>
      <x:c r="B3" s="4" t="str">
        <x:f>IF(Master!C666="","",Master!C666)</x:f>
        <x:v>Limited: experimental Conversation Summaries + AI/ML safety features</x:v>
      </x:c>
      <x:c r="C3" s="4" t="str">
        <x:f>IF(Master!D666="","",Master!D666)</x:f>
        <x:v>None</x:v>
      </x:c>
      <x:c r="D3" s="4" t="str">
        <x:f>IF(Master!E666="","",Master!E666)</x:f>
        <x:v>None</x:v>
      </x:c>
      <x:c r="E3" s="4" t="str">
        <x:f>IF(Master!F666="","",Master!F666)</x:f>
        <x:v>No native AI advertised</x:v>
      </x:c>
      <x:c r="F3" s="4" t="str">
        <x:f>IF(Master!G666="","",Master!G666)</x:f>
        <x:v>No prominent native generative AI</x:v>
      </x:c>
      <x:c r="G3" s="4" t="str">
        <x:f>IF(Master!H666="","",Master!H666)</x:f>
        <x:v>No native AI/LLM inference over content</x:v>
      </x:c>
      <x:c r="H3" s="4" t="str">
        <x:f>IF(Master!I666="","",Master!I666)</x:f>
        <x:v>No prominent native generative AI verified</x:v>
      </x:c>
      <x:c r="I3" s="4" t="str">
        <x:f>IF(Master!J666="","",Master!J666)</x:f>
        <x:v>None advertised</x:v>
      </x:c>
      <x:c r="J3" s="4" t="str">
        <x:f>IF(Master!K666="","",Master!K666)</x:f>
        <x:v>None</x:v>
      </x:c>
      <x:c r="K3" s="4" t="str">
        <x:f>IF(Master!L666="","",Master!L666)</x:f>
        <x:v>No</x:v>
      </x:c>
      <x:c r="L3" s="4" t="str">
        <x:f>IF(Master!M666="","",Master!M666)</x:f>
        <x:v>No prominent native AI verified</x:v>
      </x:c>
      <x:c r="M3" s="4" t="str">
        <x:f>IF(Master!N666="","",Master!N666)</x:f>
        <x:v>Translation + transcription</x:v>
      </x:c>
      <x:c r="N3" s="4" t="str">
        <x:f>IF(Master!O666="","",Master!O666)</x:f>
        <x:v>No Matrix-wide native AI; provider/client-specific</x:v>
      </x:c>
      <x:c r="O3" s="4" t="str">
        <x:f>IF(Master!P666="","",Master!P666)</x:f>
        <x:v>Optional enterprise/integration AI</x:v>
      </x:c>
      <x:c r="P3" s="4" t="str">
        <x:f>IF(Master!Q666="","",Master!Q666)</x:f>
        <x:v>Yes: moderation/translation/summaries</x:v>
      </x:c>
      <x:c r="Q3" s="4" t="str">
        <x:f>IF(Master!R666="","",Master!R666)</x:f>
        <x:v>None</x:v>
      </x:c>
      <x:c r="R3" s="4" t="str">
        <x:f>IF(Master!S666="","",Master!S666)</x:f>
        <x:v>No native AI verified</x:v>
      </x:c>
      <x:c r="S3" s="4" t="str">
        <x:f>IF(Master!T666="","",Master!T666)</x:f>
        <x:v>No prominent native AI verified</x:v>
      </x:c>
      <x:c r="T3" s="4" t="str">
        <x:f>IF(Master!U666="","",Master!U666)</x:f>
        <x:v>No native AI channel tools pitched</x:v>
      </x:c>
      <x:c r="U3" s="4" t="str">
        <x:f>IF(Master!V666="","",Master!V666)</x:f>
        <x:v>No AI reading/training</x:v>
      </x:c>
      <x:c r="V3" s="4" t="str">
        <x:f>IF(Master!W666="","",Master!W666)</x:f>
        <x:v>Optional apps/integrations</x:v>
      </x:c>
      <x:c r="W3" s="4" t="str">
        <x:f>IF(Master!X666="","",Master!X666)</x:f>
        <x:v>None</x:v>
      </x:c>
      <x:c r="X3" s="4" t="str">
        <x:f>IF(Master!Y666="","",Master!Y666)</x:f>
        <x:v>No prominent generative AI feature</x:v>
      </x:c>
      <x:c r="Y3" s="4" t="str">
        <x:f>IF(Master!Z666="","",Master!Z666)</x:f>
        <x:v>None</x:v>
      </x:c>
      <x:c r="Z3" s="4" t="str">
        <x:f>IF(Master!AA666="","",Master!AA666)</x:f>
        <x:v>No prominent native generative-AI feature verified</x:v>
      </x:c>
      <x:c r="AA3" s="5" t="str">
        <x:f>IF(Master!AB666="","",Master!AB666)</x:f>
        <x:v>No prominent native generative AI verified</x:v>
      </x:c>
      <x:c r="AB3" s="4" t="str">
        <x:f>IF(Master!AC666="","",Master!AC666)</x:f>
        <x:v>None verified</x:v>
      </x:c>
      <x:c r="AC3" s="4" t="str">
        <x:f>IF(Master!AD666="","",Master!AD666)</x:f>
        <x:v>No native AI verified</x:v>
      </x:c>
      <x:c r="AD3" s="4" t="str">
        <x:f>IF(Master!AE666="","",Master!AE666)</x:f>
        <x:v>Game-specific AI features</x:v>
      </x:c>
      <x:c r="AE3" s="4" t="str">
        <x:f>IF(Master!AF666="","",Master!AF666)</x:f>
        <x:v>None</x:v>
      </x:c>
      <x:c r="AF3" s="8" t="str">
        <x:f>IF(Master!AG666="","",Master!AG666)</x:f>
        <x:v>None required</x:v>
      </x:c>
    </x:row>
    <x:row r="4" ht="36" customHeight="1">
      <x:c r="A4" s="17" t="s">
        <x:v>943</x:v>
      </x:c>
      <x:c r="B4" s="3" t="str">
        <x:f>IF(Master!C667="","",Master!C667)</x:f>
        <x:v>Yes</x:v>
      </x:c>
      <x:c r="C4" s="3" t="str">
        <x:f>IF(Master!D667="","",Master!D667)</x:f>
        <x:v>No</x:v>
      </x:c>
      <x:c r="D4" s="3" t="str">
        <x:f>IF(Master!E667="","",Master!E667)</x:f>
        <x:v>No</x:v>
      </x:c>
      <x:c r="E4" s="3" t="str">
        <x:f>IF(Master!F667="","",Master!F667)</x:f>
        <x:v>No</x:v>
      </x:c>
      <x:c r="F4" s="3" t="str">
        <x:f>IF(Master!G667="","",Master!G667)</x:f>
        <x:v>No</x:v>
      </x:c>
      <x:c r="G4" s="3" t="str">
        <x:f>IF(Master!H667="","",Master!H667)</x:f>
        <x:v>No</x:v>
      </x:c>
      <x:c r="H4" s="3" t="str">
        <x:f>IF(Master!I667="","",Master!I667)</x:f>
        <x:v>No</x:v>
      </x:c>
      <x:c r="I4" s="3" t="str">
        <x:f>IF(Master!J667="","",Master!J667)</x:f>
        <x:v>No</x:v>
      </x:c>
      <x:c r="J4" s="3" t="str">
        <x:f>IF(Master!K667="","",Master!K667)</x:f>
        <x:v>No</x:v>
      </x:c>
      <x:c r="K4" s="3" t="str">
        <x:f>IF(Master!L667="","",Master!L667)</x:f>
        <x:v>None</x:v>
      </x:c>
      <x:c r="L4" s="3" t="str">
        <x:f>IF(Master!M667="","",Master!M667)</x:f>
        <x:v>No</x:v>
      </x:c>
      <x:c r="M4" s="3" t="str">
        <x:f>IF(Master!N667="","",Master!N667)</x:f>
      </x:c>
      <x:c r="N4" s="3" t="str">
        <x:f>IF(Master!O667="","",Master!O667)</x:f>
        <x:v>No</x:v>
      </x:c>
      <x:c r="O4" s="3" t="str">
        <x:f>IF(Master!P667="","",Master!P667)</x:f>
        <x:v>Yes</x:v>
      </x:c>
      <x:c r="P4" s="3" t="str">
        <x:f>IF(Master!Q667="","",Master!Q667)</x:f>
        <x:v>Yes</x:v>
      </x:c>
      <x:c r="Q4" s="3" t="str">
        <x:f>IF(Master!R667="","",Master!R667)</x:f>
        <x:v>No</x:v>
      </x:c>
      <x:c r="R4" s="3" t="str">
        <x:f>IF(Master!S667="","",Master!S667)</x:f>
        <x:v>No</x:v>
      </x:c>
      <x:c r="S4" s="3" t="str">
        <x:f>IF(Master!T667="","",Master!T667)</x:f>
        <x:v>No</x:v>
      </x:c>
      <x:c r="T4" s="3" t="str">
        <x:f>IF(Master!U667="","",Master!U667)</x:f>
        <x:v>No</x:v>
      </x:c>
      <x:c r="U4" s="3" t="str">
        <x:f>IF(Master!V667="","",Master!V667)</x:f>
        <x:v>No</x:v>
      </x:c>
      <x:c r="V4" s="3" t="str">
        <x:f>IF(Master!W667="","",Master!W667)</x:f>
        <x:v>Yes</x:v>
      </x:c>
      <x:c r="W4" s="3" t="str">
        <x:f>IF(Master!X667="","",Master!X667)</x:f>
        <x:v>No</x:v>
      </x:c>
      <x:c r="X4" s="3" t="str">
        <x:f>IF(Master!Y667="","",Master!Y667)</x:f>
        <x:v>No</x:v>
      </x:c>
      <x:c r="Y4" s="3" t="str">
        <x:f>IF(Master!Z667="","",Master!Z667)</x:f>
        <x:v>No</x:v>
      </x:c>
      <x:c r="Z4" s="3" t="str">
        <x:f>IF(Master!AA667="","",Master!AA667)</x:f>
        <x:v>No</x:v>
      </x:c>
      <x:c r="AA4" s="6" t="str">
        <x:f>IF(Master!AB667="","",Master!AB667)</x:f>
        <x:v>No</x:v>
      </x:c>
      <x:c r="AB4" s="3" t="str">
        <x:f>IF(Master!AC667="","",Master!AC667)</x:f>
        <x:v>No</x:v>
      </x:c>
      <x:c r="AC4" s="3" t="str">
        <x:f>IF(Master!AD667="","",Master!AD667)</x:f>
        <x:v>No</x:v>
      </x:c>
      <x:c r="AD4" s="3" t="str">
        <x:f>IF(Master!AE667="","",Master!AE667)</x:f>
        <x:v>Yes</x:v>
      </x:c>
      <x:c r="AE4" s="3" t="str">
        <x:f>IF(Master!AF667="","",Master!AF667)</x:f>
        <x:v>No</x:v>
      </x:c>
      <x:c r="AF4" s="8" t="str">
        <x:f>IF(Master!AG667="","",Master!AG667)</x:f>
        <x:v>No</x:v>
      </x:c>
    </x:row>
    <x:row r="5" ht="36" customHeight="1">
      <x:c r="A5" s="17" t="s">
        <x:v>950</x:v>
      </x:c>
      <x:c r="B5" s="3" t="str">
        <x:f>IF(Master!C668="","",Master!C668)</x:f>
        <x:v>Yes</x:v>
      </x:c>
      <x:c r="C5" s="3" t="str">
        <x:f>IF(Master!D668="","",Master!D668)</x:f>
      </x:c>
      <x:c r="D5" s="3" t="str">
        <x:f>IF(Master!E668="","",Master!E668)</x:f>
      </x:c>
      <x:c r="E5" s="3" t="str">
        <x:f>IF(Master!F668="","",Master!F668)</x:f>
      </x:c>
      <x:c r="F5" s="3" t="str">
        <x:f>IF(Master!G668="","",Master!G668)</x:f>
      </x:c>
      <x:c r="G5" s="3" t="str">
        <x:f>IF(Master!H668="","",Master!H668)</x:f>
      </x:c>
      <x:c r="H5" s="3" t="str">
        <x:f>IF(Master!I668="","",Master!I668)</x:f>
      </x:c>
      <x:c r="I5" s="3" t="str">
        <x:f>IF(Master!J668="","",Master!J668)</x:f>
      </x:c>
      <x:c r="J5" s="3" t="str">
        <x:f>IF(Master!K668="","",Master!K668)</x:f>
      </x:c>
      <x:c r="K5" s="3" t="str">
        <x:f>IF(Master!L668="","",Master!L668)</x:f>
        <x:v>None</x:v>
      </x:c>
      <x:c r="L5" s="3" t="str">
        <x:f>IF(Master!M668="","",Master!M668)</x:f>
      </x:c>
      <x:c r="M5" s="3" t="str">
        <x:f>IF(Master!N668="","",Master!N668)</x:f>
      </x:c>
      <x:c r="N5" s="3" t="str">
        <x:f>IF(Master!O668="","",Master!O668)</x:f>
      </x:c>
      <x:c r="O5" s="3" t="str">
        <x:f>IF(Master!P668="","",Master!P668)</x:f>
      </x:c>
      <x:c r="P5" s="3" t="str">
        <x:f>IF(Master!Q668="","",Master!Q668)</x:f>
        <x:v>Yes</x:v>
      </x:c>
      <x:c r="Q5" s="3" t="str">
        <x:f>IF(Master!R668="","",Master!R668)</x:f>
      </x:c>
      <x:c r="R5" s="3" t="str">
        <x:f>IF(Master!S668="","",Master!S668)</x:f>
      </x:c>
      <x:c r="S5" s="3" t="str">
        <x:f>IF(Master!T668="","",Master!T668)</x:f>
      </x:c>
      <x:c r="T5" s="3" t="str">
        <x:f>IF(Master!U668="","",Master!U668)</x:f>
      </x:c>
      <x:c r="U5" s="3" t="str">
        <x:f>IF(Master!V668="","",Master!V668)</x:f>
        <x:v>No</x:v>
      </x:c>
      <x:c r="V5" s="3" t="str">
        <x:f>IF(Master!W668="","",Master!W668)</x:f>
      </x:c>
      <x:c r="W5" s="3" t="str">
        <x:f>IF(Master!X668="","",Master!X668)</x:f>
      </x:c>
      <x:c r="X5" s="3" t="str">
        <x:f>IF(Master!Y668="","",Master!Y668)</x:f>
      </x:c>
      <x:c r="Y5" s="3" t="str">
        <x:f>IF(Master!Z668="","",Master!Z668)</x:f>
      </x:c>
      <x:c r="Z5" s="3" t="str">
        <x:f>IF(Master!AA668="","",Master!AA668)</x:f>
      </x:c>
      <x:c r="AA5" s="6" t="str">
        <x:f>IF(Master!AB668="","",Master!AB668)</x:f>
      </x:c>
      <x:c r="AB5" s="3" t="str">
        <x:f>IF(Master!AC668="","",Master!AC668)</x:f>
      </x:c>
      <x:c r="AC5" s="3" t="str">
        <x:f>IF(Master!AD668="","",Master!AD668)</x:f>
      </x:c>
      <x:c r="AD5" s="3" t="str">
        <x:f>IF(Master!AE668="","",Master!AE668)</x:f>
      </x:c>
      <x:c r="AE5" s="3" t="str">
        <x:f>IF(Master!AF668="","",Master!AF668)</x:f>
      </x:c>
      <x:c r="AF5" s="8" t="str">
        <x:f>IF(Master!AG668="","",Master!AG668)</x:f>
      </x:c>
    </x:row>
    <x:row r="6" ht="36" customHeight="1">
      <x:c r="A6" s="17" t="s">
        <x:v>951</x:v>
      </x:c>
      <x:c r="B6" s="3" t="str">
        <x:f>IF(Master!C669="","",Master!C669)</x:f>
      </x:c>
      <x:c r="C6" s="3" t="str">
        <x:f>IF(Master!D669="","",Master!D669)</x:f>
      </x:c>
      <x:c r="D6" s="3" t="str">
        <x:f>IF(Master!E669="","",Master!E669)</x:f>
      </x:c>
      <x:c r="E6" s="3" t="str">
        <x:f>IF(Master!F669="","",Master!F669)</x:f>
      </x:c>
      <x:c r="F6" s="3" t="str">
        <x:f>IF(Master!G669="","",Master!G669)</x:f>
      </x:c>
      <x:c r="G6" s="3" t="str">
        <x:f>IF(Master!H669="","",Master!H669)</x:f>
      </x:c>
      <x:c r="H6" s="3" t="str">
        <x:f>IF(Master!I669="","",Master!I669)</x:f>
      </x:c>
      <x:c r="I6" s="3" t="str">
        <x:f>IF(Master!J669="","",Master!J669)</x:f>
      </x:c>
      <x:c r="J6" s="3" t="str">
        <x:f>IF(Master!K669="","",Master!K669)</x:f>
      </x:c>
      <x:c r="K6" s="3" t="str">
        <x:f>IF(Master!L669="","",Master!L669)</x:f>
        <x:v>None</x:v>
      </x:c>
      <x:c r="L6" s="3" t="str">
        <x:f>IF(Master!M669="","",Master!M669)</x:f>
      </x:c>
      <x:c r="M6" s="3" t="str">
        <x:f>IF(Master!N669="","",Master!N669)</x:f>
      </x:c>
      <x:c r="N6" s="3" t="str">
        <x:f>IF(Master!O669="","",Master!O669)</x:f>
      </x:c>
      <x:c r="O6" s="3" t="str">
        <x:f>IF(Master!P669="","",Master!P669)</x:f>
      </x:c>
      <x:c r="P6" s="3" t="str">
        <x:f>IF(Master!Q669="","",Master!Q669)</x:f>
        <x:v>Yes</x:v>
      </x:c>
      <x:c r="Q6" s="3" t="str">
        <x:f>IF(Master!R669="","",Master!R669)</x:f>
      </x:c>
      <x:c r="R6" s="3" t="str">
        <x:f>IF(Master!S669="","",Master!S669)</x:f>
      </x:c>
      <x:c r="S6" s="3" t="str">
        <x:f>IF(Master!T669="","",Master!T669)</x:f>
      </x:c>
      <x:c r="T6" s="3" t="str">
        <x:f>IF(Master!U669="","",Master!U669)</x:f>
      </x:c>
      <x:c r="U6" s="3" t="str">
        <x:f>IF(Master!V669="","",Master!V669)</x:f>
        <x:v>No</x:v>
      </x:c>
      <x:c r="V6" s="3" t="str">
        <x:f>IF(Master!W669="","",Master!W669)</x:f>
      </x:c>
      <x:c r="W6" s="3" t="str">
        <x:f>IF(Master!X669="","",Master!X669)</x:f>
      </x:c>
      <x:c r="X6" s="3" t="str">
        <x:f>IF(Master!Y669="","",Master!Y669)</x:f>
      </x:c>
      <x:c r="Y6" s="3" t="str">
        <x:f>IF(Master!Z669="","",Master!Z669)</x:f>
      </x:c>
      <x:c r="Z6" s="3" t="str">
        <x:f>IF(Master!AA669="","",Master!AA669)</x:f>
      </x:c>
      <x:c r="AA6" s="6" t="str">
        <x:f>IF(Master!AB669="","",Master!AB669)</x:f>
      </x:c>
      <x:c r="AB6" s="3" t="str">
        <x:f>IF(Master!AC669="","",Master!AC669)</x:f>
      </x:c>
      <x:c r="AC6" s="3" t="str">
        <x:f>IF(Master!AD669="","",Master!AD669)</x:f>
      </x:c>
      <x:c r="AD6" s="3" t="str">
        <x:f>IF(Master!AE669="","",Master!AE669)</x:f>
      </x:c>
      <x:c r="AE6" s="3" t="str">
        <x:f>IF(Master!AF669="","",Master!AF669)</x:f>
      </x:c>
      <x:c r="AF6" s="8" t="str">
        <x:f>IF(Master!AG669="","",Master!AG669)</x:f>
      </x:c>
    </x:row>
    <x:row r="7" ht="36" customHeight="1">
      <x:c r="A7" s="17" t="s">
        <x:v>944</x:v>
      </x:c>
      <x:c r="B7" s="3" t="str">
        <x:f>IF(Master!C670="","",Master!C670)</x:f>
      </x:c>
      <x:c r="C7" s="3" t="str">
        <x:f>IF(Master!D670="","",Master!D670)</x:f>
      </x:c>
      <x:c r="D7" s="3" t="str">
        <x:f>IF(Master!E670="","",Master!E670)</x:f>
      </x:c>
      <x:c r="E7" s="3" t="str">
        <x:f>IF(Master!F670="","",Master!F670)</x:f>
      </x:c>
      <x:c r="F7" s="3" t="str">
        <x:f>IF(Master!G670="","",Master!G670)</x:f>
      </x:c>
      <x:c r="G7" s="3" t="str">
        <x:f>IF(Master!H670="","",Master!H670)</x:f>
      </x:c>
      <x:c r="H7" s="3" t="str">
        <x:f>IF(Master!I670="","",Master!I670)</x:f>
      </x:c>
      <x:c r="I7" s="3" t="str">
        <x:f>IF(Master!J670="","",Master!J670)</x:f>
      </x:c>
      <x:c r="J7" s="3" t="str">
        <x:f>IF(Master!K670="","",Master!K670)</x:f>
      </x:c>
      <x:c r="K7" s="3" t="str">
        <x:f>IF(Master!L670="","",Master!L670)</x:f>
        <x:v>None</x:v>
      </x:c>
      <x:c r="L7" s="3" t="str">
        <x:f>IF(Master!M670="","",Master!M670)</x:f>
      </x:c>
      <x:c r="M7" s="3" t="str">
        <x:f>IF(Master!N670="","",Master!N670)</x:f>
      </x:c>
      <x:c r="N7" s="3" t="str">
        <x:f>IF(Master!O670="","",Master!O670)</x:f>
      </x:c>
      <x:c r="O7" s="3" t="str">
        <x:f>IF(Master!P670="","",Master!P670)</x:f>
        <x:v>Yes</x:v>
      </x:c>
      <x:c r="P7" s="3" t="str">
        <x:f>IF(Master!Q670="","",Master!Q670)</x:f>
      </x:c>
      <x:c r="Q7" s="3" t="str">
        <x:f>IF(Master!R670="","",Master!R670)</x:f>
      </x:c>
      <x:c r="R7" s="3" t="str">
        <x:f>IF(Master!S670="","",Master!S670)</x:f>
      </x:c>
      <x:c r="S7" s="3" t="str">
        <x:f>IF(Master!T670="","",Master!T670)</x:f>
      </x:c>
      <x:c r="T7" s="3" t="str">
        <x:f>IF(Master!U670="","",Master!U670)</x:f>
      </x:c>
      <x:c r="U7" s="3" t="str">
        <x:f>IF(Master!V670="","",Master!V670)</x:f>
        <x:v>No</x:v>
      </x:c>
      <x:c r="V7" s="3" t="str">
        <x:f>IF(Master!W670="","",Master!W670)</x:f>
      </x:c>
      <x:c r="W7" s="3" t="str">
        <x:f>IF(Master!X670="","",Master!X670)</x:f>
      </x:c>
      <x:c r="X7" s="3" t="str">
        <x:f>IF(Master!Y670="","",Master!Y670)</x:f>
      </x:c>
      <x:c r="Y7" s="3" t="str">
        <x:f>IF(Master!Z670="","",Master!Z670)</x:f>
      </x:c>
      <x:c r="Z7" s="3" t="str">
        <x:f>IF(Master!AA670="","",Master!AA670)</x:f>
      </x:c>
      <x:c r="AA7" s="6" t="str">
        <x:f>IF(Master!AB670="","",Master!AB670)</x:f>
      </x:c>
      <x:c r="AB7" s="3" t="str">
        <x:f>IF(Master!AC670="","",Master!AC670)</x:f>
      </x:c>
      <x:c r="AC7" s="3" t="str">
        <x:f>IF(Master!AD670="","",Master!AD670)</x:f>
      </x:c>
      <x:c r="AD7" s="3" t="str">
        <x:f>IF(Master!AE670="","",Master!AE670)</x:f>
      </x:c>
      <x:c r="AE7" s="3" t="str">
        <x:f>IF(Master!AF670="","",Master!AF670)</x:f>
      </x:c>
      <x:c r="AF7" s="8" t="str">
        <x:f>IF(Master!AG670="","",Master!AG670)</x:f>
      </x:c>
    </x:row>
    <x:row r="8" ht="36" customHeight="1">
      <x:c r="A8" s="17" t="s">
        <x:v>952</x:v>
      </x:c>
      <x:c r="B8" s="3" t="str">
        <x:f>IF(Master!C671="","",Master!C671)</x:f>
      </x:c>
      <x:c r="C8" s="3" t="str">
        <x:f>IF(Master!D671="","",Master!D671)</x:f>
      </x:c>
      <x:c r="D8" s="3" t="str">
        <x:f>IF(Master!E671="","",Master!E671)</x:f>
      </x:c>
      <x:c r="E8" s="3" t="str">
        <x:f>IF(Master!F671="","",Master!F671)</x:f>
      </x:c>
      <x:c r="F8" s="3" t="str">
        <x:f>IF(Master!G671="","",Master!G671)</x:f>
      </x:c>
      <x:c r="G8" s="3" t="str">
        <x:f>IF(Master!H671="","",Master!H671)</x:f>
      </x:c>
      <x:c r="H8" s="3" t="str">
        <x:f>IF(Master!I671="","",Master!I671)</x:f>
      </x:c>
      <x:c r="I8" s="3" t="str">
        <x:f>IF(Master!J671="","",Master!J671)</x:f>
      </x:c>
      <x:c r="J8" s="3" t="str">
        <x:f>IF(Master!K671="","",Master!K671)</x:f>
      </x:c>
      <x:c r="K8" s="3" t="str">
        <x:f>IF(Master!L671="","",Master!L671)</x:f>
        <x:v>None</x:v>
      </x:c>
      <x:c r="L8" s="3" t="str">
        <x:f>IF(Master!M671="","",Master!M671)</x:f>
      </x:c>
      <x:c r="M8" s="3" t="str">
        <x:f>IF(Master!N671="","",Master!N671)</x:f>
      </x:c>
      <x:c r="N8" s="3" t="str">
        <x:f>IF(Master!O671="","",Master!O671)</x:f>
      </x:c>
      <x:c r="O8" s="3" t="str">
        <x:f>IF(Master!P671="","",Master!P671)</x:f>
        <x:v>Yes</x:v>
      </x:c>
      <x:c r="P8" s="3" t="str">
        <x:f>IF(Master!Q671="","",Master!Q671)</x:f>
        <x:v>Yes</x:v>
      </x:c>
      <x:c r="Q8" s="3" t="str">
        <x:f>IF(Master!R671="","",Master!R671)</x:f>
      </x:c>
      <x:c r="R8" s="3" t="str">
        <x:f>IF(Master!S671="","",Master!S671)</x:f>
      </x:c>
      <x:c r="S8" s="3" t="str">
        <x:f>IF(Master!T671="","",Master!T671)</x:f>
      </x:c>
      <x:c r="T8" s="3" t="str">
        <x:f>IF(Master!U671="","",Master!U671)</x:f>
      </x:c>
      <x:c r="U8" s="3" t="str">
        <x:f>IF(Master!V671="","",Master!V671)</x:f>
        <x:v>No</x:v>
      </x:c>
      <x:c r="V8" s="3" t="str">
        <x:f>IF(Master!W671="","",Master!W671)</x:f>
      </x:c>
      <x:c r="W8" s="3" t="str">
        <x:f>IF(Master!X671="","",Master!X671)</x:f>
      </x:c>
      <x:c r="X8" s="3" t="str">
        <x:f>IF(Master!Y671="","",Master!Y671)</x:f>
      </x:c>
      <x:c r="Y8" s="3" t="str">
        <x:f>IF(Master!Z671="","",Master!Z671)</x:f>
      </x:c>
      <x:c r="Z8" s="3" t="str">
        <x:f>IF(Master!AA671="","",Master!AA671)</x:f>
      </x:c>
      <x:c r="AA8" s="6" t="str">
        <x:f>IF(Master!AB671="","",Master!AB671)</x:f>
      </x:c>
      <x:c r="AB8" s="3" t="str">
        <x:f>IF(Master!AC671="","",Master!AC671)</x:f>
      </x:c>
      <x:c r="AC8" s="3" t="str">
        <x:f>IF(Master!AD671="","",Master!AD671)</x:f>
      </x:c>
      <x:c r="AD8" s="3" t="str">
        <x:f>IF(Master!AE671="","",Master!AE671)</x:f>
      </x:c>
      <x:c r="AE8" s="3" t="str">
        <x:f>IF(Master!AF671="","",Master!AF671)</x:f>
      </x:c>
      <x:c r="AF8" s="8" t="str">
        <x:f>IF(Master!AG671="","",Master!AG671)</x:f>
      </x:c>
    </x:row>
    <x:row r="9" ht="36" customHeight="1">
      <x:c r="A9" s="17" t="s">
        <x:v>945</x:v>
      </x:c>
      <x:c r="B9" s="3" t="str">
        <x:f>IF(Master!C672="","",Master!C672)</x:f>
        <x:v>Yes</x:v>
      </x:c>
      <x:c r="C9" s="3" t="str">
        <x:f>IF(Master!D672="","",Master!D672)</x:f>
      </x:c>
      <x:c r="D9" s="3" t="str">
        <x:f>IF(Master!E672="","",Master!E672)</x:f>
      </x:c>
      <x:c r="E9" s="3" t="str">
        <x:f>IF(Master!F672="","",Master!F672)</x:f>
      </x:c>
      <x:c r="F9" s="3" t="str">
        <x:f>IF(Master!G672="","",Master!G672)</x:f>
      </x:c>
      <x:c r="G9" s="3" t="str">
        <x:f>IF(Master!H672="","",Master!H672)</x:f>
      </x:c>
      <x:c r="H9" s="3" t="str">
        <x:f>IF(Master!I672="","",Master!I672)</x:f>
      </x:c>
      <x:c r="I9" s="3" t="str">
        <x:f>IF(Master!J672="","",Master!J672)</x:f>
      </x:c>
      <x:c r="J9" s="3" t="str">
        <x:f>IF(Master!K672="","",Master!K672)</x:f>
      </x:c>
      <x:c r="K9" s="3" t="str">
        <x:f>IF(Master!L672="","",Master!L672)</x:f>
        <x:v>None</x:v>
      </x:c>
      <x:c r="L9" s="3" t="str">
        <x:f>IF(Master!M672="","",Master!M672)</x:f>
      </x:c>
      <x:c r="M9" s="3" t="str">
        <x:f>IF(Master!N672="","",Master!N672)</x:f>
      </x:c>
      <x:c r="N9" s="3" t="str">
        <x:f>IF(Master!O672="","",Master!O672)</x:f>
      </x:c>
      <x:c r="O9" s="3" t="str">
        <x:f>IF(Master!P672="","",Master!P672)</x:f>
      </x:c>
      <x:c r="P9" s="3" t="str">
        <x:f>IF(Master!Q672="","",Master!Q672)</x:f>
        <x:v>Yes</x:v>
      </x:c>
      <x:c r="Q9" s="3" t="str">
        <x:f>IF(Master!R672="","",Master!R672)</x:f>
      </x:c>
      <x:c r="R9" s="3" t="str">
        <x:f>IF(Master!S672="","",Master!S672)</x:f>
      </x:c>
      <x:c r="S9" s="3" t="str">
        <x:f>IF(Master!T672="","",Master!T672)</x:f>
      </x:c>
      <x:c r="T9" s="3" t="str">
        <x:f>IF(Master!U672="","",Master!U672)</x:f>
      </x:c>
      <x:c r="U9" s="3" t="str">
        <x:f>IF(Master!V672="","",Master!V672)</x:f>
        <x:v>No</x:v>
      </x:c>
      <x:c r="V9" s="3" t="str">
        <x:f>IF(Master!W672="","",Master!W672)</x:f>
      </x:c>
      <x:c r="W9" s="3" t="str">
        <x:f>IF(Master!X672="","",Master!X672)</x:f>
      </x:c>
      <x:c r="X9" s="3" t="str">
        <x:f>IF(Master!Y672="","",Master!Y672)</x:f>
      </x:c>
      <x:c r="Y9" s="3" t="str">
        <x:f>IF(Master!Z672="","",Master!Z672)</x:f>
      </x:c>
      <x:c r="Z9" s="3" t="str">
        <x:f>IF(Master!AA672="","",Master!AA672)</x:f>
      </x:c>
      <x:c r="AA9" s="6" t="str">
        <x:f>IF(Master!AB672="","",Master!AB672)</x:f>
      </x:c>
      <x:c r="AB9" s="3" t="str">
        <x:f>IF(Master!AC672="","",Master!AC672)</x:f>
      </x:c>
      <x:c r="AC9" s="3" t="str">
        <x:f>IF(Master!AD672="","",Master!AD672)</x:f>
      </x:c>
      <x:c r="AD9" s="3" t="str">
        <x:f>IF(Master!AE672="","",Master!AE672)</x:f>
      </x:c>
      <x:c r="AE9" s="3" t="str">
        <x:f>IF(Master!AF672="","",Master!AF672)</x:f>
      </x:c>
      <x:c r="AF9" s="8" t="str">
        <x:f>IF(Master!AG672="","",Master!AG672)</x:f>
      </x:c>
    </x:row>
    <x:row r="10" ht="36" customHeight="1">
      <x:c r="A10" s="17" t="s">
        <x:v>946</x:v>
      </x:c>
      <x:c r="B10" s="3" t="str">
        <x:f>IF(Master!C673="","",Master!C673)</x:f>
      </x:c>
      <x:c r="C10" s="3" t="str">
        <x:f>IF(Master!D673="","",Master!D673)</x:f>
      </x:c>
      <x:c r="D10" s="3" t="str">
        <x:f>IF(Master!E673="","",Master!E673)</x:f>
      </x:c>
      <x:c r="E10" s="3" t="str">
        <x:f>IF(Master!F673="","",Master!F673)</x:f>
      </x:c>
      <x:c r="F10" s="3" t="str">
        <x:f>IF(Master!G673="","",Master!G673)</x:f>
      </x:c>
      <x:c r="G10" s="3" t="str">
        <x:f>IF(Master!H673="","",Master!H673)</x:f>
      </x:c>
      <x:c r="H10" s="3" t="str">
        <x:f>IF(Master!I673="","",Master!I673)</x:f>
      </x:c>
      <x:c r="I10" s="3" t="str">
        <x:f>IF(Master!J673="","",Master!J673)</x:f>
      </x:c>
      <x:c r="J10" s="3" t="str">
        <x:f>IF(Master!K673="","",Master!K673)</x:f>
      </x:c>
      <x:c r="K10" s="3" t="str">
        <x:f>IF(Master!L673="","",Master!L673)</x:f>
        <x:v>None</x:v>
      </x:c>
      <x:c r="L10" s="3" t="str">
        <x:f>IF(Master!M673="","",Master!M673)</x:f>
      </x:c>
      <x:c r="M10" s="3" t="str">
        <x:f>IF(Master!N673="","",Master!N673)</x:f>
        <x:v>Yes</x:v>
      </x:c>
      <x:c r="N10" s="3" t="str">
        <x:f>IF(Master!O673="","",Master!O673)</x:f>
      </x:c>
      <x:c r="O10" s="3" t="str">
        <x:f>IF(Master!P673="","",Master!P673)</x:f>
      </x:c>
      <x:c r="P10" s="3" t="str">
        <x:f>IF(Master!Q673="","",Master!Q673)</x:f>
        <x:v>Yes</x:v>
      </x:c>
      <x:c r="Q10" s="3" t="str">
        <x:f>IF(Master!R673="","",Master!R673)</x:f>
      </x:c>
      <x:c r="R10" s="3" t="str">
        <x:f>IF(Master!S673="","",Master!S673)</x:f>
      </x:c>
      <x:c r="S10" s="3" t="str">
        <x:f>IF(Master!T673="","",Master!T673)</x:f>
      </x:c>
      <x:c r="T10" s="3" t="str">
        <x:f>IF(Master!U673="","",Master!U673)</x:f>
      </x:c>
      <x:c r="U10" s="3" t="str">
        <x:f>IF(Master!V673="","",Master!V673)</x:f>
        <x:v>No</x:v>
      </x:c>
      <x:c r="V10" s="3" t="str">
        <x:f>IF(Master!W673="","",Master!W673)</x:f>
      </x:c>
      <x:c r="W10" s="3" t="str">
        <x:f>IF(Master!X673="","",Master!X673)</x:f>
      </x:c>
      <x:c r="X10" s="3" t="str">
        <x:f>IF(Master!Y673="","",Master!Y673)</x:f>
      </x:c>
      <x:c r="Y10" s="3" t="str">
        <x:f>IF(Master!Z673="","",Master!Z673)</x:f>
      </x:c>
      <x:c r="Z10" s="3" t="str">
        <x:f>IF(Master!AA673="","",Master!AA673)</x:f>
      </x:c>
      <x:c r="AA10" s="6" t="str">
        <x:f>IF(Master!AB673="","",Master!AB673)</x:f>
      </x:c>
      <x:c r="AB10" s="3" t="str">
        <x:f>IF(Master!AC673="","",Master!AC673)</x:f>
      </x:c>
      <x:c r="AC10" s="3" t="str">
        <x:f>IF(Master!AD673="","",Master!AD673)</x:f>
      </x:c>
      <x:c r="AD10" s="3" t="str">
        <x:f>IF(Master!AE673="","",Master!AE673)</x:f>
      </x:c>
      <x:c r="AE10" s="3" t="str">
        <x:f>IF(Master!AF673="","",Master!AF673)</x:f>
      </x:c>
      <x:c r="AF10" s="8" t="str">
        <x:f>IF(Master!AG673="","",Master!AG673)</x:f>
      </x:c>
    </x:row>
    <x:row r="11" ht="36" customHeight="1">
      <x:c r="A11" s="17" t="s">
        <x:v>947</x:v>
      </x:c>
      <x:c r="B11" s="3" t="str">
        <x:f>IF(Master!C674="","",Master!C674)</x:f>
      </x:c>
      <x:c r="C11" s="3" t="str">
        <x:f>IF(Master!D674="","",Master!D674)</x:f>
      </x:c>
      <x:c r="D11" s="3" t="str">
        <x:f>IF(Master!E674="","",Master!E674)</x:f>
      </x:c>
      <x:c r="E11" s="3" t="str">
        <x:f>IF(Master!F674="","",Master!F674)</x:f>
      </x:c>
      <x:c r="F11" s="3" t="str">
        <x:f>IF(Master!G674="","",Master!G674)</x:f>
      </x:c>
      <x:c r="G11" s="3" t="str">
        <x:f>IF(Master!H674="","",Master!H674)</x:f>
      </x:c>
      <x:c r="H11" s="3" t="str">
        <x:f>IF(Master!I674="","",Master!I674)</x:f>
      </x:c>
      <x:c r="I11" s="3" t="str">
        <x:f>IF(Master!J674="","",Master!J674)</x:f>
      </x:c>
      <x:c r="J11" s="3" t="str">
        <x:f>IF(Master!K674="","",Master!K674)</x:f>
      </x:c>
      <x:c r="K11" s="3" t="str">
        <x:f>IF(Master!L674="","",Master!L674)</x:f>
        <x:v>None</x:v>
      </x:c>
      <x:c r="L11" s="3" t="str">
        <x:f>IF(Master!M674="","",Master!M674)</x:f>
      </x:c>
      <x:c r="M11" s="3" t="str">
        <x:f>IF(Master!N674="","",Master!N674)</x:f>
        <x:v>Yes</x:v>
      </x:c>
      <x:c r="N11" s="3" t="str">
        <x:f>IF(Master!O674="","",Master!O674)</x:f>
      </x:c>
      <x:c r="O11" s="3" t="str">
        <x:f>IF(Master!P674="","",Master!P674)</x:f>
      </x:c>
      <x:c r="P11" s="3" t="str">
        <x:f>IF(Master!Q674="","",Master!Q674)</x:f>
        <x:v>Yes</x:v>
      </x:c>
      <x:c r="Q11" s="3" t="str">
        <x:f>IF(Master!R674="","",Master!R674)</x:f>
      </x:c>
      <x:c r="R11" s="3" t="str">
        <x:f>IF(Master!S674="","",Master!S674)</x:f>
      </x:c>
      <x:c r="S11" s="3" t="str">
        <x:f>IF(Master!T674="","",Master!T674)</x:f>
      </x:c>
      <x:c r="T11" s="3" t="str">
        <x:f>IF(Master!U674="","",Master!U674)</x:f>
      </x:c>
      <x:c r="U11" s="3" t="str">
        <x:f>IF(Master!V674="","",Master!V674)</x:f>
        <x:v>No</x:v>
      </x:c>
      <x:c r="V11" s="3" t="str">
        <x:f>IF(Master!W674="","",Master!W674)</x:f>
      </x:c>
      <x:c r="W11" s="3" t="str">
        <x:f>IF(Master!X674="","",Master!X674)</x:f>
      </x:c>
      <x:c r="X11" s="3" t="str">
        <x:f>IF(Master!Y674="","",Master!Y674)</x:f>
      </x:c>
      <x:c r="Y11" s="3" t="str">
        <x:f>IF(Master!Z674="","",Master!Z674)</x:f>
      </x:c>
      <x:c r="Z11" s="3" t="str">
        <x:f>IF(Master!AA674="","",Master!AA674)</x:f>
      </x:c>
      <x:c r="AA11" s="6" t="str">
        <x:f>IF(Master!AB674="","",Master!AB674)</x:f>
      </x:c>
      <x:c r="AB11" s="3" t="str">
        <x:f>IF(Master!AC674="","",Master!AC674)</x:f>
      </x:c>
      <x:c r="AC11" s="3" t="str">
        <x:f>IF(Master!AD674="","",Master!AD674)</x:f>
      </x:c>
      <x:c r="AD11" s="3" t="str">
        <x:f>IF(Master!AE674="","",Master!AE674)</x:f>
      </x:c>
      <x:c r="AE11" s="3" t="str">
        <x:f>IF(Master!AF674="","",Master!AF674)</x:f>
      </x:c>
      <x:c r="AF11" s="8" t="str">
        <x:f>IF(Master!AG674="","",Master!AG674)</x:f>
      </x:c>
    </x:row>
    <x:row r="12" ht="21.950000762939453" customHeight="1">
      <x:c r="A12" s="18" t="s">
        <x:v>953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954</x:v>
      </x:c>
      <x:c r="B13" s="3" t="str">
        <x:f>IF(Master!C675="","",Master!C675)</x:f>
        <x:v>No: Discord says it does not allow AI companies to train models using user messages; voice/video is generally not stored</x:v>
      </x:c>
      <x:c r="C13" s="3" t="str">
        <x:f>IF(Master!D675="","",Master!D675)</x:f>
        <x:v>No central content owner; encrypted content</x:v>
      </x:c>
      <x:c r="D13" s="3" t="str">
        <x:f>IF(Master!E675="","",Master!E675)</x:f>
        <x:v>Self-host/operator controlled</x:v>
      </x:c>
      <x:c r="E13" s="3" t="str">
        <x:f>IF(Master!F675="","",Master!F675)</x:f>
      </x:c>
      <x:c r="F13" s="3" t="str">
        <x:f>IF(Master!G675="","",Master!G675)</x:f>
      </x:c>
      <x:c r="G13" s="3" t="str">
        <x:f>IF(Master!H675="","",Master!H675)</x:f>
        <x:v>No: privacy policy explicitly forbids use for training/evaluation</x:v>
      </x:c>
      <x:c r="H13" s="3" t="str">
        <x:f>IF(Master!I675="","",Master!I675)</x:f>
      </x:c>
      <x:c r="I13" s="3" t="str">
        <x:f>IF(Master!J675="","",Master!J675)</x:f>
        <x:v>N/A/self-host</x:v>
      </x:c>
      <x:c r="J13" s="3" t="str">
        <x:f>IF(Master!K675="","",Master!K675)</x:f>
        <x:v>No server-readable plaintext</x:v>
      </x:c>
      <x:c r="K13" s="3" t="str">
        <x:f>IF(Master!L675="","",Master!L675)</x:f>
        <x:v>No (developer statement)</x:v>
      </x:c>
      <x:c r="L13" s="3" t="str">
        <x:f>IF(Master!M675="","",Master!M675)</x:f>
        <x:v>No behavioral tracking; training policy not explicitly verified</x:v>
      </x:c>
      <x:c r="M13" s="3" t="str">
        <x:f>IF(Master!N675="","",Master!N675)</x:f>
      </x:c>
      <x:c r="N13" s="3" t="str">
        <x:f>IF(Master!O675="","",Master!O675)</x:f>
        <x:v>No single Matrix-wide data controller; training policy depends on homeserver/client provider</x:v>
      </x:c>
      <x:c r="O13" s="3" t="str">
        <x:f>IF(Master!P675="","",Master!P675)</x:f>
        <x:v>Policy/deployment/provider-dependent; self-host can keep data controlled</x:v>
      </x:c>
      <x:c r="P13" s="3" t="str">
        <x:f>IF(Master!Q675="","",Master!Q675)</x:f>
      </x:c>
      <x:c r="Q13" s="3" t="str">
        <x:f>IF(Master!R675="","",Master!R675)</x:f>
        <x:v>No central service/model training; self-hosted</x:v>
      </x:c>
      <x:c r="R13" s="3" t="str">
        <x:f>IF(Master!S675="","",Master!S675)</x:f>
      </x:c>
      <x:c r="S13" s="3" t="str">
        <x:f>IF(Master!T675="","",Master!T675)</x:f>
      </x:c>
      <x:c r="T13" s="3" t="str">
        <x:f>IF(Master!U675="","",Master!U675)</x:f>
        <x:v>Not publicly claimed; website robots.txt Content Signal says ai-train=no</x:v>
      </x:c>
      <x:c r="U13" s="3" t="str">
        <x:f>IF(Master!V675="","",Master!V675)</x:f>
        <x:v>No: site says messages/uploads never train AI</x:v>
      </x:c>
      <x:c r="V13" s="3" t="str">
        <x:f>IF(Master!W675="","",Master!W675)</x:f>
      </x:c>
      <x:c r="W13" s="3" t="str">
        <x:f>IF(Master!X675="","",Master!X675)</x:f>
        <x:v>Provider/project dependent</x:v>
      </x:c>
      <x:c r="X13" s="3" t="str">
        <x:f>IF(Master!Y675="","",Master!Y675)</x:f>
        <x:v>No: privacy policy states content is not used to train AI models</x:v>
      </x:c>
      <x:c r="Y13" s="3" t="str">
        <x:f>IF(Master!Z675="","",Master!Z675)</x:f>
        <x:v>Self-hosted operator-controlled; no central training policy</x:v>
      </x:c>
      <x:c r="Z13" s="3" t="str">
        <x:f>IF(Master!AA675="","",Master!AA675)</x:f>
      </x:c>
      <x:c r="AA13" s="6" t="str">
        <x:f>IF(Master!AB675="","",Master!AB675)</x:f>
      </x:c>
      <x:c r="AB13" s="3" t="str">
        <x:f>IF(Master!AC675="","",Master!AC675)</x:f>
      </x:c>
      <x:c r="AC13" s="3" t="str">
        <x:f>IF(Master!AD675="","",Master!AD675)</x:f>
      </x:c>
      <x:c r="AD13" s="3" t="str">
        <x:f>IF(Master!AE675="","",Master!AE675)</x:f>
      </x:c>
      <x:c r="AE13" s="3" t="str">
        <x:f>IF(Master!AF675="","",Master!AF675)</x:f>
        <x:v>No model training claim; content stays on operator server</x:v>
      </x:c>
      <x:c r="AF13" s="8" t="str">
        <x:f>IF(Master!AG675="","",Master!AG675)</x:f>
        <x:v>Cloud/provider policy; no general claim of training user content found here</x:v>
      </x:c>
    </x:row>
    <x:row r="14" ht="36" customHeight="1">
      <x:c r="A14" s="17" t="s">
        <x:v>955</x:v>
      </x:c>
      <x:c r="B14" s="3" t="str">
        <x:f>IF(Master!C676="","",Master!C676)</x:f>
        <x:v>No: Discord says it does not allow AI companies to train models using user messages; voice/video is generally not stored</x:v>
      </x:c>
      <x:c r="C14" s="3" t="str">
        <x:f>IF(Master!D676="","",Master!D676)</x:f>
      </x:c>
      <x:c r="D14" s="3" t="str">
        <x:f>IF(Master!E676="","",Master!E676)</x:f>
      </x:c>
      <x:c r="E14" s="3" t="str">
        <x:f>IF(Master!F676="","",Master!F676)</x:f>
      </x:c>
      <x:c r="F14" s="3" t="str">
        <x:f>IF(Master!G676="","",Master!G676)</x:f>
      </x:c>
      <x:c r="G14" s="3" t="str">
        <x:f>IF(Master!H676="","",Master!H676)</x:f>
      </x:c>
      <x:c r="H14" s="3" t="str">
        <x:f>IF(Master!I676="","",Master!I676)</x:f>
      </x:c>
      <x:c r="I14" s="3" t="str">
        <x:f>IF(Master!J676="","",Master!J676)</x:f>
      </x:c>
      <x:c r="J14" s="3" t="str">
        <x:f>IF(Master!K676="","",Master!K676)</x:f>
      </x:c>
      <x:c r="K14" s="3" t="str">
        <x:f>IF(Master!L676="","",Master!L676)</x:f>
        <x:v>No (developer statement)</x:v>
      </x:c>
      <x:c r="L14" s="3" t="str">
        <x:f>IF(Master!M676="","",Master!M676)</x:f>
      </x:c>
      <x:c r="M14" s="3" t="str">
        <x:f>IF(Master!N676="","",Master!N676)</x:f>
      </x:c>
      <x:c r="N14" s="3" t="str">
        <x:f>IF(Master!O676="","",Master!O676)</x:f>
      </x:c>
      <x:c r="O14" s="3" t="str">
        <x:f>IF(Master!P676="","",Master!P676)</x:f>
      </x:c>
      <x:c r="P14" s="3" t="str">
        <x:f>IF(Master!Q676="","",Master!Q676)</x:f>
      </x:c>
      <x:c r="Q14" s="3" t="str">
        <x:f>IF(Master!R676="","",Master!R676)</x:f>
      </x:c>
      <x:c r="R14" s="3" t="str">
        <x:f>IF(Master!S676="","",Master!S676)</x:f>
      </x:c>
      <x:c r="S14" s="3" t="str">
        <x:f>IF(Master!T676="","",Master!T676)</x:f>
      </x:c>
      <x:c r="T14" s="3" t="str">
        <x:f>IF(Master!U676="","",Master!U676)</x:f>
        <x:v>Not publicly claimed</x:v>
      </x:c>
      <x:c r="U14" s="3" t="str">
        <x:f>IF(Master!V676="","",Master!V676)</x:f>
        <x:v>No: site says messages/uploads never train AI</x:v>
      </x:c>
      <x:c r="V14" s="3" t="str">
        <x:f>IF(Master!W676="","",Master!W676)</x:f>
      </x:c>
      <x:c r="W14" s="3" t="str">
        <x:f>IF(Master!X676="","",Master!X676)</x:f>
      </x:c>
      <x:c r="X14" s="3" t="str">
        <x:f>IF(Master!Y676="","",Master!Y676)</x:f>
      </x:c>
      <x:c r="Y14" s="3" t="str">
        <x:f>IF(Master!Z676="","",Master!Z676)</x:f>
      </x:c>
      <x:c r="Z14" s="3" t="str">
        <x:f>IF(Master!AA676="","",Master!AA676)</x:f>
      </x:c>
      <x:c r="AA14" s="6" t="str">
        <x:f>IF(Master!AB676="","",Master!AB676)</x:f>
      </x:c>
      <x:c r="AB14" s="3" t="str">
        <x:f>IF(Master!AC676="","",Master!AC676)</x:f>
      </x:c>
      <x:c r="AC14" s="3" t="str">
        <x:f>IF(Master!AD676="","",Master!AD676)</x:f>
      </x:c>
      <x:c r="AD14" s="3" t="str">
        <x:f>IF(Master!AE676="","",Master!AE676)</x:f>
      </x:c>
      <x:c r="AE14" s="3" t="str">
        <x:f>IF(Master!AF676="","",Master!AF676)</x:f>
      </x:c>
      <x:c r="AF14" s="8" t="str">
        <x:f>IF(Master!AG676="","",Master!AG676)</x:f>
      </x:c>
    </x:row>
    <x:row r="15" ht="36" customHeight="1">
      <x:c r="A15" s="17" t="s">
        <x:v>956</x:v>
      </x:c>
      <x:c r="B15" s="3" t="str">
        <x:f>IF(Master!C677="","",Master!C677)</x:f>
      </x:c>
      <x:c r="C15" s="3" t="str">
        <x:f>IF(Master!D677="","",Master!D677)</x:f>
        <x:v>No central content owner; encrypted content</x:v>
      </x:c>
      <x:c r="D15" s="3" t="str">
        <x:f>IF(Master!E677="","",Master!E677)</x:f>
      </x:c>
      <x:c r="E15" s="3" t="str">
        <x:f>IF(Master!F677="","",Master!F677)</x:f>
      </x:c>
      <x:c r="F15" s="3" t="str">
        <x:f>IF(Master!G677="","",Master!G677)</x:f>
      </x:c>
      <x:c r="G15" s="3" t="str">
        <x:f>IF(Master!H677="","",Master!H677)</x:f>
      </x:c>
      <x:c r="H15" s="3" t="str">
        <x:f>IF(Master!I677="","",Master!I677)</x:f>
      </x:c>
      <x:c r="I15" s="3" t="str">
        <x:f>IF(Master!J677="","",Master!J677)</x:f>
      </x:c>
      <x:c r="J15" s="3" t="str">
        <x:f>IF(Master!K677="","",Master!K677)</x:f>
      </x:c>
      <x:c r="K15" s="3" t="str">
        <x:f>IF(Master!L677="","",Master!L677)</x:f>
        <x:v>No (developer statement)</x:v>
      </x:c>
      <x:c r="L15" s="3" t="str">
        <x:f>IF(Master!M677="","",Master!M677)</x:f>
      </x:c>
      <x:c r="M15" s="3" t="str">
        <x:f>IF(Master!N677="","",Master!N677)</x:f>
      </x:c>
      <x:c r="N15" s="3" t="str">
        <x:f>IF(Master!O677="","",Master!O677)</x:f>
      </x:c>
      <x:c r="O15" s="3" t="str">
        <x:f>IF(Master!P677="","",Master!P677)</x:f>
      </x:c>
      <x:c r="P15" s="3" t="str">
        <x:f>IF(Master!Q677="","",Master!Q677)</x:f>
      </x:c>
      <x:c r="Q15" s="3" t="str">
        <x:f>IF(Master!R677="","",Master!R677)</x:f>
      </x:c>
      <x:c r="R15" s="3" t="str">
        <x:f>IF(Master!S677="","",Master!S677)</x:f>
      </x:c>
      <x:c r="S15" s="3" t="str">
        <x:f>IF(Master!T677="","",Master!T677)</x:f>
      </x:c>
      <x:c r="T15" s="3" t="str">
        <x:f>IF(Master!U677="","",Master!U677)</x:f>
        <x:v>Not publicly claimed</x:v>
      </x:c>
      <x:c r="U15" s="3" t="str">
        <x:f>IF(Master!V677="","",Master!V677)</x:f>
        <x:v>No: site says messages/uploads never train AI</x:v>
      </x:c>
      <x:c r="V15" s="3" t="str">
        <x:f>IF(Master!W677="","",Master!W677)</x:f>
      </x:c>
      <x:c r="W15" s="3" t="str">
        <x:f>IF(Master!X677="","",Master!X677)</x:f>
      </x:c>
      <x:c r="X15" s="3" t="str">
        <x:f>IF(Master!Y677="","",Master!Y677)</x:f>
        <x:v>No: privacy policy states content is not used to train AI models</x:v>
      </x:c>
      <x:c r="Y15" s="3" t="str">
        <x:f>IF(Master!Z677="","",Master!Z677)</x:f>
      </x:c>
      <x:c r="Z15" s="3" t="str">
        <x:f>IF(Master!AA677="","",Master!AA677)</x:f>
      </x:c>
      <x:c r="AA15" s="6" t="str">
        <x:f>IF(Master!AB677="","",Master!AB677)</x:f>
      </x:c>
      <x:c r="AB15" s="3" t="str">
        <x:f>IF(Master!AC677="","",Master!AC677)</x:f>
      </x:c>
      <x:c r="AC15" s="3" t="str">
        <x:f>IF(Master!AD677="","",Master!AD677)</x:f>
      </x:c>
      <x:c r="AD15" s="3" t="str">
        <x:f>IF(Master!AE677="","",Master!AE677)</x:f>
      </x:c>
      <x:c r="AE15" s="3" t="str">
        <x:f>IF(Master!AF677="","",Master!AF677)</x:f>
        <x:v>No model training claim; content stays on operator server</x:v>
      </x:c>
      <x:c r="AF15" s="8" t="str">
        <x:f>IF(Master!AG677="","",Master!AG677)</x:f>
        <x:v>Cloud/provider policy; no general claim of training user content found here</x:v>
      </x:c>
    </x:row>
    <x:row r="16" ht="36" customHeight="1">
      <x:c r="A16" s="17" t="s">
        <x:v>957</x:v>
      </x:c>
      <x:c r="B16" s="3" t="str">
        <x:f>IF(Master!C678="","",Master!C678)</x:f>
        <x:v>None for third-party model training (not permitted); experimental AI features may have separate visibility/privacy controls</x:v>
      </x:c>
      <x:c r="C16" s="3" t="str">
        <x:f>IF(Master!D678="","",Master!D678)</x:f>
        <x:v>N/A</x:v>
      </x:c>
      <x:c r="D16" s="3" t="str">
        <x:f>IF(Master!E678="","",Master!E678)</x:f>
        <x:v>N/A</x:v>
      </x:c>
      <x:c r="E16" s="3" t="str">
        <x:f>IF(Master!F678="","",Master!F678)</x:f>
      </x:c>
      <x:c r="F16" s="3" t="str">
        <x:f>IF(Master!G678="","",Master!G678)</x:f>
      </x:c>
      <x:c r="G16" s="3" t="str">
        <x:f>IF(Master!H678="","",Master!H678)</x:f>
        <x:v>None: not used for training</x:v>
      </x:c>
      <x:c r="H16" s="3" t="str">
        <x:f>IF(Master!I678="","",Master!I678)</x:f>
      </x:c>
      <x:c r="I16" s="3" t="str">
        <x:f>IF(Master!J678="","",Master!J678)</x:f>
        <x:v>None</x:v>
      </x:c>
      <x:c r="J16" s="3" t="str">
        <x:f>IF(Master!K678="","",Master!K678)</x:f>
        <x:v>N/A</x:v>
      </x:c>
      <x:c r="K16" s="3" t="str">
        <x:f>IF(Master!L678="","",Master!L678)</x:f>
        <x:v>None: project states it does not train on user data</x:v>
      </x:c>
      <x:c r="L16" s="3" t="str">
        <x:f>IF(Master!M678="","",Master!M678)</x:f>
      </x:c>
      <x:c r="M16" s="3" t="str">
        <x:f>IF(Master!N678="","",Master!N678)</x:f>
      </x:c>
      <x:c r="N16" s="3" t="str">
        <x:f>IF(Master!O678="","",Master!O678)</x:f>
        <x:v>Provider-specific</x:v>
      </x:c>
      <x:c r="O16" s="3" t="str">
        <x:f>IF(Master!P678="","",Master!P678)</x:f>
        <x:v>Deployment/provider-specific</x:v>
      </x:c>
      <x:c r="P16" s="3" t="str">
        <x:f>IF(Master!Q678="","",Master!Q678)</x:f>
      </x:c>
      <x:c r="Q16" s="3" t="str">
        <x:f>IF(Master!R678="","",Master!R678)</x:f>
        <x:v>N/A</x:v>
      </x:c>
      <x:c r="R16" s="3" t="str">
        <x:f>IF(Master!S678="","",Master!S678)</x:f>
      </x:c>
      <x:c r="S16" s="3" t="str">
        <x:f>IF(Master!T678="","",Master!T678)</x:f>
      </x:c>
      <x:c r="T16" s="3" t="str">
        <x:f>IF(Master!U678="","",Master!U678)</x:f>
        <x:v>Website Content Signal: ai-train=no; no separate user-chat training consent model stated</x:v>
      </x:c>
      <x:c r="U16" s="3" t="str">
        <x:f>IF(Master!V678="","",Master!V678)</x:f>
        <x:v>None</x:v>
      </x:c>
      <x:c r="V16" s="3" t="str">
        <x:f>IF(Master!W678="","",Master!W678)</x:f>
        <x:v>Deployment/provider-specific</x:v>
      </x:c>
      <x:c r="W16" s="3" t="str">
        <x:f>IF(Master!X678="","",Master!X678)</x:f>
      </x:c>
      <x:c r="X16" s="3" t="str">
        <x:f>IF(Master!Y678="","",Master!Y678)</x:f>
        <x:v>None for training</x:v>
      </x:c>
      <x:c r="Y16" s="3" t="str">
        <x:f>IF(Master!Z678="","",Master!Z678)</x:f>
        <x:v>Operator-dependent</x:v>
      </x:c>
      <x:c r="Z16" s="3" t="str">
        <x:f>IF(Master!AA678="","",Master!AA678)</x:f>
      </x:c>
      <x:c r="AA16" s="6" t="str">
        <x:f>IF(Master!AB678="","",Master!AB678)</x:f>
      </x:c>
      <x:c r="AB16" s="3" t="str">
        <x:f>IF(Master!AC678="","",Master!AC678)</x:f>
      </x:c>
      <x:c r="AC16" s="3" t="str">
        <x:f>IF(Master!AD678="","",Master!AD678)</x:f>
      </x:c>
      <x:c r="AD16" s="3" t="str">
        <x:f>IF(Master!AE678="","",Master!AE678)</x:f>
      </x:c>
      <x:c r="AE16" s="3" t="str">
        <x:f>IF(Master!AF678="","",Master!AF678)</x:f>
        <x:v>N/A</x:v>
      </x:c>
      <x:c r="AF16" s="8" t="str">
        <x:f>IF(Master!AG678="","",Master!AG678)</x:f>
      </x:c>
    </x:row>
    <x:row r="17" ht="36" customHeight="1">
      <x:c r="A17" s="17" t="s">
        <x:v>948</x:v>
      </x:c>
      <x:c r="B17" s="3" t="str">
        <x:f>IF(Master!C679="","",Master!C679)</x:f>
      </x:c>
      <x:c r="C17" s="3" t="str">
        <x:f>IF(Master!D679="","",Master!D679)</x:f>
      </x:c>
      <x:c r="D17" s="3" t="str">
        <x:f>IF(Master!E679="","",Master!E679)</x:f>
      </x:c>
      <x:c r="E17" s="3" t="str">
        <x:f>IF(Master!F679="","",Master!F679)</x:f>
      </x:c>
      <x:c r="F17" s="3" t="str">
        <x:f>IF(Master!G679="","",Master!G679)</x:f>
      </x:c>
      <x:c r="G17" s="3" t="str">
        <x:f>IF(Master!H679="","",Master!H679)</x:f>
      </x:c>
      <x:c r="H17" s="3" t="str">
        <x:f>IF(Master!I679="","",Master!I679)</x:f>
      </x:c>
      <x:c r="I17" s="3" t="str">
        <x:f>IF(Master!J679="","",Master!J679)</x:f>
      </x:c>
      <x:c r="J17" s="3" t="str">
        <x:f>IF(Master!K679="","",Master!K679)</x:f>
      </x:c>
      <x:c r="K17" s="3" t="str">
        <x:f>IF(Master!L679="","",Master!L679)</x:f>
        <x:v>Not disclosed</x:v>
      </x:c>
      <x:c r="L17" s="3" t="str">
        <x:f>IF(Master!M679="","",Master!M679)</x:f>
      </x:c>
      <x:c r="M17" s="3" t="str">
        <x:f>IF(Master!N679="","",Master!N679)</x:f>
      </x:c>
      <x:c r="N17" s="3" t="str">
        <x:f>IF(Master!O679="","",Master!O679)</x:f>
        <x:v>Provider/deployment-specific</x:v>
      </x:c>
      <x:c r="O17" s="3" t="str">
        <x:f>IF(Master!P679="","",Master!P679)</x:f>
        <x:v>Provider/deployment-specific</x:v>
      </x:c>
      <x:c r="P17" s="3" t="str">
        <x:f>IF(Master!Q679="","",Master!Q679)</x:f>
      </x:c>
      <x:c r="Q17" s="3" t="str">
        <x:f>IF(Master!R679="","",Master!R679)</x:f>
      </x:c>
      <x:c r="R17" s="3" t="str">
        <x:f>IF(Master!S679="","",Master!S679)</x:f>
      </x:c>
      <x:c r="S17" s="3" t="str">
        <x:f>IF(Master!T679="","",Master!T679)</x:f>
      </x:c>
      <x:c r="T17" s="3" t="str">
        <x:f>IF(Master!U679="","",Master!U679)</x:f>
      </x:c>
      <x:c r="U17" s="3" t="str">
        <x:f>IF(Master!V679="","",Master!V679)</x:f>
        <x:v>None</x:v>
      </x:c>
      <x:c r="V17" s="3" t="str">
        <x:f>IF(Master!W679="","",Master!W679)</x:f>
        <x:v>Provider/deployment-specific</x:v>
      </x:c>
      <x:c r="W17" s="3" t="str">
        <x:f>IF(Master!X679="","",Master!X679)</x:f>
      </x:c>
      <x:c r="X17" s="3" t="str">
        <x:f>IF(Master!Y679="","",Master!Y679)</x:f>
      </x:c>
      <x:c r="Y17" s="3" t="str">
        <x:f>IF(Master!Z679="","",Master!Z679)</x:f>
      </x:c>
      <x:c r="Z17" s="3" t="str">
        <x:f>IF(Master!AA679="","",Master!AA679)</x:f>
      </x:c>
      <x:c r="AA17" s="6" t="str">
        <x:f>IF(Master!AB679="","",Master!AB679)</x:f>
      </x:c>
      <x:c r="AB17" s="3" t="str">
        <x:f>IF(Master!AC679="","",Master!AC679)</x:f>
      </x:c>
      <x:c r="AC17" s="3" t="str">
        <x:f>IF(Master!AD679="","",Master!AD679)</x:f>
      </x:c>
      <x:c r="AD17" s="3" t="str">
        <x:f>IF(Master!AE679="","",Master!AE679)</x:f>
      </x:c>
      <x:c r="AE17" s="3" t="str">
        <x:f>IF(Master!AF679="","",Master!AF679)</x:f>
      </x:c>
      <x:c r="AF17" s="8" t="str">
        <x:f>IF(Master!AG679="","",Master!AG679)</x:f>
      </x:c>
    </x:row>
    <x:row r="18" ht="21.950000762939453" customHeight="1">
      <x:c r="A18" s="18" t="s">
        <x:v>958</x:v>
      </x:c>
      <x:c r="B18" s="18" t="str">
        <x:f t="shared" ref="B18:AF18" si="1">IF(""="","","")</x:f>
      </x:c>
      <x:c r="C18" s="18" t="str">
        <x:f t="shared" si="1"/>
      </x:c>
      <x:c r="D18" s="18" t="str">
        <x:f t="shared" si="1"/>
      </x:c>
      <x:c r="E18" s="18" t="str">
        <x:f t="shared" si="1"/>
      </x:c>
      <x:c r="F18" s="18" t="str">
        <x:f t="shared" si="1"/>
      </x:c>
      <x:c r="G18" s="18" t="str">
        <x:f t="shared" si="1"/>
      </x:c>
      <x:c r="H18" s="18" t="str">
        <x:f t="shared" si="1"/>
      </x:c>
      <x:c r="I18" s="18" t="str">
        <x:f t="shared" si="1"/>
      </x:c>
      <x:c r="J18" s="18" t="str">
        <x:f t="shared" si="1"/>
      </x:c>
      <x:c r="K18" s="18" t="str">
        <x:f t="shared" si="1"/>
      </x:c>
      <x:c r="L18" s="18" t="str">
        <x:f t="shared" si="1"/>
      </x:c>
      <x:c r="M18" s="18" t="str">
        <x:f t="shared" si="1"/>
      </x:c>
      <x:c r="N18" s="18" t="str">
        <x:f t="shared" si="1"/>
      </x:c>
      <x:c r="O18" s="18" t="str">
        <x:f t="shared" si="1"/>
      </x:c>
      <x:c r="P18" s="18" t="str">
        <x:f t="shared" si="1"/>
      </x:c>
      <x:c r="Q18" s="18" t="str">
        <x:f t="shared" si="1"/>
      </x:c>
      <x:c r="R18" s="18" t="str">
        <x:f t="shared" si="1"/>
      </x:c>
      <x:c r="S18" s="18" t="str">
        <x:f t="shared" si="1"/>
      </x:c>
      <x:c r="T18" s="18" t="str">
        <x:f t="shared" si="1"/>
      </x:c>
      <x:c r="U18" s="18" t="str">
        <x:f t="shared" si="1"/>
      </x:c>
      <x:c r="V18" s="18" t="str">
        <x:f t="shared" si="1"/>
      </x:c>
      <x:c r="W18" s="18" t="str">
        <x:f t="shared" si="1"/>
      </x:c>
      <x:c r="X18" s="18" t="str">
        <x:f t="shared" si="1"/>
      </x:c>
      <x:c r="Y18" s="18" t="str">
        <x:f t="shared" si="1"/>
      </x:c>
      <x:c r="Z18" s="18" t="str">
        <x:f t="shared" si="1"/>
      </x:c>
      <x:c r="AA18" s="18" t="str">
        <x:f t="shared" si="1"/>
      </x:c>
      <x:c r="AB18" s="18" t="str">
        <x:f t="shared" si="1"/>
      </x:c>
      <x:c r="AC18" s="18" t="str">
        <x:f t="shared" si="1"/>
      </x:c>
      <x:c r="AD18" s="18" t="str">
        <x:f t="shared" si="1"/>
      </x:c>
      <x:c r="AE18" s="18" t="str">
        <x:f t="shared" si="1"/>
      </x:c>
      <x:c r="AF18" s="19" t="str">
        <x:f t="shared" si="1"/>
      </x:c>
    </x:row>
    <x:row r="19" ht="23.100000381469727" customHeight="1">
      <x:c r="A19" s="17" t="s">
        <x:v>949</x:v>
      </x:c>
      <x:c r="B19" s="4" t="str">
        <x:f>IF(Master!C680="","",Master!C680)</x:f>
      </x:c>
      <x:c r="C19" s="4" t="str">
        <x:f>IF(Master!D680="","",Master!D680)</x:f>
      </x:c>
      <x:c r="D19" s="4" t="str">
        <x:f>IF(Master!E680="","",Master!E680)</x:f>
      </x:c>
      <x:c r="E19" s="4" t="str">
        <x:f>IF(Master!F680="","",Master!F680)</x:f>
      </x:c>
      <x:c r="F19" s="4" t="str">
        <x:f>IF(Master!G680="","",Master!G680)</x:f>
      </x:c>
      <x:c r="G19" s="4" t="str">
        <x:f>IF(Master!H680="","",Master!H680)</x:f>
      </x:c>
      <x:c r="H19" s="4" t="str">
        <x:f>IF(Master!I680="","",Master!I680)</x:f>
      </x:c>
      <x:c r="I19" s="4" t="str">
        <x:f>IF(Master!J680="","",Master!J680)</x:f>
      </x:c>
      <x:c r="J19" s="4" t="str">
        <x:f>IF(Master!K680="","",Master!K680)</x:f>
      </x:c>
      <x:c r="K19" s="4" t="str">
        <x:f>IF(Master!L680="","",Master!L680)</x:f>
        <x:v>No user-facing AI features; not applicable</x:v>
      </x:c>
      <x:c r="L19" s="4" t="str">
        <x:f>IF(Master!M680="","",Master!M680)</x:f>
      </x:c>
      <x:c r="M19" s="4" t="str">
        <x:f>IF(Master!N680="","",Master!N680)</x:f>
      </x:c>
      <x:c r="N19" s="4" t="str">
        <x:f>IF(Master!O680="","",Master!O680)</x:f>
      </x:c>
      <x:c r="O19" s="4" t="str">
        <x:f>IF(Master!P680="","",Master!P680)</x:f>
      </x:c>
      <x:c r="P19" s="4" t="str">
        <x:f>IF(Master!Q680="","",Master!Q680)</x:f>
      </x:c>
      <x:c r="Q19" s="4" t="str">
        <x:f>IF(Master!R680="","",Master!R680)</x:f>
      </x:c>
      <x:c r="R19" s="4" t="str">
        <x:f>IF(Master!S680="","",Master!S680)</x:f>
      </x:c>
      <x:c r="S19" s="4" t="str">
        <x:f>IF(Master!T680="","",Master!T680)</x:f>
      </x:c>
      <x:c r="T19" s="4" t="str">
        <x:f>IF(Master!U680="","",Master!U680)</x:f>
      </x:c>
      <x:c r="U19" s="4" t="str">
        <x:f>IF(Master!V680="","",Master!V680)</x:f>
        <x:v>N/A</x:v>
      </x:c>
      <x:c r="V19" s="4" t="str">
        <x:f>IF(Master!W680="","",Master!W680)</x:f>
      </x:c>
      <x:c r="W19" s="4" t="str">
        <x:f>IF(Master!X680="","",Master!X680)</x:f>
      </x:c>
      <x:c r="X19" s="4" t="str">
        <x:f>IF(Master!Y680="","",Master!Y680)</x:f>
      </x:c>
      <x:c r="Y19" s="4" t="str">
        <x:f>IF(Master!Z680="","",Master!Z680)</x:f>
      </x:c>
      <x:c r="Z19" s="4" t="str">
        <x:f>IF(Master!AA680="","",Master!AA680)</x:f>
      </x:c>
      <x:c r="AA19" s="5" t="str">
        <x:f>IF(Master!AB680="","",Master!AB680)</x:f>
      </x:c>
      <x:c r="AB19" s="4" t="str">
        <x:f>IF(Master!AC680="","",Master!AC680)</x:f>
      </x:c>
      <x:c r="AC19" s="4" t="str">
        <x:f>IF(Master!AD680="","",Master!AD680)</x:f>
      </x:c>
      <x:c r="AD19" s="4" t="str">
        <x:f>IF(Master!AE680="","",Master!AE680)</x:f>
      </x:c>
      <x:c r="AE19" s="4" t="str">
        <x:f>IF(Master!AF680="","",Master!AF680)</x:f>
      </x:c>
      <x:c r="AF19" s="8" t="str">
        <x:f>IF(Master!AG680="","",Master!AG680)</x:f>
      </x:c>
    </x:row>
    <x:row r="20" ht="36" customHeight="1">
      <x:c r="A20" s="17" t="s">
        <x:v>959</x:v>
      </x:c>
      <x:c r="B20" s="3" t="str">
        <x:f>IF(Master!C681="","",Master!C681)</x:f>
      </x:c>
      <x:c r="C20" s="3" t="str">
        <x:f>IF(Master!D681="","",Master!D681)</x:f>
      </x:c>
      <x:c r="D20" s="3" t="str">
        <x:f>IF(Master!E681="","",Master!E681)</x:f>
      </x:c>
      <x:c r="E20" s="3" t="str">
        <x:f>IF(Master!F681="","",Master!F681)</x:f>
      </x:c>
      <x:c r="F20" s="3" t="str">
        <x:f>IF(Master!G681="","",Master!G681)</x:f>
      </x:c>
      <x:c r="G20" s="3" t="str">
        <x:f>IF(Master!H681="","",Master!H681)</x:f>
        <x:v>No percentage published</x:v>
      </x:c>
      <x:c r="H20" s="3" t="str">
        <x:f>IF(Master!I681="","",Master!I681)</x:f>
      </x:c>
      <x:c r="I20" s="3" t="str">
        <x:f>IF(Master!J681="","",Master!J681)</x:f>
        <x:v>Fermi explicitly bans AI-generated code</x:v>
      </x:c>
      <x:c r="J20" s="3" t="str">
        <x:f>IF(Master!K681="","",Master!K681)</x:f>
        <x:v>Developer publicly discloses Claude use for development tooling</x:v>
      </x:c>
      <x:c r="K20" s="3" t="str">
        <x:f>IF(Master!L681="","",Master!L681)</x:f>
        <x:v>AI is used to speed development; primary developer retains architectural decisions and reviews AI-written code (developer statement)</x:v>
      </x:c>
      <x:c r="L20" s="3" t="str">
        <x:f>IF(Master!M681="","",Master!M681)</x:f>
      </x:c>
      <x:c r="M20" s="3" t="str">
        <x:f>IF(Master!N681="","",Master!N681)</x:f>
        <x:v>AI models used for translation/transcription disclosed</x:v>
      </x:c>
      <x:c r="N20" s="3" t="str">
        <x:f>IF(Master!O681="","",Master!O681)</x:f>
        <x:v>Provider-specific</x:v>
      </x:c>
      <x:c r="O20" s="3" t="str">
        <x:f>IF(Master!P681="","",Master!P681)</x:f>
      </x:c>
      <x:c r="P20" s="3" t="str">
        <x:f>IF(Master!Q681="","",Master!Q681)</x:f>
        <x:v>Publicly discloses AI-powered features</x:v>
      </x:c>
      <x:c r="Q20" s="3" t="str">
        <x:f>IF(Master!R681="","",Master!R681)</x:f>
        <x:v>N/A</x:v>
      </x:c>
      <x:c r="R20" s="3" t="str">
        <x:f>IF(Master!S681="","",Master!S681)</x:f>
      </x:c>
      <x:c r="S20" s="3" t="str">
        <x:f>IF(Master!T681="","",Master!T681)</x:f>
      </x:c>
      <x:c r="T20" s="3" t="str">
        <x:f>IF(Master!U681="","",Master!U681)</x:f>
        <x:v>Built in the open; no 'zero AI in codebase' claim</x:v>
      </x:c>
      <x:c r="U20" s="3" t="str">
        <x:f>IF(Master!V681="","",Master!V681)</x:f>
        <x:v>Yes: public FAQ</x:v>
      </x:c>
      <x:c r="V20" s="3" t="str">
        <x:f>IF(Master!W681="","",Master!W681)</x:f>
      </x:c>
      <x:c r="W20" s="3" t="str">
        <x:f>IF(Master!X681="","",Master!X681)</x:f>
      </x:c>
      <x:c r="X20" s="3" t="str">
        <x:f>IF(Master!Y681="","",Master!Y681)</x:f>
      </x:c>
      <x:c r="Y20" s="3" t="str">
        <x:f>IF(Master!Z681="","",Master!Z681)</x:f>
      </x:c>
      <x:c r="Z20" s="3" t="str">
        <x:f>IF(Master!AA681="","",Master!AA681)</x:f>
      </x:c>
      <x:c r="AA20" s="6" t="str">
        <x:f>IF(Master!AB681="","",Master!AB681)</x:f>
      </x:c>
      <x:c r="AB20" s="3" t="str">
        <x:f>IF(Master!AC681="","",Master!AC681)</x:f>
      </x:c>
      <x:c r="AC20" s="3" t="str">
        <x:f>IF(Master!AD681="","",Master!AD681)</x:f>
      </x:c>
      <x:c r="AD20" s="3" t="str">
        <x:f>IF(Master!AE681="","",Master!AE681)</x:f>
        <x:v>AI is product-feature specific, not general chat summarization</x:v>
      </x:c>
      <x:c r="AE20" s="3" t="str">
        <x:f>IF(Master!AF681="","",Master!AF681)</x:f>
        <x:v>Privacy-first/no surveillance model</x:v>
      </x:c>
      <x:c r="AF20" s="8" t="str">
        <x:f>IF(Master!AG681="","",Master!AG681)</x:f>
      </x:c>
    </x:row>
    <x:row r="21" ht="36" customHeight="1">
      <x:c r="A21" s="17" t="s">
        <x:v>960</x:v>
      </x:c>
      <x:c r="B21" s="3" t="str">
        <x:f>IF(Master!C682="","",Master!C682)</x:f>
      </x:c>
      <x:c r="C21" s="3" t="str">
        <x:f>IF(Master!D682="","",Master!D682)</x:f>
      </x:c>
      <x:c r="D21" s="3" t="str">
        <x:f>IF(Master!E682="","",Master!E682)</x:f>
      </x:c>
      <x:c r="E21" s="3" t="str">
        <x:f>IF(Master!F682="","",Master!F682)</x:f>
      </x:c>
      <x:c r="F21" s="3" t="str">
        <x:f>IF(Master!G682="","",Master!G682)</x:f>
      </x:c>
      <x:c r="G21" s="3" t="str">
        <x:f>IF(Master!H682="","",Master!H682)</x:f>
      </x:c>
      <x:c r="H21" s="3" t="str">
        <x:f>IF(Master!I682="","",Master!I682)</x:f>
      </x:c>
      <x:c r="I21" s="3" t="str">
        <x:f>IF(Master!J682="","",Master!J682)</x:f>
        <x:v>AI-generated code banned in Fermi contributions</x:v>
      </x:c>
      <x:c r="J21" s="3" t="str">
        <x:f>IF(Master!K682="","",Master!K682)</x:f>
      </x:c>
      <x:c r="K21" s="3" t="str">
        <x:f>IF(Master!L682="","",Master!L682)</x:f>
        <x:v>AI is used to speed development; primary developer retains architectural decisions and reviews AI-written code (developer statement)</x:v>
      </x:c>
      <x:c r="L21" s="3" t="str">
        <x:f>IF(Master!M682="","",Master!M682)</x:f>
      </x:c>
      <x:c r="M21" s="3" t="str">
        <x:f>IF(Master!N682="","",Master!N682)</x:f>
      </x:c>
      <x:c r="N21" s="3" t="str">
        <x:f>IF(Master!O682="","",Master!O682)</x:f>
      </x:c>
      <x:c r="O21" s="3" t="str">
        <x:f>IF(Master!P682="","",Master!P682)</x:f>
      </x:c>
      <x:c r="P21" s="3" t="str">
        <x:f>IF(Master!Q682="","",Master!Q682)</x:f>
      </x:c>
      <x:c r="Q21" s="3" t="str">
        <x:f>IF(Master!R682="","",Master!R682)</x:f>
      </x:c>
      <x:c r="R21" s="3" t="str">
        <x:f>IF(Master!S682="","",Master!S682)</x:f>
      </x:c>
      <x:c r="S21" s="3" t="str">
        <x:f>IF(Master!T682="","",Master!T682)</x:f>
      </x:c>
      <x:c r="T21" s="3" t="str">
        <x:f>IF(Master!U682="","",Master!U682)</x:f>
        <x:v>No zero-AI development policy claimed</x:v>
      </x:c>
      <x:c r="U21" s="3" t="str">
        <x:f>IF(Master!V682="","",Master!V682)</x:f>
      </x:c>
      <x:c r="V21" s="3" t="str">
        <x:f>IF(Master!W682="","",Master!W682)</x:f>
      </x:c>
      <x:c r="W21" s="3" t="str">
        <x:f>IF(Master!X682="","",Master!X682)</x:f>
      </x:c>
      <x:c r="X21" s="3" t="str">
        <x:f>IF(Master!Y682="","",Master!Y682)</x:f>
      </x:c>
      <x:c r="Y21" s="3" t="str">
        <x:f>IF(Master!Z682="","",Master!Z682)</x:f>
      </x:c>
      <x:c r="Z21" s="3" t="str">
        <x:f>IF(Master!AA682="","",Master!AA682)</x:f>
      </x:c>
      <x:c r="AA21" s="6" t="str">
        <x:f>IF(Master!AB682="","",Master!AB682)</x:f>
      </x:c>
      <x:c r="AB21" s="3" t="str">
        <x:f>IF(Master!AC682="","",Master!AC682)</x:f>
      </x:c>
      <x:c r="AC21" s="3" t="str">
        <x:f>IF(Master!AD682="","",Master!AD682)</x:f>
      </x:c>
      <x:c r="AD21" s="3" t="str">
        <x:f>IF(Master!AE682="","",Master!AE682)</x:f>
      </x:c>
      <x:c r="AE21" s="3" t="str">
        <x:f>IF(Master!AF682="","",Master!AF682)</x:f>
      </x:c>
      <x:c r="AF21" s="8" t="str">
        <x:f>IF(Master!AG682="","",Master!AG682)</x:f>
      </x:c>
    </x:row>
    <x:row r="22" ht="36" customHeight="1">
      <x:c r="A22" s="17" t="s">
        <x:v>961</x:v>
      </x:c>
      <x:c r="B22" s="3" t="str">
        <x:f>IF(Master!C683="","",Master!C683)</x:f>
      </x:c>
      <x:c r="C22" s="3" t="str">
        <x:f>IF(Master!D683="","",Master!D683)</x:f>
      </x:c>
      <x:c r="D22" s="3" t="str">
        <x:f>IF(Master!E683="","",Master!E683)</x:f>
      </x:c>
      <x:c r="E22" s="3" t="str">
        <x:f>IF(Master!F683="","",Master!F683)</x:f>
      </x:c>
      <x:c r="F22" s="3" t="str">
        <x:f>IF(Master!G683="","",Master!G683)</x:f>
      </x:c>
      <x:c r="G22" s="3" t="str">
        <x:f>IF(Master!H683="","",Master!H683)</x:f>
      </x:c>
      <x:c r="H22" s="3" t="str">
        <x:f>IF(Master!I683="","",Master!I683)</x:f>
      </x:c>
      <x:c r="I22" s="3" t="str">
        <x:f>IF(Master!J683="","",Master!J683)</x:f>
        <x:v>0% allowed by Fermi contribution policy</x:v>
      </x:c>
      <x:c r="J22" s="3" t="str">
        <x:f>IF(Master!K683="","",Master!K683)</x:f>
      </x:c>
      <x:c r="K22" s="3" t="str">
        <x:f>IF(Master!L683="","",Master!L683)</x:f>
        <x:v>Not published</x:v>
      </x:c>
      <x:c r="L22" s="3" t="str">
        <x:f>IF(Master!M683="","",Master!M683)</x:f>
      </x:c>
      <x:c r="M22" s="3" t="str">
        <x:f>IF(Master!N683="","",Master!N683)</x:f>
      </x:c>
      <x:c r="N22" s="3" t="str">
        <x:f>IF(Master!O683="","",Master!O683)</x:f>
      </x:c>
      <x:c r="O22" s="3" t="str">
        <x:f>IF(Master!P683="","",Master!P683)</x:f>
      </x:c>
      <x:c r="P22" s="3" t="str">
        <x:f>IF(Master!Q683="","",Master!Q683)</x:f>
      </x:c>
      <x:c r="Q22" s="3" t="str">
        <x:f>IF(Master!R683="","",Master!R683)</x:f>
        <x:v>N/A</x:v>
      </x:c>
      <x:c r="R22" s="3" t="str">
        <x:f>IF(Master!S683="","",Master!S683)</x:f>
      </x:c>
      <x:c r="S22" s="3" t="str">
        <x:f>IF(Master!T683="","",Master!T683)</x:f>
      </x:c>
      <x:c r="T22" s="3" t="str">
        <x:f>IF(Master!U683="","",Master!U683)</x:f>
        <x:v>No</x:v>
      </x:c>
      <x:c r="U22" s="3" t="str">
        <x:f>IF(Master!V683="","",Master!V683)</x:f>
      </x:c>
      <x:c r="V22" s="3" t="str">
        <x:f>IF(Master!W683="","",Master!W683)</x:f>
      </x:c>
      <x:c r="W22" s="3" t="str">
        <x:f>IF(Master!X683="","",Master!X683)</x:f>
      </x:c>
      <x:c r="X22" s="3" t="str">
        <x:f>IF(Master!Y683="","",Master!Y683)</x:f>
      </x:c>
      <x:c r="Y22" s="3" t="str">
        <x:f>IF(Master!Z683="","",Master!Z683)</x:f>
      </x:c>
      <x:c r="Z22" s="3" t="str">
        <x:f>IF(Master!AA683="","",Master!AA683)</x:f>
      </x:c>
      <x:c r="AA22" s="6" t="str">
        <x:f>IF(Master!AB683="","",Master!AB683)</x:f>
      </x:c>
      <x:c r="AB22" s="3" t="str">
        <x:f>IF(Master!AC683="","",Master!AC683)</x:f>
      </x:c>
      <x:c r="AC22" s="3" t="str">
        <x:f>IF(Master!AD683="","",Master!AD683)</x:f>
      </x:c>
      <x:c r="AD22" s="3" t="str">
        <x:f>IF(Master!AE683="","",Master!AE683)</x:f>
      </x:c>
      <x:c r="AE22" s="3" t="str">
        <x:f>IF(Master!AF683="","",Master!AF683)</x:f>
      </x:c>
      <x:c r="AF22" s="8" t="str">
        <x:f>IF(Master!AG683="","",Master!AG683)</x:f>
      </x:c>
    </x:row>
    <x:row r="23" ht="21.950000762939453" customHeight="1">
      <x:c r="A23" s="18" t="s">
        <x:v>413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962</x:v>
      </x:c>
      <x:c r="B24" s="3" t="str">
        <x:f>IF(Master!C684="","",Master!C684)</x:f>
      </x:c>
      <x:c r="C24" s="3" t="str">
        <x:f>IF(Master!D684="","",Master!D684)</x:f>
      </x:c>
      <x:c r="D24" s="3" t="str">
        <x:f>IF(Master!E684="","",Master!E684)</x:f>
      </x:c>
      <x:c r="E24" s="3" t="str">
        <x:f>IF(Master!F684="","",Master!F684)</x:f>
      </x:c>
      <x:c r="F24" s="3" t="str">
        <x:f>IF(Master!G684="","",Master!G684)</x:f>
      </x:c>
      <x:c r="G24" s="3" t="str">
        <x:f>IF(Master!H684="","",Master!H684)</x:f>
        <x:v>No percentage published</x:v>
      </x:c>
      <x:c r="H24" s="3" t="str">
        <x:f>IF(Master!I684="","",Master!I684)</x:f>
      </x:c>
      <x:c r="I24" s="3" t="str">
        <x:f>IF(Master!J684="","",Master!J684)</x:f>
        <x:v>Fermi explicitly bans AI-generated code</x:v>
      </x:c>
      <x:c r="J24" s="3" t="str">
        <x:f>IF(Master!K684="","",Master!K684)</x:f>
        <x:v>Developer publicly discloses Claude use for development tooling</x:v>
      </x:c>
      <x:c r="K24" s="3" t="str">
        <x:f>IF(Master!L684="","",Master!L684)</x:f>
        <x:v>No native AI-product governance layer; user data is not used for model training per developer statement</x:v>
      </x:c>
      <x:c r="L24" s="3" t="str">
        <x:f>IF(Master!M684="","",Master!M684)</x:f>
      </x:c>
      <x:c r="M24" s="3" t="str">
        <x:f>IF(Master!N684="","",Master!N684)</x:f>
        <x:v>AI models used for translation/transcription disclosed</x:v>
      </x:c>
      <x:c r="N24" s="3" t="str">
        <x:f>IF(Master!O684="","",Master!O684)</x:f>
        <x:v>Provider-specific</x:v>
      </x:c>
      <x:c r="O24" s="3" t="str">
        <x:f>IF(Master!P684="","",Master!P684)</x:f>
      </x:c>
      <x:c r="P24" s="3" t="str">
        <x:f>IF(Master!Q684="","",Master!Q684)</x:f>
        <x:v>Publicly discloses AI-powered features</x:v>
      </x:c>
      <x:c r="Q24" s="3" t="str">
        <x:f>IF(Master!R684="","",Master!R684)</x:f>
        <x:v>N/A</x:v>
      </x:c>
      <x:c r="R24" s="3" t="str">
        <x:f>IF(Master!S684="","",Master!S684)</x:f>
      </x:c>
      <x:c r="S24" s="3" t="str">
        <x:f>IF(Master!T684="","",Master!T684)</x:f>
      </x:c>
      <x:c r="T24" s="3" t="str">
        <x:f>IF(Master!U684="","",Master!U684)</x:f>
      </x:c>
      <x:c r="U24" s="3" t="str">
        <x:f>IF(Master!V684="","",Master!V684)</x:f>
        <x:v>Rift says messages/uploads are not used to train AI; FAQ says AI is used for parts of code development and reviewed by a developer.</x:v>
      </x:c>
      <x:c r="V24" s="3" t="str">
        <x:f>IF(Master!W684="","",Master!W684)</x:f>
      </x:c>
      <x:c r="W24" s="3" t="str">
        <x:f>IF(Master!X684="","",Master!X684)</x:f>
      </x:c>
      <x:c r="X24" s="3" t="str">
        <x:f>IF(Master!Y684="","",Master!Y684)</x:f>
      </x:c>
      <x:c r="Y24" s="3" t="str">
        <x:f>IF(Master!Z684="","",Master!Z684)</x:f>
      </x:c>
      <x:c r="Z24" s="3" t="str">
        <x:f>IF(Master!AA684="","",Master!AA684)</x:f>
      </x:c>
      <x:c r="AA24" s="6" t="str">
        <x:f>IF(Master!AB684="","",Master!AB684)</x:f>
      </x:c>
      <x:c r="AB24" s="3" t="str">
        <x:f>IF(Master!AC684="","",Master!AC684)</x:f>
      </x:c>
      <x:c r="AC24" s="3" t="str">
        <x:f>IF(Master!AD684="","",Master!AD684)</x:f>
      </x:c>
      <x:c r="AD24" s="3" t="str">
        <x:f>IF(Master!AE684="","",Master!AE684)</x:f>
        <x:v>AI is product-feature specific, not general chat summarization</x:v>
      </x:c>
      <x:c r="AE24" s="3" t="str">
        <x:f>IF(Master!AF684="","",Master!AF684)</x:f>
        <x:v>Privacy-first/no surveillance model</x:v>
      </x:c>
      <x:c r="AF24" s="8" t="str">
        <x:f>IF(Master!AG684="","",Master!AG684)</x:f>
      </x:c>
    </x:row>
    <x:row r="25" ht="21.950000762939453" customHeight="1">
      <x:c r="A25" s="18" t="s">
        <x:v>963</x:v>
      </x:c>
      <x:c r="B25" s="18" t="str">
        <x:f t="shared" ref="B25:AF25" si="3">IF(""="","","")</x:f>
      </x:c>
      <x:c r="C25" s="18" t="str">
        <x:f t="shared" si="3"/>
      </x:c>
      <x:c r="D25" s="18" t="str">
        <x:f t="shared" si="3"/>
      </x:c>
      <x:c r="E25" s="18" t="str">
        <x:f t="shared" si="3"/>
      </x:c>
      <x:c r="F25" s="18" t="str">
        <x:f t="shared" si="3"/>
      </x:c>
      <x:c r="G25" s="18" t="str">
        <x:f t="shared" si="3"/>
      </x:c>
      <x:c r="H25" s="18" t="str">
        <x:f t="shared" si="3"/>
      </x:c>
      <x:c r="I25" s="18" t="str">
        <x:f t="shared" si="3"/>
      </x:c>
      <x:c r="J25" s="18" t="str">
        <x:f t="shared" si="3"/>
      </x:c>
      <x:c r="K25" s="18" t="str">
        <x:f t="shared" si="3"/>
      </x:c>
      <x:c r="L25" s="18" t="str">
        <x:f t="shared" si="3"/>
      </x:c>
      <x:c r="M25" s="18" t="str">
        <x:f t="shared" si="3"/>
      </x:c>
      <x:c r="N25" s="18" t="str">
        <x:f t="shared" si="3"/>
      </x:c>
      <x:c r="O25" s="18" t="str">
        <x:f t="shared" si="3"/>
      </x:c>
      <x:c r="P25" s="18" t="str">
        <x:f t="shared" si="3"/>
      </x:c>
      <x:c r="Q25" s="18" t="str">
        <x:f t="shared" si="3"/>
      </x:c>
      <x:c r="R25" s="18" t="str">
        <x:f t="shared" si="3"/>
      </x:c>
      <x:c r="S25" s="18" t="str">
        <x:f t="shared" si="3"/>
      </x:c>
      <x:c r="T25" s="18" t="str">
        <x:f t="shared" si="3"/>
      </x:c>
      <x:c r="U25" s="18" t="str">
        <x:f t="shared" si="3"/>
      </x:c>
      <x:c r="V25" s="18" t="str">
        <x:f t="shared" si="3"/>
      </x:c>
      <x:c r="W25" s="18" t="str">
        <x:f t="shared" si="3"/>
      </x:c>
      <x:c r="X25" s="18" t="str">
        <x:f t="shared" si="3"/>
      </x:c>
      <x:c r="Y25" s="18" t="str">
        <x:f t="shared" si="3"/>
      </x:c>
      <x:c r="Z25" s="18" t="str">
        <x:f t="shared" si="3"/>
      </x:c>
      <x:c r="AA25" s="18" t="str">
        <x:f t="shared" si="3"/>
      </x:c>
      <x:c r="AB25" s="18" t="str">
        <x:f t="shared" si="3"/>
      </x:c>
      <x:c r="AC25" s="18" t="str">
        <x:f t="shared" si="3"/>
      </x:c>
      <x:c r="AD25" s="18" t="str">
        <x:f t="shared" si="3"/>
      </x:c>
      <x:c r="AE25" s="18" t="str">
        <x:f t="shared" si="3"/>
      </x:c>
      <x:c r="AF25" s="19" t="str">
        <x:f t="shared" si="3"/>
      </x:c>
    </x:row>
    <x:row r="26" ht="23.100000381469727" customHeight="1">
      <x:c r="A26" s="17" t="s">
        <x:v>964</x:v>
      </x:c>
      <x:c r="B26" s="4" t="str">
        <x:f>IF(Master!C685="","",Master!C685)</x:f>
      </x:c>
      <x:c r="C26" s="4" t="str">
        <x:f>IF(Master!D685="","",Master!D685)</x:f>
      </x:c>
      <x:c r="D26" s="4" t="str">
        <x:f>IF(Master!E685="","",Master!E685)</x:f>
      </x:c>
      <x:c r="E26" s="4" t="str">
        <x:f>IF(Master!F685="","",Master!F685)</x:f>
      </x:c>
      <x:c r="F26" s="4" t="str">
        <x:f>IF(Master!G685="","",Master!G685)</x:f>
      </x:c>
      <x:c r="G26" s="4" t="str">
        <x:f>IF(Master!H685="","",Master!H685)</x:f>
      </x:c>
      <x:c r="H26" s="4" t="str">
        <x:f>IF(Master!I685="","",Master!I685)</x:f>
      </x:c>
      <x:c r="I26" s="4" t="str">
        <x:f>IF(Master!J685="","",Master!J685)</x:f>
      </x:c>
      <x:c r="J26" s="4" t="str">
        <x:f>IF(Master!K685="","",Master!K685)</x:f>
      </x:c>
      <x:c r="K26" s="4" t="str">
        <x:f>IF(Master!L685="","",Master!L685)</x:f>
        <x:v>No AI feature data-retention policy needed because no native AI feature is documented</x:v>
      </x:c>
      <x:c r="L26" s="4" t="str">
        <x:f>IF(Master!M685="","",Master!M685)</x:f>
      </x:c>
      <x:c r="M26" s="4" t="str">
        <x:f>IF(Master!N685="","",Master!N685)</x:f>
      </x:c>
      <x:c r="N26" s="4" t="str">
        <x:f>IF(Master!O685="","",Master!O685)</x:f>
      </x:c>
      <x:c r="O26" s="4" t="str">
        <x:f>IF(Master!P685="","",Master!P685)</x:f>
      </x:c>
      <x:c r="P26" s="4" t="str">
        <x:f>IF(Master!Q685="","",Master!Q685)</x:f>
      </x:c>
      <x:c r="Q26" s="4" t="str">
        <x:f>IF(Master!R685="","",Master!R685)</x:f>
      </x:c>
      <x:c r="R26" s="4" t="str">
        <x:f>IF(Master!S685="","",Master!S685)</x:f>
      </x:c>
      <x:c r="S26" s="4" t="str">
        <x:f>IF(Master!T685="","",Master!T685)</x:f>
      </x:c>
      <x:c r="T26" s="4" t="str">
        <x:f>IF(Master!U685="","",Master!U685)</x:f>
      </x:c>
      <x:c r="U26" s="4" t="str">
        <x:f>IF(Master!V685="","",Master!V685)</x:f>
      </x:c>
      <x:c r="V26" s="4" t="str">
        <x:f>IF(Master!W685="","",Master!W685)</x:f>
      </x:c>
      <x:c r="W26" s="4" t="str">
        <x:f>IF(Master!X685="","",Master!X685)</x:f>
      </x:c>
      <x:c r="X26" s="4" t="str">
        <x:f>IF(Master!Y685="","",Master!Y685)</x:f>
      </x:c>
      <x:c r="Y26" s="4" t="str">
        <x:f>IF(Master!Z685="","",Master!Z685)</x:f>
      </x:c>
      <x:c r="Z26" s="4" t="str">
        <x:f>IF(Master!AA685="","",Master!AA685)</x:f>
      </x:c>
      <x:c r="AA26" s="5" t="str">
        <x:f>IF(Master!AB685="","",Master!AB685)</x:f>
      </x:c>
      <x:c r="AB26" s="4" t="str">
        <x:f>IF(Master!AC685="","",Master!AC685)</x:f>
      </x:c>
      <x:c r="AC26" s="4" t="str">
        <x:f>IF(Master!AD685="","",Master!AD685)</x:f>
      </x:c>
      <x:c r="AD26" s="4" t="str">
        <x:f>IF(Master!AE685="","",Master!AE685)</x:f>
      </x:c>
      <x:c r="AE26" s="4" t="str">
        <x:f>IF(Master!AF685="","",Master!AF685)</x:f>
      </x:c>
      <x:c r="AF26" s="8" t="str">
        <x:f>IF(Master!AG685="","",Master!AG685)</x:f>
      </x:c>
    </x:row>
    <x:row r="27" ht="23.100000381469727" customHeight="1">
      <x:c r="A27" s="17" t="s">
        <x:v>965</x:v>
      </x:c>
      <x:c r="B27" s="4" t="str">
        <x:f>IF(Master!C686="","",Master!C686)</x:f>
      </x:c>
      <x:c r="C27" s="4" t="str">
        <x:f>IF(Master!D686="","",Master!D686)</x:f>
      </x:c>
      <x:c r="D27" s="4" t="str">
        <x:f>IF(Master!E686="","",Master!E686)</x:f>
      </x:c>
      <x:c r="E27" s="4" t="str">
        <x:f>IF(Master!F686="","",Master!F686)</x:f>
      </x:c>
      <x:c r="F27" s="4" t="str">
        <x:f>IF(Master!G686="","",Master!G686)</x:f>
      </x:c>
      <x:c r="G27" s="4" t="str">
        <x:f>IF(Master!H686="","",Master!H686)</x:f>
      </x:c>
      <x:c r="H27" s="4" t="str">
        <x:f>IF(Master!I686="","",Master!I686)</x:f>
      </x:c>
      <x:c r="I27" s="4" t="str">
        <x:f>IF(Master!J686="","",Master!J686)</x:f>
      </x:c>
      <x:c r="J27" s="4" t="str">
        <x:f>IF(Master!K686="","",Master!K686)</x:f>
      </x:c>
      <x:c r="K27" s="4" t="str">
        <x:f>IF(Master!L686="","",Master!L686)</x:f>
        <x:v>Developer manually reviews AI-written code</x:v>
      </x:c>
      <x:c r="L27" s="4" t="str">
        <x:f>IF(Master!M686="","",Master!M686)</x:f>
      </x:c>
      <x:c r="M27" s="4" t="str">
        <x:f>IF(Master!N686="","",Master!N686)</x:f>
      </x:c>
      <x:c r="N27" s="4" t="str">
        <x:f>IF(Master!O686="","",Master!O686)</x:f>
      </x:c>
      <x:c r="O27" s="4" t="str">
        <x:f>IF(Master!P686="","",Master!P686)</x:f>
      </x:c>
      <x:c r="P27" s="4" t="str">
        <x:f>IF(Master!Q686="","",Master!Q686)</x:f>
      </x:c>
      <x:c r="Q27" s="4" t="str">
        <x:f>IF(Master!R686="","",Master!R686)</x:f>
      </x:c>
      <x:c r="R27" s="4" t="str">
        <x:f>IF(Master!S686="","",Master!S686)</x:f>
      </x:c>
      <x:c r="S27" s="4" t="str">
        <x:f>IF(Master!T686="","",Master!T686)</x:f>
      </x:c>
      <x:c r="T27" s="4" t="str">
        <x:f>IF(Master!U686="","",Master!U686)</x:f>
      </x:c>
      <x:c r="U27" s="4" t="str">
        <x:f>IF(Master!V686="","",Master!V686)</x:f>
      </x:c>
      <x:c r="V27" s="4" t="str">
        <x:f>IF(Master!W686="","",Master!W686)</x:f>
      </x:c>
      <x:c r="W27" s="4" t="str">
        <x:f>IF(Master!X686="","",Master!X686)</x:f>
      </x:c>
      <x:c r="X27" s="4" t="str">
        <x:f>IF(Master!Y686="","",Master!Y686)</x:f>
      </x:c>
      <x:c r="Y27" s="4" t="str">
        <x:f>IF(Master!Z686="","",Master!Z686)</x:f>
      </x:c>
      <x:c r="Z27" s="4" t="str">
        <x:f>IF(Master!AA686="","",Master!AA686)</x:f>
      </x:c>
      <x:c r="AA27" s="5" t="str">
        <x:f>IF(Master!AB686="","",Master!AB686)</x:f>
      </x:c>
      <x:c r="AB27" s="4" t="str">
        <x:f>IF(Master!AC686="","",Master!AC686)</x:f>
      </x:c>
      <x:c r="AC27" s="4" t="str">
        <x:f>IF(Master!AD686="","",Master!AD686)</x:f>
      </x:c>
      <x:c r="AD27" s="4" t="str">
        <x:f>IF(Master!AE686="","",Master!AE686)</x:f>
      </x:c>
      <x:c r="AE27" s="4" t="str">
        <x:f>IF(Master!AF686="","",Master!AF686)</x:f>
      </x:c>
      <x:c r="AF27" s="8" t="str">
        <x:f>IF(Master!AG686="","",Master!AG686)</x:f>
      </x:c>
    </x:row>
    <x:row r="28" ht="36" customHeight="1">
      <x:c r="A28" s="17" t="s">
        <x:v>966</x:v>
      </x:c>
      <x:c r="B28" s="3" t="str">
        <x:f>IF(Master!C687="","",Master!C687)</x:f>
      </x:c>
      <x:c r="C28" s="3" t="str">
        <x:f>IF(Master!D687="","",Master!D687)</x:f>
      </x:c>
      <x:c r="D28" s="3" t="str">
        <x:f>IF(Master!E687="","",Master!E687)</x:f>
      </x:c>
      <x:c r="E28" s="3" t="str">
        <x:f>IF(Master!F687="","",Master!F687)</x:f>
      </x:c>
      <x:c r="F28" s="3" t="str">
        <x:f>IF(Master!G687="","",Master!G687)</x:f>
      </x:c>
      <x:c r="G28" s="3" t="str">
        <x:f>IF(Master!H687="","",Master!H687)</x:f>
      </x:c>
      <x:c r="H28" s="3" t="str">
        <x:f>IF(Master!I687="","",Master!I687)</x:f>
      </x:c>
      <x:c r="I28" s="3" t="str">
        <x:f>IF(Master!J687="","",Master!J687)</x:f>
      </x:c>
      <x:c r="J28" s="3" t="str">
        <x:f>IF(Master!K687="","",Master!K687)</x:f>
      </x:c>
      <x:c r="K28" s="3" t="str">
        <x:f>IF(Master!L687="","",Master!L687)</x:f>
        <x:v>N/A: no native AI feature set</x:v>
      </x:c>
      <x:c r="L28" s="3" t="str">
        <x:f>IF(Master!M687="","",Master!M687)</x:f>
      </x:c>
      <x:c r="M28" s="3" t="str">
        <x:f>IF(Master!N687="","",Master!N687)</x:f>
      </x:c>
      <x:c r="N28" s="3" t="str">
        <x:f>IF(Master!O687="","",Master!O687)</x:f>
      </x:c>
      <x:c r="O28" s="3" t="str">
        <x:f>IF(Master!P687="","",Master!P687)</x:f>
        <x:v>Deployment/plugin dependent</x:v>
      </x:c>
      <x:c r="P28" s="3" t="str">
        <x:f>IF(Master!Q687="","",Master!Q687)</x:f>
      </x:c>
      <x:c r="Q28" s="3" t="str">
        <x:f>IF(Master!R687="","",Master!R687)</x:f>
      </x:c>
      <x:c r="R28" s="3" t="str">
        <x:f>IF(Master!S687="","",Master!S687)</x:f>
      </x:c>
      <x:c r="S28" s="3" t="str">
        <x:f>IF(Master!T687="","",Master!T687)</x:f>
      </x:c>
      <x:c r="T28" s="3" t="str">
        <x:f>IF(Master!U687="","",Master!U687)</x:f>
      </x:c>
      <x:c r="U28" s="3" t="str">
        <x:f>IF(Master!V687="","",Master!V687)</x:f>
      </x:c>
      <x:c r="V28" s="3" t="str">
        <x:f>IF(Master!W687="","",Master!W687)</x:f>
      </x:c>
      <x:c r="W28" s="3" t="str">
        <x:f>IF(Master!X687="","",Master!X687)</x:f>
      </x:c>
      <x:c r="X28" s="3" t="str">
        <x:f>IF(Master!Y687="","",Master!Y687)</x:f>
      </x:c>
      <x:c r="Y28" s="3" t="str">
        <x:f>IF(Master!Z687="","",Master!Z687)</x:f>
      </x:c>
      <x:c r="Z28" s="3" t="str">
        <x:f>IF(Master!AA687="","",Master!AA687)</x:f>
      </x:c>
      <x:c r="AA28" s="6" t="str">
        <x:f>IF(Master!AB687="","",Master!AB687)</x:f>
      </x:c>
      <x:c r="AB28" s="3" t="str">
        <x:f>IF(Master!AC687="","",Master!AC687)</x:f>
      </x:c>
      <x:c r="AC28" s="3" t="str">
        <x:f>IF(Master!AD687="","",Master!AD687)</x:f>
      </x:c>
      <x:c r="AD28" s="3" t="str">
        <x:f>IF(Master!AE687="","",Master!AE687)</x:f>
      </x:c>
      <x:c r="AE28" s="3" t="str">
        <x:f>IF(Master!AF687="","",Master!AF687)</x:f>
      </x:c>
      <x:c r="AF28" s="8" t="str">
        <x:f>IF(Master!AG687="","",Master!AG687)</x:f>
      </x:c>
    </x:row>
    <x:row r="29" ht="23.100000381469727" customHeight="1">
      <x:c r="A29" s="17" t="s">
        <x:v>967</x:v>
      </x:c>
      <x:c r="B29" s="4" t="str">
        <x:f>IF(Master!C688="","",Master!C688)</x:f>
      </x:c>
      <x:c r="C29" s="4" t="str">
        <x:f>IF(Master!D688="","",Master!D688)</x:f>
      </x:c>
      <x:c r="D29" s="4" t="str">
        <x:f>IF(Master!E688="","",Master!E688)</x:f>
      </x:c>
      <x:c r="E29" s="4" t="str">
        <x:f>IF(Master!F688="","",Master!F688)</x:f>
      </x:c>
      <x:c r="F29" s="4" t="str">
        <x:f>IF(Master!G688="","",Master!G688)</x:f>
      </x:c>
      <x:c r="G29" s="4" t="str">
        <x:f>IF(Master!H688="","",Master!H688)</x:f>
      </x:c>
      <x:c r="H29" s="4" t="str">
        <x:f>IF(Master!I688="","",Master!I688)</x:f>
      </x:c>
      <x:c r="I29" s="4" t="str">
        <x:f>IF(Master!J688="","",Master!J688)</x:f>
      </x:c>
      <x:c r="J29" s="4" t="str">
        <x:f>IF(Master!K688="","",Master!K688)</x:f>
      </x:c>
      <x:c r="K29" s="4" t="str">
        <x:f>IF(Master!L688="","",Master!L688)</x:f>
        <x:v>N/A: no native AI feature set</x:v>
      </x:c>
      <x:c r="L29" s="4" t="str">
        <x:f>IF(Master!M688="","",Master!M688)</x:f>
      </x:c>
      <x:c r="M29" s="4" t="str">
        <x:f>IF(Master!N688="","",Master!N688)</x:f>
      </x:c>
      <x:c r="N29" s="4" t="str">
        <x:f>IF(Master!O688="","",Master!O688)</x:f>
      </x:c>
      <x:c r="O29" s="4" t="str">
        <x:f>IF(Master!P688="","",Master!P688)</x:f>
      </x:c>
      <x:c r="P29" s="4" t="str">
        <x:f>IF(Master!Q688="","",Master!Q688)</x:f>
      </x:c>
      <x:c r="Q29" s="4" t="str">
        <x:f>IF(Master!R688="","",Master!R688)</x:f>
      </x:c>
      <x:c r="R29" s="4" t="str">
        <x:f>IF(Master!S688="","",Master!S688)</x:f>
      </x:c>
      <x:c r="S29" s="4" t="str">
        <x:f>IF(Master!T688="","",Master!T688)</x:f>
      </x:c>
      <x:c r="T29" s="4" t="str">
        <x:f>IF(Master!U688="","",Master!U688)</x:f>
      </x:c>
      <x:c r="U29" s="4" t="str">
        <x:f>IF(Master!V688="","",Master!V688)</x:f>
      </x:c>
      <x:c r="V29" s="4" t="str">
        <x:f>IF(Master!W688="","",Master!W688)</x:f>
      </x:c>
      <x:c r="W29" s="4" t="str">
        <x:f>IF(Master!X688="","",Master!X688)</x:f>
      </x:c>
      <x:c r="X29" s="4" t="str">
        <x:f>IF(Master!Y688="","",Master!Y688)</x:f>
      </x:c>
      <x:c r="Y29" s="4" t="str">
        <x:f>IF(Master!Z688="","",Master!Z688)</x:f>
      </x:c>
      <x:c r="Z29" s="4" t="str">
        <x:f>IF(Master!AA688="","",Master!AA688)</x:f>
      </x:c>
      <x:c r="AA29" s="5" t="str">
        <x:f>IF(Master!AB688="","",Master!AB688)</x:f>
      </x:c>
      <x:c r="AB29" s="4" t="str">
        <x:f>IF(Master!AC688="","",Master!AC688)</x:f>
      </x:c>
      <x:c r="AC29" s="4" t="str">
        <x:f>IF(Master!AD688="","",Master!AD688)</x:f>
      </x:c>
      <x:c r="AD29" s="4" t="str">
        <x:f>IF(Master!AE688="","",Master!AE688)</x:f>
      </x:c>
      <x:c r="AE29" s="4" t="str">
        <x:f>IF(Master!AF688="","",Master!AF688)</x:f>
      </x:c>
      <x:c r="AF29" s="8" t="str">
        <x:f>IF(Master!AG688="","",Master!AG688)</x:f>
      </x:c>
    </x:row>
  </x:sheetData>
  <x:mergeCells>
    <x:mergeCell ref="A1:AF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Directory'!A1","Business Model &amp; Sustainability"),"Business Model &amp; Sustainability")</x:f>
        <x:v>Business Model &amp; Sustainability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968</x:v>
      </x:c>
      <x:c r="B3" s="3" t="str">
        <x:f>IF(Master!C689="","",Master!C689)</x:f>
        <x:v>VC-backed private company + operating revenue from subscriptions, paid products, and sponsored content</x:v>
      </x:c>
      <x:c r="C3" s="3" t="str">
        <x:f>IF(Master!D689="","",Master!D689)</x:f>
        <x:v>Open-source/community project</x:v>
      </x:c>
      <x:c r="D3" s="3" t="str">
        <x:f>IF(Master!E689="","",Master!E689)</x:f>
        <x:v>Donation/community funded; no investors</x:v>
      </x:c>
      <x:c r="E3" s="3" t="str">
        <x:f>IF(Master!F689="","",Master!F689)</x:f>
        <x:v>Small private team</x:v>
      </x:c>
      <x:c r="F3" s="3" t="str">
        <x:f>IF(Master!G689="","",Master!G689)</x:f>
      </x:c>
      <x:c r="G3" s="3" t="str">
        <x:f>IF(Master!H689="","",Master!H689)</x:f>
        <x:v>Subscribers + donors; explicitly no VC/outside investors</x:v>
      </x:c>
      <x:c r="H3" s="3" t="str">
        <x:f>IF(Master!I689="","",Master!I689)</x:f>
        <x:v>Self-funded; LightSpeed Gaming LLC</x:v>
      </x:c>
      <x:c r="I3" s="3" t="str">
        <x:f>IF(Master!J689="","",Master!J689)</x:f>
        <x:v>Volunteer/open-source</x:v>
      </x:c>
      <x:c r="J3" s="3" t="str">
        <x:f>IF(Master!K689="","",Master!K689)</x:f>
        <x:v>Solo/open-source project</x:v>
      </x:c>
      <x:c r="K3" s="3" t="str">
        <x:f>IF(Master!L689="","",Master!L689)</x:f>
        <x:v>Self-funded from developer's other apps/services and day job (developer report)</x:v>
      </x:c>
      <x:c r="L3" s="3" t="str">
        <x:f>IF(Master!M689="","",Master!M689)</x:f>
        <x:v>Community/passion project</x:v>
      </x:c>
      <x:c r="M3" s="3" t="str">
        <x:f>IF(Master!N689="","",Master!N689)</x:f>
      </x:c>
      <x:c r="N3" s="3" t="str">
        <x:f>IF(Master!O689="","",Master!O689)</x:f>
        <x:v>Matrix.org Foundation + ecosystem companies/donations/managed hosting</x:v>
      </x:c>
      <x:c r="O3" s="3" t="str">
        <x:f>IF(Master!P689="","",Master!P689)</x:f>
        <x:v>VC/enterprise-backed commercial company + product revenue</x:v>
      </x:c>
      <x:c r="P3" s="3" t="str">
        <x:f>IF(Master!Q689="","",Master!Q689)</x:f>
        <x:v>Company-backed</x:v>
      </x:c>
      <x:c r="Q3" s="3" t="str">
        <x:f>IF(Master!R689="","",Master!R689)</x:f>
        <x:v>Community open-source project</x:v>
      </x:c>
      <x:c r="R3" s="3" t="str">
        <x:f>IF(Master!S689="","",Master!S689)</x:f>
        <x:v>Donations</x:v>
      </x:c>
      <x:c r="S3" s="3" t="str">
        <x:f>IF(Master!T689="","",Master!T689)</x:f>
      </x:c>
      <x:c r="T3" s="3" t="str">
        <x:f>IF(Master!U689="","",Master!U689)</x:f>
        <x:v>Optional donations; independently run; not VC-backed</x:v>
      </x:c>
      <x:c r="U3" s="3" t="str">
        <x:f>IF(Master!V689="","",Master!V689)</x:f>
        <x:v>Self Funded</x:v>
      </x:c>
      <x:c r="V3" s="3" t="str">
        <x:f>IF(Master!W689="","",Master!W689)</x:f>
        <x:v>VC/enterprise company + subscriptions</x:v>
      </x:c>
      <x:c r="W3" s="3" t="str">
        <x:f>IF(Master!X689="","",Master!X689)</x:f>
        <x:v>Open-source/community project</x:v>
      </x:c>
      <x:c r="X3" s="3" t="str">
        <x:f>IF(Master!Y689="","",Master!Y689)</x:f>
      </x:c>
      <x:c r="Y3" s="3" t="str">
        <x:f>IF(Master!Z689="","",Master!Z689)</x:f>
        <x:v>Community open-source project</x:v>
      </x:c>
      <x:c r="Z3" s="3" t="str">
        <x:f>IF(Master!AA689="","",Master!AA689)</x:f>
      </x:c>
      <x:c r="AA3" s="6" t="str">
        <x:f>IF(Master!AB689="","",Master!AB689)</x:f>
        <x:v>Commercial company</x:v>
      </x:c>
      <x:c r="AB3" s="3" t="str">
        <x:f>IF(Master!AC689="","",Master!AC689)</x:f>
        <x:v>Volunteer/no corporate funding + subscriptions/Patreon</x:v>
      </x:c>
      <x:c r="AC3" s="3" t="str">
        <x:f>IF(Master!AD689="","",Master!AD689)</x:f>
        <x:v>Founder/community project</x:v>
      </x:c>
      <x:c r="AD3" s="3" t="str">
        <x:f>IF(Master!AE689="","",Master!AE689)</x:f>
        <x:v>Solo/private project</x:v>
      </x:c>
      <x:c r="AE3" s="3" t="str">
        <x:f>IF(Master!AF689="","",Master!AF689)</x:f>
        <x:v>Paid licensing + managed hosting</x:v>
      </x:c>
      <x:c r="AF3" s="8" t="str">
        <x:f>IF(Master!AG689="","",Master!AG689)</x:f>
        <x:v>Independent company + subscriptions/support; no VC per project messaging</x:v>
      </x:c>
    </x:row>
    <x:row r="4" ht="36" customHeight="1">
      <x:c r="A4" s="17" t="s">
        <x:v>969</x:v>
      </x:c>
      <x:c r="B4" s="3" t="str">
        <x:f>IF(Master!C690="","",Master!C690)</x:f>
        <x:v>Freemium; Nitro/Nitro Basic, Server Boosts, Shop/paid products, sponsored content/Quests</x:v>
      </x:c>
      <x:c r="C4" s="3" t="str">
        <x:f>IF(Master!D690="","",Master!D690)</x:f>
        <x:v>Free/open source; hosting/relay costs</x:v>
      </x:c>
      <x:c r="D4" s="3" t="str">
        <x:f>IF(Master!E690="","",Master!E690)</x:f>
        <x:v>Free open-source self-hosting</x:v>
      </x:c>
      <x:c r="E4" s="3" t="str">
        <x:f>IF(Master!F690="","",Master!F690)</x:f>
      </x:c>
      <x:c r="F4" s="3" t="str">
        <x:f>IF(Master!G690="","",Master!G690)</x:f>
        <x:v>Freemium; planned Surge $4.99, Flare $9.99, higher creator tier</x:v>
      </x:c>
      <x:c r="G4" s="3" t="str">
        <x:f>IF(Master!H690="","",Master!H690)</x:f>
        <x:v>Freemium + Plutonium subscription + donations</x:v>
      </x:c>
      <x:c r="H4" s="3" t="str">
        <x:f>IF(Master!I690="","",Master!I690)</x:f>
        <x:v>Free hosted use + paid server tiers/self-host licensing</x:v>
      </x:c>
      <x:c r="I4" s="3" t="str">
        <x:f>IF(Master!J690="","",Master!J690)</x:f>
        <x:v>Free/open source</x:v>
      </x:c>
      <x:c r="J4" s="3" t="str">
        <x:f>IF(Master!K690="","",Master!K690)</x:f>
        <x:v>Free/open-source; relay/code-signing costs borne by developer</x:v>
      </x:c>
      <x:c r="K4" s="3" t="str">
        <x:f>IF(Master!L690="","",Master!L690)</x:f>
        <x:v>Free/currently unmonetized; future monetization planned but not yet defined</x:v>
      </x:c>
      <x:c r="L4" s="3" t="str">
        <x:f>IF(Master!M690="","",Master!M690)</x:f>
      </x:c>
      <x:c r="M4" s="3" t="str">
        <x:f>IF(Master!N690="","",Master!N690)</x:f>
      </x:c>
      <x:c r="N4" s="3" t="str">
        <x:f>IF(Master!O690="","",Master!O690)</x:f>
        <x:v>Open protocol; hosted homeservers/enterprise services sold by providers</x:v>
      </x:c>
      <x:c r="O4" s="3" t="str">
        <x:f>IF(Master!P690="","",Master!P690)</x:f>
        <x:v>Self-hosted/cloud enterprise subscriptions + free/open editions</x:v>
      </x:c>
      <x:c r="P4" s="3" t="str">
        <x:f>IF(Master!Q690="","",Master!Q690)</x:f>
        <x:v>Free; no paywalls claimed</x:v>
      </x:c>
      <x:c r="Q4" s="3" t="str">
        <x:f>IF(Master!R690="","",Master!R690)</x:f>
        <x:v>Free open-source; commercial hosting by third parties</x:v>
      </x:c>
      <x:c r="R4" s="3" t="str">
        <x:f>IF(Master!S690="","",Master!S690)</x:f>
        <x:v>Free / donation-funded</x:v>
      </x:c>
      <x:c r="S4" s="3" t="str">
        <x:f>IF(Master!T690="","",Master!T690)</x:f>
      </x:c>
      <x:c r="T4" s="3" t="str">
        <x:f>IF(Master!U690="","",Master!U690)</x:f>
        <x:v>Free hosted service + optional donations + AGPL self-host</x:v>
      </x:c>
      <x:c r="U4" s="3" t="str">
        <x:f>IF(Master!V690="","",Master!V690)</x:f>
        <x:v>Rift+ &amp; Shard Forge/Ember</x:v>
      </x:c>
      <x:c r="V4" s="3" t="str">
        <x:f>IF(Master!W690="","",Master!W690)</x:f>
        <x:v>Cloud + enterprise/self-managed subscriptions + open-source core</x:v>
      </x:c>
      <x:c r="W4" s="3" t="str">
        <x:f>IF(Master!X690="","",Master!X690)</x:f>
        <x:v>Free/open-source</x:v>
      </x:c>
      <x:c r="X4" s="3" t="str">
        <x:f>IF(Master!Y690="","",Master!Y690)</x:f>
        <x:v>Freemium + Sudo subscription / paid perks + developer ecosystem</x:v>
      </x:c>
      <x:c r="Y4" s="3" t="str">
        <x:f>IF(Master!Z690="","",Master!Z690)</x:f>
        <x:v>Free self-hosted software</x:v>
      </x:c>
      <x:c r="Z4" s="3" t="str">
        <x:f>IF(Master!AA690="","",Master!AA690)</x:f>
      </x:c>
      <x:c r="AA4" s="6" t="str">
        <x:f>IF(Master!AB690="","",Master!AB690)</x:f>
        <x:v>Free client/use tiers + server licensing/hosted/community options</x:v>
      </x:c>
      <x:c r="AB4" s="3" t="str">
        <x:f>IF(Master!AC690="","",Master!AC690)</x:f>
        <x:v>Free + optional Stargazer subscriptions</x:v>
      </x:c>
      <x:c r="AC4" s="3" t="str">
        <x:f>IF(Master!AD690="","",Master!AD690)</x:f>
      </x:c>
      <x:c r="AD4" s="3" t="str">
        <x:f>IF(Master!AE690="","",Master!AE690)</x:f>
        <x:v>Core free; private lobby/crew hosting tier ~$6/month; custom builds</x:v>
      </x:c>
      <x:c r="AE4" s="3" t="str">
        <x:f>IF(Master!AF690="","",Master!AF690)</x:f>
        <x:v>Self-host server license + optional hosted trial/service</x:v>
      </x:c>
      <x:c r="AF4" s="8" t="str">
        <x:f>IF(Master!AG690="","",Master!AG690)</x:f>
        <x:v>Cloud subscriptions + paid self-host support; open-source free self-host</x:v>
      </x:c>
    </x:row>
    <x:row r="5" ht="36" customHeight="1">
      <x:c r="A5" s="17" t="s">
        <x:v>970</x:v>
      </x:c>
      <x:c r="B5" s="3" t="str">
        <x:f>IF(Master!C691="","",Master!C691)</x:f>
        <x:v>Yes: Nitro/Nitro Basic; cosmetics, emoji/stickers, themes, larger uploads, HD streaming; Nitro includes boosts</x:v>
      </x:c>
      <x:c r="C5" s="3" t="str">
        <x:f>IF(Master!D691="","",Master!D691)</x:f>
        <x:v>No</x:v>
      </x:c>
      <x:c r="D5" s="3" t="str">
        <x:f>IF(Master!E691="","",Master!E691)</x:f>
        <x:v>No</x:v>
      </x:c>
      <x:c r="E5" s="3" t="str">
        <x:f>IF(Master!F691="","",Master!F691)</x:f>
      </x:c>
      <x:c r="F5" s="3" t="str">
        <x:f>IF(Master!G691="","",Master!G691)</x:f>
        <x:v>Paid tiers planned</x:v>
      </x:c>
      <x:c r="G5" s="3" t="str">
        <x:f>IF(Master!H691="","",Master!H691)</x:f>
        <x:v>Plutonium perks including higher upload/streaming limits</x:v>
      </x:c>
      <x:c r="H5" s="3" t="str">
        <x:f>IF(Master!I691="","",Master!I691)</x:f>
        <x:v>Paid server tiers/quality upgrades</x:v>
      </x:c>
      <x:c r="I5" s="3" t="str">
        <x:f>IF(Master!J691="","",Master!J691)</x:f>
        <x:v>No</x:v>
      </x:c>
      <x:c r="J5" s="3" t="str">
        <x:f>IF(Master!K691="","",Master!K691)</x:f>
        <x:v>No</x:v>
      </x:c>
      <x:c r="K5" s="3" t="str">
        <x:f>IF(Master!L691="","",Master!L691)</x:f>
        <x:v>No current paid cosmetic subscription</x:v>
      </x:c>
      <x:c r="L5" s="3" t="str">
        <x:f>IF(Master!M691="","",Master!M691)</x:f>
        <x:v>No ads</x:v>
      </x:c>
      <x:c r="M5" s="3" t="str">
        <x:f>IF(Master!N691="","",Master!N691)</x:f>
      </x:c>
      <x:c r="N5" s="3" t="str">
        <x:f>IF(Master!O691="","",Master!O691)</x:f>
        <x:v>Client/provider-specific</x:v>
      </x:c>
      <x:c r="O5" s="3" t="str">
        <x:f>IF(Master!P691="","",Master!P691)</x:f>
        <x:v>N/A</x:v>
      </x:c>
      <x:c r="P5" s="3" t="str">
        <x:f>IF(Master!Q691="","",Master!Q691)</x:f>
        <x:v>No Nitro-style paywall</x:v>
      </x:c>
      <x:c r="Q5" s="3" t="str">
        <x:f>IF(Master!R691="","",Master!R691)</x:f>
        <x:v>N/A</x:v>
      </x:c>
      <x:c r="R5" s="3" t="str">
        <x:f>IF(Master!S691="","",Master!S691)</x:f>
        <x:v>No Nitro-style requirement known</x:v>
      </x:c>
      <x:c r="S5" s="3" t="str">
        <x:f>IF(Master!T691="","",Master!T691)</x:f>
      </x:c>
      <x:c r="T5" s="3" t="str">
        <x:f>IF(Master!U691="","",Master!U691)</x:f>
        <x:v>None: donations unlock nothing</x:v>
      </x:c>
      <x:c r="U5" s="3" t="str">
        <x:f>IF(Master!V691="","",Master!V691)</x:f>
        <x:v>Yes: Rift+ includes animated avatar/banner, themes, badge, Atmosphere, companion skins</x:v>
      </x:c>
      <x:c r="V5" s="3" t="str">
        <x:f>IF(Master!W691="","",Master!W691)</x:f>
        <x:v>N/A</x:v>
      </x:c>
      <x:c r="W5" s="3" t="str">
        <x:f>IF(Master!X691="","",Master!X691)</x:f>
        <x:v>No</x:v>
      </x:c>
      <x:c r="X5" s="3" t="str">
        <x:f>IF(Master!Y691="","",Master!Y691)</x:f>
      </x:c>
      <x:c r="Y5" s="3" t="str">
        <x:f>IF(Master!Z691="","",Master!Z691)</x:f>
        <x:v>N/A</x:v>
      </x:c>
      <x:c r="Z5" s="3" t="str">
        <x:f>IF(Master!AA691="","",Master!AA691)</x:f>
      </x:c>
      <x:c r="AA5" s="6" t="str">
        <x:f>IF(Master!AB691="","",Master!AB691)</x:f>
      </x:c>
      <x:c r="AB5" s="3" t="str">
        <x:f>IF(Master!AC691="","",Master!AC691)</x:f>
        <x:v>Stargazer upload/profile perks</x:v>
      </x:c>
      <x:c r="AC5" s="3" t="str">
        <x:f>IF(Master!AD691="","",Master!AD691)</x:f>
      </x:c>
      <x:c r="AD5" s="3" t="str">
        <x:f>IF(Master!AE691="","",Master!AE691)</x:f>
        <x:v>Paid own lobby/custom</x:v>
      </x:c>
      <x:c r="AE5" s="3" t="str">
        <x:f>IF(Master!AF691="","",Master!AF691)</x:f>
        <x:v>No per-user Nitro focus</x:v>
      </x:c>
      <x:c r="AF5" s="8" t="str">
        <x:f>IF(Master!AG691="","",Master!AG691)</x:f>
        <x:v>N/A</x:v>
      </x:c>
    </x:row>
    <x:row r="6" ht="36" customHeight="1">
      <x:c r="A6" s="17" t="s">
        <x:v>971</x:v>
      </x:c>
      <x:c r="B6" s="3" t="str">
        <x:f>IF(Master!C692="","",Master!C692)</x:f>
        <x:v>N/A: official self-hosting unsupported</x:v>
      </x:c>
      <x:c r="C6" s="3" t="str">
        <x:f>IF(Master!D692="","",Master!D692)</x:f>
        <x:v>Relay resource dependent</x:v>
      </x:c>
      <x:c r="D6" s="3" t="str">
        <x:f>IF(Master!E692="","",Master!E692)</x:f>
        <x:v>Operator hardware</x:v>
      </x:c>
      <x:c r="E6" s="3" t="str">
        <x:f>IF(Master!F692="","",Master!F692)</x:f>
        <x:v>N/A</x:v>
      </x:c>
      <x:c r="F6" s="3" t="str">
        <x:f>IF(Master!G692="","",Master!G692)</x:f>
        <x:v>N/A: no self-hosting</x:v>
      </x:c>
      <x:c r="G6" s="3" t="str">
        <x:f>IF(Master!H692="","",Master!H692)</x:f>
      </x:c>
      <x:c r="H6" s="3" t="str">
        <x:f>IF(Master!I692="","",Master!I692)</x:f>
      </x:c>
      <x:c r="I6" s="3" t="str">
        <x:f>IF(Master!J692="","",Master!J692)</x:f>
      </x:c>
      <x:c r="J6" s="3" t="str">
        <x:f>IF(Master!K692="","",Master!K692)</x:f>
        <x:v>Relay ~modest VPS; developer reports very high connection capacity</x:v>
      </x:c>
      <x:c r="K6" s="3" t="str">
        <x:f>IF(Master!L692="","",Master!L692)</x:f>
        <x:v>≈2 CPU cores / 4 GB RAM for a small instance (developer report)</x:v>
      </x:c>
      <x:c r="L6" s="3" t="str">
        <x:f>IF(Master!M692="","",Master!M692)</x:f>
        <x:v>N/A</x:v>
      </x:c>
      <x:c r="M6" s="3" t="str">
        <x:f>IF(Master!N692="","",Master!N692)</x:f>
      </x:c>
      <x:c r="N6" s="3" t="str">
        <x:f>IF(Master!O692="","",Master!O692)</x:f>
        <x:v>Varies by homeserver implementation/workload</x:v>
      </x:c>
      <x:c r="O6" s="3" t="str">
        <x:f>IF(Master!P692="","",Master!P692)</x:f>
        <x:v>Varies; official sizing guides available</x:v>
      </x:c>
      <x:c r="P6" s="3" t="str">
        <x:f>IF(Master!Q692="","",Master!Q692)</x:f>
      </x:c>
      <x:c r="Q6" s="3" t="str">
        <x:f>IF(Master!R692="","",Master!R692)</x:f>
      </x:c>
      <x:c r="R6" s="3" t="str">
        <x:f>IF(Master!S692="","",Master!S692)</x:f>
      </x:c>
      <x:c r="S6" s="3" t="str">
        <x:f>IF(Master!T692="","",Master!T692)</x:f>
        <x:v>N/A</x:v>
      </x:c>
      <x:c r="T6" s="3" t="str">
        <x:f>IF(Master!U692="","",Master!U692)</x:f>
      </x:c>
      <x:c r="U6" s="3" t="str">
        <x:f>IF(Master!V692="","",Master!V692)</x:f>
        <x:v>N/A</x:v>
      </x:c>
      <x:c r="V6" s="3" t="str">
        <x:f>IF(Master!W692="","",Master!W692)</x:f>
        <x:v>Varies by deployment</x:v>
      </x:c>
      <x:c r="W6" s="3" t="str">
        <x:f>IF(Master!X692="","",Master!X692)</x:f>
      </x:c>
      <x:c r="X6" s="3" t="str">
        <x:f>IF(Master!Y692="","",Master!Y692)</x:f>
        <x:v>N/A</x:v>
      </x:c>
      <x:c r="Y6" s="3" t="str">
        <x:f>IF(Master!Z692="","",Master!Z692)</x:f>
      </x:c>
      <x:c r="Z6" s="3" t="str">
        <x:f>IF(Master!AA692="","",Master!AA692)</x:f>
      </x:c>
      <x:c r="AA6" s="6" t="str">
        <x:f>IF(Master!AB692="","",Master!AB692)</x:f>
      </x:c>
      <x:c r="AB6" s="3" t="str">
        <x:f>IF(Master!AC692="","",Master!AC692)</x:f>
      </x:c>
      <x:c r="AC6" s="3" t="str">
        <x:f>IF(Master!AD692="","",Master!AD692)</x:f>
      </x:c>
      <x:c r="AD6" s="3" t="str">
        <x:f>IF(Master!AE692="","",Master!AE692)</x:f>
        <x:v>N/A</x:v>
      </x:c>
      <x:c r="AE6" s="3" t="str">
        <x:f>IF(Master!AF692="","",Master!AF692)</x:f>
        <x:v>Operator hardware</x:v>
      </x:c>
      <x:c r="AF6" s="8" t="str">
        <x:f>IF(Master!AG692="","",Master!AG692)</x:f>
        <x:v>Varies; modest for small teams; official sizing depends deployment</x:v>
      </x:c>
    </x:row>
    <x:row r="7" ht="36" customHeight="1">
      <x:c r="A7" s="17" t="s">
        <x:v>972</x:v>
      </x:c>
      <x:c r="B7" s="3" t="str">
        <x:f>IF(Master!C693="","",Master!C693)</x:f>
        <x:v>N/A: official self-hosting unsupported</x:v>
      </x:c>
      <x:c r="C7" s="3" t="str">
        <x:f>IF(Master!D693="","",Master!D693)</x:f>
        <x:v>Relay resource dependent</x:v>
      </x:c>
      <x:c r="D7" s="3" t="str">
        <x:f>IF(Master!E693="","",Master!E693)</x:f>
        <x:v>Operator hardware</x:v>
      </x:c>
      <x:c r="E7" s="3" t="str">
        <x:f>IF(Master!F693="","",Master!F693)</x:f>
        <x:v>N/A</x:v>
      </x:c>
      <x:c r="F7" s="3" t="str">
        <x:f>IF(Master!G693="","",Master!G693)</x:f>
        <x:v>N/A: no self-hosting</x:v>
      </x:c>
      <x:c r="G7" s="3" t="str">
        <x:f>IF(Master!H693="","",Master!H693)</x:f>
      </x:c>
      <x:c r="H7" s="3" t="str">
        <x:f>IF(Master!I693="","",Master!I693)</x:f>
      </x:c>
      <x:c r="I7" s="3" t="str">
        <x:f>IF(Master!J693="","",Master!J693)</x:f>
      </x:c>
      <x:c r="J7" s="3" t="str">
        <x:f>IF(Master!K693="","",Master!K693)</x:f>
      </x:c>
      <x:c r="K7" s="3" t="str">
        <x:f>IF(Master!L693="","",Master!L693)</x:f>
        <x:v>Not published</x:v>
      </x:c>
      <x:c r="L7" s="3" t="str">
        <x:f>IF(Master!M693="","",Master!M693)</x:f>
        <x:v>N/A</x:v>
      </x:c>
      <x:c r="M7" s="3" t="str">
        <x:f>IF(Master!N693="","",Master!N693)</x:f>
      </x:c>
      <x:c r="N7" s="3" t="str">
        <x:f>IF(Master!O693="","",Master!O693)</x:f>
        <x:v>Varies widely</x:v>
      </x:c>
      <x:c r="O7" s="3" t="str">
        <x:f>IF(Master!P693="","",Master!P693)</x:f>
        <x:v>Varies; official sizing guides available</x:v>
      </x:c>
      <x:c r="P7" s="3" t="str">
        <x:f>IF(Master!Q693="","",Master!Q693)</x:f>
      </x:c>
      <x:c r="Q7" s="3" t="str">
        <x:f>IF(Master!R693="","",Master!R693)</x:f>
      </x:c>
      <x:c r="R7" s="3" t="str">
        <x:f>IF(Master!S693="","",Master!S693)</x:f>
      </x:c>
      <x:c r="S7" s="3" t="str">
        <x:f>IF(Master!T693="","",Master!T693)</x:f>
        <x:v>N/A</x:v>
      </x:c>
      <x:c r="T7" s="3" t="str">
        <x:f>IF(Master!U693="","",Master!U693)</x:f>
      </x:c>
      <x:c r="U7" s="3" t="str">
        <x:f>IF(Master!V693="","",Master!V693)</x:f>
        <x:v>N/A</x:v>
      </x:c>
      <x:c r="V7" s="3" t="str">
        <x:f>IF(Master!W693="","",Master!W693)</x:f>
        <x:v>Varies by deployment</x:v>
      </x:c>
      <x:c r="W7" s="3" t="str">
        <x:f>IF(Master!X693="","",Master!X693)</x:f>
      </x:c>
      <x:c r="X7" s="3" t="str">
        <x:f>IF(Master!Y693="","",Master!Y693)</x:f>
        <x:v>N/A</x:v>
      </x:c>
      <x:c r="Y7" s="3" t="str">
        <x:f>IF(Master!Z693="","",Master!Z693)</x:f>
      </x:c>
      <x:c r="Z7" s="3" t="str">
        <x:f>IF(Master!AA693="","",Master!AA693)</x:f>
      </x:c>
      <x:c r="AA7" s="6" t="str">
        <x:f>IF(Master!AB693="","",Master!AB693)</x:f>
      </x:c>
      <x:c r="AB7" s="3" t="str">
        <x:f>IF(Master!AC693="","",Master!AC693)</x:f>
      </x:c>
      <x:c r="AC7" s="3" t="str">
        <x:f>IF(Master!AD693="","",Master!AD693)</x:f>
      </x:c>
      <x:c r="AD7" s="3" t="str">
        <x:f>IF(Master!AE693="","",Master!AE693)</x:f>
        <x:v>N/A</x:v>
      </x:c>
      <x:c r="AE7" s="3" t="str">
        <x:f>IF(Master!AF693="","",Master!AF693)</x:f>
        <x:v>Operator hardware</x:v>
      </x:c>
      <x:c r="AF7" s="8" t="str">
        <x:f>IF(Master!AG693="","",Master!AG693)</x:f>
        <x:v>Varies</x:v>
      </x:c>
    </x:row>
    <x:row r="8" ht="36" customHeight="1">
      <x:c r="A8" s="17" t="s">
        <x:v>973</x:v>
      </x:c>
      <x:c r="B8" s="3" t="str">
        <x:f>IF(Master!C694="","",Master!C694)</x:f>
      </x:c>
      <x:c r="C8" s="3" t="str">
        <x:f>IF(Master!D694="","",Master!D694)</x:f>
        <x:v>Early but architecture minimizes central hosting dependence</x:v>
      </x:c>
      <x:c r="D8" s="3" t="str">
        <x:f>IF(Master!E694="","",Master!E694)</x:f>
        <x:v>Active solo-led open-source project</x:v>
      </x:c>
      <x:c r="E8" s="3" t="str">
        <x:f>IF(Master!F694="","",Master!F694)</x:f>
        <x:v>Early product</x:v>
      </x:c>
      <x:c r="F8" s="3" t="str">
        <x:f>IF(Master!G694="","",Master!G694)</x:f>
        <x:v>Very early alpha; sustainability depends on adoption/subscriptions</x:v>
      </x:c>
      <x:c r="G8" s="3" t="str">
        <x:f>IF(Master!H694="","",Master!H694)</x:f>
      </x:c>
      <x:c r="H8" s="3" t="str">
        <x:f>IF(Master!I694="","",Master!I694)</x:f>
        <x:v>Founder states no investors; long-running voice-hosting background</x:v>
      </x:c>
      <x:c r="I8" s="3" t="str">
        <x:f>IF(Master!J694="","",Master!J694)</x:f>
        <x:v>Early volunteer project</x:v>
      </x:c>
      <x:c r="J8" s="3" t="str">
        <x:f>IF(Master!K694="","",Master!K694)</x:f>
        <x:v>Solo-project sustainability risk</x:v>
      </x:c>
      <x:c r="K8" s="3" t="str">
        <x:f>IF(Master!L694="","",Master!L694)</x:f>
        <x:v>Active/self-funded but solo-developer bus factor is the main sustainability risk</x:v>
      </x:c>
      <x:c r="L8" s="3" t="str">
        <x:f>IF(Master!M694="","",Master!M694)</x:f>
      </x:c>
      <x:c r="M8" s="3" t="str">
        <x:f>IF(Master!N694="","",Master!N694)</x:f>
        <x:v>Early-stage</x:v>
      </x:c>
      <x:c r="N8" s="3" t="str">
        <x:f>IF(Master!O694="","",Master!O694)</x:f>
        <x:v>Protocol longevity supported by open standard + multi-vendor ecosystem; individual providers vary</x:v>
      </x:c>
      <x:c r="O8" s="3" t="str">
        <x:f>IF(Master!P694="","",Master!P694)</x:f>
      </x:c>
      <x:c r="P8" s="3" t="str">
        <x:f>IF(Master!Q694="","",Master!Q694)</x:f>
        <x:v>Active company/product</x:v>
      </x:c>
      <x:c r="Q8" s="3" t="str">
        <x:f>IF(Master!R694="","",Master!R694)</x:f>
        <x:v>Long-running mature open-source project</x:v>
      </x:c>
      <x:c r="R8" s="3" t="str">
        <x:f>IF(Master!S694="","",Master!S694)</x:f>
        <x:v>Small hobby project; continuity depends on maintainers/donations</x:v>
      </x:c>
      <x:c r="S8" s="3" t="str">
        <x:f>IF(Master!T694="","",Master!T694)</x:f>
      </x:c>
      <x:c r="T8" s="3" t="str">
        <x:f>IF(Master!U694="","",Master!U694)</x:f>
        <x:v>Young beta; independently run; no VC backing claimed</x:v>
      </x:c>
      <x:c r="U8" s="3" t="str">
        <x:f>IF(Master!V694="","",Master!V694)</x:f>
        <x:v>Early private product</x:v>
      </x:c>
      <x:c r="V8" s="3" t="str">
        <x:f>IF(Master!W694="","",Master!W694)</x:f>
        <x:v>Established enterprise/open-source vendor</x:v>
      </x:c>
      <x:c r="W8" s="3" t="str">
        <x:f>IF(Master!X694="","",Master!X694)</x:f>
        <x:v>Experimental project</x:v>
      </x:c>
      <x:c r="X8" s="3" t="str">
        <x:f>IF(Master!Y694="","",Master!Y694)</x:f>
      </x:c>
      <x:c r="Y8" s="3" t="str">
        <x:f>IF(Master!Z694="","",Master!Z694)</x:f>
        <x:v>Volunteer-project continuity risk higher than established vendors</x:v>
      </x:c>
      <x:c r="Z8" s="3" t="str">
        <x:f>IF(Master!AA694="","",Master!AA694)</x:f>
      </x:c>
      <x:c r="AA8" s="6" t="str">
        <x:f>IF(Master!AB694="","",Master!AB694)</x:f>
        <x:v>Mature long-lived commercial product</x:v>
      </x:c>
      <x:c r="AB8" s="3" t="str">
        <x:f>IF(Master!AC694="","",Master!AC694)</x:f>
        <x:v>Open-source + optional subscription support</x:v>
      </x:c>
      <x:c r="AC8" s="3" t="str">
        <x:f>IF(Master!AD694="","",Master!AD694)</x:f>
        <x:v>Experimental project risk</x:v>
      </x:c>
      <x:c r="AD8" s="3" t="str">
        <x:f>IF(Master!AE694="","",Master!AE694)</x:f>
        <x:v>Early solo project</x:v>
      </x:c>
      <x:c r="AE8" s="3" t="str">
        <x:f>IF(Master!AF694="","",Master!AF694)</x:f>
        <x:v>Business funded by licenses/hosting</x:v>
      </x:c>
      <x:c r="AF8" s="8" t="str">
        <x:f>IF(Master!AG694="","",Master!AG694)</x:f>
        <x:v>Established open-source + commercial support model</x:v>
      </x:c>
    </x:row>
    <x:row r="9" ht="23.100000381469727" customHeight="1">
      <x:c r="A9" s="17" t="s">
        <x:v>974</x:v>
      </x:c>
      <x:c r="B9" s="4" t="str">
        <x:f>IF(Master!C695="","",Master!C695)</x:f>
      </x:c>
      <x:c r="C9" s="4" t="str">
        <x:f>IF(Master!D695="","",Master!D695)</x:f>
      </x:c>
      <x:c r="D9" s="4" t="str">
        <x:f>IF(Master!E695="","",Master!E695)</x:f>
      </x:c>
      <x:c r="E9" s="4" t="str">
        <x:f>IF(Master!F695="","",Master!F695)</x:f>
      </x:c>
      <x:c r="F9" s="4" t="str">
        <x:f>IF(Master!G695="","",Master!G695)</x:f>
      </x:c>
      <x:c r="G9" s="4" t="str">
        <x:f>IF(Master!H695="","",Master!H695)</x:f>
      </x:c>
      <x:c r="H9" s="4" t="str">
        <x:f>IF(Master!I695="","",Master!I695)</x:f>
      </x:c>
      <x:c r="I9" s="4" t="str">
        <x:f>IF(Master!J695="","",Master!J695)</x:f>
      </x:c>
      <x:c r="J9" s="4" t="str">
        <x:f>IF(Master!K695="","",Master!K695)</x:f>
      </x:c>
      <x:c r="K9" s="4" t="str">
        <x:f>IF(Master!L695="","",Master!L695)</x:f>
        <x:v>No current revenue; funding comes from developer's other businesses/services and employment</x:v>
      </x:c>
      <x:c r="L9" s="4" t="str">
        <x:f>IF(Master!M695="","",Master!M695)</x:f>
      </x:c>
      <x:c r="M9" s="4" t="str">
        <x:f>IF(Master!N695="","",Master!N695)</x:f>
      </x:c>
      <x:c r="N9" s="4" t="str">
        <x:f>IF(Master!O695="","",Master!O695)</x:f>
      </x:c>
      <x:c r="O9" s="4" t="str">
        <x:f>IF(Master!P695="","",Master!P695)</x:f>
      </x:c>
      <x:c r="P9" s="4" t="str">
        <x:f>IF(Master!Q695="","",Master!Q695)</x:f>
      </x:c>
      <x:c r="Q9" s="4" t="str">
        <x:f>IF(Master!R695="","",Master!R695)</x:f>
      </x:c>
      <x:c r="R9" s="4" t="str">
        <x:f>IF(Master!S695="","",Master!S695)</x:f>
      </x:c>
      <x:c r="S9" s="4" t="str">
        <x:f>IF(Master!T695="","",Master!T695)</x:f>
      </x:c>
      <x:c r="T9" s="4" t="str">
        <x:f>IF(Master!U695="","",Master!U695)</x:f>
        <x:v>Free hosted; donations are optional and unlock nothing; not VC-backed</x:v>
      </x:c>
      <x:c r="U9" s="4" t="str">
        <x:f>IF(Master!V695="","",Master!V695)</x:f>
        <x:v>Self Funded with Subcriptions in the future</x:v>
      </x:c>
      <x:c r="V9" s="4" t="str">
        <x:f>IF(Master!W695="","",Master!W695)</x:f>
      </x:c>
      <x:c r="W9" s="4" t="str">
        <x:f>IF(Master!X695="","",Master!X695)</x:f>
      </x:c>
      <x:c r="X9" s="4" t="str">
        <x:f>IF(Master!Y695="","",Master!Y695)</x:f>
      </x:c>
      <x:c r="Y9" s="4" t="str">
        <x:f>IF(Master!Z695="","",Master!Z695)</x:f>
      </x:c>
      <x:c r="Z9" s="4" t="str">
        <x:f>IF(Master!AA695="","",Master!AA695)</x:f>
      </x:c>
      <x:c r="AA9" s="5" t="str">
        <x:f>IF(Master!AB695="","",Master!AB695)</x:f>
      </x:c>
      <x:c r="AB9" s="4" t="str">
        <x:f>IF(Master!AC695="","",Master!AC695)</x:f>
      </x:c>
      <x:c r="AC9" s="4" t="str">
        <x:f>IF(Master!AD695="","",Master!AD695)</x:f>
      </x:c>
      <x:c r="AD9" s="4" t="str">
        <x:f>IF(Master!AE695="","",Master!AE695)</x:f>
      </x:c>
      <x:c r="AE9" s="4" t="str">
        <x:f>IF(Master!AF695="","",Master!AF695)</x:f>
      </x:c>
      <x:c r="AF9" s="8" t="str">
        <x:f>IF(Master!AG695="","",Master!AG695)</x:f>
      </x:c>
    </x:row>
    <x:row r="10" ht="36" customHeight="1">
      <x:c r="A10" s="17" t="s">
        <x:v>975</x:v>
      </x:c>
      <x:c r="B10" s="3" t="str">
        <x:f>IF(Master!C696="","",Master!C696)</x:f>
        <x:v>Yes</x:v>
      </x:c>
      <x:c r="C10" s="3" t="str">
        <x:f>IF(Master!D696="","",Master!D696)</x:f>
        <x:v>Yes</x:v>
      </x:c>
      <x:c r="D10" s="3" t="str">
        <x:f>IF(Master!E696="","",Master!E696)</x:f>
        <x:v>Yes</x:v>
      </x:c>
      <x:c r="E10" s="3" t="str">
        <x:f>IF(Master!F696="","",Master!F696)</x:f>
      </x:c>
      <x:c r="F10" s="3" t="str">
        <x:f>IF(Master!G696="","",Master!G696)</x:f>
        <x:v>Yes</x:v>
      </x:c>
      <x:c r="G10" s="3" t="str">
        <x:f>IF(Master!H696="","",Master!H696)</x:f>
        <x:v>Yes</x:v>
      </x:c>
      <x:c r="H10" s="3" t="str">
        <x:f>IF(Master!I696="","",Master!I696)</x:f>
        <x:v>Yes</x:v>
      </x:c>
      <x:c r="I10" s="3" t="str">
        <x:f>IF(Master!J696="","",Master!J696)</x:f>
        <x:v>Yes</x:v>
      </x:c>
      <x:c r="J10" s="3" t="str">
        <x:f>IF(Master!K696="","",Master!K696)</x:f>
        <x:v>Yes</x:v>
      </x:c>
      <x:c r="K10" s="3" t="str">
        <x:f>IF(Master!L696="","",Master!L696)</x:f>
        <x:v>Yes: official instance currently free; MIT self-hosting is free</x:v>
      </x:c>
      <x:c r="L10" s="3" t="str">
        <x:f>IF(Master!M696="","",Master!M696)</x:f>
      </x:c>
      <x:c r="M10" s="3" t="str">
        <x:f>IF(Master!N696="","",Master!N696)</x:f>
      </x:c>
      <x:c r="N10" s="3" t="str">
        <x:f>IF(Master!O696="","",Master!O696)</x:f>
        <x:v>Yes</x:v>
      </x:c>
      <x:c r="O10" s="3" t="str">
        <x:f>IF(Master!P696="","",Master!P696)</x:f>
        <x:v>Yes</x:v>
      </x:c>
      <x:c r="P10" s="3" t="str">
        <x:f>IF(Master!Q696="","",Master!Q696)</x:f>
        <x:v>Yes</x:v>
      </x:c>
      <x:c r="Q10" s="3" t="str">
        <x:f>IF(Master!R696="","",Master!R696)</x:f>
        <x:v>Yes</x:v>
      </x:c>
      <x:c r="R10" s="3" t="str">
        <x:f>IF(Master!S696="","",Master!S696)</x:f>
        <x:v>Yes</x:v>
      </x:c>
      <x:c r="S10" s="3" t="str">
        <x:f>IF(Master!T696="","",Master!T696)</x:f>
      </x:c>
      <x:c r="T10" s="3" t="str">
        <x:f>IF(Master!U696="","",Master!U696)</x:f>
        <x:v>Yes</x:v>
      </x:c>
      <x:c r="U10" s="3" t="str">
        <x:f>IF(Master!V696="","",Master!V696)</x:f>
        <x:v>Yes</x:v>
      </x:c>
      <x:c r="V10" s="3" t="str">
        <x:f>IF(Master!W696="","",Master!W696)</x:f>
        <x:v>Yes</x:v>
      </x:c>
      <x:c r="W10" s="3" t="str">
        <x:f>IF(Master!X696="","",Master!X696)</x:f>
        <x:v>Yes</x:v>
      </x:c>
      <x:c r="X10" s="3" t="str">
        <x:f>IF(Master!Y696="","",Master!Y696)</x:f>
        <x:v>Yes</x:v>
      </x:c>
      <x:c r="Y10" s="3" t="str">
        <x:f>IF(Master!Z696="","",Master!Z696)</x:f>
        <x:v>Yes</x:v>
      </x:c>
      <x:c r="Z10" s="3" t="str">
        <x:f>IF(Master!AA696="","",Master!AA696)</x:f>
        <x:v>Yes</x:v>
      </x:c>
      <x:c r="AA10" s="6" t="str">
        <x:f>IF(Master!AB696="","",Master!AB696)</x:f>
        <x:v>Yes</x:v>
      </x:c>
      <x:c r="AB10" s="3" t="str">
        <x:f>IF(Master!AC696="","",Master!AC696)</x:f>
      </x:c>
      <x:c r="AC10" s="3" t="str">
        <x:f>IF(Master!AD696="","",Master!AD696)</x:f>
      </x:c>
      <x:c r="AD10" s="3" t="str">
        <x:f>IF(Master!AE696="","",Master!AE696)</x:f>
        <x:v>Yes</x:v>
      </x:c>
      <x:c r="AE10" s="3" t="str">
        <x:f>IF(Master!AF696="","",Master!AF696)</x:f>
      </x:c>
      <x:c r="AF10" s="8" t="str">
        <x:f>IF(Master!AG696="","",Master!AG696)</x:f>
        <x:v>Yes</x:v>
      </x:c>
    </x:row>
    <x:row r="11" ht="36" customHeight="1">
      <x:c r="A11" s="17" t="s">
        <x:v>976</x:v>
      </x:c>
      <x:c r="B11" s="3" t="str">
        <x:f>IF(Master!C697="","",Master!C697)</x:f>
        <x:v>Yes</x:v>
      </x:c>
      <x:c r="C11" s="3" t="str">
        <x:f>IF(Master!D697="","",Master!D697)</x:f>
      </x:c>
      <x:c r="D11" s="3" t="str">
        <x:f>IF(Master!E697="","",Master!E697)</x:f>
      </x:c>
      <x:c r="E11" s="3" t="str">
        <x:f>IF(Master!F697="","",Master!F697)</x:f>
      </x:c>
      <x:c r="F11" s="3" t="str">
        <x:f>IF(Master!G697="","",Master!G697)</x:f>
        <x:v>Planned</x:v>
      </x:c>
      <x:c r="G11" s="3" t="str">
        <x:f>IF(Master!H697="","",Master!H697)</x:f>
        <x:v>Yes</x:v>
      </x:c>
      <x:c r="H11" s="3" t="str">
        <x:f>IF(Master!I697="","",Master!I697)</x:f>
      </x:c>
      <x:c r="I11" s="3" t="str">
        <x:f>IF(Master!J697="","",Master!J697)</x:f>
      </x:c>
      <x:c r="J11" s="3" t="str">
        <x:f>IF(Master!K697="","",Master!K697)</x:f>
      </x:c>
      <x:c r="K11" s="3" t="str">
        <x:f>IF(Master!L697="","",Master!L697)</x:f>
        <x:v>No current user subscription</x:v>
      </x:c>
      <x:c r="L11" s="3" t="str">
        <x:f>IF(Master!M697="","",Master!M697)</x:f>
      </x:c>
      <x:c r="M11" s="3" t="str">
        <x:f>IF(Master!N697="","",Master!N697)</x:f>
      </x:c>
      <x:c r="N11" s="3" t="str">
        <x:f>IF(Master!O697="","",Master!O697)</x:f>
      </x:c>
      <x:c r="O11" s="3" t="str">
        <x:f>IF(Master!P697="","",Master!P697)</x:f>
      </x:c>
      <x:c r="P11" s="3" t="str">
        <x:f>IF(Master!Q697="","",Master!Q697)</x:f>
      </x:c>
      <x:c r="Q11" s="3" t="str">
        <x:f>IF(Master!R697="","",Master!R697)</x:f>
      </x:c>
      <x:c r="R11" s="3" t="str">
        <x:f>IF(Master!S697="","",Master!S697)</x:f>
      </x:c>
      <x:c r="S11" s="3" t="str">
        <x:f>IF(Master!T697="","",Master!T697)</x:f>
      </x:c>
      <x:c r="T11" s="3" t="str">
        <x:f>IF(Master!U697="","",Master!U697)</x:f>
        <x:v>No public subscription</x:v>
      </x:c>
      <x:c r="U11" s="3" t="str">
        <x:f>IF(Master!V697="","",Master!V697)</x:f>
        <x:v>Yes</x:v>
      </x:c>
      <x:c r="V11" s="3" t="str">
        <x:f>IF(Master!W697="","",Master!W697)</x:f>
      </x:c>
      <x:c r="W11" s="3" t="str">
        <x:f>IF(Master!X697="","",Master!X697)</x:f>
      </x:c>
      <x:c r="X11" s="3" t="str">
        <x:f>IF(Master!Y697="","",Master!Y697)</x:f>
        <x:v>Yes</x:v>
      </x:c>
      <x:c r="Y11" s="3" t="str">
        <x:f>IF(Master!Z697="","",Master!Z697)</x:f>
      </x:c>
      <x:c r="Z11" s="3" t="str">
        <x:f>IF(Master!AA697="","",Master!AA697)</x:f>
      </x:c>
      <x:c r="AA11" s="6" t="str">
        <x:f>IF(Master!AB697="","",Master!AB697)</x:f>
      </x:c>
      <x:c r="AB11" s="3" t="str">
        <x:f>IF(Master!AC697="","",Master!AC697)</x:f>
        <x:v>Yes</x:v>
      </x:c>
      <x:c r="AC11" s="3" t="str">
        <x:f>IF(Master!AD697="","",Master!AD697)</x:f>
      </x:c>
      <x:c r="AD11" s="3" t="str">
        <x:f>IF(Master!AE697="","",Master!AE697)</x:f>
      </x:c>
      <x:c r="AE11" s="3" t="str">
        <x:f>IF(Master!AF697="","",Master!AF697)</x:f>
      </x:c>
      <x:c r="AF11" s="8" t="str">
        <x:f>IF(Master!AG697="","",Master!AG697)</x:f>
      </x:c>
    </x:row>
    <x:row r="12" ht="36" customHeight="1">
      <x:c r="A12" s="17" t="s">
        <x:v>977</x:v>
      </x:c>
      <x:c r="B12" s="3" t="str">
        <x:f>IF(Master!C698="","",Master!C698)</x:f>
        <x:v>Yes</x:v>
      </x:c>
      <x:c r="C12" s="3" t="str">
        <x:f>IF(Master!D698="","",Master!D698)</x:f>
      </x:c>
      <x:c r="D12" s="3" t="str">
        <x:f>IF(Master!E698="","",Master!E698)</x:f>
      </x:c>
      <x:c r="E12" s="3" t="str">
        <x:f>IF(Master!F698="","",Master!F698)</x:f>
      </x:c>
      <x:c r="F12" s="3" t="str">
        <x:f>IF(Master!G698="","",Master!G698)</x:f>
      </x:c>
      <x:c r="G12" s="3" t="str">
        <x:f>IF(Master!H698="","",Master!H698)</x:f>
      </x:c>
      <x:c r="H12" s="3" t="str">
        <x:f>IF(Master!I698="","",Master!I698)</x:f>
        <x:v>Yes</x:v>
      </x:c>
      <x:c r="I12" s="3" t="str">
        <x:f>IF(Master!J698="","",Master!J698)</x:f>
      </x:c>
      <x:c r="J12" s="3" t="str">
        <x:f>IF(Master!K698="","",Master!K698)</x:f>
      </x:c>
      <x:c r="K12" s="3" t="str">
        <x:f>IF(Master!L698="","",Master!L698)</x:f>
        <x:v>No current community/server subscription</x:v>
      </x:c>
      <x:c r="L12" s="3" t="str">
        <x:f>IF(Master!M698="","",Master!M698)</x:f>
      </x:c>
      <x:c r="M12" s="3" t="str">
        <x:f>IF(Master!N698="","",Master!N698)</x:f>
      </x:c>
      <x:c r="N12" s="3" t="str">
        <x:f>IF(Master!O698="","",Master!O698)</x:f>
      </x:c>
      <x:c r="O12" s="3" t="str">
        <x:f>IF(Master!P698="","",Master!P698)</x:f>
      </x:c>
      <x:c r="P12" s="3" t="str">
        <x:f>IF(Master!Q698="","",Master!Q698)</x:f>
      </x:c>
      <x:c r="Q12" s="3" t="str">
        <x:f>IF(Master!R698="","",Master!R698)</x:f>
      </x:c>
      <x:c r="R12" s="3" t="str">
        <x:f>IF(Master!S698="","",Master!S698)</x:f>
      </x:c>
      <x:c r="S12" s="3" t="str">
        <x:f>IF(Master!T698="","",Master!T698)</x:f>
      </x:c>
      <x:c r="T12" s="3" t="str">
        <x:f>IF(Master!U698="","",Master!U698)</x:f>
        <x:v>No public paid community tier</x:v>
      </x:c>
      <x:c r="U12" s="3" t="str">
        <x:f>IF(Master!V698="","",Master!V698)</x:f>
        <x:v>Yes</x:v>
      </x:c>
      <x:c r="V12" s="3" t="str">
        <x:f>IF(Master!W698="","",Master!W698)</x:f>
      </x:c>
      <x:c r="W12" s="3" t="str">
        <x:f>IF(Master!X698="","",Master!X698)</x:f>
      </x:c>
      <x:c r="X12" s="3" t="str">
        <x:f>IF(Master!Y698="","",Master!Y698)</x:f>
      </x:c>
      <x:c r="Y12" s="3" t="str">
        <x:f>IF(Master!Z698="","",Master!Z698)</x:f>
      </x:c>
      <x:c r="Z12" s="3" t="str">
        <x:f>IF(Master!AA698="","",Master!AA698)</x:f>
      </x:c>
      <x:c r="AA12" s="6" t="str">
        <x:f>IF(Master!AB698="","",Master!AB698)</x:f>
        <x:v>Yes</x:v>
      </x:c>
      <x:c r="AB12" s="3" t="str">
        <x:f>IF(Master!AC698="","",Master!AC698)</x:f>
      </x:c>
      <x:c r="AC12" s="3" t="str">
        <x:f>IF(Master!AD698="","",Master!AD698)</x:f>
      </x:c>
      <x:c r="AD12" s="3" t="str">
        <x:f>IF(Master!AE698="","",Master!AE698)</x:f>
        <x:v>Yes</x:v>
      </x:c>
      <x:c r="AE12" s="3" t="str">
        <x:f>IF(Master!AF698="","",Master!AF698)</x:f>
      </x:c>
      <x:c r="AF12" s="8" t="str">
        <x:f>IF(Master!AG698="","",Master!AG698)</x:f>
      </x:c>
    </x:row>
    <x:row r="13" ht="36" customHeight="1">
      <x:c r="A13" s="17" t="s">
        <x:v>978</x:v>
      </x:c>
      <x:c r="B13" s="3" t="str">
        <x:f>IF(Master!C699="","",Master!C699)</x:f>
        <x:v>No</x:v>
      </x:c>
      <x:c r="C13" s="3" t="str">
        <x:f>IF(Master!D699="","",Master!D699)</x:f>
        <x:v>No</x:v>
      </x:c>
      <x:c r="D13" s="3" t="str">
        <x:f>IF(Master!E699="","",Master!E699)</x:f>
        <x:v>No</x:v>
      </x:c>
      <x:c r="E13" s="3" t="str">
        <x:f>IF(Master!F699="","",Master!F699)</x:f>
        <x:v>No</x:v>
      </x:c>
      <x:c r="F13" s="3" t="str">
        <x:f>IF(Master!G699="","",Master!G699)</x:f>
        <x:v>No</x:v>
      </x:c>
      <x:c r="G13" s="3" t="str">
        <x:f>IF(Master!H699="","",Master!H699)</x:f>
        <x:v>No</x:v>
      </x:c>
      <x:c r="H13" s="3" t="str">
        <x:f>IF(Master!I699="","",Master!I699)</x:f>
        <x:v>Yes</x:v>
      </x:c>
      <x:c r="I13" s="3" t="str">
        <x:f>IF(Master!J699="","",Master!J699)</x:f>
        <x:v>No</x:v>
      </x:c>
      <x:c r="J13" s="3" t="str">
        <x:f>IF(Master!K699="","",Master!K699)</x:f>
        <x:v>No</x:v>
      </x:c>
      <x:c r="K13" s="3" t="str">
        <x:f>IF(Master!L699="","",Master!L699)</x:f>
        <x:v>No: MIT self-hosting</x:v>
      </x:c>
      <x:c r="L13" s="3" t="str">
        <x:f>IF(Master!M699="","",Master!M699)</x:f>
        <x:v>No</x:v>
      </x:c>
      <x:c r="M13" s="3" t="str">
        <x:f>IF(Master!N699="","",Master!N699)</x:f>
        <x:v>No</x:v>
      </x:c>
      <x:c r="N13" s="3" t="str">
        <x:f>IF(Master!O699="","",Master!O699)</x:f>
        <x:v>No</x:v>
      </x:c>
      <x:c r="O13" s="3" t="str">
        <x:f>IF(Master!P699="","",Master!P699)</x:f>
        <x:v>No</x:v>
      </x:c>
      <x:c r="P13" s="3" t="str">
        <x:f>IF(Master!Q699="","",Master!Q699)</x:f>
        <x:v>No</x:v>
      </x:c>
      <x:c r="Q13" s="3" t="str">
        <x:f>IF(Master!R699="","",Master!R699)</x:f>
        <x:v>No</x:v>
      </x:c>
      <x:c r="R13" s="3" t="str">
        <x:f>IF(Master!S699="","",Master!S699)</x:f>
        <x:v>No</x:v>
      </x:c>
      <x:c r="S13" s="3" t="str">
        <x:f>IF(Master!T699="","",Master!T699)</x:f>
        <x:v>No</x:v>
      </x:c>
      <x:c r="T13" s="3" t="str">
        <x:f>IF(Master!U699="","",Master!U699)</x:f>
        <x:v>No: AGPL-3.0 self-host</x:v>
      </x:c>
      <x:c r="U13" s="3" t="str">
        <x:f>IF(Master!V699="","",Master!V699)</x:f>
        <x:v>No</x:v>
      </x:c>
      <x:c r="V13" s="3" t="str">
        <x:f>IF(Master!W699="","",Master!W699)</x:f>
        <x:v>No</x:v>
      </x:c>
      <x:c r="W13" s="3" t="str">
        <x:f>IF(Master!X699="","",Master!X699)</x:f>
        <x:v>No</x:v>
      </x:c>
      <x:c r="X13" s="3" t="str">
        <x:f>IF(Master!Y699="","",Master!Y699)</x:f>
        <x:v>No</x:v>
      </x:c>
      <x:c r="Y13" s="3" t="str">
        <x:f>IF(Master!Z699="","",Master!Z699)</x:f>
        <x:v>No</x:v>
      </x:c>
      <x:c r="Z13" s="3" t="str">
        <x:f>IF(Master!AA699="","",Master!AA699)</x:f>
        <x:v>No</x:v>
      </x:c>
      <x:c r="AA13" s="6" t="str">
        <x:f>IF(Master!AB699="","",Master!AB699)</x:f>
        <x:v>Yes</x:v>
      </x:c>
      <x:c r="AB13" s="3" t="str">
        <x:f>IF(Master!AC699="","",Master!AC699)</x:f>
        <x:v>No</x:v>
      </x:c>
      <x:c r="AC13" s="3" t="str">
        <x:f>IF(Master!AD699="","",Master!AD699)</x:f>
        <x:v>No</x:v>
      </x:c>
      <x:c r="AD13" s="3" t="str">
        <x:f>IF(Master!AE699="","",Master!AE699)</x:f>
        <x:v>No</x:v>
      </x:c>
      <x:c r="AE13" s="3" t="str">
        <x:f>IF(Master!AF699="","",Master!AF699)</x:f>
        <x:v>No</x:v>
      </x:c>
      <x:c r="AF13" s="8" t="str">
        <x:f>IF(Master!AG699="","",Master!AG699)</x:f>
        <x:v>Yes</x:v>
      </x:c>
    </x:row>
    <x:row r="14" ht="36" customHeight="1">
      <x:c r="A14" s="17" t="s">
        <x:v>979</x:v>
      </x:c>
      <x:c r="B14" s="3" t="str">
        <x:f>IF(Master!C700="","",Master!C700)</x:f>
      </x:c>
      <x:c r="C14" s="3" t="str">
        <x:f>IF(Master!D700="","",Master!D700)</x:f>
      </x:c>
      <x:c r="D14" s="3" t="str">
        <x:f>IF(Master!E700="","",Master!E700)</x:f>
      </x:c>
      <x:c r="E14" s="3" t="str">
        <x:f>IF(Master!F700="","",Master!F700)</x:f>
      </x:c>
      <x:c r="F14" s="3" t="str">
        <x:f>IF(Master!G700="","",Master!G700)</x:f>
      </x:c>
      <x:c r="G14" s="3" t="str">
        <x:f>IF(Master!H700="","",Master!H700)</x:f>
      </x:c>
      <x:c r="H14" s="3" t="str">
        <x:f>IF(Master!I700="","",Master!I700)</x:f>
      </x:c>
      <x:c r="I14" s="3" t="str">
        <x:f>IF(Master!J700="","",Master!J700)</x:f>
      </x:c>
      <x:c r="J14" s="3" t="str">
        <x:f>IF(Master!K700="","",Master!K700)</x:f>
      </x:c>
      <x:c r="K14" s="3" t="str">
        <x:f>IF(Master!L700="","",Master!L700)</x:f>
        <x:v>No current enterprise/custom quote tier</x:v>
      </x:c>
      <x:c r="L14" s="3" t="str">
        <x:f>IF(Master!M700="","",Master!M700)</x:f>
      </x:c>
      <x:c r="M14" s="3" t="str">
        <x:f>IF(Master!N700="","",Master!N700)</x:f>
      </x:c>
      <x:c r="N14" s="3" t="str">
        <x:f>IF(Master!O700="","",Master!O700)</x:f>
      </x:c>
      <x:c r="O14" s="3" t="str">
        <x:f>IF(Master!P700="","",Master!P700)</x:f>
        <x:v>Yes</x:v>
      </x:c>
      <x:c r="P14" s="3" t="str">
        <x:f>IF(Master!Q700="","",Master!Q700)</x:f>
      </x:c>
      <x:c r="Q14" s="3" t="str">
        <x:f>IF(Master!R700="","",Master!R700)</x:f>
      </x:c>
      <x:c r="R14" s="3" t="str">
        <x:f>IF(Master!S700="","",Master!S700)</x:f>
      </x:c>
      <x:c r="S14" s="3" t="str">
        <x:f>IF(Master!T700="","",Master!T700)</x:f>
      </x:c>
      <x:c r="T14" s="3" t="str">
        <x:f>IF(Master!U700="","",Master!U700)</x:f>
        <x:v>No public enterprise tier claimed</x:v>
      </x:c>
      <x:c r="U14" s="3" t="str">
        <x:f>IF(Master!V700="","",Master!V700)</x:f>
        <x:v>N/A</x:v>
      </x:c>
      <x:c r="V14" s="3" t="str">
        <x:f>IF(Master!W700="","",Master!W700)</x:f>
        <x:v>Yes</x:v>
      </x:c>
      <x:c r="W14" s="3" t="str">
        <x:f>IF(Master!X700="","",Master!X700)</x:f>
      </x:c>
      <x:c r="X14" s="3" t="str">
        <x:f>IF(Master!Y700="","",Master!Y700)</x:f>
      </x:c>
      <x:c r="Y14" s="3" t="str">
        <x:f>IF(Master!Z700="","",Master!Z700)</x:f>
      </x:c>
      <x:c r="Z14" s="3" t="str">
        <x:f>IF(Master!AA700="","",Master!AA700)</x:f>
      </x:c>
      <x:c r="AA14" s="6" t="str">
        <x:f>IF(Master!AB700="","",Master!AB700)</x:f>
        <x:v>Yes</x:v>
      </x:c>
      <x:c r="AB14" s="3" t="str">
        <x:f>IF(Master!AC700="","",Master!AC700)</x:f>
      </x:c>
      <x:c r="AC14" s="3" t="str">
        <x:f>IF(Master!AD700="","",Master!AD700)</x:f>
      </x:c>
      <x:c r="AD14" s="3" t="str">
        <x:f>IF(Master!AE700="","",Master!AE700)</x:f>
        <x:v>Yes</x:v>
      </x:c>
      <x:c r="AE14" s="3" t="str">
        <x:f>IF(Master!AF700="","",Master!AF700)</x:f>
      </x:c>
      <x:c r="AF14" s="8" t="str">
        <x:f>IF(Master!AG700="","",Master!AG700)</x:f>
        <x:v>Yes</x:v>
      </x:c>
    </x:row>
    <x:row r="15" ht="36" customHeight="1">
      <x:c r="A15" s="17" t="s">
        <x:v>980</x:v>
      </x:c>
      <x:c r="B15" s="3" t="str">
        <x:f>IF(Master!C701="","",Master!C701)</x:f>
        <x:v>Yes: sponsored Quests/formats</x:v>
      </x:c>
      <x:c r="C15" s="3" t="str">
        <x:f>IF(Master!D701="","",Master!D701)</x:f>
      </x:c>
      <x:c r="D15" s="3" t="str">
        <x:f>IF(Master!E701="","",Master!E701)</x:f>
      </x:c>
      <x:c r="E15" s="3" t="str">
        <x:f>IF(Master!F701="","",Master!F701)</x:f>
      </x:c>
      <x:c r="F15" s="3" t="str">
        <x:f>IF(Master!G701="","",Master!G701)</x:f>
      </x:c>
      <x:c r="G15" s="3" t="str">
        <x:f>IF(Master!H701="","",Master!H701)</x:f>
      </x:c>
      <x:c r="H15" s="3" t="str">
        <x:f>IF(Master!I701="","",Master!I701)</x:f>
      </x:c>
      <x:c r="I15" s="3" t="str">
        <x:f>IF(Master!J701="","",Master!J701)</x:f>
      </x:c>
      <x:c r="J15" s="3" t="str">
        <x:f>IF(Master!K701="","",Master!K701)</x:f>
      </x:c>
      <x:c r="K15" s="3" t="str">
        <x:f>IF(Master!L701="","",Master!L701)</x:f>
        <x:v>No current advertising/sponsored revenue reported</x:v>
      </x:c>
      <x:c r="L15" s="3" t="str">
        <x:f>IF(Master!M701="","",Master!M701)</x:f>
      </x:c>
      <x:c r="M15" s="3" t="str">
        <x:f>IF(Master!N701="","",Master!N701)</x:f>
      </x:c>
      <x:c r="N15" s="3" t="str">
        <x:f>IF(Master!O701="","",Master!O701)</x:f>
        <x:v>Protocol: N/A / provider-dependent</x:v>
      </x:c>
      <x:c r="O15" s="3" t="str">
        <x:f>IF(Master!P701="","",Master!P701)</x:f>
      </x:c>
      <x:c r="P15" s="3" t="str">
        <x:f>IF(Master!Q701="","",Master!Q701)</x:f>
      </x:c>
      <x:c r="Q15" s="3" t="str">
        <x:f>IF(Master!R701="","",Master!R701)</x:f>
      </x:c>
      <x:c r="R15" s="3" t="str">
        <x:f>IF(Master!S701="","",Master!S701)</x:f>
      </x:c>
      <x:c r="S15" s="3" t="str">
        <x:f>IF(Master!T701="","",Master!T701)</x:f>
      </x:c>
      <x:c r="T15" s="3" t="str">
        <x:f>IF(Master!U701="","",Master!U701)</x:f>
        <x:v>No advertising revenue model claimed</x:v>
      </x:c>
      <x:c r="U15" s="3" t="str">
        <x:f>IF(Master!V701="","",Master!V701)</x:f>
        <x:v>No ads</x:v>
      </x:c>
      <x:c r="V15" s="3" t="str">
        <x:f>IF(Master!W701="","",Master!W701)</x:f>
      </x:c>
      <x:c r="W15" s="3" t="str">
        <x:f>IF(Master!X701="","",Master!X701)</x:f>
      </x:c>
      <x:c r="X15" s="3" t="str">
        <x:f>IF(Master!Y701="","",Master!Y701)</x:f>
      </x:c>
      <x:c r="Y15" s="3" t="str">
        <x:f>IF(Master!Z701="","",Master!Z701)</x:f>
      </x:c>
      <x:c r="Z15" s="3" t="str">
        <x:f>IF(Master!AA701="","",Master!AA701)</x:f>
      </x:c>
      <x:c r="AA15" s="6" t="str">
        <x:f>IF(Master!AB701="","",Master!AB701)</x:f>
      </x:c>
      <x:c r="AB15" s="3" t="str">
        <x:f>IF(Master!AC701="","",Master!AC701)</x:f>
      </x:c>
      <x:c r="AC15" s="3" t="str">
        <x:f>IF(Master!AD701="","",Master!AD701)</x:f>
      </x:c>
      <x:c r="AD15" s="3" t="str">
        <x:f>IF(Master!AE701="","",Master!AE701)</x:f>
      </x:c>
      <x:c r="AE15" s="3" t="str">
        <x:f>IF(Master!AF701="","",Master!AF701)</x:f>
      </x:c>
      <x:c r="AF15" s="8" t="str">
        <x:f>IF(Master!AG701="","",Master!AG701)</x:f>
        <x:v>No ad-funded model</x:v>
      </x:c>
    </x:row>
    <x:row r="16" ht="36" customHeight="1">
      <x:c r="A16" s="17" t="s">
        <x:v>981</x:v>
      </x:c>
      <x:c r="B16" s="3" t="str">
        <x:f>IF(Master!C702="","",Master!C702)</x:f>
      </x:c>
      <x:c r="C16" s="3" t="str">
        <x:f>IF(Master!D702="","",Master!D702)</x:f>
      </x:c>
      <x:c r="D16" s="3" t="str">
        <x:f>IF(Master!E702="","",Master!E702)</x:f>
        <x:v>Yes: donations</x:v>
      </x:c>
      <x:c r="E16" s="3" t="str">
        <x:f>IF(Master!F702="","",Master!F702)</x:f>
      </x:c>
      <x:c r="F16" s="3" t="str">
        <x:f>IF(Master!G702="","",Master!G702)</x:f>
      </x:c>
      <x:c r="G16" s="3" t="str">
        <x:f>IF(Master!H702="","",Master!H702)</x:f>
        <x:v>Yes: donations</x:v>
      </x:c>
      <x:c r="H16" s="3" t="str">
        <x:f>IF(Master!I702="","",Master!I702)</x:f>
      </x:c>
      <x:c r="I16" s="3" t="str">
        <x:f>IF(Master!J702="","",Master!J702)</x:f>
      </x:c>
      <x:c r="J16" s="3" t="str">
        <x:f>IF(Master!K702="","",Master!K702)</x:f>
      </x:c>
      <x:c r="K16" s="3" t="str">
        <x:f>IF(Master!L702="","",Master!L702)</x:f>
        <x:v>No donation model reported as primary funding</x:v>
      </x:c>
      <x:c r="L16" s="3" t="str">
        <x:f>IF(Master!M702="","",Master!M702)</x:f>
        <x:v>Yes: donations</x:v>
      </x:c>
      <x:c r="M16" s="3" t="str">
        <x:f>IF(Master!N702="","",Master!N702)</x:f>
      </x:c>
      <x:c r="N16" s="3" t="str">
        <x:f>IF(Master!O702="","",Master!O702)</x:f>
        <x:v>Foundation donations/sponsorship</x:v>
      </x:c>
      <x:c r="O16" s="3" t="str">
        <x:f>IF(Master!P702="","",Master!P702)</x:f>
      </x:c>
      <x:c r="P16" s="3" t="str">
        <x:f>IF(Master!Q702="","",Master!Q702)</x:f>
      </x:c>
      <x:c r="Q16" s="3" t="str">
        <x:f>IF(Master!R702="","",Master!R702)</x:f>
      </x:c>
      <x:c r="R16" s="3" t="str">
        <x:f>IF(Master!S702="","",Master!S702)</x:f>
        <x:v>Yes: donations</x:v>
      </x:c>
      <x:c r="S16" s="3" t="str">
        <x:f>IF(Master!T702="","",Master!T702)</x:f>
      </x:c>
      <x:c r="T16" s="3" t="str">
        <x:f>IF(Master!U702="","",Master!U702)</x:f>
        <x:v>Yes: https://pqp.gg/apoie; donations unlock nothing</x:v>
      </x:c>
      <x:c r="U16" s="3" t="str">
        <x:f>IF(Master!V702="","",Master!V702)</x:f>
        <x:v>No donation model verified</x:v>
      </x:c>
      <x:c r="V16" s="3" t="str">
        <x:f>IF(Master!W702="","",Master!W702)</x:f>
      </x:c>
      <x:c r="W16" s="3" t="str">
        <x:f>IF(Master!X702="","",Master!X702)</x:f>
      </x:c>
      <x:c r="X16" s="3" t="str">
        <x:f>IF(Master!Y702="","",Master!Y702)</x:f>
      </x:c>
      <x:c r="Y16" s="3" t="str">
        <x:f>IF(Master!Z702="","",Master!Z702)</x:f>
      </x:c>
      <x:c r="Z16" s="3" t="str">
        <x:f>IF(Master!AA702="","",Master!AA702)</x:f>
      </x:c>
      <x:c r="AA16" s="6" t="str">
        <x:f>IF(Master!AB702="","",Master!AB702)</x:f>
      </x:c>
      <x:c r="AB16" s="3" t="str">
        <x:f>IF(Master!AC702="","",Master!AC702)</x:f>
      </x:c>
      <x:c r="AC16" s="3" t="str">
        <x:f>IF(Master!AD702="","",Master!AD702)</x:f>
      </x:c>
      <x:c r="AD16" s="3" t="str">
        <x:f>IF(Master!AE702="","",Master!AE702)</x:f>
      </x:c>
      <x:c r="AE16" s="3" t="str">
        <x:f>IF(Master!AF702="","",Master!AF702)</x:f>
      </x:c>
      <x:c r="AF16" s="8" t="str">
        <x:f>IF(Master!AG702="","",Master!AG702)</x:f>
      </x:c>
    </x:row>
  </x:sheetData>
  <x:mergeCells>
    <x:mergeCell ref="A1:AF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Directory'!A1","Pricing Summary: normalized side-by-side view"),"Pricing Summary: normalized side-by-side view")</x:f>
        <x:v>Pricing Summary: normalized side-by-side view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982</x:v>
      </x:c>
      <x:c r="B3" s="3" t="str">
        <x:f>IF(Master!C703="","",Master!C703)</x:f>
        <x:v>Yes</x:v>
      </x:c>
      <x:c r="C3" s="3" t="str">
        <x:f>IF(Master!D703="","",Master!D703)</x:f>
        <x:v>Yes</x:v>
      </x:c>
      <x:c r="D3" s="3" t="str">
        <x:f>IF(Master!E703="","",Master!E703)</x:f>
        <x:v>Yes</x:v>
      </x:c>
      <x:c r="E3" s="3" t="str">
        <x:f>IF(Master!F703="","",Master!F703)</x:f>
      </x:c>
      <x:c r="F3" s="3" t="str">
        <x:f>IF(Master!G703="","",Master!G703)</x:f>
        <x:v>Yes</x:v>
      </x:c>
      <x:c r="G3" s="3" t="str">
        <x:f>IF(Master!H703="","",Master!H703)</x:f>
        <x:v>Yes</x:v>
      </x:c>
      <x:c r="H3" s="3" t="str">
        <x:f>IF(Master!I703="","",Master!I703)</x:f>
        <x:v>Yes</x:v>
      </x:c>
      <x:c r="I3" s="3" t="str">
        <x:f>IF(Master!J703="","",Master!J703)</x:f>
        <x:v>Yes</x:v>
      </x:c>
      <x:c r="J3" s="3" t="str">
        <x:f>IF(Master!K703="","",Master!K703)</x:f>
        <x:v>Yes</x:v>
      </x:c>
      <x:c r="K3" s="3" t="str">
        <x:f>IF(Master!L703="","",Master!L703)</x:f>
        <x:v>Yes: official instance currently free; MIT self-hosting is free</x:v>
      </x:c>
      <x:c r="L3" s="3" t="str">
        <x:f>IF(Master!M703="","",Master!M703)</x:f>
      </x:c>
      <x:c r="M3" s="3" t="str">
        <x:f>IF(Master!N703="","",Master!N703)</x:f>
      </x:c>
      <x:c r="N3" s="3" t="str">
        <x:f>IF(Master!O703="","",Master!O703)</x:f>
        <x:v>Yes</x:v>
      </x:c>
      <x:c r="O3" s="3" t="str">
        <x:f>IF(Master!P703="","",Master!P703)</x:f>
        <x:v>Yes</x:v>
      </x:c>
      <x:c r="P3" s="3" t="str">
        <x:f>IF(Master!Q703="","",Master!Q703)</x:f>
        <x:v>Yes</x:v>
      </x:c>
      <x:c r="Q3" s="3" t="str">
        <x:f>IF(Master!R703="","",Master!R703)</x:f>
        <x:v>Yes</x:v>
      </x:c>
      <x:c r="R3" s="3" t="str">
        <x:f>IF(Master!S703="","",Master!S703)</x:f>
        <x:v>Yes</x:v>
      </x:c>
      <x:c r="S3" s="3" t="str">
        <x:f>IF(Master!T703="","",Master!T703)</x:f>
      </x:c>
      <x:c r="T3" s="3" t="str">
        <x:f>IF(Master!U703="","",Master!U703)</x:f>
        <x:v>Yes</x:v>
      </x:c>
      <x:c r="U3" s="3" t="str">
        <x:f>IF(Master!V703="","",Master!V703)</x:f>
        <x:v>Yes</x:v>
      </x:c>
      <x:c r="V3" s="3" t="str">
        <x:f>IF(Master!W703="","",Master!W703)</x:f>
        <x:v>Yes</x:v>
      </x:c>
      <x:c r="W3" s="3" t="str">
        <x:f>IF(Master!X703="","",Master!X703)</x:f>
        <x:v>Yes</x:v>
      </x:c>
      <x:c r="X3" s="3" t="str">
        <x:f>IF(Master!Y703="","",Master!Y703)</x:f>
        <x:v>Yes</x:v>
      </x:c>
      <x:c r="Y3" s="3" t="str">
        <x:f>IF(Master!Z703="","",Master!Z703)</x:f>
        <x:v>Yes</x:v>
      </x:c>
      <x:c r="Z3" s="3" t="str">
        <x:f>IF(Master!AA703="","",Master!AA703)</x:f>
        <x:v>Yes</x:v>
      </x:c>
      <x:c r="AA3" s="6" t="str">
        <x:f>IF(Master!AB703="","",Master!AB703)</x:f>
        <x:v>Yes</x:v>
      </x:c>
      <x:c r="AB3" s="3" t="str">
        <x:f>IF(Master!AC703="","",Master!AC703)</x:f>
      </x:c>
      <x:c r="AC3" s="3" t="str">
        <x:f>IF(Master!AD703="","",Master!AD703)</x:f>
      </x:c>
      <x:c r="AD3" s="3" t="str">
        <x:f>IF(Master!AE703="","",Master!AE703)</x:f>
        <x:v>Yes</x:v>
      </x:c>
      <x:c r="AE3" s="3" t="str">
        <x:f>IF(Master!AF703="","",Master!AF703)</x:f>
      </x:c>
      <x:c r="AF3" s="8" t="str">
        <x:f>IF(Master!AG703="","",Master!AG703)</x:f>
        <x:v>Yes</x:v>
      </x:c>
    </x:row>
    <x:row r="4" ht="36" customHeight="1">
      <x:c r="A4" s="17" t="s">
        <x:v>983</x:v>
      </x:c>
      <x:c r="B4" s="3" t="str">
        <x:f>IF(Master!C704="","",Master!C704)</x:f>
        <x:v>4</x:v>
      </x:c>
      <x:c r="C4" s="3" t="str">
        <x:f>IF(Master!D704="","",Master!D704)</x:f>
      </x:c>
      <x:c r="D4" s="3" t="str">
        <x:f>IF(Master!E704="","",Master!E704)</x:f>
      </x:c>
      <x:c r="E4" s="3" t="str">
        <x:f>IF(Master!F704="","",Master!F704)</x:f>
      </x:c>
      <x:c r="F4" s="3" t="str">
        <x:f>IF(Master!G704="","",Master!G704)</x:f>
        <x:v>3</x:v>
      </x:c>
      <x:c r="G4" s="3" t="str">
        <x:f>IF(Master!H704="","",Master!H704)</x:f>
        <x:v>1</x:v>
      </x:c>
      <x:c r="H4" s="3" t="str">
        <x:f>IF(Master!I704="","",Master!I704)</x:f>
        <x:v>4</x:v>
      </x:c>
      <x:c r="I4" s="3" t="str">
        <x:f>IF(Master!J704="","",Master!J704)</x:f>
      </x:c>
      <x:c r="J4" s="3" t="str">
        <x:f>IF(Master!K704="","",Master!K704)</x:f>
      </x:c>
      <x:c r="K4" s="3" t="str">
        <x:f>IF(Master!L704="","",Master!L704)</x:f>
      </x:c>
      <x:c r="L4" s="3" t="str">
        <x:f>IF(Master!M704="","",Master!M704)</x:f>
      </x:c>
      <x:c r="M4" s="3" t="str">
        <x:f>IF(Master!N704="","",Master!N704)</x:f>
      </x:c>
      <x:c r="N4" s="3" t="str">
        <x:f>IF(Master!O704="","",Master!O704)</x:f>
      </x:c>
      <x:c r="O4" s="3" t="str">
        <x:f>IF(Master!P704="","",Master!P704)</x:f>
        <x:v>4</x:v>
      </x:c>
      <x:c r="P4" s="3" t="str">
        <x:f>IF(Master!Q704="","",Master!Q704)</x:f>
      </x:c>
      <x:c r="Q4" s="3" t="str">
        <x:f>IF(Master!R704="","",Master!R704)</x:f>
      </x:c>
      <x:c r="R4" s="3" t="str">
        <x:f>IF(Master!S704="","",Master!S704)</x:f>
      </x:c>
      <x:c r="S4" s="3" t="str">
        <x:f>IF(Master!T704="","",Master!T704)</x:f>
      </x:c>
      <x:c r="T4" s="3" t="str">
        <x:f>IF(Master!U704="","",Master!U704)</x:f>
      </x:c>
      <x:c r="U4" s="3" t="str">
        <x:f>IF(Master!V704="","",Master!V704)</x:f>
        <x:v>3</x:v>
      </x:c>
      <x:c r="V4" s="3" t="str">
        <x:f>IF(Master!W704="","",Master!W704)</x:f>
        <x:v>3</x:v>
      </x:c>
      <x:c r="W4" s="3" t="str">
        <x:f>IF(Master!X704="","",Master!X704)</x:f>
      </x:c>
      <x:c r="X4" s="3" t="str">
        <x:f>IF(Master!Y704="","",Master!Y704)</x:f>
        <x:v>1</x:v>
      </x:c>
      <x:c r="Y4" s="3" t="str">
        <x:f>IF(Master!Z704="","",Master!Z704)</x:f>
      </x:c>
      <x:c r="Z4" s="3" t="str">
        <x:f>IF(Master!AA704="","",Master!AA704)</x:f>
      </x:c>
      <x:c r="AA4" s="6" t="str">
        <x:f>IF(Master!AB704="","",Master!AB704)</x:f>
        <x:v>10</x:v>
      </x:c>
      <x:c r="AB4" s="3" t="str">
        <x:f>IF(Master!AC704="","",Master!AC704)</x:f>
        <x:v>1</x:v>
      </x:c>
      <x:c r="AC4" s="3" t="str">
        <x:f>IF(Master!AD704="","",Master!AD704)</x:f>
      </x:c>
      <x:c r="AD4" s="3" t="str">
        <x:f>IF(Master!AE704="","",Master!AE704)</x:f>
        <x:v>5</x:v>
      </x:c>
      <x:c r="AE4" s="3" t="str">
        <x:f>IF(Master!AF704="","",Master!AF704)</x:f>
        <x:v>1</x:v>
      </x:c>
      <x:c r="AF4" s="8" t="str">
        <x:f>IF(Master!AG704="","",Master!AG704)</x:f>
        <x:v>5</x:v>
      </x:c>
    </x:row>
    <x:row r="5" ht="36" customHeight="1">
      <x:c r="A5" s="17" t="s">
        <x:v>984</x:v>
      </x:c>
      <x:c r="B5" s="3" t="str">
        <x:f>IF(Master!C705="","",Master!C705)</x:f>
        <x:v>3</x:v>
      </x:c>
      <x:c r="C5" s="3" t="str">
        <x:f>IF(Master!D705="","",Master!D705)</x:f>
      </x:c>
      <x:c r="D5" s="3" t="str">
        <x:f>IF(Master!E705="","",Master!E705)</x:f>
      </x:c>
      <x:c r="E5" s="3" t="str">
        <x:f>IF(Master!F705="","",Master!F705)</x:f>
      </x:c>
      <x:c r="F5" s="3" t="str">
        <x:f>IF(Master!G705="","",Master!G705)</x:f>
      </x:c>
      <x:c r="G5" s="3" t="str">
        <x:f>IF(Master!H705="","",Master!H705)</x:f>
        <x:v>1</x:v>
      </x:c>
      <x:c r="H5" s="3" t="str">
        <x:f>IF(Master!I705="","",Master!I705)</x:f>
        <x:v>4</x:v>
      </x:c>
      <x:c r="I5" s="3" t="str">
        <x:f>IF(Master!J705="","",Master!J705)</x:f>
      </x:c>
      <x:c r="J5" s="3" t="str">
        <x:f>IF(Master!K705="","",Master!K705)</x:f>
      </x:c>
      <x:c r="K5" s="3" t="str">
        <x:f>IF(Master!L705="","",Master!L705)</x:f>
      </x:c>
      <x:c r="L5" s="3" t="str">
        <x:f>IF(Master!M705="","",Master!M705)</x:f>
      </x:c>
      <x:c r="M5" s="3" t="str">
        <x:f>IF(Master!N705="","",Master!N705)</x:f>
      </x:c>
      <x:c r="N5" s="3" t="str">
        <x:f>IF(Master!O705="","",Master!O705)</x:f>
      </x:c>
      <x:c r="O5" s="3" t="str">
        <x:f>IF(Master!P705="","",Master!P705)</x:f>
      </x:c>
      <x:c r="P5" s="3" t="str">
        <x:f>IF(Master!Q705="","",Master!Q705)</x:f>
      </x:c>
      <x:c r="Q5" s="3" t="str">
        <x:f>IF(Master!R705="","",Master!R705)</x:f>
      </x:c>
      <x:c r="R5" s="3" t="str">
        <x:f>IF(Master!S705="","",Master!S705)</x:f>
      </x:c>
      <x:c r="S5" s="3" t="str">
        <x:f>IF(Master!T705="","",Master!T705)</x:f>
      </x:c>
      <x:c r="T5" s="3" t="str">
        <x:f>IF(Master!U705="","",Master!U705)</x:f>
      </x:c>
      <x:c r="U5" s="3" t="str">
        <x:f>IF(Master!V705="","",Master!V705)</x:f>
        <x:v>3</x:v>
      </x:c>
      <x:c r="V5" s="3" t="str">
        <x:f>IF(Master!W705="","",Master!W705)</x:f>
      </x:c>
      <x:c r="W5" s="3" t="str">
        <x:f>IF(Master!X705="","",Master!X705)</x:f>
      </x:c>
      <x:c r="X5" s="3" t="str">
        <x:f>IF(Master!Y705="","",Master!Y705)</x:f>
      </x:c>
      <x:c r="Y5" s="3" t="str">
        <x:f>IF(Master!Z705="","",Master!Z705)</x:f>
      </x:c>
      <x:c r="Z5" s="3" t="str">
        <x:f>IF(Master!AA705="","",Master!AA705)</x:f>
      </x:c>
      <x:c r="AA5" s="6" t="str">
        <x:f>IF(Master!AB705="","",Master!AB705)</x:f>
        <x:v>3</x:v>
      </x:c>
      <x:c r="AB5" s="3" t="str">
        <x:f>IF(Master!AC705="","",Master!AC705)</x:f>
      </x:c>
      <x:c r="AC5" s="3" t="str">
        <x:f>IF(Master!AD705="","",Master!AD705)</x:f>
      </x:c>
      <x:c r="AD5" s="3" t="str">
        <x:f>IF(Master!AE705="","",Master!AE705)</x:f>
        <x:v>1</x:v>
      </x:c>
      <x:c r="AE5" s="3" t="str">
        <x:f>IF(Master!AF705="","",Master!AF705)</x:f>
      </x:c>
      <x:c r="AF5" s="8" t="str">
        <x:f>IF(Master!AG705="","",Master!AG705)</x:f>
        <x:v>4</x:v>
      </x:c>
    </x:row>
    <x:row r="6" ht="36" customHeight="1">
      <x:c r="A6" s="17" t="s">
        <x:v>985</x:v>
      </x:c>
      <x:c r="B6" s="3" t="str">
        <x:f>IF(Master!C706="","",Master!C706)</x:f>
      </x:c>
      <x:c r="C6" s="3" t="str">
        <x:f>IF(Master!D706="","",Master!D706)</x:f>
      </x:c>
      <x:c r="D6" s="3" t="str">
        <x:f>IF(Master!E706="","",Master!E706)</x:f>
      </x:c>
      <x:c r="E6" s="3" t="str">
        <x:f>IF(Master!F706="","",Master!F706)</x:f>
      </x:c>
      <x:c r="F6" s="3" t="str">
        <x:f>IF(Master!G706="","",Master!G706)</x:f>
      </x:c>
      <x:c r="G6" s="3" t="str">
        <x:f>IF(Master!H706="","",Master!H706)</x:f>
      </x:c>
      <x:c r="H6" s="3" t="str">
        <x:f>IF(Master!I706="","",Master!I706)</x:f>
      </x:c>
      <x:c r="I6" s="3" t="str">
        <x:f>IF(Master!J706="","",Master!J706)</x:f>
      </x:c>
      <x:c r="J6" s="3" t="str">
        <x:f>IF(Master!K706="","",Master!K706)</x:f>
      </x:c>
      <x:c r="K6" s="3" t="str">
        <x:f>IF(Master!L706="","",Master!L706)</x:f>
      </x:c>
      <x:c r="L6" s="3" t="str">
        <x:f>IF(Master!M706="","",Master!M706)</x:f>
      </x:c>
      <x:c r="M6" s="3" t="str">
        <x:f>IF(Master!N706="","",Master!N706)</x:f>
      </x:c>
      <x:c r="N6" s="3" t="str">
        <x:f>IF(Master!O706="","",Master!O706)</x:f>
      </x:c>
      <x:c r="O6" s="3" t="str">
        <x:f>IF(Master!P706="","",Master!P706)</x:f>
        <x:v>3</x:v>
      </x:c>
      <x:c r="P6" s="3" t="str">
        <x:f>IF(Master!Q706="","",Master!Q706)</x:f>
      </x:c>
      <x:c r="Q6" s="3" t="str">
        <x:f>IF(Master!R706="","",Master!R706)</x:f>
      </x:c>
      <x:c r="R6" s="3" t="str">
        <x:f>IF(Master!S706="","",Master!S706)</x:f>
      </x:c>
      <x:c r="S6" s="3" t="str">
        <x:f>IF(Master!T706="","",Master!T706)</x:f>
      </x:c>
      <x:c r="T6" s="3" t="str">
        <x:f>IF(Master!U706="","",Master!U706)</x:f>
      </x:c>
      <x:c r="U6" s="3" t="str">
        <x:f>IF(Master!V706="","",Master!V706)</x:f>
      </x:c>
      <x:c r="V6" s="3" t="str">
        <x:f>IF(Master!W706="","",Master!W706)</x:f>
        <x:v>3</x:v>
      </x:c>
      <x:c r="W6" s="3" t="str">
        <x:f>IF(Master!X706="","",Master!X706)</x:f>
      </x:c>
      <x:c r="X6" s="3" t="str">
        <x:f>IF(Master!Y706="","",Master!Y706)</x:f>
      </x:c>
      <x:c r="Y6" s="3" t="str">
        <x:f>IF(Master!Z706="","",Master!Z706)</x:f>
      </x:c>
      <x:c r="Z6" s="3" t="str">
        <x:f>IF(Master!AA706="","",Master!AA706)</x:f>
      </x:c>
      <x:c r="AA6" s="6" t="str">
        <x:f>IF(Master!AB706="","",Master!AB706)</x:f>
        <x:v>2</x:v>
      </x:c>
      <x:c r="AB6" s="3" t="str">
        <x:f>IF(Master!AC706="","",Master!AC706)</x:f>
      </x:c>
      <x:c r="AC6" s="3" t="str">
        <x:f>IF(Master!AD706="","",Master!AD706)</x:f>
      </x:c>
      <x:c r="AD6" s="3" t="str">
        <x:f>IF(Master!AE706="","",Master!AE706)</x:f>
        <x:v>4</x:v>
      </x:c>
      <x:c r="AE6" s="3" t="str">
        <x:f>IF(Master!AF706="","",Master!AF706)</x:f>
      </x:c>
      <x:c r="AF6" s="8" t="str">
        <x:f>IF(Master!AG706="","",Master!AG706)</x:f>
        <x:v>1</x:v>
      </x:c>
    </x:row>
    <x:row r="7" ht="36" customHeight="1">
      <x:c r="A7" s="17" t="s">
        <x:v>986</x:v>
      </x:c>
      <x:c r="B7" s="3" t="str">
        <x:f>IF(Master!C707="","",Master!C707)</x:f>
        <x:v>$2.99</x:v>
      </x:c>
      <x:c r="C7" s="3" t="str">
        <x:f>IF(Master!D707="","",Master!D707)</x:f>
      </x:c>
      <x:c r="D7" s="3" t="str">
        <x:f>IF(Master!E707="","",Master!E707)</x:f>
      </x:c>
      <x:c r="E7" s="3" t="str">
        <x:f>IF(Master!F707="","",Master!F707)</x:f>
      </x:c>
      <x:c r="F7" s="3" t="str">
        <x:f>IF(Master!G707="","",Master!G707)</x:f>
        <x:v>$4.99</x:v>
      </x:c>
      <x:c r="G7" s="3" t="str">
        <x:f>IF(Master!H707="","",Master!H707)</x:f>
        <x:v>$4.99</x:v>
      </x:c>
      <x:c r="H7" s="3" t="str">
        <x:f>IF(Master!I707="","",Master!I707)</x:f>
        <x:v>$2.00</x:v>
      </x:c>
      <x:c r="I7" s="3" t="str">
        <x:f>IF(Master!J707="","",Master!J707)</x:f>
      </x:c>
      <x:c r="J7" s="3" t="str">
        <x:f>IF(Master!K707="","",Master!K707)</x:f>
      </x:c>
      <x:c r="K7" s="3" t="str">
        <x:f>IF(Master!L707="","",Master!L707)</x:f>
        <x:v>N/A: no paid tier</x:v>
      </x:c>
      <x:c r="L7" s="3" t="str">
        <x:f>IF(Master!M707="","",Master!M707)</x:f>
      </x:c>
      <x:c r="M7" s="3" t="str">
        <x:f>IF(Master!N707="","",Master!N707)</x:f>
      </x:c>
      <x:c r="N7" s="3" t="str">
        <x:f>IF(Master!O707="","",Master!O707)</x:f>
      </x:c>
      <x:c r="O7" s="3" t="str">
        <x:f>IF(Master!P707="","",Master!P707)</x:f>
      </x:c>
      <x:c r="P7" s="3" t="str">
        <x:f>IF(Master!Q707="","",Master!Q707)</x:f>
      </x:c>
      <x:c r="Q7" s="3" t="str">
        <x:f>IF(Master!R707="","",Master!R707)</x:f>
      </x:c>
      <x:c r="R7" s="3" t="str">
        <x:f>IF(Master!S707="","",Master!S707)</x:f>
      </x:c>
      <x:c r="S7" s="3" t="str">
        <x:f>IF(Master!T707="","",Master!T707)</x:f>
      </x:c>
      <x:c r="T7" s="3" t="str">
        <x:f>IF(Master!U707="","",Master!U707)</x:f>
      </x:c>
      <x:c r="U7" s="3" t="str">
        <x:f>IF(Master!V707="","",Master!V707)</x:f>
        <x:v>$7.00</x:v>
      </x:c>
      <x:c r="V7" s="3" t="str">
        <x:f>IF(Master!W707="","",Master!W707)</x:f>
      </x:c>
      <x:c r="W7" s="3" t="str">
        <x:f>IF(Master!X707="","",Master!X707)</x:f>
      </x:c>
      <x:c r="X7" s="3" t="str">
        <x:f>IF(Master!Y707="","",Master!Y707)</x:f>
      </x:c>
      <x:c r="Y7" s="3" t="str">
        <x:f>IF(Master!Z707="","",Master!Z707)</x:f>
      </x:c>
      <x:c r="Z7" s="3" t="str">
        <x:f>IF(Master!AA707="","",Master!AA707)</x:f>
      </x:c>
      <x:c r="AA7" s="6" t="str">
        <x:f>IF(Master!AB707="","",Master!AB707)</x:f>
        <x:v>$4.99</x:v>
      </x:c>
      <x:c r="AB7" s="3" t="str">
        <x:f>IF(Master!AC707="","",Master!AC707)</x:f>
      </x:c>
      <x:c r="AC7" s="3" t="str">
        <x:f>IF(Master!AD707="","",Master!AD707)</x:f>
      </x:c>
      <x:c r="AD7" s="3" t="str">
        <x:f>IF(Master!AE707="","",Master!AE707)</x:f>
        <x:v>$6.00</x:v>
      </x:c>
      <x:c r="AE7" s="3" t="str">
        <x:f>IF(Master!AF707="","",Master!AF707)</x:f>
      </x:c>
      <x:c r="AF7" s="8" t="str">
        <x:f>IF(Master!AG707="","",Master!AG707)</x:f>
        <x:v>$3.50</x:v>
      </x:c>
    </x:row>
    <x:row r="8" ht="36" customHeight="1">
      <x:c r="A8" s="17" t="s">
        <x:v>987</x:v>
      </x:c>
      <x:c r="B8" s="3" t="str">
        <x:f>IF(Master!C708="","",Master!C708)</x:f>
        <x:v>$29.99</x:v>
      </x:c>
      <x:c r="C8" s="3" t="str">
        <x:f>IF(Master!D708="","",Master!D708)</x:f>
      </x:c>
      <x:c r="D8" s="3" t="str">
        <x:f>IF(Master!E708="","",Master!E708)</x:f>
      </x:c>
      <x:c r="E8" s="3" t="str">
        <x:f>IF(Master!F708="","",Master!F708)</x:f>
      </x:c>
      <x:c r="F8" s="3" t="str">
        <x:f>IF(Master!G708="","",Master!G708)</x:f>
      </x:c>
      <x:c r="G8" s="3" t="str">
        <x:f>IF(Master!H708="","",Master!H708)</x:f>
        <x:v>$49.99</x:v>
      </x:c>
      <x:c r="H8" s="3" t="str">
        <x:f>IF(Master!I708="","",Master!I708)</x:f>
        <x:v>$15.00</x:v>
      </x:c>
      <x:c r="I8" s="3" t="str">
        <x:f>IF(Master!J708="","",Master!J708)</x:f>
      </x:c>
      <x:c r="J8" s="3" t="str">
        <x:f>IF(Master!K708="","",Master!K708)</x:f>
      </x:c>
      <x:c r="K8" s="3" t="str">
        <x:f>IF(Master!L708="","",Master!L708)</x:f>
        <x:v>N/A: no paid tier</x:v>
      </x:c>
      <x:c r="L8" s="3" t="str">
        <x:f>IF(Master!M708="","",Master!M708)</x:f>
      </x:c>
      <x:c r="M8" s="3" t="str">
        <x:f>IF(Master!N708="","",Master!N708)</x:f>
      </x:c>
      <x:c r="N8" s="3" t="str">
        <x:f>IF(Master!O708="","",Master!O708)</x:f>
      </x:c>
      <x:c r="O8" s="3" t="str">
        <x:f>IF(Master!P708="","",Master!P708)</x:f>
      </x:c>
      <x:c r="P8" s="3" t="str">
        <x:f>IF(Master!Q708="","",Master!Q708)</x:f>
      </x:c>
      <x:c r="Q8" s="3" t="str">
        <x:f>IF(Master!R708="","",Master!R708)</x:f>
      </x:c>
      <x:c r="R8" s="3" t="str">
        <x:f>IF(Master!S708="","",Master!S708)</x:f>
      </x:c>
      <x:c r="S8" s="3" t="str">
        <x:f>IF(Master!T708="","",Master!T708)</x:f>
      </x:c>
      <x:c r="T8" s="3" t="str">
        <x:f>IF(Master!U708="","",Master!U708)</x:f>
      </x:c>
      <x:c r="U8" s="3" t="str">
        <x:f>IF(Master!V708="","",Master!V708)</x:f>
        <x:v>$70.00</x:v>
      </x:c>
      <x:c r="V8" s="3" t="str">
        <x:f>IF(Master!W708="","",Master!W708)</x:f>
      </x:c>
      <x:c r="W8" s="3" t="str">
        <x:f>IF(Master!X708="","",Master!X708)</x:f>
      </x:c>
      <x:c r="X8" s="3" t="str">
        <x:f>IF(Master!Y708="","",Master!Y708)</x:f>
      </x:c>
      <x:c r="Y8" s="3" t="str">
        <x:f>IF(Master!Z708="","",Master!Z708)</x:f>
      </x:c>
      <x:c r="Z8" s="3" t="str">
        <x:f>IF(Master!AA708="","",Master!AA708)</x:f>
      </x:c>
      <x:c r="AA8" s="6" t="str">
        <x:f>IF(Master!AB708="","",Master!AB708)</x:f>
        <x:v>$53.99</x:v>
      </x:c>
      <x:c r="AB8" s="3" t="str">
        <x:f>IF(Master!AC708="","",Master!AC708)</x:f>
      </x:c>
      <x:c r="AC8" s="3" t="str">
        <x:f>IF(Master!AD708="","",Master!AD708)</x:f>
      </x:c>
      <x:c r="AD8" s="3" t="str">
        <x:f>IF(Master!AE708="","",Master!AE708)</x:f>
      </x:c>
      <x:c r="AE8" s="3" t="str">
        <x:f>IF(Master!AF708="","",Master!AF708)</x:f>
      </x:c>
      <x:c r="AF8" s="8" t="str">
        <x:f>IF(Master!AG708="","",Master!AG708)</x:f>
        <x:v>$80.04</x:v>
      </x:c>
    </x:row>
    <x:row r="9" ht="36" customHeight="1">
      <x:c r="A9" s="17" t="s">
        <x:v>988</x:v>
      </x:c>
      <x:c r="B9" s="3" t="str">
        <x:f>IF(Master!C709="","",Master!C709)</x:f>
        <x:v>Yes</x:v>
      </x:c>
      <x:c r="C9" s="3" t="str">
        <x:f>IF(Master!D709="","",Master!D709)</x:f>
      </x:c>
      <x:c r="D9" s="3" t="str">
        <x:f>IF(Master!E709="","",Master!E709)</x:f>
      </x:c>
      <x:c r="E9" s="3" t="str">
        <x:f>IF(Master!F709="","",Master!F709)</x:f>
      </x:c>
      <x:c r="F9" s="3" t="str">
        <x:f>IF(Master!G709="","",Master!G709)</x:f>
        <x:v>Planned</x:v>
      </x:c>
      <x:c r="G9" s="3" t="str">
        <x:f>IF(Master!H709="","",Master!H709)</x:f>
        <x:v>Yes</x:v>
      </x:c>
      <x:c r="H9" s="3" t="str">
        <x:f>IF(Master!I709="","",Master!I709)</x:f>
      </x:c>
      <x:c r="I9" s="3" t="str">
        <x:f>IF(Master!J709="","",Master!J709)</x:f>
      </x:c>
      <x:c r="J9" s="3" t="str">
        <x:f>IF(Master!K709="","",Master!K709)</x:f>
      </x:c>
      <x:c r="K9" s="3" t="str">
        <x:f>IF(Master!L709="","",Master!L709)</x:f>
        <x:v>No current user subscription</x:v>
      </x:c>
      <x:c r="L9" s="3" t="str">
        <x:f>IF(Master!M709="","",Master!M709)</x:f>
      </x:c>
      <x:c r="M9" s="3" t="str">
        <x:f>IF(Master!N709="","",Master!N709)</x:f>
      </x:c>
      <x:c r="N9" s="3" t="str">
        <x:f>IF(Master!O709="","",Master!O709)</x:f>
      </x:c>
      <x:c r="O9" s="3" t="str">
        <x:f>IF(Master!P709="","",Master!P709)</x:f>
      </x:c>
      <x:c r="P9" s="3" t="str">
        <x:f>IF(Master!Q709="","",Master!Q709)</x:f>
      </x:c>
      <x:c r="Q9" s="3" t="str">
        <x:f>IF(Master!R709="","",Master!R709)</x:f>
      </x:c>
      <x:c r="R9" s="3" t="str">
        <x:f>IF(Master!S709="","",Master!S709)</x:f>
      </x:c>
      <x:c r="S9" s="3" t="str">
        <x:f>IF(Master!T709="","",Master!T709)</x:f>
      </x:c>
      <x:c r="T9" s="3" t="str">
        <x:f>IF(Master!U709="","",Master!U709)</x:f>
        <x:v>No</x:v>
      </x:c>
      <x:c r="U9" s="3" t="str">
        <x:f>IF(Master!V709="","",Master!V709)</x:f>
        <x:v>Yes</x:v>
      </x:c>
      <x:c r="V9" s="3" t="str">
        <x:f>IF(Master!W709="","",Master!W709)</x:f>
      </x:c>
      <x:c r="W9" s="3" t="str">
        <x:f>IF(Master!X709="","",Master!X709)</x:f>
      </x:c>
      <x:c r="X9" s="3" t="str">
        <x:f>IF(Master!Y709="","",Master!Y709)</x:f>
        <x:v>Yes</x:v>
      </x:c>
      <x:c r="Y9" s="3" t="str">
        <x:f>IF(Master!Z709="","",Master!Z709)</x:f>
      </x:c>
      <x:c r="Z9" s="3" t="str">
        <x:f>IF(Master!AA709="","",Master!AA709)</x:f>
      </x:c>
      <x:c r="AA9" s="6" t="str">
        <x:f>IF(Master!AB709="","",Master!AB709)</x:f>
      </x:c>
      <x:c r="AB9" s="3" t="str">
        <x:f>IF(Master!AC709="","",Master!AC709)</x:f>
        <x:v>Yes</x:v>
      </x:c>
      <x:c r="AC9" s="3" t="str">
        <x:f>IF(Master!AD709="","",Master!AD709)</x:f>
      </x:c>
      <x:c r="AD9" s="3" t="str">
        <x:f>IF(Master!AE709="","",Master!AE709)</x:f>
      </x:c>
      <x:c r="AE9" s="3" t="str">
        <x:f>IF(Master!AF709="","",Master!AF709)</x:f>
      </x:c>
      <x:c r="AF9" s="8" t="str">
        <x:f>IF(Master!AG709="","",Master!AG709)</x:f>
      </x:c>
    </x:row>
    <x:row r="10" ht="36" customHeight="1">
      <x:c r="A10" s="17" t="s">
        <x:v>989</x:v>
      </x:c>
      <x:c r="B10" s="3" t="str">
        <x:f>IF(Master!C710="","",Master!C710)</x:f>
        <x:v>Yes</x:v>
      </x:c>
      <x:c r="C10" s="3" t="str">
        <x:f>IF(Master!D710="","",Master!D710)</x:f>
      </x:c>
      <x:c r="D10" s="3" t="str">
        <x:f>IF(Master!E710="","",Master!E710)</x:f>
      </x:c>
      <x:c r="E10" s="3" t="str">
        <x:f>IF(Master!F710="","",Master!F710)</x:f>
      </x:c>
      <x:c r="F10" s="3" t="str">
        <x:f>IF(Master!G710="","",Master!G710)</x:f>
      </x:c>
      <x:c r="G10" s="3" t="str">
        <x:f>IF(Master!H710="","",Master!H710)</x:f>
      </x:c>
      <x:c r="H10" s="3" t="str">
        <x:f>IF(Master!I710="","",Master!I710)</x:f>
        <x:v>Yes</x:v>
      </x:c>
      <x:c r="I10" s="3" t="str">
        <x:f>IF(Master!J710="","",Master!J710)</x:f>
      </x:c>
      <x:c r="J10" s="3" t="str">
        <x:f>IF(Master!K710="","",Master!K710)</x:f>
      </x:c>
      <x:c r="K10" s="3" t="str">
        <x:f>IF(Master!L710="","",Master!L710)</x:f>
        <x:v>No current community/server subscription</x:v>
      </x:c>
      <x:c r="L10" s="3" t="str">
        <x:f>IF(Master!M710="","",Master!M710)</x:f>
      </x:c>
      <x:c r="M10" s="3" t="str">
        <x:f>IF(Master!N710="","",Master!N710)</x:f>
      </x:c>
      <x:c r="N10" s="3" t="str">
        <x:f>IF(Master!O710="","",Master!O710)</x:f>
      </x:c>
      <x:c r="O10" s="3" t="str">
        <x:f>IF(Master!P710="","",Master!P710)</x:f>
      </x:c>
      <x:c r="P10" s="3" t="str">
        <x:f>IF(Master!Q710="","",Master!Q710)</x:f>
      </x:c>
      <x:c r="Q10" s="3" t="str">
        <x:f>IF(Master!R710="","",Master!R710)</x:f>
      </x:c>
      <x:c r="R10" s="3" t="str">
        <x:f>IF(Master!S710="","",Master!S710)</x:f>
      </x:c>
      <x:c r="S10" s="3" t="str">
        <x:f>IF(Master!T710="","",Master!T710)</x:f>
      </x:c>
      <x:c r="T10" s="3" t="str">
        <x:f>IF(Master!U710="","",Master!U710)</x:f>
        <x:v>No</x:v>
      </x:c>
      <x:c r="U10" s="3" t="str">
        <x:f>IF(Master!V710="","",Master!V710)</x:f>
        <x:v>Yes</x:v>
      </x:c>
      <x:c r="V10" s="3" t="str">
        <x:f>IF(Master!W710="","",Master!W710)</x:f>
      </x:c>
      <x:c r="W10" s="3" t="str">
        <x:f>IF(Master!X710="","",Master!X710)</x:f>
      </x:c>
      <x:c r="X10" s="3" t="str">
        <x:f>IF(Master!Y710="","",Master!Y710)</x:f>
      </x:c>
      <x:c r="Y10" s="3" t="str">
        <x:f>IF(Master!Z710="","",Master!Z710)</x:f>
      </x:c>
      <x:c r="Z10" s="3" t="str">
        <x:f>IF(Master!AA710="","",Master!AA710)</x:f>
      </x:c>
      <x:c r="AA10" s="6" t="str">
        <x:f>IF(Master!AB710="","",Master!AB710)</x:f>
        <x:v>Yes</x:v>
      </x:c>
      <x:c r="AB10" s="3" t="str">
        <x:f>IF(Master!AC710="","",Master!AC710)</x:f>
      </x:c>
      <x:c r="AC10" s="3" t="str">
        <x:f>IF(Master!AD710="","",Master!AD710)</x:f>
      </x:c>
      <x:c r="AD10" s="3" t="str">
        <x:f>IF(Master!AE710="","",Master!AE710)</x:f>
        <x:v>Yes</x:v>
      </x:c>
      <x:c r="AE10" s="3" t="str">
        <x:f>IF(Master!AF710="","",Master!AF710)</x:f>
      </x:c>
      <x:c r="AF10" s="8" t="str">
        <x:f>IF(Master!AG710="","",Master!AG710)</x:f>
      </x:c>
    </x:row>
    <x:row r="11" ht="36" customHeight="1">
      <x:c r="A11" s="17" t="s">
        <x:v>990</x:v>
      </x:c>
      <x:c r="B11" s="3" t="str">
        <x:f>IF(Master!C711="","",Master!C711)</x:f>
        <x:v>No</x:v>
      </x:c>
      <x:c r="C11" s="3" t="str">
        <x:f>IF(Master!D711="","",Master!D711)</x:f>
        <x:v>No</x:v>
      </x:c>
      <x:c r="D11" s="3" t="str">
        <x:f>IF(Master!E711="","",Master!E711)</x:f>
        <x:v>No</x:v>
      </x:c>
      <x:c r="E11" s="3" t="str">
        <x:f>IF(Master!F711="","",Master!F711)</x:f>
        <x:v>No</x:v>
      </x:c>
      <x:c r="F11" s="3" t="str">
        <x:f>IF(Master!G711="","",Master!G711)</x:f>
        <x:v>No</x:v>
      </x:c>
      <x:c r="G11" s="3" t="str">
        <x:f>IF(Master!H711="","",Master!H711)</x:f>
        <x:v>No</x:v>
      </x:c>
      <x:c r="H11" s="3" t="str">
        <x:f>IF(Master!I711="","",Master!I711)</x:f>
        <x:v>Yes</x:v>
      </x:c>
      <x:c r="I11" s="3" t="str">
        <x:f>IF(Master!J711="","",Master!J711)</x:f>
        <x:v>No</x:v>
      </x:c>
      <x:c r="J11" s="3" t="str">
        <x:f>IF(Master!K711="","",Master!K711)</x:f>
        <x:v>No</x:v>
      </x:c>
      <x:c r="K11" s="3" t="str">
        <x:f>IF(Master!L711="","",Master!L711)</x:f>
        <x:v>No: MIT self-hosting</x:v>
      </x:c>
      <x:c r="L11" s="3" t="str">
        <x:f>IF(Master!M711="","",Master!M711)</x:f>
        <x:v>No</x:v>
      </x:c>
      <x:c r="M11" s="3" t="str">
        <x:f>IF(Master!N711="","",Master!N711)</x:f>
        <x:v>No</x:v>
      </x:c>
      <x:c r="N11" s="3" t="str">
        <x:f>IF(Master!O711="","",Master!O711)</x:f>
        <x:v>No</x:v>
      </x:c>
      <x:c r="O11" s="3" t="str">
        <x:f>IF(Master!P711="","",Master!P711)</x:f>
        <x:v>No</x:v>
      </x:c>
      <x:c r="P11" s="3" t="str">
        <x:f>IF(Master!Q711="","",Master!Q711)</x:f>
        <x:v>No</x:v>
      </x:c>
      <x:c r="Q11" s="3" t="str">
        <x:f>IF(Master!R711="","",Master!R711)</x:f>
        <x:v>No</x:v>
      </x:c>
      <x:c r="R11" s="3" t="str">
        <x:f>IF(Master!S711="","",Master!S711)</x:f>
        <x:v>No</x:v>
      </x:c>
      <x:c r="S11" s="3" t="str">
        <x:f>IF(Master!T711="","",Master!T711)</x:f>
        <x:v>No</x:v>
      </x:c>
      <x:c r="T11" s="3" t="str">
        <x:f>IF(Master!U711="","",Master!U711)</x:f>
        <x:v>No: AGPL-3.0</x:v>
      </x:c>
      <x:c r="U11" s="3" t="str">
        <x:f>IF(Master!V711="","",Master!V711)</x:f>
        <x:v>No</x:v>
      </x:c>
      <x:c r="V11" s="3" t="str">
        <x:f>IF(Master!W711="","",Master!W711)</x:f>
        <x:v>No</x:v>
      </x:c>
      <x:c r="W11" s="3" t="str">
        <x:f>IF(Master!X711="","",Master!X711)</x:f>
        <x:v>No</x:v>
      </x:c>
      <x:c r="X11" s="3" t="str">
        <x:f>IF(Master!Y711="","",Master!Y711)</x:f>
        <x:v>No</x:v>
      </x:c>
      <x:c r="Y11" s="3" t="str">
        <x:f>IF(Master!Z711="","",Master!Z711)</x:f>
        <x:v>No</x:v>
      </x:c>
      <x:c r="Z11" s="3" t="str">
        <x:f>IF(Master!AA711="","",Master!AA711)</x:f>
        <x:v>No</x:v>
      </x:c>
      <x:c r="AA11" s="6" t="str">
        <x:f>IF(Master!AB711="","",Master!AB711)</x:f>
        <x:v>Yes</x:v>
      </x:c>
      <x:c r="AB11" s="3" t="str">
        <x:f>IF(Master!AC711="","",Master!AC711)</x:f>
        <x:v>No</x:v>
      </x:c>
      <x:c r="AC11" s="3" t="str">
        <x:f>IF(Master!AD711="","",Master!AD711)</x:f>
        <x:v>No</x:v>
      </x:c>
      <x:c r="AD11" s="3" t="str">
        <x:f>IF(Master!AE711="","",Master!AE711)</x:f>
        <x:v>No</x:v>
      </x:c>
      <x:c r="AE11" s="3" t="str">
        <x:f>IF(Master!AF711="","",Master!AF711)</x:f>
        <x:v>No</x:v>
      </x:c>
      <x:c r="AF11" s="8" t="str">
        <x:f>IF(Master!AG711="","",Master!AG711)</x:f>
        <x:v>Yes</x:v>
      </x:c>
    </x:row>
    <x:row r="12" ht="36" customHeight="1">
      <x:c r="A12" s="17" t="s">
        <x:v>991</x:v>
      </x:c>
      <x:c r="B12" s="3" t="str">
        <x:f>IF(Master!C712="","",Master!C712)</x:f>
      </x:c>
      <x:c r="C12" s="3" t="str">
        <x:f>IF(Master!D712="","",Master!D712)</x:f>
      </x:c>
      <x:c r="D12" s="3" t="str">
        <x:f>IF(Master!E712="","",Master!E712)</x:f>
      </x:c>
      <x:c r="E12" s="3" t="str">
        <x:f>IF(Master!F712="","",Master!F712)</x:f>
      </x:c>
      <x:c r="F12" s="3" t="str">
        <x:f>IF(Master!G712="","",Master!G712)</x:f>
      </x:c>
      <x:c r="G12" s="3" t="str">
        <x:f>IF(Master!H712="","",Master!H712)</x:f>
      </x:c>
      <x:c r="H12" s="3" t="str">
        <x:f>IF(Master!I712="","",Master!I712)</x:f>
      </x:c>
      <x:c r="I12" s="3" t="str">
        <x:f>IF(Master!J712="","",Master!J712)</x:f>
      </x:c>
      <x:c r="J12" s="3" t="str">
        <x:f>IF(Master!K712="","",Master!K712)</x:f>
      </x:c>
      <x:c r="K12" s="3" t="str">
        <x:f>IF(Master!L712="","",Master!L712)</x:f>
        <x:v>No current enterprise/custom quote tier</x:v>
      </x:c>
      <x:c r="L12" s="3" t="str">
        <x:f>IF(Master!M712="","",Master!M712)</x:f>
      </x:c>
      <x:c r="M12" s="3" t="str">
        <x:f>IF(Master!N712="","",Master!N712)</x:f>
      </x:c>
      <x:c r="N12" s="3" t="str">
        <x:f>IF(Master!O712="","",Master!O712)</x:f>
      </x:c>
      <x:c r="O12" s="3" t="str">
        <x:f>IF(Master!P712="","",Master!P712)</x:f>
        <x:v>Yes</x:v>
      </x:c>
      <x:c r="P12" s="3" t="str">
        <x:f>IF(Master!Q712="","",Master!Q712)</x:f>
      </x:c>
      <x:c r="Q12" s="3" t="str">
        <x:f>IF(Master!R712="","",Master!R712)</x:f>
      </x:c>
      <x:c r="R12" s="3" t="str">
        <x:f>IF(Master!S712="","",Master!S712)</x:f>
      </x:c>
      <x:c r="S12" s="3" t="str">
        <x:f>IF(Master!T712="","",Master!T712)</x:f>
      </x:c>
      <x:c r="T12" s="3" t="str">
        <x:f>IF(Master!U712="","",Master!U712)</x:f>
        <x:v>No public tier claimed</x:v>
      </x:c>
      <x:c r="U12" s="3" t="str">
        <x:f>IF(Master!V712="","",Master!V712)</x:f>
        <x:v>No</x:v>
      </x:c>
      <x:c r="V12" s="3" t="str">
        <x:f>IF(Master!W712="","",Master!W712)</x:f>
        <x:v>Yes</x:v>
      </x:c>
      <x:c r="W12" s="3" t="str">
        <x:f>IF(Master!X712="","",Master!X712)</x:f>
      </x:c>
      <x:c r="X12" s="3" t="str">
        <x:f>IF(Master!Y712="","",Master!Y712)</x:f>
      </x:c>
      <x:c r="Y12" s="3" t="str">
        <x:f>IF(Master!Z712="","",Master!Z712)</x:f>
      </x:c>
      <x:c r="Z12" s="3" t="str">
        <x:f>IF(Master!AA712="","",Master!AA712)</x:f>
      </x:c>
      <x:c r="AA12" s="6" t="str">
        <x:f>IF(Master!AB712="","",Master!AB712)</x:f>
        <x:v>Yes</x:v>
      </x:c>
      <x:c r="AB12" s="3" t="str">
        <x:f>IF(Master!AC712="","",Master!AC712)</x:f>
      </x:c>
      <x:c r="AC12" s="3" t="str">
        <x:f>IF(Master!AD712="","",Master!AD712)</x:f>
      </x:c>
      <x:c r="AD12" s="3" t="str">
        <x:f>IF(Master!AE712="","",Master!AE712)</x:f>
        <x:v>Yes</x:v>
      </x:c>
      <x:c r="AE12" s="3" t="str">
        <x:f>IF(Master!AF712="","",Master!AF712)</x:f>
      </x:c>
      <x:c r="AF12" s="8" t="str">
        <x:f>IF(Master!AG712="","",Master!AG712)</x:f>
        <x:v>Yes</x:v>
      </x:c>
    </x:row>
    <x:row r="13" ht="36" customHeight="1">
      <x:c r="A13" s="17" t="s">
        <x:v>992</x:v>
      </x:c>
      <x:c r="B13" s="3" t="str">
        <x:f>IF(Master!C713="","",Master!C713)</x:f>
        <x:v>Per user; Per boost</x:v>
      </x:c>
      <x:c r="C13" s="3" t="str">
        <x:f>IF(Master!D713="","",Master!D713)</x:f>
      </x:c>
      <x:c r="D13" s="3" t="str">
        <x:f>IF(Master!E713="","",Master!E713)</x:f>
      </x:c>
      <x:c r="E13" s="3" t="str">
        <x:f>IF(Master!F713="","",Master!F713)</x:f>
      </x:c>
      <x:c r="F13" s="3" t="str">
        <x:f>IF(Master!G713="","",Master!G713)</x:f>
        <x:v>Subscription</x:v>
      </x:c>
      <x:c r="G13" s="3" t="str">
        <x:f>IF(Master!H713="","",Master!H713)</x:f>
        <x:v>Per user</x:v>
      </x:c>
      <x:c r="H13" s="3" t="str">
        <x:f>IF(Master!I713="","",Master!I713)</x:f>
        <x:v>Per server; Per self-hosted server</x:v>
      </x:c>
      <x:c r="I13" s="3" t="str">
        <x:f>IF(Master!J713="","",Master!J713)</x:f>
      </x:c>
      <x:c r="J13" s="3" t="str">
        <x:f>IF(Master!K713="","",Master!K713)</x:f>
      </x:c>
      <x:c r="K13" s="3" t="str">
        <x:f>IF(Master!L713="","",Master!L713)</x:f>
        <x:v>Free / self-funded today; monetization TBD</x:v>
      </x:c>
      <x:c r="L13" s="3" t="str">
        <x:f>IF(Master!M713="","",Master!M713)</x:f>
      </x:c>
      <x:c r="M13" s="3" t="str">
        <x:f>IF(Master!N713="","",Master!N713)</x:f>
      </x:c>
      <x:c r="N13" s="3" t="str">
        <x:f>IF(Master!O713="","",Master!O713)</x:f>
      </x:c>
      <x:c r="O13" s="3" t="str">
        <x:f>IF(Master!P713="","",Master!P713)</x:f>
        <x:v>Annual seat license; Add-on</x:v>
      </x:c>
      <x:c r="P13" s="3" t="str">
        <x:f>IF(Master!Q713="","",Master!Q713)</x:f>
      </x:c>
      <x:c r="Q13" s="3" t="str">
        <x:f>IF(Master!R713="","",Master!R713)</x:f>
      </x:c>
      <x:c r="R13" s="3" t="str">
        <x:f>IF(Master!S713="","",Master!S713)</x:f>
      </x:c>
      <x:c r="S13" s="3" t="str">
        <x:f>IF(Master!T713="","",Master!T713)</x:f>
      </x:c>
      <x:c r="T13" s="3" t="str">
        <x:f>IF(Master!U713="","",Master!U713)</x:f>
        <x:v>Free hosted + optional donations</x:v>
      </x:c>
      <x:c r="U13" s="3" t="str">
        <x:f>IF(Master!V713="","",Master!V713)</x:f>
        <x:v>Per user; Per community / Shard</x:v>
      </x:c>
      <x:c r="V13" s="3" t="str">
        <x:f>IF(Master!W713="","",Master!W713)</x:f>
        <x:v>Organization / deployment</x:v>
      </x:c>
      <x:c r="W13" s="3" t="str">
        <x:f>IF(Master!X713="","",Master!X713)</x:f>
      </x:c>
      <x:c r="X13" s="3" t="str">
        <x:f>IF(Master!Y713="","",Master!Y713)</x:f>
        <x:v>Per user</x:v>
      </x:c>
      <x:c r="Y13" s="3" t="str">
        <x:f>IF(Master!Z713="","",Master!Z713)</x:f>
      </x:c>
      <x:c r="Z13" s="3" t="str">
        <x:f>IF(Master!AA713="","",Master!AA713)</x:f>
      </x:c>
      <x:c r="AA13" s="6" t="str">
        <x:f>IF(Master!AB713="","",Master!AB713)</x:f>
        <x:v>Per hosted community; Per self-host license; Custom</x:v>
      </x:c>
      <x:c r="AB13" s="3" t="str">
        <x:f>IF(Master!AC713="","",Master!AC713)</x:f>
        <x:v>Per supporter</x:v>
      </x:c>
      <x:c r="AC13" s="3" t="str">
        <x:f>IF(Master!AD713="","",Master!AD713)</x:f>
      </x:c>
      <x:c r="AD13" s="3" t="str">
        <x:f>IF(Master!AE713="","",Master!AE713)</x:f>
        <x:v>Per lobby; Per community build</x:v>
      </x:c>
      <x:c r="AE13" s="3" t="str">
        <x:f>IF(Master!AF713="","",Master!AF713)</x:f>
        <x:v>Per managed server</x:v>
      </x:c>
      <x:c r="AF13" s="8" t="str">
        <x:f>IF(Master!AG713="","",Master!AG713)</x:f>
        <x:v>Per user; Per user; 10-user minimum; Per user; 25-user minimum; Custom</x:v>
      </x:c>
    </x:row>
    <x:row r="14" ht="36" customHeight="1">
      <x:c r="A14" s="17" t="s">
        <x:v>993</x:v>
      </x:c>
      <x:c r="B14" s="3" t="str">
        <x:f>IF(Master!C714="","",Master!C714)</x:f>
        <x:v>Nitro Basic; Nitro; Server Boost; Nitro Classic</x:v>
      </x:c>
      <x:c r="C14" s="3" t="str">
        <x:f>IF(Master!D714="","",Master!D714)</x:f>
        <x:v>No public paid tier verified</x:v>
      </x:c>
      <x:c r="D14" s="3" t="str">
        <x:f>IF(Master!E714="","",Master!E714)</x:f>
        <x:v>No public paid tier verified</x:v>
      </x:c>
      <x:c r="E14" s="3" t="str">
        <x:f>IF(Master!F714="","",Master!F714)</x:f>
        <x:v>No public paid tier verified</x:v>
      </x:c>
      <x:c r="F14" s="3" t="str">
        <x:f>IF(Master!G714="","",Master!G714)</x:f>
        <x:v>Surge; Flare; Prime</x:v>
      </x:c>
      <x:c r="G14" s="3" t="str">
        <x:f>IF(Master!H714="","",Master!H714)</x:f>
        <x:v>Plutonium</x:v>
      </x:c>
      <x:c r="H14" s="3" t="str">
        <x:f>IF(Master!I714="","",Master!I714)</x:f>
        <x:v>Silver; Gold; Diamond; Self-Hosted Server License</x:v>
      </x:c>
      <x:c r="I14" s="3" t="str">
        <x:f>IF(Master!J714="","",Master!J714)</x:f>
        <x:v>No public paid tier verified</x:v>
      </x:c>
      <x:c r="J14" s="3" t="str">
        <x:f>IF(Master!K714="","",Master!K714)</x:f>
        <x:v>No public paid tier verified</x:v>
      </x:c>
      <x:c r="K14" s="3" t="str">
        <x:f>IF(Master!L714="","",Master!L714)</x:f>
        <x:v>None</x:v>
      </x:c>
      <x:c r="L14" s="3" t="str">
        <x:f>IF(Master!M714="","",Master!M714)</x:f>
        <x:v>No public paid tier verified</x:v>
      </x:c>
      <x:c r="M14" s="3" t="str">
        <x:f>IF(Master!N714="","",Master!N714)</x:f>
        <x:v>No public paid tier verified</x:v>
      </x:c>
      <x:c r="N14" s="3" t="str">
        <x:f>IF(Master!O714="","",Master!O714)</x:f>
        <x:v>No public paid tier verified</x:v>
      </x:c>
      <x:c r="O14" s="3" t="str">
        <x:f>IF(Master!P714="","",Master!P714)</x:f>
        <x:v>Professional; Enterprise; Enterprise Advanced; Premier Support</x:v>
      </x:c>
      <x:c r="P14" s="3" t="str">
        <x:f>IF(Master!Q714="","",Master!Q714)</x:f>
        <x:v>No public paid tier verified</x:v>
      </x:c>
      <x:c r="Q14" s="3" t="str">
        <x:f>IF(Master!R714="","",Master!R714)</x:f>
        <x:v>No public paid tier verified</x:v>
      </x:c>
      <x:c r="R14" s="3" t="str">
        <x:f>IF(Master!S714="","",Master!S714)</x:f>
        <x:v>No public paid tier verified</x:v>
      </x:c>
      <x:c r="S14" s="3" t="str">
        <x:f>IF(Master!T714="","",Master!T714)</x:f>
        <x:v>No public paid tier verified</x:v>
      </x:c>
      <x:c r="T14" s="3" t="str">
        <x:f>IF(Master!U714="","",Master!U714)</x:f>
        <x:v>None: donations unlock nothing</x:v>
      </x:c>
      <x:c r="U14" s="3" t="str">
        <x:f>IF(Master!V714="","",Master!V714)</x:f>
        <x:v>Rift+; Shard Ember; Shard Forge</x:v>
      </x:c>
      <x:c r="V14" s="3" t="str">
        <x:f>IF(Master!W714="","",Master!W714)</x:f>
        <x:v>Commercial; Government; Defense</x:v>
      </x:c>
      <x:c r="W14" s="3" t="str">
        <x:f>IF(Master!X714="","",Master!X714)</x:f>
        <x:v>No public paid tier verified</x:v>
      </x:c>
      <x:c r="X14" s="3" t="str">
        <x:f>IF(Master!Y714="","",Master!Y714)</x:f>
        <x:v>Sudo</x:v>
      </x:c>
      <x:c r="Y14" s="3" t="str">
        <x:f>IF(Master!Z714="","",Master!Z714)</x:f>
        <x:v>No public paid tier verified</x:v>
      </x:c>
      <x:c r="Z14" s="3" t="str">
        <x:f>IF(Master!AA714="","",Master!AA714)</x:f>
        <x:v>No public paid tier verified</x:v>
      </x:c>
      <x:c r="AA14" s="6" t="str">
        <x:f>IF(Master!AB714="","",Master!AB714)</x:f>
        <x:v>Crew; Team; Faction; Gamer / Activation 64 slots; Gamer / Activation 128 slots; Gamer / Activation 256 slots; Gamer / Activation 512 slots; Gamer / Activation 1024 slots; Commercial License; TeamSpeak SDK License</x:v>
      </x:c>
      <x:c r="AB14" s="3" t="str">
        <x:f>IF(Master!AC714="","",Master!AC714)</x:f>
        <x:v>Stargazer</x:v>
      </x:c>
      <x:c r="AC14" s="3" t="str">
        <x:f>IF(Master!AD714="","",Master!AD714)</x:f>
        <x:v>No public paid tier verified</x:v>
      </x:c>
      <x:c r="AD14" s="3" t="str">
        <x:f>IF(Master!AE714="","",Master!AE714)</x:f>
        <x:v>Run your own; Have it built: Crew; Have it built: League; Have it built: Network; Have it built: Larger</x:v>
      </x:c>
      <x:c r="AE14" s="3" t="str">
        <x:f>IF(Master!AF714="","",Master!AF714)</x:f>
        <x:v>Yapper Hosting: 1 Year</x:v>
      </x:c>
      <x:c r="AF14" s="8" t="str">
        <x:f>IF(Master!AG714="","",Master!AG714)</x:f>
        <x:v>Cloud Standard; Cloud Plus; Self-hosted Basic; Self-hosted Business; Self-hosted Enterprise</x:v>
      </x:c>
    </x:row>
    <x:row r="15" ht="36" customHeight="1">
      <x:c r="A15" s="17" t="s">
        <x:v>994</x:v>
      </x:c>
      <x:c r="B15" s="3" t="str">
        <x:f>IF(Master!C715="","",Master!C715)</x:f>
        <x:v>https://support.discord.com/hc/en-us/articles/4407269525911-Localized-Pricing-on-Discord</x:v>
      </x:c>
      <x:c r="C15" s="3" t="str">
        <x:f>IF(Master!D715="","",Master!D715)</x:f>
      </x:c>
      <x:c r="D15" s="3" t="str">
        <x:f>IF(Master!E715="","",Master!E715)</x:f>
      </x:c>
      <x:c r="E15" s="3" t="str">
        <x:f>IF(Master!F715="","",Master!F715)</x:f>
      </x:c>
      <x:c r="F15" s="3" t="str">
        <x:f>IF(Master!G715="","",Master!G715)</x:f>
        <x:v>https://fenrid.com/waitlist</x:v>
      </x:c>
      <x:c r="G15" s="3" t="str">
        <x:f>IF(Master!H715="","",Master!H715)</x:f>
        <x:v>https://fluxer.app/plutonium</x:v>
      </x:c>
      <x:c r="H15" s="3" t="str">
        <x:f>IF(Master!I715="","",Master!I715)</x:f>
        <x:v>https://gamevox.com/blog/gamevox-vs-discord/; https://gamevox.com/self-hosted/</x:v>
      </x:c>
      <x:c r="I15" s="3" t="str">
        <x:f>IF(Master!J715="","",Master!J715)</x:f>
      </x:c>
      <x:c r="J15" s="3" t="str">
        <x:f>IF(Master!K715="","",Master!K715)</x:f>
      </x:c>
      <x:c r="K15" s="3" t="str">
        <x:f>IF(Master!L715="","",Master!L715)</x:f>
        <x:v>Self-host infrastructure is operator controlled. Per developer report, the official service uses OVH core, Backblaze storage, and Hivelocity/other LiveKit regions.</x:v>
      </x:c>
      <x:c r="L15" s="3" t="str">
        <x:f>IF(Master!M715="","",Master!M715)</x:f>
      </x:c>
      <x:c r="M15" s="3" t="str">
        <x:f>IF(Master!N715="","",Master!N715)</x:f>
      </x:c>
      <x:c r="N15" s="3" t="str">
        <x:f>IF(Master!O715="","",Master!O715)</x:f>
      </x:c>
      <x:c r="O15" s="3" t="str">
        <x:f>IF(Master!P715="","",Master!P715)</x:f>
        <x:v>https://mattermost.com/pricing/; https://mattermost.com/support/</x:v>
      </x:c>
      <x:c r="P15" s="3" t="str">
        <x:f>IF(Master!Q715="","",Master!Q715)</x:f>
      </x:c>
      <x:c r="Q15" s="3" t="str">
        <x:f>IF(Master!R715="","",Master!R715)</x:f>
      </x:c>
      <x:c r="R15" s="3" t="str">
        <x:f>IF(Master!S715="","",Master!S715)</x:f>
      </x:c>
      <x:c r="S15" s="3" t="str">
        <x:f>IF(Master!T715="","",Master!T715)</x:f>
      </x:c>
      <x:c r="T15" s="3" t="str">
        <x:f>IF(Master!U715="","",Master!U715)</x:f>
        <x:v>https://pqp.gg/apoie: donations unlock nothing; hosted service is free; not VC-backed</x:v>
      </x:c>
      <x:c r="U15" s="3" t="str">
        <x:f>IF(Master!V715="","",Master!V715)</x:f>
        <x:v>https://therift.chat/de/plans/</x:v>
      </x:c>
      <x:c r="V15" s="3" t="str">
        <x:f>IF(Master!W715="","",Master!W715)</x:f>
        <x:v>https://docs.rocket.chat/our-plans</x:v>
      </x:c>
      <x:c r="W15" s="3" t="str">
        <x:f>IF(Master!X715="","",Master!X715)</x:f>
      </x:c>
      <x:c r="X15" s="3" t="str">
        <x:f>IF(Master!Y715="","",Master!Y715)</x:f>
        <x:v>https://support.rootapp.com/docs/sudo/get-started/sudo-faqs/</x:v>
      </x:c>
      <x:c r="Y15" s="3" t="str">
        <x:f>IF(Master!Z715="","",Master!Z715)</x:f>
      </x:c>
      <x:c r="Z15" s="3" t="str">
        <x:f>IF(Master!AA715="","",Master!AA715)</x:f>
      </x:c>
      <x:c r="AA15" s="6" t="str">
        <x:f>IF(Master!AB715="","",Master!AB715)</x:f>
        <x:v>https://support.teamspeak.com/hc/en-us/articles/26033099878045-Current-Community-Options; https://support.teamspeak.com/hc/en-us/articles/26033788383261-What-licenses-are-available</x:v>
      </x:c>
      <x:c r="AB15" s="3" t="str">
        <x:f>IF(Master!AC715="","",Master!AC715)</x:f>
        <x:v>https://valour.gg/faq/</x:v>
      </x:c>
      <x:c r="AC15" s="3" t="str">
        <x:f>IF(Master!AD715="","",Master!AD715)</x:f>
      </x:c>
      <x:c r="AD15" s="3" t="str">
        <x:f>IF(Master!AE715="","",Master!AE715)</x:f>
        <x:v>https://weered.ca/pricing</x:v>
      </x:c>
      <x:c r="AE15" s="3" t="str">
        <x:f>IF(Master!AF715="","",Master!AF715)</x:f>
        <x:v>https://yapper.gg/pricing</x:v>
      </x:c>
      <x:c r="AF15" s="8" t="str">
        <x:f>IF(Master!AG715="","",Master!AG715)</x:f>
        <x:v>https://zulip.com/plans/</x:v>
      </x:c>
    </x:row>
    <x:row r="16" ht="21.950000762939453" customHeight="1">
      <x:c r="A16" s="18" t="s">
        <x:v>995</x:v>
      </x:c>
      <x:c r="B16" s="18" t="str">
        <x:f t="shared" ref="B16:AF16" si="0">IF(""="","","")</x:f>
      </x:c>
      <x:c r="C16" s="18" t="str">
        <x:f t="shared" si="0"/>
      </x:c>
      <x:c r="D16" s="18" t="str">
        <x:f t="shared" si="0"/>
      </x:c>
      <x:c r="E16" s="18" t="str">
        <x:f t="shared" si="0"/>
      </x:c>
      <x:c r="F16" s="18" t="str">
        <x:f t="shared" si="0"/>
      </x:c>
      <x:c r="G16" s="18" t="str">
        <x:f t="shared" si="0"/>
      </x:c>
      <x:c r="H16" s="18" t="str">
        <x:f t="shared" si="0"/>
      </x:c>
      <x:c r="I16" s="18" t="str">
        <x:f t="shared" si="0"/>
      </x:c>
      <x:c r="J16" s="18" t="str">
        <x:f t="shared" si="0"/>
      </x:c>
      <x:c r="K16" s="18" t="str">
        <x:f t="shared" si="0"/>
      </x:c>
      <x:c r="L16" s="18" t="str">
        <x:f t="shared" si="0"/>
      </x:c>
      <x:c r="M16" s="18" t="str">
        <x:f t="shared" si="0"/>
      </x:c>
      <x:c r="N16" s="18" t="str">
        <x:f t="shared" si="0"/>
      </x:c>
      <x:c r="O16" s="18" t="str">
        <x:f t="shared" si="0"/>
      </x:c>
      <x:c r="P16" s="18" t="str">
        <x:f t="shared" si="0"/>
      </x:c>
      <x:c r="Q16" s="18" t="str">
        <x:f t="shared" si="0"/>
      </x:c>
      <x:c r="R16" s="18" t="str">
        <x:f t="shared" si="0"/>
      </x:c>
      <x:c r="S16" s="18" t="str">
        <x:f t="shared" si="0"/>
      </x:c>
      <x:c r="T16" s="18" t="str">
        <x:f t="shared" si="0"/>
      </x:c>
      <x:c r="U16" s="18" t="str">
        <x:f t="shared" si="0"/>
      </x:c>
      <x:c r="V16" s="18" t="str">
        <x:f t="shared" si="0"/>
      </x:c>
      <x:c r="W16" s="18" t="str">
        <x:f t="shared" si="0"/>
      </x:c>
      <x:c r="X16" s="18" t="str">
        <x:f t="shared" si="0"/>
      </x:c>
      <x:c r="Y16" s="18" t="str">
        <x:f t="shared" si="0"/>
      </x:c>
      <x:c r="Z16" s="18" t="str">
        <x:f t="shared" si="0"/>
      </x:c>
      <x:c r="AA16" s="18" t="str">
        <x:f t="shared" si="0"/>
      </x:c>
      <x:c r="AB16" s="18" t="str">
        <x:f t="shared" si="0"/>
      </x:c>
      <x:c r="AC16" s="18" t="str">
        <x:f t="shared" si="0"/>
      </x:c>
      <x:c r="AD16" s="18" t="str">
        <x:f t="shared" si="0"/>
      </x:c>
      <x:c r="AE16" s="18" t="str">
        <x:f t="shared" si="0"/>
      </x:c>
      <x:c r="AF16" s="19" t="str">
        <x:f t="shared" si="0"/>
      </x:c>
    </x:row>
    <x:row r="17" ht="36" customHeight="1">
      <x:c r="A17" s="17" t="s">
        <x:v>996</x:v>
      </x:c>
      <x:c r="B17" s="3" t="str">
        <x:f>IF(Master!C716="","",Master!C716)</x:f>
        <x:v>Yes: sponsored Quests/formats</x:v>
      </x:c>
      <x:c r="C17" s="3" t="str">
        <x:f>IF(Master!D716="","",Master!D716)</x:f>
      </x:c>
      <x:c r="D17" s="3" t="str">
        <x:f>IF(Master!E716="","",Master!E716)</x:f>
      </x:c>
      <x:c r="E17" s="3" t="str">
        <x:f>IF(Master!F716="","",Master!F716)</x:f>
      </x:c>
      <x:c r="F17" s="3" t="str">
        <x:f>IF(Master!G716="","",Master!G716)</x:f>
      </x:c>
      <x:c r="G17" s="3" t="str">
        <x:f>IF(Master!H716="","",Master!H716)</x:f>
      </x:c>
      <x:c r="H17" s="3" t="str">
        <x:f>IF(Master!I716="","",Master!I716)</x:f>
      </x:c>
      <x:c r="I17" s="3" t="str">
        <x:f>IF(Master!J716="","",Master!J716)</x:f>
      </x:c>
      <x:c r="J17" s="3" t="str">
        <x:f>IF(Master!K716="","",Master!K716)</x:f>
      </x:c>
      <x:c r="K17" s="3" t="str">
        <x:f>IF(Master!L716="","",Master!L716)</x:f>
        <x:v>No current advertising/sponsored revenue reported</x:v>
      </x:c>
      <x:c r="L17" s="3" t="str">
        <x:f>IF(Master!M716="","",Master!M716)</x:f>
      </x:c>
      <x:c r="M17" s="3" t="str">
        <x:f>IF(Master!N716="","",Master!N716)</x:f>
      </x:c>
      <x:c r="N17" s="3" t="str">
        <x:f>IF(Master!O716="","",Master!O716)</x:f>
        <x:v>Protocol N/A / provider-dependent</x:v>
      </x:c>
      <x:c r="O17" s="3" t="str">
        <x:f>IF(Master!P716="","",Master!P716)</x:f>
      </x:c>
      <x:c r="P17" s="3" t="str">
        <x:f>IF(Master!Q716="","",Master!Q716)</x:f>
      </x:c>
      <x:c r="Q17" s="3" t="str">
        <x:f>IF(Master!R716="","",Master!R716)</x:f>
      </x:c>
      <x:c r="R17" s="3" t="str">
        <x:f>IF(Master!S716="","",Master!S716)</x:f>
      </x:c>
      <x:c r="S17" s="3" t="str">
        <x:f>IF(Master!T716="","",Master!T716)</x:f>
      </x:c>
      <x:c r="T17" s="3" t="str">
        <x:f>IF(Master!U716="","",Master!U716)</x:f>
        <x:v>No advertising model claimed</x:v>
      </x:c>
      <x:c r="U17" s="3" t="str">
        <x:f>IF(Master!V716="","",Master!V716)</x:f>
        <x:v>No ads</x:v>
      </x:c>
      <x:c r="V17" s="3" t="str">
        <x:f>IF(Master!W716="","",Master!W716)</x:f>
      </x:c>
      <x:c r="W17" s="3" t="str">
        <x:f>IF(Master!X716="","",Master!X716)</x:f>
      </x:c>
      <x:c r="X17" s="3" t="str">
        <x:f>IF(Master!Y716="","",Master!Y716)</x:f>
      </x:c>
      <x:c r="Y17" s="3" t="str">
        <x:f>IF(Master!Z716="","",Master!Z716)</x:f>
      </x:c>
      <x:c r="Z17" s="3" t="str">
        <x:f>IF(Master!AA716="","",Master!AA716)</x:f>
      </x:c>
      <x:c r="AA17" s="6" t="str">
        <x:f>IF(Master!AB716="","",Master!AB716)</x:f>
      </x:c>
      <x:c r="AB17" s="3" t="str">
        <x:f>IF(Master!AC716="","",Master!AC716)</x:f>
      </x:c>
      <x:c r="AC17" s="3" t="str">
        <x:f>IF(Master!AD716="","",Master!AD716)</x:f>
      </x:c>
      <x:c r="AD17" s="3" t="str">
        <x:f>IF(Master!AE716="","",Master!AE716)</x:f>
      </x:c>
      <x:c r="AE17" s="3" t="str">
        <x:f>IF(Master!AF716="","",Master!AF716)</x:f>
      </x:c>
      <x:c r="AF17" s="8" t="str">
        <x:f>IF(Master!AG716="","",Master!AG716)</x:f>
      </x:c>
    </x:row>
    <x:row r="18" ht="36" customHeight="1">
      <x:c r="A18" s="17" t="s">
        <x:v>997</x:v>
      </x:c>
      <x:c r="B18" s="3" t="str">
        <x:f>IF(Master!C717="","",Master!C717)</x:f>
      </x:c>
      <x:c r="C18" s="3" t="str">
        <x:f>IF(Master!D717="","",Master!D717)</x:f>
      </x:c>
      <x:c r="D18" s="3" t="str">
        <x:f>IF(Master!E717="","",Master!E717)</x:f>
        <x:v>Yes</x:v>
      </x:c>
      <x:c r="E18" s="3" t="str">
        <x:f>IF(Master!F717="","",Master!F717)</x:f>
      </x:c>
      <x:c r="F18" s="3" t="str">
        <x:f>IF(Master!G717="","",Master!G717)</x:f>
      </x:c>
      <x:c r="G18" s="3" t="str">
        <x:f>IF(Master!H717="","",Master!H717)</x:f>
        <x:v>Yes</x:v>
      </x:c>
      <x:c r="H18" s="3" t="str">
        <x:f>IF(Master!I717="","",Master!I717)</x:f>
      </x:c>
      <x:c r="I18" s="3" t="str">
        <x:f>IF(Master!J717="","",Master!J717)</x:f>
      </x:c>
      <x:c r="J18" s="3" t="str">
        <x:f>IF(Master!K717="","",Master!K717)</x:f>
      </x:c>
      <x:c r="K18" s="3" t="str">
        <x:f>IF(Master!L717="","",Master!L717)</x:f>
        <x:v>No donation model reported as primary funding</x:v>
      </x:c>
      <x:c r="L18" s="3" t="str">
        <x:f>IF(Master!M717="","",Master!M717)</x:f>
        <x:v>Yes</x:v>
      </x:c>
      <x:c r="M18" s="3" t="str">
        <x:f>IF(Master!N717="","",Master!N717)</x:f>
      </x:c>
      <x:c r="N18" s="3" t="str">
        <x:f>IF(Master!O717="","",Master!O717)</x:f>
        <x:v>Yes: foundation support</x:v>
      </x:c>
      <x:c r="O18" s="3" t="str">
        <x:f>IF(Master!P717="","",Master!P717)</x:f>
      </x:c>
      <x:c r="P18" s="3" t="str">
        <x:f>IF(Master!Q717="","",Master!Q717)</x:f>
      </x:c>
      <x:c r="Q18" s="3" t="str">
        <x:f>IF(Master!R717="","",Master!R717)</x:f>
      </x:c>
      <x:c r="R18" s="3" t="str">
        <x:f>IF(Master!S717="","",Master!S717)</x:f>
        <x:v>Yes</x:v>
      </x:c>
      <x:c r="S18" s="3" t="str">
        <x:f>IF(Master!T717="","",Master!T717)</x:f>
      </x:c>
      <x:c r="T18" s="3" t="str">
        <x:f>IF(Master!U717="","",Master!U717)</x:f>
        <x:v>Yes</x:v>
      </x:c>
      <x:c r="U18" s="3" t="str">
        <x:f>IF(Master!V717="","",Master!V717)</x:f>
        <x:v>No</x:v>
      </x:c>
      <x:c r="V18" s="3" t="str">
        <x:f>IF(Master!W717="","",Master!W717)</x:f>
      </x:c>
      <x:c r="W18" s="3" t="str">
        <x:f>IF(Master!X717="","",Master!X717)</x:f>
      </x:c>
      <x:c r="X18" s="3" t="str">
        <x:f>IF(Master!Y717="","",Master!Y717)</x:f>
      </x:c>
      <x:c r="Y18" s="3" t="str">
        <x:f>IF(Master!Z717="","",Master!Z717)</x:f>
      </x:c>
      <x:c r="Z18" s="3" t="str">
        <x:f>IF(Master!AA717="","",Master!AA717)</x:f>
      </x:c>
      <x:c r="AA18" s="6" t="str">
        <x:f>IF(Master!AB717="","",Master!AB717)</x:f>
      </x:c>
      <x:c r="AB18" s="3" t="str">
        <x:f>IF(Master!AC717="","",Master!AC717)</x:f>
      </x:c>
      <x:c r="AC18" s="3" t="str">
        <x:f>IF(Master!AD717="","",Master!AD717)</x:f>
      </x:c>
      <x:c r="AD18" s="3" t="str">
        <x:f>IF(Master!AE717="","",Master!AE717)</x:f>
      </x:c>
      <x:c r="AE18" s="3" t="str">
        <x:f>IF(Master!AF717="","",Master!AF717)</x:f>
      </x:c>
      <x:c r="AF18" s="8" t="str">
        <x:f>IF(Master!AG717="","",Master!AG717)</x:f>
      </x:c>
    </x:row>
    <x:row r="19" ht="36" customHeight="1">
      <x:c r="A19" s="17" t="s">
        <x:v>998</x:v>
      </x:c>
      <x:c r="B19" s="3" t="str">
        <x:f>IF(Master!C718="","",Master!C718)</x:f>
        <x:v>Yes: Premium Apps / creator monetization</x:v>
      </x:c>
      <x:c r="C19" s="3" t="str">
        <x:f>IF(Master!D718="","",Master!D718)</x:f>
      </x:c>
      <x:c r="D19" s="3" t="str">
        <x:f>IF(Master!E718="","",Master!E718)</x:f>
      </x:c>
      <x:c r="E19" s="3" t="str">
        <x:f>IF(Master!F718="","",Master!F718)</x:f>
      </x:c>
      <x:c r="F19" s="3" t="str">
        <x:f>IF(Master!G718="","",Master!G718)</x:f>
      </x:c>
      <x:c r="G19" s="3" t="str">
        <x:f>IF(Master!H718="","",Master!H718)</x:f>
      </x:c>
      <x:c r="H19" s="3" t="str">
        <x:f>IF(Master!I718="","",Master!I718)</x:f>
      </x:c>
      <x:c r="I19" s="3" t="str">
        <x:f>IF(Master!J718="","",Master!J718)</x:f>
      </x:c>
      <x:c r="J19" s="3" t="str">
        <x:f>IF(Master!K718="","",Master!K718)</x:f>
      </x:c>
      <x:c r="K19" s="3" t="str">
        <x:f>IF(Master!L718="","",Master!L718)</x:f>
        <x:v>No current marketplace revenue</x:v>
      </x:c>
      <x:c r="L19" s="3" t="str">
        <x:f>IF(Master!M718="","",Master!M718)</x:f>
      </x:c>
      <x:c r="M19" s="3" t="str">
        <x:f>IF(Master!N718="","",Master!N718)</x:f>
      </x:c>
      <x:c r="N19" s="3" t="str">
        <x:f>IF(Master!O718="","",Master!O718)</x:f>
      </x:c>
      <x:c r="O19" s="3" t="str">
        <x:f>IF(Master!P718="","",Master!P718)</x:f>
      </x:c>
      <x:c r="P19" s="3" t="str">
        <x:f>IF(Master!Q718="","",Master!Q718)</x:f>
      </x:c>
      <x:c r="Q19" s="3" t="str">
        <x:f>IF(Master!R718="","",Master!R718)</x:f>
      </x:c>
      <x:c r="R19" s="3" t="str">
        <x:f>IF(Master!S718="","",Master!S718)</x:f>
      </x:c>
      <x:c r="S19" s="3" t="str">
        <x:f>IF(Master!T718="","",Master!T718)</x:f>
      </x:c>
      <x:c r="T19" s="3" t="str">
        <x:f>IF(Master!U718="","",Master!U718)</x:f>
        <x:v>No public marketplace/app revenue model</x:v>
      </x:c>
      <x:c r="U19" s="3" t="str">
        <x:f>IF(Master!V718="","",Master!V718)</x:f>
        <x:v>No</x:v>
      </x:c>
      <x:c r="V19" s="3" t="str">
        <x:f>IF(Master!W718="","",Master!W718)</x:f>
        <x:v>Paid marketplace apps</x:v>
      </x:c>
      <x:c r="W19" s="3" t="str">
        <x:f>IF(Master!X718="","",Master!X718)</x:f>
      </x:c>
      <x:c r="X19" s="3" t="str">
        <x:f>IF(Master!Y718="","",Master!Y718)</x:f>
      </x:c>
      <x:c r="Y19" s="3" t="str">
        <x:f>IF(Master!Z718="","",Master!Z718)</x:f>
      </x:c>
      <x:c r="Z19" s="3" t="str">
        <x:f>IF(Master!AA718="","",Master!AA718)</x:f>
      </x:c>
      <x:c r="AA19" s="6" t="str">
        <x:f>IF(Master!AB718="","",Master!AB718)</x:f>
      </x:c>
      <x:c r="AB19" s="3" t="str">
        <x:f>IF(Master!AC718="","",Master!AC718)</x:f>
      </x:c>
      <x:c r="AC19" s="3" t="str">
        <x:f>IF(Master!AD718="","",Master!AD718)</x:f>
      </x:c>
      <x:c r="AD19" s="3" t="str">
        <x:f>IF(Master!AE718="","",Master!AE718)</x:f>
      </x:c>
      <x:c r="AE19" s="3" t="str">
        <x:f>IF(Master!AF718="","",Master!AF718)</x:f>
      </x:c>
      <x:c r="AF19" s="8" t="str">
        <x:f>IF(Master!AG718="","",Master!AG718)</x:f>
      </x:c>
    </x:row>
    <x:row r="20" ht="36" customHeight="1">
      <x:c r="A20" s="17" t="s">
        <x:v>999</x:v>
      </x:c>
      <x:c r="B20" s="3" t="str">
        <x:f>IF(Master!C719="","",Master!C719)</x:f>
      </x:c>
      <x:c r="C20" s="3" t="str">
        <x:f>IF(Master!D719="","",Master!D719)</x:f>
      </x:c>
      <x:c r="D20" s="3" t="str">
        <x:f>IF(Master!E719="","",Master!E719)</x:f>
      </x:c>
      <x:c r="E20" s="3" t="str">
        <x:f>IF(Master!F719="","",Master!F719)</x:f>
      </x:c>
      <x:c r="F20" s="3" t="str">
        <x:f>IF(Master!G719="","",Master!G719)</x:f>
      </x:c>
      <x:c r="G20" s="3" t="str">
        <x:f>IF(Master!H719="","",Master!H719)</x:f>
      </x:c>
      <x:c r="H20" s="3" t="str">
        <x:f>IF(Master!I719="","",Master!I719)</x:f>
      </x:c>
      <x:c r="I20" s="3" t="str">
        <x:f>IF(Master!J719="","",Master!J719)</x:f>
      </x:c>
      <x:c r="J20" s="3" t="str">
        <x:f>IF(Master!K719="","",Master!K719)</x:f>
      </x:c>
      <x:c r="K20" s="3" t="str">
        <x:f>IF(Master!L719="","",Master!L719)</x:f>
        <x:v>Yes: MIT</x:v>
      </x:c>
      <x:c r="L20" s="3" t="str">
        <x:f>IF(Master!M719="","",Master!M719)</x:f>
      </x:c>
      <x:c r="M20" s="3" t="str">
        <x:f>IF(Master!N719="","",Master!N719)</x:f>
      </x:c>
      <x:c r="N20" s="3" t="str">
        <x:f>IF(Master!O719="","",Master!O719)</x:f>
        <x:v>Yes</x:v>
      </x:c>
      <x:c r="O20" s="3" t="str">
        <x:f>IF(Master!P719="","",Master!P719)</x:f>
        <x:v>Yes: community edition</x:v>
      </x:c>
      <x:c r="P20" s="3" t="str">
        <x:f>IF(Master!Q719="","",Master!Q719)</x:f>
      </x:c>
      <x:c r="Q20" s="3" t="str">
        <x:f>IF(Master!R719="","",Master!R719)</x:f>
        <x:v>Yes</x:v>
      </x:c>
      <x:c r="R20" s="3" t="str">
        <x:f>IF(Master!S719="","",Master!S719)</x:f>
      </x:c>
      <x:c r="S20" s="3" t="str">
        <x:f>IF(Master!T719="","",Master!T719)</x:f>
      </x:c>
      <x:c r="T20" s="3" t="str">
        <x:f>IF(Master!U719="","",Master!U719)</x:f>
        <x:v>Yes: AGPL-3.0</x:v>
      </x:c>
      <x:c r="U20" s="3" t="str">
        <x:f>IF(Master!V719="","",Master!V719)</x:f>
        <x:v>No public self-hosting</x:v>
      </x:c>
      <x:c r="V20" s="3" t="str">
        <x:f>IF(Master!W719="","",Master!W719)</x:f>
        <x:v>Community edition / current licensing conditions</x:v>
      </x:c>
      <x:c r="W20" s="3" t="str">
        <x:f>IF(Master!X719="","",Master!X719)</x:f>
      </x:c>
      <x:c r="X20" s="3" t="str">
        <x:f>IF(Master!Y719="","",Master!Y719)</x:f>
      </x:c>
      <x:c r="Y20" s="3" t="str">
        <x:f>IF(Master!Z719="","",Master!Z719)</x:f>
        <x:v>Yes</x:v>
      </x:c>
      <x:c r="Z20" s="3" t="str">
        <x:f>IF(Master!AA719="","",Master!AA719)</x:f>
        <x:v>Yes</x:v>
      </x:c>
      <x:c r="AA20" s="6" t="str">
        <x:f>IF(Master!AB719="","",Master!AB719)</x:f>
      </x:c>
      <x:c r="AB20" s="3" t="str">
        <x:f>IF(Master!AC719="","",Master!AC719)</x:f>
      </x:c>
      <x:c r="AC20" s="3" t="str">
        <x:f>IF(Master!AD719="","",Master!AD719)</x:f>
      </x:c>
      <x:c r="AD20" s="3" t="str">
        <x:f>IF(Master!AE719="","",Master!AE719)</x:f>
      </x:c>
      <x:c r="AE20" s="3" t="str">
        <x:f>IF(Master!AF719="","",Master!AF719)</x:f>
      </x:c>
      <x:c r="AF20" s="8" t="str">
        <x:f>IF(Master!AG719="","",Master!AG719)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4" width="22" customWidth="1"/>
    <x:col min="5" max="8" width="15" customWidth="1"/>
    <x:col min="9" max="11" width="18" customWidth="1"/>
    <x:col min="12" max="13" width="36" customWidth="1"/>
    <x:col min="14" max="14" width="15" customWidth="1"/>
    <x:col min="15" max="15" width="36" customWidth="1"/>
    <x:col min="16" max="16" width="22" customWidth="1"/>
    <x:col min="17" max="32" width="20" customWidth="1"/>
  </x:cols>
  <x:sheetData>
    <x:row r="1" ht="27.950000762939453" customHeight="1">
      <x:c r="A1" s="24" t="str">
        <x:f>IFERROR(HYPERLINK("#'Sheet Directory'!A1","Paid Options &amp; Tiers: one purchasable option per row"),"Paid Options &amp; Tiers: one purchasable option per row")</x:f>
        <x:v>Paid Options &amp; Tiers: one purchasable option per row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1001</x:v>
      </x:c>
      <x:c r="C2" s="11" t="s">
        <x:v>1002</x:v>
      </x:c>
      <x:c r="D2" s="11" t="s">
        <x:v>1003</x:v>
      </x:c>
      <x:c r="E2" s="11" t="s">
        <x:v>1004</x:v>
      </x:c>
      <x:c r="F2" s="11" t="s">
        <x:v>1005</x:v>
      </x:c>
      <x:c r="G2" s="11" t="s">
        <x:v>1006</x:v>
      </x:c>
      <x:c r="H2" s="11" t="s">
        <x:v>1007</x:v>
      </x:c>
      <x:c r="I2" s="11" t="s">
        <x:v>1008</x:v>
      </x:c>
      <x:c r="J2" s="11" t="s">
        <x:v>1009</x:v>
      </x:c>
      <x:c r="K2" s="11" t="s">
        <x:v>1010</x:v>
      </x:c>
      <x:c r="L2" s="11" t="s">
        <x:v>1011</x:v>
      </x:c>
      <x:c r="M2" s="11" t="s">
        <x:v>1012</x:v>
      </x:c>
      <x:c r="N2" s="11" t="s">
        <x:v>1013</x:v>
      </x:c>
      <x:c r="O2" s="11" t="s">
        <x:v>1014</x:v>
      </x:c>
      <x:c r="P2" s="11" t="s">
        <x:v>1015</x:v>
      </x:c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64</x:v>
      </x:c>
      <x:c r="B3" s="8" t="s">
        <x:v>1016</x:v>
      </x:c>
      <x:c r="C3" s="8" t="s">
        <x:v>1017</x:v>
      </x:c>
      <x:c r="D3" s="8" t="s">
        <x:v>1018</x:v>
      </x:c>
      <x:c r="E3" s="8" t="s">
        <x:v>1019</x:v>
      </x:c>
      <x:c r="F3" s="8" t="s">
        <x:v>154</x:v>
      </x:c>
      <x:c r="G3" s="8" t="s">
        <x:v>1020</x:v>
      </x:c>
      <x:c r="H3" s="8" t="s">
        <x:v>1021</x:v>
      </x:c>
      <x:c r="I3" s="8" t="s">
        <x:v>1022</x:v>
      </x:c>
      <x:c r="J3" s="8" t="s">
        <x:v>1023</x:v>
      </x:c>
      <x:c r="K3" s="8" t="s">
        <x:v>154</x:v>
      </x:c>
      <x:c r="L3" s="8" t="s">
        <x:v>1024</x:v>
      </x:c>
      <x:c r="M3" s="8" t="s">
        <x:v>1025</x:v>
      </x:c>
      <x:c r="N3" s="8" t="s">
        <x:v>1026</x:v>
      </x:c>
      <x:c r="O3" s="8" t="s">
        <x:v>1027</x:v>
      </x:c>
      <x:c r="P3" s="8" t="s">
        <x:v>1028</x:v>
      </x:c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5">
      <x:c r="A4" s="8" t="s">
        <x:v>64</x:v>
      </x:c>
      <x:c r="B4" s="8" t="s">
        <x:v>1016</x:v>
      </x:c>
      <x:c r="C4" s="8" t="s">
        <x:v>1029</x:v>
      </x:c>
      <x:c r="D4" s="8" t="s">
        <x:v>1018</x:v>
      </x:c>
      <x:c r="E4" s="8" t="s">
        <x:v>1030</x:v>
      </x:c>
      <x:c r="F4" s="8" t="s">
        <x:v>154</x:v>
      </x:c>
      <x:c r="G4" s="8" t="s">
        <x:v>1031</x:v>
      </x:c>
      <x:c r="H4" s="8" t="s">
        <x:v>1021</x:v>
      </x:c>
      <x:c r="I4" s="8" t="s">
        <x:v>1022</x:v>
      </x:c>
      <x:c r="J4" s="8" t="s">
        <x:v>1023</x:v>
      </x:c>
      <x:c r="K4" s="8" t="s">
        <x:v>1032</x:v>
      </x:c>
      <x:c r="L4" s="8" t="s">
        <x:v>1033</x:v>
      </x:c>
      <x:c r="M4" s="8" t="s">
        <x:v>1025</x:v>
      </x:c>
      <x:c r="N4" s="8" t="s">
        <x:v>1026</x:v>
      </x:c>
      <x:c r="O4" s="8" t="s">
        <x:v>1034</x:v>
      </x:c>
      <x:c r="P4" s="8" t="s">
        <x:v>1028</x:v>
      </x:c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45">
      <x:c r="A5" s="8" t="s">
        <x:v>64</x:v>
      </x:c>
      <x:c r="B5" s="8" t="s">
        <x:v>1035</x:v>
      </x:c>
      <x:c r="C5" s="8" t="s">
        <x:v>1036</x:v>
      </x:c>
      <x:c r="D5" s="8" t="s">
        <x:v>1018</x:v>
      </x:c>
      <x:c r="E5" s="8" t="s">
        <x:v>1037</x:v>
      </x:c>
      <x:c r="F5" s="8" t="s">
        <x:v>154</x:v>
      </x:c>
      <x:c r="G5" s="8" t="s">
        <x:v>1038</x:v>
      </x:c>
      <x:c r="H5" s="8" t="s">
        <x:v>1021</x:v>
      </x:c>
      <x:c r="I5" s="8" t="s">
        <x:v>1039</x:v>
      </x:c>
      <x:c r="J5" s="8" t="s">
        <x:v>1040</x:v>
      </x:c>
      <x:c r="K5" s="8" t="s">
        <x:v>1041</x:v>
      </x:c>
      <x:c r="L5" s="8" t="s">
        <x:v>1042</x:v>
      </x:c>
      <x:c r="M5" s="8" t="s">
        <x:v>1025</x:v>
      </x:c>
      <x:c r="N5" s="8" t="s">
        <x:v>1026</x:v>
      </x:c>
      <x:c r="O5" s="8" t="s">
        <x:v>1043</x:v>
      </x:c>
      <x:c r="P5" s="8" t="s">
        <x:v>1028</x:v>
      </x:c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45">
      <x:c r="A6" s="8" t="s">
        <x:v>64</x:v>
      </x:c>
      <x:c r="B6" s="8" t="s">
        <x:v>1044</x:v>
      </x:c>
      <x:c r="C6" s="8" t="s">
        <x:v>1045</x:v>
      </x:c>
      <x:c r="D6" s="8" t="s">
        <x:v>1046</x:v>
      </x:c>
      <x:c r="E6" s="8" t="s">
        <x:v>1037</x:v>
      </x:c>
      <x:c r="F6" s="8" t="s">
        <x:v>154</x:v>
      </x:c>
      <x:c r="G6" s="8" t="s">
        <x:v>1038</x:v>
      </x:c>
      <x:c r="H6" s="8" t="s">
        <x:v>1021</x:v>
      </x:c>
      <x:c r="I6" s="8" t="s">
        <x:v>1022</x:v>
      </x:c>
      <x:c r="J6" s="8" t="s">
        <x:v>1023</x:v>
      </x:c>
      <x:c r="K6" s="8" t="s">
        <x:v>154</x:v>
      </x:c>
      <x:c r="L6" s="8" t="s">
        <x:v>1047</x:v>
      </x:c>
      <x:c r="M6" s="8" t="s">
        <x:v>1025</x:v>
      </x:c>
      <x:c r="N6" s="8" t="s">
        <x:v>1026</x:v>
      </x:c>
      <x:c r="O6" s="8" t="s">
        <x:v>1048</x:v>
      </x:c>
      <x:c r="P6" s="8" t="s">
        <x:v>1028</x:v>
      </x:c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88</x:v>
      </x:c>
      <x:c r="B7" s="8" t="s">
        <x:v>1049</x:v>
      </x:c>
      <x:c r="C7" s="8" t="s">
        <x:v>1050</x:v>
      </x:c>
      <x:c r="D7" s="8" t="s">
        <x:v>1051</x:v>
      </x:c>
      <x:c r="E7" s="8" t="s">
        <x:v>154</x:v>
      </x:c>
      <x:c r="F7" s="8" t="s">
        <x:v>154</x:v>
      </x:c>
      <x:c r="G7" s="8" t="s">
        <x:v>154</x:v>
      </x:c>
      <x:c r="H7" s="8" t="s">
        <x:v>154</x:v>
      </x:c>
      <x:c r="I7" s="8" t="s">
        <x:v>154</x:v>
      </x:c>
      <x:c r="J7" s="8" t="s">
        <x:v>154</x:v>
      </x:c>
      <x:c r="K7" s="8" t="s">
        <x:v>154</x:v>
      </x:c>
      <x:c r="L7" s="8" t="s">
        <x:v>154</x:v>
      </x:c>
      <x:c r="M7" s="8" t="s">
        <x:v>1052</x:v>
      </x:c>
      <x:c r="N7" s="8" t="s">
        <x:v>1026</x:v>
      </x:c>
      <x:c r="O7" s="8" t="s">
        <x:v>1053</x:v>
      </x:c>
      <x:c r="P7" s="8" t="s">
        <x:v>1028</x:v>
      </x:c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30">
      <x:c r="A8" s="8" t="s">
        <x:v>68</x:v>
      </x:c>
      <x:c r="B8" s="8" t="s">
        <x:v>1054</x:v>
      </x:c>
      <x:c r="C8" s="8" t="s">
        <x:v>1055</x:v>
      </x:c>
      <x:c r="D8" s="8" t="s">
        <x:v>1056</x:v>
      </x:c>
      <x:c r="E8" s="8" t="s">
        <x:v>1037</x:v>
      </x:c>
      <x:c r="F8" s="8" t="s">
        <x:v>154</x:v>
      </x:c>
      <x:c r="G8" s="8" t="s">
        <x:v>151</x:v>
      </x:c>
      <x:c r="H8" s="8" t="s">
        <x:v>1021</x:v>
      </x:c>
      <x:c r="I8" s="8" t="s">
        <x:v>1057</x:v>
      </x:c>
      <x:c r="J8" s="8" t="s">
        <x:v>1058</x:v>
      </x:c>
      <x:c r="K8" s="8" t="s">
        <x:v>154</x:v>
      </x:c>
      <x:c r="L8" s="8" t="s">
        <x:v>1059</x:v>
      </x:c>
      <x:c r="M8" s="8" t="s">
        <x:v>1060</x:v>
      </x:c>
      <x:c r="N8" s="8" t="s">
        <x:v>1026</x:v>
      </x:c>
      <x:c r="O8" s="8" t="s">
        <x:v>1061</x:v>
      </x:c>
      <x:c r="P8" s="8" t="s">
        <x:v>1028</x:v>
      </x:c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30">
      <x:c r="A9" s="8" t="s">
        <x:v>68</x:v>
      </x:c>
      <x:c r="B9" s="8" t="s">
        <x:v>1054</x:v>
      </x:c>
      <x:c r="C9" s="8" t="s">
        <x:v>1062</x:v>
      </x:c>
      <x:c r="D9" s="8" t="s">
        <x:v>1056</x:v>
      </x:c>
      <x:c r="E9" s="8" t="s">
        <x:v>1030</x:v>
      </x:c>
      <x:c r="F9" s="8" t="s">
        <x:v>154</x:v>
      </x:c>
      <x:c r="G9" s="8" t="s">
        <x:v>151</x:v>
      </x:c>
      <x:c r="H9" s="8" t="s">
        <x:v>1021</x:v>
      </x:c>
      <x:c r="I9" s="8" t="s">
        <x:v>1057</x:v>
      </x:c>
      <x:c r="J9" s="8" t="s">
        <x:v>1058</x:v>
      </x:c>
      <x:c r="K9" s="8" t="s">
        <x:v>154</x:v>
      </x:c>
      <x:c r="L9" s="8" t="s">
        <x:v>1063</x:v>
      </x:c>
      <x:c r="M9" s="8" t="s">
        <x:v>1060</x:v>
      </x:c>
      <x:c r="N9" s="8" t="s">
        <x:v>1026</x:v>
      </x:c>
      <x:c r="O9" s="8" t="s">
        <x:v>1061</x:v>
      </x:c>
      <x:c r="P9" s="8" t="s">
        <x:v>1028</x:v>
      </x:c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30">
      <x:c r="A10" s="8" t="s">
        <x:v>68</x:v>
      </x:c>
      <x:c r="B10" s="8" t="s">
        <x:v>1054</x:v>
      </x:c>
      <x:c r="C10" s="8" t="s">
        <x:v>1064</x:v>
      </x:c>
      <x:c r="D10" s="8" t="s">
        <x:v>1056</x:v>
      </x:c>
      <x:c r="E10" s="8" t="s">
        <x:v>1065</x:v>
      </x:c>
      <x:c r="F10" s="8" t="s">
        <x:v>154</x:v>
      </x:c>
      <x:c r="G10" s="8" t="s">
        <x:v>151</x:v>
      </x:c>
      <x:c r="H10" s="8" t="s">
        <x:v>1021</x:v>
      </x:c>
      <x:c r="I10" s="8" t="s">
        <x:v>1057</x:v>
      </x:c>
      <x:c r="J10" s="8" t="s">
        <x:v>1058</x:v>
      </x:c>
      <x:c r="K10" s="8" t="s">
        <x:v>154</x:v>
      </x:c>
      <x:c r="L10" s="8" t="s">
        <x:v>1066</x:v>
      </x:c>
      <x:c r="M10" s="8" t="s">
        <x:v>1060</x:v>
      </x:c>
      <x:c r="N10" s="8" t="s">
        <x:v>1026</x:v>
      </x:c>
      <x:c r="O10" s="8" t="s">
        <x:v>1061</x:v>
      </x:c>
      <x:c r="P10" s="8" t="s">
        <x:v>1028</x:v>
      </x:c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45">
      <x:c r="A11" s="8" t="s">
        <x:v>69</x:v>
      </x:c>
      <x:c r="B11" s="8" t="s">
        <x:v>1016</x:v>
      </x:c>
      <x:c r="C11" s="8" t="s">
        <x:v>1067</x:v>
      </x:c>
      <x:c r="D11" s="8" t="s">
        <x:v>1018</x:v>
      </x:c>
      <x:c r="E11" s="8" t="s">
        <x:v>1037</x:v>
      </x:c>
      <x:c r="F11" s="8" t="s">
        <x:v>154</x:v>
      </x:c>
      <x:c r="G11" s="8" t="s">
        <x:v>1038</x:v>
      </x:c>
      <x:c r="H11" s="8" t="s">
        <x:v>1021</x:v>
      </x:c>
      <x:c r="I11" s="8" t="s">
        <x:v>1022</x:v>
      </x:c>
      <x:c r="J11" s="8" t="s">
        <x:v>1023</x:v>
      </x:c>
      <x:c r="K11" s="8" t="s">
        <x:v>154</x:v>
      </x:c>
      <x:c r="L11" s="8" t="s">
        <x:v>1068</x:v>
      </x:c>
      <x:c r="M11" s="8" t="s">
        <x:v>1069</x:v>
      </x:c>
      <x:c r="N11" s="8" t="s">
        <x:v>1026</x:v>
      </x:c>
      <x:c r="O11" s="8" t="s">
        <x:v>1070</x:v>
      </x:c>
      <x:c r="P11" s="8" t="s">
        <x:v>1028</x:v>
      </x:c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45">
      <x:c r="A12" s="8" t="s">
        <x:v>86</x:v>
      </x:c>
      <x:c r="B12" s="8" t="s">
        <x:v>1016</x:v>
      </x:c>
      <x:c r="C12" s="8" t="s">
        <x:v>1071</x:v>
      </x:c>
      <x:c r="D12" s="8" t="s">
        <x:v>1018</x:v>
      </x:c>
      <x:c r="E12" s="8" t="s">
        <x:v>151</x:v>
      </x:c>
      <x:c r="F12" s="8" t="s">
        <x:v>154</x:v>
      </x:c>
      <x:c r="G12" s="8" t="s">
        <x:v>151</x:v>
      </x:c>
      <x:c r="H12" s="8" t="s">
        <x:v>1072</x:v>
      </x:c>
      <x:c r="I12" s="8" t="s">
        <x:v>1022</x:v>
      </x:c>
      <x:c r="J12" s="8" t="s">
        <x:v>1023</x:v>
      </x:c>
      <x:c r="K12" s="8" t="s">
        <x:v>1073</x:v>
      </x:c>
      <x:c r="L12" s="8" t="s">
        <x:v>1074</x:v>
      </x:c>
      <x:c r="M12" s="8" t="s">
        <x:v>1075</x:v>
      </x:c>
      <x:c r="N12" s="8" t="s">
        <x:v>1026</x:v>
      </x:c>
      <x:c r="O12" s="8" t="s">
        <x:v>1076</x:v>
      </x:c>
      <x:c r="P12" s="8" t="s">
        <x:v>1028</x:v>
      </x:c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76</x:v>
      </x:c>
      <x:c r="B13" s="8" t="s">
        <x:v>1077</x:v>
      </x:c>
      <x:c r="C13" s="8" t="s">
        <x:v>1078</x:v>
      </x:c>
      <x:c r="D13" s="8" t="s">
        <x:v>1079</x:v>
      </x:c>
      <x:c r="E13" s="8" t="s">
        <x:v>154</x:v>
      </x:c>
      <x:c r="F13" s="8" t="s">
        <x:v>154</x:v>
      </x:c>
      <x:c r="G13" s="8" t="s">
        <x:v>154</x:v>
      </x:c>
      <x:c r="H13" s="8" t="s">
        <x:v>1079</x:v>
      </x:c>
      <x:c r="I13" s="8" t="s">
        <x:v>1079</x:v>
      </x:c>
      <x:c r="J13" s="8" t="s">
        <x:v>1080</x:v>
      </x:c>
      <x:c r="K13" s="8" t="s">
        <x:v>154</x:v>
      </x:c>
      <x:c r="L13" s="8" t="s">
        <x:v>1081</x:v>
      </x:c>
      <x:c r="M13" s="8" t="s">
        <x:v>1082</x:v>
      </x:c>
      <x:c r="N13" s="8" t="s">
        <x:v>1026</x:v>
      </x:c>
      <x:c r="O13" s="8" t="s">
        <x:v>1083</x:v>
      </x:c>
      <x:c r="P13" s="8" t="s">
        <x:v>1028</x:v>
      </x:c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87</x:v>
      </x:c>
      <x:c r="B14" s="8" t="s">
        <x:v>1049</x:v>
      </x:c>
      <x:c r="C14" s="8" t="s">
        <x:v>1084</x:v>
      </x:c>
      <x:c r="D14" s="8" t="s">
        <x:v>1085</x:v>
      </x:c>
      <x:c r="E14" s="8" t="s">
        <x:v>154</x:v>
      </x:c>
      <x:c r="F14" s="8" t="s">
        <x:v>154</x:v>
      </x:c>
      <x:c r="G14" s="8" t="s">
        <x:v>154</x:v>
      </x:c>
      <x:c r="H14" s="8" t="s">
        <x:v>154</x:v>
      </x:c>
      <x:c r="I14" s="8" t="s">
        <x:v>1086</x:v>
      </x:c>
      <x:c r="J14" s="8" t="s">
        <x:v>1087</x:v>
      </x:c>
      <x:c r="K14" s="8" t="s">
        <x:v>154</x:v>
      </x:c>
      <x:c r="L14" s="8" t="s">
        <x:v>1088</x:v>
      </x:c>
      <x:c r="M14" s="8" t="s">
        <x:v>1089</x:v>
      </x:c>
      <x:c r="N14" s="8" t="s">
        <x:v>1026</x:v>
      </x:c>
      <x:c r="O14" s="8" t="s">
        <x:v>1090</x:v>
      </x:c>
      <x:c r="P14" s="8" t="s">
        <x:v>1028</x:v>
      </x:c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30">
      <x:c r="A15" s="8" t="s">
        <x:v>79</x:v>
      </x:c>
      <x:c r="B15" s="8" t="s">
        <x:v>1091</x:v>
      </x:c>
      <x:c r="C15" s="8" t="s">
        <x:v>1092</x:v>
      </x:c>
      <x:c r="D15" s="8" t="s">
        <x:v>1085</x:v>
      </x:c>
      <x:c r="E15" s="8" t="s">
        <x:v>154</x:v>
      </x:c>
      <x:c r="F15" s="8" t="s">
        <x:v>154</x:v>
      </x:c>
      <x:c r="G15" s="8" t="s">
        <x:v>154</x:v>
      </x:c>
      <x:c r="H15" s="8" t="s">
        <x:v>154</x:v>
      </x:c>
      <x:c r="I15" s="8" t="s">
        <x:v>1093</x:v>
      </x:c>
      <x:c r="J15" s="8" t="s">
        <x:v>1087</x:v>
      </x:c>
      <x:c r="K15" s="8" t="s">
        <x:v>154</x:v>
      </x:c>
      <x:c r="L15" s="8" t="s">
        <x:v>1094</x:v>
      </x:c>
      <x:c r="M15" s="8" t="s">
        <x:v>1095</x:v>
      </x:c>
      <x:c r="N15" s="8" t="s">
        <x:v>1026</x:v>
      </x:c>
      <x:c r="O15" s="8" t="s">
        <x:v>1096</x:v>
      </x:c>
      <x:c r="P15" s="8" t="s">
        <x:v>1028</x:v>
      </x:c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89</x:v>
      </x:c>
      <x:c r="B16" s="8" t="s">
        <x:v>1097</x:v>
      </x:c>
      <x:c r="C16" s="8" t="s">
        <x:v>1098</x:v>
      </x:c>
      <x:c r="D16" s="8" t="s">
        <x:v>1018</x:v>
      </x:c>
      <x:c r="E16" s="8" t="s">
        <x:v>1037</x:v>
      </x:c>
      <x:c r="F16" s="8" t="s">
        <x:v>154</x:v>
      </x:c>
      <x:c r="G16" s="8" t="s">
        <x:v>1099</x:v>
      </x:c>
      <x:c r="H16" s="8" t="s">
        <x:v>1021</x:v>
      </x:c>
      <x:c r="I16" s="8" t="s">
        <x:v>1100</x:v>
      </x:c>
      <x:c r="J16" s="8" t="s">
        <x:v>1101</x:v>
      </x:c>
      <x:c r="K16" s="8" t="s">
        <x:v>154</x:v>
      </x:c>
      <x:c r="L16" s="8" t="s">
        <x:v>1102</x:v>
      </x:c>
      <x:c r="M16" s="8" t="s">
        <x:v>1103</x:v>
      </x:c>
      <x:c r="N16" s="8" t="s">
        <x:v>1026</x:v>
      </x:c>
      <x:c r="O16" s="8" t="s">
        <x:v>1104</x:v>
      </x:c>
      <x:c r="P16" s="8" t="s">
        <x:v>1028</x:v>
      </x:c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89</x:v>
      </x:c>
      <x:c r="B17" s="8" t="s">
        <x:v>1097</x:v>
      </x:c>
      <x:c r="C17" s="8" t="s">
        <x:v>1105</x:v>
      </x:c>
      <x:c r="D17" s="8" t="s">
        <x:v>1018</x:v>
      </x:c>
      <x:c r="E17" s="8" t="s">
        <x:v>1106</x:v>
      </x:c>
      <x:c r="F17" s="8" t="s">
        <x:v>154</x:v>
      </x:c>
      <x:c r="G17" s="8" t="s">
        <x:v>1107</x:v>
      </x:c>
      <x:c r="H17" s="8" t="s">
        <x:v>1021</x:v>
      </x:c>
      <x:c r="I17" s="8" t="s">
        <x:v>1100</x:v>
      </x:c>
      <x:c r="J17" s="8" t="s">
        <x:v>1101</x:v>
      </x:c>
      <x:c r="K17" s="8" t="s">
        <x:v>154</x:v>
      </x:c>
      <x:c r="L17" s="8" t="s">
        <x:v>1108</x:v>
      </x:c>
      <x:c r="M17" s="8" t="s">
        <x:v>1103</x:v>
      </x:c>
      <x:c r="N17" s="8" t="s">
        <x:v>1026</x:v>
      </x:c>
      <x:c r="O17" s="8" t="s">
        <x:v>1104</x:v>
      </x:c>
      <x:c r="P17" s="8" t="s">
        <x:v>1028</x:v>
      </x:c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89</x:v>
      </x:c>
      <x:c r="B18" s="8" t="s">
        <x:v>1097</x:v>
      </x:c>
      <x:c r="C18" s="8" t="s">
        <x:v>1109</x:v>
      </x:c>
      <x:c r="D18" s="8" t="s">
        <x:v>1018</x:v>
      </x:c>
      <x:c r="E18" s="8" t="s">
        <x:v>1110</x:v>
      </x:c>
      <x:c r="F18" s="8" t="s">
        <x:v>154</x:v>
      </x:c>
      <x:c r="G18" s="8" t="s">
        <x:v>1111</x:v>
      </x:c>
      <x:c r="H18" s="8" t="s">
        <x:v>1021</x:v>
      </x:c>
      <x:c r="I18" s="8" t="s">
        <x:v>1100</x:v>
      </x:c>
      <x:c r="J18" s="8" t="s">
        <x:v>1101</x:v>
      </x:c>
      <x:c r="K18" s="8" t="s">
        <x:v>154</x:v>
      </x:c>
      <x:c r="L18" s="8" t="s">
        <x:v>1112</x:v>
      </x:c>
      <x:c r="M18" s="8" t="s">
        <x:v>1103</x:v>
      </x:c>
      <x:c r="N18" s="8" t="s">
        <x:v>1026</x:v>
      </x:c>
      <x:c r="O18" s="8" t="s">
        <x:v>1104</x:v>
      </x:c>
      <x:c r="P18" s="8" t="s">
        <x:v>1028</x:v>
      </x:c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89</x:v>
      </x:c>
      <x:c r="B19" s="8" t="s">
        <x:v>1113</x:v>
      </x:c>
      <x:c r="C19" s="8" t="s">
        <x:v>1114</x:v>
      </x:c>
      <x:c r="D19" s="8" t="s">
        <x:v>1018</x:v>
      </x:c>
      <x:c r="E19" s="8" t="s">
        <x:v>154</x:v>
      </x:c>
      <x:c r="F19" s="8" t="s">
        <x:v>154</x:v>
      </x:c>
      <x:c r="G19" s="8" t="s">
        <x:v>1115</x:v>
      </x:c>
      <x:c r="H19" s="8" t="s">
        <x:v>1021</x:v>
      </x:c>
      <x:c r="I19" s="8" t="s">
        <x:v>1116</x:v>
      </x:c>
      <x:c r="J19" s="8" t="s">
        <x:v>1117</x:v>
      </x:c>
      <x:c r="K19" s="8" t="s">
        <x:v>154</x:v>
      </x:c>
      <x:c r="L19" s="8" t="s">
        <x:v>1118</x:v>
      </x:c>
      <x:c r="M19" s="8" t="s">
        <x:v>1119</x:v>
      </x:c>
      <x:c r="N19" s="8" t="s">
        <x:v>1026</x:v>
      </x:c>
      <x:c r="O19" s="8" t="s">
        <x:v>1120</x:v>
      </x:c>
      <x:c r="P19" s="8" t="s">
        <x:v>1028</x:v>
      </x:c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45">
      <x:c r="A20" s="8" t="s">
        <x:v>89</x:v>
      </x:c>
      <x:c r="B20" s="8" t="s">
        <x:v>1113</x:v>
      </x:c>
      <x:c r="C20" s="8" t="s">
        <x:v>1121</x:v>
      </x:c>
      <x:c r="D20" s="8" t="s">
        <x:v>1018</x:v>
      </x:c>
      <x:c r="E20" s="8" t="s">
        <x:v>154</x:v>
      </x:c>
      <x:c r="F20" s="8" t="s">
        <x:v>1122</x:v>
      </x:c>
      <x:c r="G20" s="8" t="s">
        <x:v>1123</x:v>
      </x:c>
      <x:c r="H20" s="8" t="s">
        <x:v>1021</x:v>
      </x:c>
      <x:c r="I20" s="8" t="s">
        <x:v>1116</x:v>
      </x:c>
      <x:c r="J20" s="8" t="s">
        <x:v>1117</x:v>
      </x:c>
      <x:c r="K20" s="8" t="s">
        <x:v>154</x:v>
      </x:c>
      <x:c r="L20" s="8" t="s">
        <x:v>1124</x:v>
      </x:c>
      <x:c r="M20" s="8" t="s">
        <x:v>1119</x:v>
      </x:c>
      <x:c r="N20" s="8" t="s">
        <x:v>1026</x:v>
      </x:c>
      <x:c r="O20" s="8" t="s">
        <x:v>1120</x:v>
      </x:c>
      <x:c r="P20" s="8" t="s">
        <x:v>1028</x:v>
      </x:c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89</x:v>
      </x:c>
      <x:c r="B21" s="8" t="s">
        <x:v>1113</x:v>
      </x:c>
      <x:c r="C21" s="8" t="s">
        <x:v>1125</x:v>
      </x:c>
      <x:c r="D21" s="8" t="s">
        <x:v>1018</x:v>
      </x:c>
      <x:c r="E21" s="8" t="s">
        <x:v>154</x:v>
      </x:c>
      <x:c r="F21" s="8" t="s">
        <x:v>1126</x:v>
      </x:c>
      <x:c r="G21" s="8" t="s">
        <x:v>1127</x:v>
      </x:c>
      <x:c r="H21" s="8" t="s">
        <x:v>1021</x:v>
      </x:c>
      <x:c r="I21" s="8" t="s">
        <x:v>1116</x:v>
      </x:c>
      <x:c r="J21" s="8" t="s">
        <x:v>1117</x:v>
      </x:c>
      <x:c r="K21" s="8" t="s">
        <x:v>154</x:v>
      </x:c>
      <x:c r="L21" s="8" t="s">
        <x:v>1128</x:v>
      </x:c>
      <x:c r="M21" s="8" t="s">
        <x:v>1119</x:v>
      </x:c>
      <x:c r="N21" s="8" t="s">
        <x:v>1026</x:v>
      </x:c>
      <x:c r="O21" s="8" t="s">
        <x:v>1120</x:v>
      </x:c>
      <x:c r="P21" s="8" t="s">
        <x:v>1028</x:v>
      </x:c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89</x:v>
      </x:c>
      <x:c r="B22" s="8" t="s">
        <x:v>1113</x:v>
      </x:c>
      <x:c r="C22" s="8" t="s">
        <x:v>1129</x:v>
      </x:c>
      <x:c r="D22" s="8" t="s">
        <x:v>1018</x:v>
      </x:c>
      <x:c r="E22" s="8" t="s">
        <x:v>154</x:v>
      </x:c>
      <x:c r="F22" s="8" t="s">
        <x:v>1130</x:v>
      </x:c>
      <x:c r="G22" s="8" t="s">
        <x:v>1131</x:v>
      </x:c>
      <x:c r="H22" s="8" t="s">
        <x:v>1021</x:v>
      </x:c>
      <x:c r="I22" s="8" t="s">
        <x:v>1116</x:v>
      </x:c>
      <x:c r="J22" s="8" t="s">
        <x:v>1117</x:v>
      </x:c>
      <x:c r="K22" s="8" t="s">
        <x:v>154</x:v>
      </x:c>
      <x:c r="L22" s="8" t="s">
        <x:v>1132</x:v>
      </x:c>
      <x:c r="M22" s="8" t="s">
        <x:v>1119</x:v>
      </x:c>
      <x:c r="N22" s="8" t="s">
        <x:v>1026</x:v>
      </x:c>
      <x:c r="O22" s="8" t="s">
        <x:v>1120</x:v>
      </x:c>
      <x:c r="P22" s="8" t="s">
        <x:v>1028</x:v>
      </x:c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89</x:v>
      </x:c>
      <x:c r="B23" s="8" t="s">
        <x:v>1113</x:v>
      </x:c>
      <x:c r="C23" s="8" t="s">
        <x:v>1133</x:v>
      </x:c>
      <x:c r="D23" s="8" t="s">
        <x:v>1018</x:v>
      </x:c>
      <x:c r="E23" s="8" t="s">
        <x:v>154</x:v>
      </x:c>
      <x:c r="F23" s="8" t="s">
        <x:v>1134</x:v>
      </x:c>
      <x:c r="G23" s="8" t="s">
        <x:v>1135</x:v>
      </x:c>
      <x:c r="H23" s="8" t="s">
        <x:v>1021</x:v>
      </x:c>
      <x:c r="I23" s="8" t="s">
        <x:v>1116</x:v>
      </x:c>
      <x:c r="J23" s="8" t="s">
        <x:v>1117</x:v>
      </x:c>
      <x:c r="K23" s="8" t="s">
        <x:v>154</x:v>
      </x:c>
      <x:c r="L23" s="8" t="s">
        <x:v>1136</x:v>
      </x:c>
      <x:c r="M23" s="8" t="s">
        <x:v>1119</x:v>
      </x:c>
      <x:c r="N23" s="8" t="s">
        <x:v>1026</x:v>
      </x:c>
      <x:c r="O23" s="8" t="s">
        <x:v>1120</x:v>
      </x:c>
      <x:c r="P23" s="8" t="s">
        <x:v>1028</x:v>
      </x:c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45">
      <x:c r="A24" s="8" t="s">
        <x:v>89</x:v>
      </x:c>
      <x:c r="B24" s="8" t="s">
        <x:v>1137</x:v>
      </x:c>
      <x:c r="C24" s="8" t="s">
        <x:v>1138</x:v>
      </x:c>
      <x:c r="D24" s="8" t="s">
        <x:v>1139</x:v>
      </x:c>
      <x:c r="E24" s="8" t="s">
        <x:v>188</x:v>
      </x:c>
      <x:c r="F24" s="8" t="s">
        <x:v>188</x:v>
      </x:c>
      <x:c r="G24" s="8" t="s">
        <x:v>188</x:v>
      </x:c>
      <x:c r="H24" s="8" t="s">
        <x:v>1140</x:v>
      </x:c>
      <x:c r="I24" s="8" t="s">
        <x:v>1141</x:v>
      </x:c>
      <x:c r="J24" s="8" t="s">
        <x:v>1142</x:v>
      </x:c>
      <x:c r="K24" s="8" t="s">
        <x:v>154</x:v>
      </x:c>
      <x:c r="L24" s="8" t="s">
        <x:v>1143</x:v>
      </x:c>
      <x:c r="M24" s="8" t="s">
        <x:v>1119</x:v>
      </x:c>
      <x:c r="N24" s="8" t="s">
        <x:v>1026</x:v>
      </x:c>
      <x:c r="O24" s="8"/>
      <x:c r="P24" s="8" t="s">
        <x:v>1028</x:v>
      </x:c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89</x:v>
      </x:c>
      <x:c r="B25" s="8" t="s">
        <x:v>1144</x:v>
      </x:c>
      <x:c r="C25" s="8" t="s">
        <x:v>1145</x:v>
      </x:c>
      <x:c r="D25" s="8" t="s">
        <x:v>1139</x:v>
      </x:c>
      <x:c r="E25" s="8" t="s">
        <x:v>188</x:v>
      </x:c>
      <x:c r="F25" s="8" t="s">
        <x:v>188</x:v>
      </x:c>
      <x:c r="G25" s="8" t="s">
        <x:v>188</x:v>
      </x:c>
      <x:c r="H25" s="8" t="s">
        <x:v>1140</x:v>
      </x:c>
      <x:c r="I25" s="8" t="s">
        <x:v>1141</x:v>
      </x:c>
      <x:c r="J25" s="8" t="s">
        <x:v>1146</x:v>
      </x:c>
      <x:c r="K25" s="8" t="s">
        <x:v>154</x:v>
      </x:c>
      <x:c r="L25" s="8" t="s">
        <x:v>1147</x:v>
      </x:c>
      <x:c r="M25" s="8" t="s">
        <x:v>1119</x:v>
      </x:c>
      <x:c r="N25" s="8" t="s">
        <x:v>1026</x:v>
      </x:c>
      <x:c r="O25" s="8"/>
      <x:c r="P25" s="8" t="s">
        <x:v>1028</x:v>
      </x:c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45">
      <x:c r="A26" s="8" t="s">
        <x:v>94</x:v>
      </x:c>
      <x:c r="B26" s="8" t="s">
        <x:v>1148</x:v>
      </x:c>
      <x:c r="C26" s="8" t="s">
        <x:v>1149</x:v>
      </x:c>
      <x:c r="D26" s="8" t="s">
        <x:v>1018</x:v>
      </x:c>
      <x:c r="E26" s="8" t="s">
        <x:v>1150</x:v>
      </x:c>
      <x:c r="F26" s="8" t="s">
        <x:v>154</x:v>
      </x:c>
      <x:c r="G26" s="8" t="s">
        <x:v>1151</x:v>
      </x:c>
      <x:c r="H26" s="8" t="s">
        <x:v>1021</x:v>
      </x:c>
      <x:c r="I26" s="8" t="s">
        <x:v>1022</x:v>
      </x:c>
      <x:c r="J26" s="8" t="s">
        <x:v>1152</x:v>
      </x:c>
      <x:c r="K26" s="8" t="s">
        <x:v>154</x:v>
      </x:c>
      <x:c r="L26" s="8" t="s">
        <x:v>1153</x:v>
      </x:c>
      <x:c r="M26" s="8" t="s">
        <x:v>1154</x:v>
      </x:c>
      <x:c r="N26" s="8" t="s">
        <x:v>1026</x:v>
      </x:c>
      <x:c r="O26" s="8" t="s">
        <x:v>1155</x:v>
      </x:c>
      <x:c r="P26" s="8" t="s">
        <x:v>1028</x:v>
      </x:c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94</x:v>
      </x:c>
      <x:c r="B27" s="8" t="s">
        <x:v>1148</x:v>
      </x:c>
      <x:c r="C27" s="8" t="s">
        <x:v>1156</x:v>
      </x:c>
      <x:c r="D27" s="8" t="s">
        <x:v>1018</x:v>
      </x:c>
      <x:c r="E27" s="8" t="s">
        <x:v>1157</x:v>
      </x:c>
      <x:c r="F27" s="8" t="s">
        <x:v>154</x:v>
      </x:c>
      <x:c r="G27" s="8" t="s">
        <x:v>1158</x:v>
      </x:c>
      <x:c r="H27" s="8" t="s">
        <x:v>1021</x:v>
      </x:c>
      <x:c r="I27" s="8" t="s">
        <x:v>1159</x:v>
      </x:c>
      <x:c r="J27" s="8" t="s">
        <x:v>1152</x:v>
      </x:c>
      <x:c r="K27" s="8" t="s">
        <x:v>154</x:v>
      </x:c>
      <x:c r="L27" s="8" t="s">
        <x:v>1160</x:v>
      </x:c>
      <x:c r="M27" s="8" t="s">
        <x:v>1154</x:v>
      </x:c>
      <x:c r="N27" s="8" t="s">
        <x:v>1026</x:v>
      </x:c>
      <x:c r="O27" s="8" t="s">
        <x:v>1155</x:v>
      </x:c>
      <x:c r="P27" s="8" t="s">
        <x:v>1028</x:v>
      </x:c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30">
      <x:c r="A28" s="8" t="s">
        <x:v>94</x:v>
      </x:c>
      <x:c r="B28" s="8" t="s">
        <x:v>1161</x:v>
      </x:c>
      <x:c r="C28" s="8" t="s">
        <x:v>1162</x:v>
      </x:c>
      <x:c r="D28" s="8" t="s">
        <x:v>1018</x:v>
      </x:c>
      <x:c r="E28" s="8" t="s">
        <x:v>1163</x:v>
      </x:c>
      <x:c r="F28" s="8" t="s">
        <x:v>154</x:v>
      </x:c>
      <x:c r="G28" s="8" t="s">
        <x:v>151</x:v>
      </x:c>
      <x:c r="H28" s="8" t="s">
        <x:v>1021</x:v>
      </x:c>
      <x:c r="I28" s="8" t="s">
        <x:v>1022</x:v>
      </x:c>
      <x:c r="J28" s="8" t="s">
        <x:v>1164</x:v>
      </x:c>
      <x:c r="K28" s="8" t="s">
        <x:v>154</x:v>
      </x:c>
      <x:c r="L28" s="8" t="s">
        <x:v>1165</x:v>
      </x:c>
      <x:c r="M28" s="8" t="s">
        <x:v>1154</x:v>
      </x:c>
      <x:c r="N28" s="8" t="s">
        <x:v>1026</x:v>
      </x:c>
      <x:c r="O28" s="8" t="s">
        <x:v>1155</x:v>
      </x:c>
      <x:c r="P28" s="8" t="s">
        <x:v>1028</x:v>
      </x:c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30">
      <x:c r="A29" s="8" t="s">
        <x:v>94</x:v>
      </x:c>
      <x:c r="B29" s="8" t="s">
        <x:v>1161</x:v>
      </x:c>
      <x:c r="C29" s="8" t="s">
        <x:v>1166</x:v>
      </x:c>
      <x:c r="D29" s="8" t="s">
        <x:v>1018</x:v>
      </x:c>
      <x:c r="E29" s="8" t="s">
        <x:v>1150</x:v>
      </x:c>
      <x:c r="F29" s="8" t="s">
        <x:v>154</x:v>
      </x:c>
      <x:c r="G29" s="8" t="s">
        <x:v>1151</x:v>
      </x:c>
      <x:c r="H29" s="8" t="s">
        <x:v>1021</x:v>
      </x:c>
      <x:c r="I29" s="8" t="s">
        <x:v>1167</x:v>
      </x:c>
      <x:c r="J29" s="8" t="s">
        <x:v>1164</x:v>
      </x:c>
      <x:c r="K29" s="8" t="s">
        <x:v>154</x:v>
      </x:c>
      <x:c r="L29" s="8" t="s">
        <x:v>1168</x:v>
      </x:c>
      <x:c r="M29" s="8" t="s">
        <x:v>1154</x:v>
      </x:c>
      <x:c r="N29" s="8" t="s">
        <x:v>1026</x:v>
      </x:c>
      <x:c r="O29" s="8" t="s">
        <x:v>1155</x:v>
      </x:c>
      <x:c r="P29" s="8" t="s">
        <x:v>1028</x:v>
      </x:c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45">
      <x:c r="A30" s="8" t="s">
        <x:v>94</x:v>
      </x:c>
      <x:c r="B30" s="8" t="s">
        <x:v>1169</x:v>
      </x:c>
      <x:c r="C30" s="8" t="s">
        <x:v>1170</x:v>
      </x:c>
      <x:c r="D30" s="8" t="s">
        <x:v>1139</x:v>
      </x:c>
      <x:c r="E30" s="8" t="s">
        <x:v>188</x:v>
      </x:c>
      <x:c r="F30" s="8" t="s">
        <x:v>188</x:v>
      </x:c>
      <x:c r="G30" s="8" t="s">
        <x:v>188</x:v>
      </x:c>
      <x:c r="H30" s="8" t="s">
        <x:v>1140</x:v>
      </x:c>
      <x:c r="I30" s="8" t="s">
        <x:v>1141</x:v>
      </x:c>
      <x:c r="J30" s="8" t="s">
        <x:v>1164</x:v>
      </x:c>
      <x:c r="K30" s="8" t="s">
        <x:v>154</x:v>
      </x:c>
      <x:c r="L30" s="8" t="s">
        <x:v>1171</x:v>
      </x:c>
      <x:c r="M30" s="8" t="s">
        <x:v>1154</x:v>
      </x:c>
      <x:c r="N30" s="8" t="s">
        <x:v>1026</x:v>
      </x:c>
      <x:c r="O30" s="8"/>
      <x:c r="P30" s="8" t="s">
        <x:v>1028</x:v>
      </x:c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77</x:v>
      </x:c>
      <x:c r="B31" s="8" t="s">
        <x:v>1172</x:v>
      </x:c>
      <x:c r="C31" s="8" t="s">
        <x:v>1173</x:v>
      </x:c>
      <x:c r="D31" s="8" t="s">
        <x:v>1139</x:v>
      </x:c>
      <x:c r="E31" s="8" t="s">
        <x:v>188</x:v>
      </x:c>
      <x:c r="F31" s="8" t="s">
        <x:v>154</x:v>
      </x:c>
      <x:c r="G31" s="8" t="s">
        <x:v>188</x:v>
      </x:c>
      <x:c r="H31" s="8" t="s">
        <x:v>1140</x:v>
      </x:c>
      <x:c r="I31" s="8" t="s">
        <x:v>1174</x:v>
      </x:c>
      <x:c r="J31" s="8" t="s">
        <x:v>1175</x:v>
      </x:c>
      <x:c r="K31" s="8" t="s">
        <x:v>154</x:v>
      </x:c>
      <x:c r="L31" s="8" t="s">
        <x:v>1176</x:v>
      </x:c>
      <x:c r="M31" s="8" t="s">
        <x:v>1177</x:v>
      </x:c>
      <x:c r="N31" s="8" t="s">
        <x:v>1026</x:v>
      </x:c>
      <x:c r="O31" s="8" t="s">
        <x:v>1178</x:v>
      </x:c>
      <x:c r="P31" s="8" t="s">
        <x:v>1028</x:v>
      </x:c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30">
      <x:c r="A32" s="8" t="s">
        <x:v>77</x:v>
      </x:c>
      <x:c r="B32" s="8" t="s">
        <x:v>1172</x:v>
      </x:c>
      <x:c r="C32" s="8" t="s">
        <x:v>1179</x:v>
      </x:c>
      <x:c r="D32" s="8" t="s">
        <x:v>1139</x:v>
      </x:c>
      <x:c r="E32" s="8" t="s">
        <x:v>188</x:v>
      </x:c>
      <x:c r="F32" s="8" t="s">
        <x:v>154</x:v>
      </x:c>
      <x:c r="G32" s="8" t="s">
        <x:v>188</x:v>
      </x:c>
      <x:c r="H32" s="8" t="s">
        <x:v>1140</x:v>
      </x:c>
      <x:c r="I32" s="8" t="s">
        <x:v>1174</x:v>
      </x:c>
      <x:c r="J32" s="8" t="s">
        <x:v>1175</x:v>
      </x:c>
      <x:c r="K32" s="8" t="s">
        <x:v>154</x:v>
      </x:c>
      <x:c r="L32" s="8" t="s">
        <x:v>1180</x:v>
      </x:c>
      <x:c r="M32" s="8" t="s">
        <x:v>1177</x:v>
      </x:c>
      <x:c r="N32" s="8" t="s">
        <x:v>1026</x:v>
      </x:c>
      <x:c r="O32" s="8" t="s">
        <x:v>1178</x:v>
      </x:c>
      <x:c r="P32" s="8" t="s">
        <x:v>1028</x:v>
      </x:c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30">
      <x:c r="A33" s="8" t="s">
        <x:v>77</x:v>
      </x:c>
      <x:c r="B33" s="8" t="s">
        <x:v>1172</x:v>
      </x:c>
      <x:c r="C33" s="8" t="s">
        <x:v>1181</x:v>
      </x:c>
      <x:c r="D33" s="8" t="s">
        <x:v>1139</x:v>
      </x:c>
      <x:c r="E33" s="8" t="s">
        <x:v>188</x:v>
      </x:c>
      <x:c r="F33" s="8" t="s">
        <x:v>154</x:v>
      </x:c>
      <x:c r="G33" s="8" t="s">
        <x:v>188</x:v>
      </x:c>
      <x:c r="H33" s="8" t="s">
        <x:v>1140</x:v>
      </x:c>
      <x:c r="I33" s="8" t="s">
        <x:v>1174</x:v>
      </x:c>
      <x:c r="J33" s="8" t="s">
        <x:v>1175</x:v>
      </x:c>
      <x:c r="K33" s="8" t="s">
        <x:v>154</x:v>
      </x:c>
      <x:c r="L33" s="8" t="s">
        <x:v>1182</x:v>
      </x:c>
      <x:c r="M33" s="8" t="s">
        <x:v>1177</x:v>
      </x:c>
      <x:c r="N33" s="8" t="s">
        <x:v>1026</x:v>
      </x:c>
      <x:c r="O33" s="8" t="s">
        <x:v>1178</x:v>
      </x:c>
      <x:c r="P33" s="8" t="s">
        <x:v>1028</x:v>
      </x:c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45">
      <x:c r="A34" s="8" t="s">
        <x:v>77</x:v>
      </x:c>
      <x:c r="B34" s="8" t="s">
        <x:v>1183</x:v>
      </x:c>
      <x:c r="C34" s="8" t="s">
        <x:v>1184</x:v>
      </x:c>
      <x:c r="D34" s="8" t="s">
        <x:v>1185</x:v>
      </x:c>
      <x:c r="E34" s="8" t="s">
        <x:v>188</x:v>
      </x:c>
      <x:c r="F34" s="8" t="s">
        <x:v>154</x:v>
      </x:c>
      <x:c r="G34" s="8" t="s">
        <x:v>188</x:v>
      </x:c>
      <x:c r="H34" s="8" t="s">
        <x:v>1140</x:v>
      </x:c>
      <x:c r="I34" s="8" t="s">
        <x:v>1186</x:v>
      </x:c>
      <x:c r="J34" s="8" t="s">
        <x:v>1187</x:v>
      </x:c>
      <x:c r="K34" s="8" t="s">
        <x:v>1188</x:v>
      </x:c>
      <x:c r="L34" s="8" t="s">
        <x:v>1189</x:v>
      </x:c>
      <x:c r="M34" s="8" t="s">
        <x:v>1190</x:v>
      </x:c>
      <x:c r="N34" s="8" t="s">
        <x:v>1026</x:v>
      </x:c>
      <x:c r="O34" s="8"/>
      <x:c r="P34" s="8" t="s">
        <x:v>1028</x:v>
      </x:c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30">
      <x:c r="A35" s="8" t="s">
        <x:v>84</x:v>
      </x:c>
      <x:c r="B35" s="8" t="s">
        <x:v>1191</x:v>
      </x:c>
      <x:c r="C35" s="8" t="s">
        <x:v>1192</x:v>
      </x:c>
      <x:c r="D35" s="8" t="s">
        <x:v>1139</x:v>
      </x:c>
      <x:c r="E35" s="8" t="s">
        <x:v>188</x:v>
      </x:c>
      <x:c r="F35" s="8" t="s">
        <x:v>154</x:v>
      </x:c>
      <x:c r="G35" s="8" t="s">
        <x:v>188</x:v>
      </x:c>
      <x:c r="H35" s="8" t="s">
        <x:v>1193</x:v>
      </x:c>
      <x:c r="I35" s="8" t="s">
        <x:v>1194</x:v>
      </x:c>
      <x:c r="J35" s="8" t="s">
        <x:v>1195</x:v>
      </x:c>
      <x:c r="K35" s="8" t="s">
        <x:v>154</x:v>
      </x:c>
      <x:c r="L35" s="8" t="s">
        <x:v>1196</x:v>
      </x:c>
      <x:c r="M35" s="8" t="s">
        <x:v>1197</x:v>
      </x:c>
      <x:c r="N35" s="8" t="s">
        <x:v>1026</x:v>
      </x:c>
      <x:c r="O35" s="8" t="s">
        <x:v>1198</x:v>
      </x:c>
      <x:c r="P35" s="8" t="s">
        <x:v>1028</x:v>
      </x:c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30">
      <x:c r="A36" s="8" t="s">
        <x:v>84</x:v>
      </x:c>
      <x:c r="B36" s="8" t="s">
        <x:v>1191</x:v>
      </x:c>
      <x:c r="C36" s="8" t="s">
        <x:v>1199</x:v>
      </x:c>
      <x:c r="D36" s="8" t="s">
        <x:v>1139</x:v>
      </x:c>
      <x:c r="E36" s="8" t="s">
        <x:v>188</x:v>
      </x:c>
      <x:c r="F36" s="8" t="s">
        <x:v>154</x:v>
      </x:c>
      <x:c r="G36" s="8" t="s">
        <x:v>188</x:v>
      </x:c>
      <x:c r="H36" s="8" t="s">
        <x:v>1193</x:v>
      </x:c>
      <x:c r="I36" s="8" t="s">
        <x:v>1194</x:v>
      </x:c>
      <x:c r="J36" s="8" t="s">
        <x:v>1195</x:v>
      </x:c>
      <x:c r="K36" s="8" t="s">
        <x:v>154</x:v>
      </x:c>
      <x:c r="L36" s="8" t="s">
        <x:v>1200</x:v>
      </x:c>
      <x:c r="M36" s="8" t="s">
        <x:v>1197</x:v>
      </x:c>
      <x:c r="N36" s="8" t="s">
        <x:v>1026</x:v>
      </x:c>
      <x:c r="O36" s="8" t="s">
        <x:v>1198</x:v>
      </x:c>
      <x:c r="P36" s="8" t="s">
        <x:v>1028</x:v>
      </x:c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30">
      <x:c r="A37" s="8" t="s">
        <x:v>84</x:v>
      </x:c>
      <x:c r="B37" s="8" t="s">
        <x:v>1191</x:v>
      </x:c>
      <x:c r="C37" s="8" t="s">
        <x:v>1201</x:v>
      </x:c>
      <x:c r="D37" s="8" t="s">
        <x:v>1139</x:v>
      </x:c>
      <x:c r="E37" s="8" t="s">
        <x:v>188</x:v>
      </x:c>
      <x:c r="F37" s="8" t="s">
        <x:v>154</x:v>
      </x:c>
      <x:c r="G37" s="8" t="s">
        <x:v>188</x:v>
      </x:c>
      <x:c r="H37" s="8" t="s">
        <x:v>1193</x:v>
      </x:c>
      <x:c r="I37" s="8" t="s">
        <x:v>1194</x:v>
      </x:c>
      <x:c r="J37" s="8" t="s">
        <x:v>1195</x:v>
      </x:c>
      <x:c r="K37" s="8" t="s">
        <x:v>154</x:v>
      </x:c>
      <x:c r="L37" s="8" t="s">
        <x:v>1202</x:v>
      </x:c>
      <x:c r="M37" s="8" t="s">
        <x:v>1197</x:v>
      </x:c>
      <x:c r="N37" s="8" t="s">
        <x:v>1026</x:v>
      </x:c>
      <x:c r="O37" s="8" t="s">
        <x:v>1198</x:v>
      </x:c>
      <x:c r="P37" s="8" t="s">
        <x:v>1028</x:v>
      </x:c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30">
      <x:c r="A38" s="8" t="s">
        <x:v>70</x:v>
      </x:c>
      <x:c r="B38" s="8" t="s">
        <x:v>1203</x:v>
      </x:c>
      <x:c r="C38" s="8" t="s">
        <x:v>1204</x:v>
      </x:c>
      <x:c r="D38" s="8" t="s">
        <x:v>1018</x:v>
      </x:c>
      <x:c r="E38" s="8" t="s">
        <x:v>1037</x:v>
      </x:c>
      <x:c r="F38" s="8" t="s">
        <x:v>154</x:v>
      </x:c>
      <x:c r="G38" s="8" t="s">
        <x:v>151</x:v>
      </x:c>
      <x:c r="H38" s="8" t="s">
        <x:v>1021</x:v>
      </x:c>
      <x:c r="I38" s="8" t="s">
        <x:v>1205</x:v>
      </x:c>
      <x:c r="J38" s="8" t="s">
        <x:v>1206</x:v>
      </x:c>
      <x:c r="K38" s="8" t="s">
        <x:v>154</x:v>
      </x:c>
      <x:c r="L38" s="8" t="s">
        <x:v>1207</x:v>
      </x:c>
      <x:c r="M38" s="8" t="s">
        <x:v>1208</x:v>
      </x:c>
      <x:c r="N38" s="8" t="s">
        <x:v>1026</x:v>
      </x:c>
      <x:c r="O38" s="8" t="s">
        <x:v>1209</x:v>
      </x:c>
      <x:c r="P38" s="8" t="s">
        <x:v>1028</x:v>
      </x:c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30">
      <x:c r="A39" s="8" t="s">
        <x:v>70</x:v>
      </x:c>
      <x:c r="B39" s="8" t="s">
        <x:v>1203</x:v>
      </x:c>
      <x:c r="C39" s="8" t="s">
        <x:v>1210</x:v>
      </x:c>
      <x:c r="D39" s="8" t="s">
        <x:v>1018</x:v>
      </x:c>
      <x:c r="E39" s="8" t="s">
        <x:v>1030</x:v>
      </x:c>
      <x:c r="F39" s="8" t="s">
        <x:v>154</x:v>
      </x:c>
      <x:c r="G39" s="8" t="s">
        <x:v>151</x:v>
      </x:c>
      <x:c r="H39" s="8" t="s">
        <x:v>1021</x:v>
      </x:c>
      <x:c r="I39" s="8" t="s">
        <x:v>1205</x:v>
      </x:c>
      <x:c r="J39" s="8" t="s">
        <x:v>1206</x:v>
      </x:c>
      <x:c r="K39" s="8" t="s">
        <x:v>154</x:v>
      </x:c>
      <x:c r="L39" s="8" t="s">
        <x:v>1211</x:v>
      </x:c>
      <x:c r="M39" s="8" t="s">
        <x:v>1208</x:v>
      </x:c>
      <x:c r="N39" s="8" t="s">
        <x:v>1026</x:v>
      </x:c>
      <x:c r="O39" s="8" t="s">
        <x:v>1209</x:v>
      </x:c>
      <x:c r="P39" s="8" t="s">
        <x:v>1028</x:v>
      </x:c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30">
      <x:c r="A40" s="8" t="s">
        <x:v>70</x:v>
      </x:c>
      <x:c r="B40" s="8" t="s">
        <x:v>1203</x:v>
      </x:c>
      <x:c r="C40" s="8" t="s">
        <x:v>1212</x:v>
      </x:c>
      <x:c r="D40" s="8" t="s">
        <x:v>1018</x:v>
      </x:c>
      <x:c r="E40" s="8" t="s">
        <x:v>1213</x:v>
      </x:c>
      <x:c r="F40" s="8" t="s">
        <x:v>154</x:v>
      </x:c>
      <x:c r="G40" s="8" t="s">
        <x:v>151</x:v>
      </x:c>
      <x:c r="H40" s="8" t="s">
        <x:v>1021</x:v>
      </x:c>
      <x:c r="I40" s="8" t="s">
        <x:v>1205</x:v>
      </x:c>
      <x:c r="J40" s="8" t="s">
        <x:v>1206</x:v>
      </x:c>
      <x:c r="K40" s="8" t="s">
        <x:v>154</x:v>
      </x:c>
      <x:c r="L40" s="8" t="s">
        <x:v>1214</x:v>
      </x:c>
      <x:c r="M40" s="8" t="s">
        <x:v>1208</x:v>
      </x:c>
      <x:c r="N40" s="8" t="s">
        <x:v>1026</x:v>
      </x:c>
      <x:c r="O40" s="8" t="s">
        <x:v>1209</x:v>
      </x:c>
      <x:c r="P40" s="8" t="s">
        <x:v>1028</x:v>
      </x:c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">
        <x:v>70</x:v>
      </x:c>
      <x:c r="B41" s="8" t="s">
        <x:v>1113</x:v>
      </x:c>
      <x:c r="C41" s="8" t="s">
        <x:v>1215</x:v>
      </x:c>
      <x:c r="D41" s="8" t="s">
        <x:v>1018</x:v>
      </x:c>
      <x:c r="E41" s="8" t="s">
        <x:v>1216</x:v>
      </x:c>
      <x:c r="F41" s="8" t="s">
        <x:v>154</x:v>
      </x:c>
      <x:c r="G41" s="8" t="s">
        <x:v>1217</x:v>
      </x:c>
      <x:c r="H41" s="8" t="s">
        <x:v>1021</x:v>
      </x:c>
      <x:c r="I41" s="8" t="s">
        <x:v>1218</x:v>
      </x:c>
      <x:c r="J41" s="8" t="s">
        <x:v>1219</x:v>
      </x:c>
      <x:c r="K41" s="8" t="s">
        <x:v>1220</x:v>
      </x:c>
      <x:c r="L41" s="8" t="s">
        <x:v>1221</x:v>
      </x:c>
      <x:c r="M41" s="8" t="s">
        <x:v>1222</x:v>
      </x:c>
      <x:c r="N41" s="8" t="s">
        <x:v>1026</x:v>
      </x:c>
      <x:c r="O41" s="8" t="s">
        <x:v>1223</x:v>
      </x:c>
      <x:c r="P41" s="8" t="s">
        <x:v>1028</x:v>
      </x:c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">
        <x:v>80</x:v>
      </x:c>
      <x:c r="B42" s="8" t="s">
        <x:v>1049</x:v>
      </x:c>
      <x:c r="C42" s="8" t="s">
        <x:v>1224</x:v>
      </x:c>
      <x:c r="D42" s="8" t="s">
        <x:v>1051</x:v>
      </x:c>
      <x:c r="E42" s="8" t="s">
        <x:v>154</x:v>
      </x:c>
      <x:c r="F42" s="8" t="s">
        <x:v>154</x:v>
      </x:c>
      <x:c r="G42" s="8" t="s">
        <x:v>154</x:v>
      </x:c>
      <x:c r="H42" s="8" t="s">
        <x:v>154</x:v>
      </x:c>
      <x:c r="I42" s="8" t="s">
        <x:v>1225</x:v>
      </x:c>
      <x:c r="J42" s="8" t="s">
        <x:v>1226</x:v>
      </x:c>
      <x:c r="K42" s="8" t="s">
        <x:v>154</x:v>
      </x:c>
      <x:c r="L42" s="8" t="s">
        <x:v>1227</x:v>
      </x:c>
      <x:c r="M42" s="8" t="s">
        <x:v>1228</x:v>
      </x:c>
      <x:c r="N42" s="8" t="s">
        <x:v>1026</x:v>
      </x:c>
      <x:c r="O42" s="8"/>
      <x:c r="P42" s="8" t="s">
        <x:v>1028</x:v>
      </x:c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30">
      <x:c r="A43" s="8" t="s">
        <x:v>81</x:v>
      </x:c>
      <x:c r="B43" s="8" t="s">
        <x:v>1049</x:v>
      </x:c>
      <x:c r="C43" s="8" t="s">
        <x:v>1050</x:v>
      </x:c>
      <x:c r="D43" s="8" t="s">
        <x:v>1051</x:v>
      </x:c>
      <x:c r="E43" s="8" t="s">
        <x:v>154</x:v>
      </x:c>
      <x:c r="F43" s="8" t="s">
        <x:v>154</x:v>
      </x:c>
      <x:c r="G43" s="8" t="s">
        <x:v>154</x:v>
      </x:c>
      <x:c r="H43" s="8" t="s">
        <x:v>151</x:v>
      </x:c>
      <x:c r="I43" s="8" t="s">
        <x:v>151</x:v>
      </x:c>
      <x:c r="J43" s="8" t="s">
        <x:v>1226</x:v>
      </x:c>
      <x:c r="K43" s="8" t="s">
        <x:v>154</x:v>
      </x:c>
      <x:c r="L43" s="8" t="s">
        <x:v>151</x:v>
      </x:c>
      <x:c r="M43" s="8" t="s">
        <x:v>1229</x:v>
      </x:c>
      <x:c r="N43" s="8" t="s">
        <x:v>1026</x:v>
      </x:c>
      <x:c r="O43" s="8" t="s">
        <x:v>1230</x:v>
      </x:c>
      <x:c r="P43" s="8" t="s">
        <x:v>1028</x:v>
      </x:c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30">
      <x:c r="A44" s="8" t="s">
        <x:v>75</x:v>
      </x:c>
      <x:c r="B44" s="8" t="s">
        <x:v>1049</x:v>
      </x:c>
      <x:c r="C44" s="8" t="s">
        <x:v>1050</x:v>
      </x:c>
      <x:c r="D44" s="8" t="s">
        <x:v>1051</x:v>
      </x:c>
      <x:c r="E44" s="8" t="s">
        <x:v>154</x:v>
      </x:c>
      <x:c r="F44" s="8" t="s">
        <x:v>154</x:v>
      </x:c>
      <x:c r="G44" s="8" t="s">
        <x:v>154</x:v>
      </x:c>
      <x:c r="H44" s="8" t="s">
        <x:v>151</x:v>
      </x:c>
      <x:c r="I44" s="8" t="s">
        <x:v>151</x:v>
      </x:c>
      <x:c r="J44" s="8" t="s">
        <x:v>1231</x:v>
      </x:c>
      <x:c r="K44" s="8" t="s">
        <x:v>154</x:v>
      </x:c>
      <x:c r="L44" s="8" t="s">
        <x:v>151</x:v>
      </x:c>
      <x:c r="M44" s="8" t="s">
        <x:v>1232</x:v>
      </x:c>
      <x:c r="N44" s="8" t="s">
        <x:v>1026</x:v>
      </x:c>
      <x:c r="O44" s="8" t="s">
        <x:v>1233</x:v>
      </x:c>
      <x:c r="P44" s="8" t="s">
        <x:v>1028</x:v>
      </x:c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30">
      <x:c r="A45" s="8" t="s">
        <x:v>91</x:v>
      </x:c>
      <x:c r="B45" s="8" t="s">
        <x:v>1049</x:v>
      </x:c>
      <x:c r="C45" s="8" t="s">
        <x:v>1050</x:v>
      </x:c>
      <x:c r="D45" s="8" t="s">
        <x:v>1051</x:v>
      </x:c>
      <x:c r="E45" s="8" t="s">
        <x:v>154</x:v>
      </x:c>
      <x:c r="F45" s="8" t="s">
        <x:v>154</x:v>
      </x:c>
      <x:c r="G45" s="8" t="s">
        <x:v>154</x:v>
      </x:c>
      <x:c r="H45" s="8" t="s">
        <x:v>151</x:v>
      </x:c>
      <x:c r="I45" s="8" t="s">
        <x:v>151</x:v>
      </x:c>
      <x:c r="J45" s="8" t="s">
        <x:v>1234</x:v>
      </x:c>
      <x:c r="K45" s="8" t="s">
        <x:v>154</x:v>
      </x:c>
      <x:c r="L45" s="8" t="s">
        <x:v>151</x:v>
      </x:c>
      <x:c r="M45" s="8" t="s">
        <x:v>1235</x:v>
      </x:c>
      <x:c r="N45" s="8" t="s">
        <x:v>1026</x:v>
      </x:c>
      <x:c r="O45" s="8" t="s">
        <x:v>1236</x:v>
      </x:c>
      <x:c r="P45" s="8" t="s">
        <x:v>1028</x:v>
      </x:c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">
        <x:v>78</x:v>
      </x:c>
      <x:c r="B46" s="8" t="s">
        <x:v>1237</x:v>
      </x:c>
      <x:c r="C46" s="8" t="s">
        <x:v>1238</x:v>
      </x:c>
      <x:c r="D46" s="8" t="s">
        <x:v>1085</x:v>
      </x:c>
      <x:c r="E46" s="8" t="s">
        <x:v>154</x:v>
      </x:c>
      <x:c r="F46" s="8" t="s">
        <x:v>154</x:v>
      </x:c>
      <x:c r="G46" s="8" t="s">
        <x:v>154</x:v>
      </x:c>
      <x:c r="H46" s="8" t="s">
        <x:v>154</x:v>
      </x:c>
      <x:c r="I46" s="8" t="s">
        <x:v>1239</x:v>
      </x:c>
      <x:c r="J46" s="8" t="s">
        <x:v>1240</x:v>
      </x:c>
      <x:c r="K46" s="8" t="s">
        <x:v>154</x:v>
      </x:c>
      <x:c r="L46" s="8" t="s">
        <x:v>1241</x:v>
      </x:c>
      <x:c r="M46" s="8" t="s">
        <x:v>1242</x:v>
      </x:c>
      <x:c r="N46" s="8" t="s">
        <x:v>1026</x:v>
      </x:c>
      <x:c r="O46" s="8"/>
      <x:c r="P46" s="8" t="s">
        <x:v>1028</x:v>
      </x:c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30">
      <x:c r="A47" s="8" t="s">
        <x:v>74</x:v>
      </x:c>
      <x:c r="B47" s="8" t="s">
        <x:v>1049</x:v>
      </x:c>
      <x:c r="C47" s="8" t="s">
        <x:v>1050</x:v>
      </x:c>
      <x:c r="D47" s="8" t="s">
        <x:v>1051</x:v>
      </x:c>
      <x:c r="E47" s="8" t="s">
        <x:v>154</x:v>
      </x:c>
      <x:c r="F47" s="8" t="s">
        <x:v>154</x:v>
      </x:c>
      <x:c r="G47" s="8" t="s">
        <x:v>154</x:v>
      </x:c>
      <x:c r="H47" s="8" t="s">
        <x:v>151</x:v>
      </x:c>
      <x:c r="I47" s="8" t="s">
        <x:v>151</x:v>
      </x:c>
      <x:c r="J47" s="8" t="s">
        <x:v>1226</x:v>
      </x:c>
      <x:c r="K47" s="8" t="s">
        <x:v>154</x:v>
      </x:c>
      <x:c r="L47" s="8" t="s">
        <x:v>151</x:v>
      </x:c>
      <x:c r="M47" s="8" t="s">
        <x:v>1243</x:v>
      </x:c>
      <x:c r="N47" s="8" t="s">
        <x:v>1026</x:v>
      </x:c>
      <x:c r="O47" s="8" t="s">
        <x:v>1244</x:v>
      </x:c>
      <x:c r="P47" s="8" t="s">
        <x:v>1028</x:v>
      </x:c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45">
      <x:c r="A48" s="8" t="s">
        <x:v>93</x:v>
      </x:c>
      <x:c r="B48" s="8" t="s">
        <x:v>1245</x:v>
      </x:c>
      <x:c r="C48" s="8" t="str">
        <x:v>Yapper Hosting: 1 Year</x:v>
      </x:c>
      <x:c r="D48" s="8" t="s">
        <x:v>1246</x:v>
      </x:c>
      <x:c r="E48" s="8" t="s">
        <x:v>151</x:v>
      </x:c>
      <x:c r="F48" s="8" t="s">
        <x:v>154</x:v>
      </x:c>
      <x:c r="G48" s="8" t="s">
        <x:v>1247</x:v>
      </x:c>
      <x:c r="H48" s="8" t="s">
        <x:v>1248</x:v>
      </x:c>
      <x:c r="I48" s="8" t="s">
        <x:v>1249</x:v>
      </x:c>
      <x:c r="J48" s="8" t="s">
        <x:v>1250</x:v>
      </x:c>
      <x:c r="K48" s="8" t="s">
        <x:v>1251</x:v>
      </x:c>
      <x:c r="L48" s="8" t="s">
        <x:v>1252</x:v>
      </x:c>
      <x:c r="M48" s="8" t="s">
        <x:v>1253</x:v>
      </x:c>
      <x:c r="N48" s="8" t="s">
        <x:v>1026</x:v>
      </x:c>
      <x:c r="O48" s="8" t="s">
        <x:v>1254</x:v>
      </x:c>
      <x:c r="P48" s="8" t="s">
        <x:v>1028</x:v>
      </x:c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30">
      <x:c r="A49" s="8" t="s">
        <x:v>71</x:v>
      </x:c>
      <x:c r="B49" s="8" t="s">
        <x:v>1049</x:v>
      </x:c>
      <x:c r="C49" s="8" t="s">
        <x:v>1084</x:v>
      </x:c>
      <x:c r="D49" s="8" t="s">
        <x:v>1085</x:v>
      </x:c>
      <x:c r="E49" s="8" t="s">
        <x:v>154</x:v>
      </x:c>
      <x:c r="F49" s="8" t="s">
        <x:v>154</x:v>
      </x:c>
      <x:c r="G49" s="8" t="s">
        <x:v>154</x:v>
      </x:c>
      <x:c r="H49" s="8" t="s">
        <x:v>154</x:v>
      </x:c>
      <x:c r="I49" s="8" t="s">
        <x:v>1255</x:v>
      </x:c>
      <x:c r="J49" s="8" t="s">
        <x:v>1087</x:v>
      </x:c>
      <x:c r="K49" s="8" t="s">
        <x:v>154</x:v>
      </x:c>
      <x:c r="L49" s="8" t="s">
        <x:v>1256</x:v>
      </x:c>
      <x:c r="M49" s="8" t="s">
        <x:v>1257</x:v>
      </x:c>
      <x:c r="N49" s="8" t="s">
        <x:v>1026</x:v>
      </x:c>
      <x:c r="O49" s="8" t="s">
        <x:v>1258</x:v>
      </x:c>
      <x:c r="P49" s="8" t="s">
        <x:v>1028</x:v>
      </x:c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30">
      <x:c r="A50" s="8" t="s">
        <x:v>85</x:v>
      </x:c>
      <x:c r="B50" s="8" t="s">
        <x:v>1259</x:v>
      </x:c>
      <x:c r="C50" s="8" t="s">
        <x:v>1260</x:v>
      </x:c>
      <x:c r="D50" s="8" t="s">
        <x:v>1051</x:v>
      </x:c>
      <x:c r="E50" s="8" t="s">
        <x:v>154</x:v>
      </x:c>
      <x:c r="F50" s="8" t="s">
        <x:v>154</x:v>
      </x:c>
      <x:c r="G50" s="8" t="s">
        <x:v>154</x:v>
      </x:c>
      <x:c r="H50" s="8" t="s">
        <x:v>154</x:v>
      </x:c>
      <x:c r="I50" s="8" t="s">
        <x:v>1261</x:v>
      </x:c>
      <x:c r="J50" s="8" t="s">
        <x:v>1079</x:v>
      </x:c>
      <x:c r="K50" s="8" t="s">
        <x:v>154</x:v>
      </x:c>
      <x:c r="L50" s="8" t="s">
        <x:v>1262</x:v>
      </x:c>
      <x:c r="M50" s="8" t="s">
        <x:v>1263</x:v>
      </x:c>
      <x:c r="N50" s="8" t="s">
        <x:v>1026</x:v>
      </x:c>
      <x:c r="O50" s="8"/>
      <x:c r="P50" s="8" t="s">
        <x:v>1028</x:v>
      </x:c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30">
      <x:c r="A51" s="8" t="s">
        <x:v>65</x:v>
      </x:c>
      <x:c r="B51" s="8" t="s">
        <x:v>1084</x:v>
      </x:c>
      <x:c r="C51" s="8" t="s">
        <x:v>1264</x:v>
      </x:c>
      <x:c r="D51" s="8" t="s">
        <x:v>1085</x:v>
      </x:c>
      <x:c r="E51" s="8" t="s">
        <x:v>154</x:v>
      </x:c>
      <x:c r="F51" s="8" t="s">
        <x:v>154</x:v>
      </x:c>
      <x:c r="G51" s="8" t="s">
        <x:v>154</x:v>
      </x:c>
      <x:c r="H51" s="8" t="s">
        <x:v>154</x:v>
      </x:c>
      <x:c r="I51" s="8" t="s">
        <x:v>1265</x:v>
      </x:c>
      <x:c r="J51" s="8" t="s">
        <x:v>1266</x:v>
      </x:c>
      <x:c r="K51" s="8" t="s">
        <x:v>154</x:v>
      </x:c>
      <x:c r="L51" s="8" t="s">
        <x:v>1267</x:v>
      </x:c>
      <x:c r="M51" s="8" t="s">
        <x:v>1268</x:v>
      </x:c>
      <x:c r="N51" s="8" t="s">
        <x:v>1026</x:v>
      </x:c>
      <x:c r="O51" s="8"/>
      <x:c r="P51" s="8" t="s">
        <x:v>1028</x:v>
      </x:c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30">
      <x:c r="A52" s="8" t="s">
        <x:v>72</x:v>
      </x:c>
      <x:c r="B52" s="8" t="s">
        <x:v>1084</x:v>
      </x:c>
      <x:c r="C52" s="8" t="s">
        <x:v>1269</x:v>
      </x:c>
      <x:c r="D52" s="8" t="s">
        <x:v>1085</x:v>
      </x:c>
      <x:c r="E52" s="8" t="s">
        <x:v>154</x:v>
      </x:c>
      <x:c r="F52" s="8" t="s">
        <x:v>154</x:v>
      </x:c>
      <x:c r="G52" s="8" t="s">
        <x:v>154</x:v>
      </x:c>
      <x:c r="H52" s="8" t="s">
        <x:v>154</x:v>
      </x:c>
      <x:c r="I52" s="8" t="s">
        <x:v>1270</x:v>
      </x:c>
      <x:c r="J52" s="8" t="s">
        <x:v>1087</x:v>
      </x:c>
      <x:c r="K52" s="8" t="s">
        <x:v>154</x:v>
      </x:c>
      <x:c r="L52" s="8" t="s">
        <x:v>1271</x:v>
      </x:c>
      <x:c r="M52" s="8" t="s">
        <x:v>1272</x:v>
      </x:c>
      <x:c r="N52" s="8" t="s">
        <x:v>1026</x:v>
      </x:c>
      <x:c r="O52" s="8"/>
      <x:c r="P52" s="8" t="s">
        <x:v>1028</x:v>
      </x:c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45">
      <x:c r="A53" s="8" t="s">
        <x:v>66</x:v>
      </x:c>
      <x:c r="B53" s="8" t="s">
        <x:v>1084</x:v>
      </x:c>
      <x:c r="C53" s="8" t="s">
        <x:v>1273</x:v>
      </x:c>
      <x:c r="D53" s="8" t="s">
        <x:v>1085</x:v>
      </x:c>
      <x:c r="E53" s="8" t="s">
        <x:v>154</x:v>
      </x:c>
      <x:c r="F53" s="8" t="s">
        <x:v>154</x:v>
      </x:c>
      <x:c r="G53" s="8" t="s">
        <x:v>154</x:v>
      </x:c>
      <x:c r="H53" s="8" t="s">
        <x:v>154</x:v>
      </x:c>
      <x:c r="I53" s="8" t="s">
        <x:v>1274</x:v>
      </x:c>
      <x:c r="J53" s="8" t="s">
        <x:v>1087</x:v>
      </x:c>
      <x:c r="K53" s="8" t="s">
        <x:v>154</x:v>
      </x:c>
      <x:c r="L53" s="8" t="s">
        <x:v>1275</x:v>
      </x:c>
      <x:c r="M53" s="8" t="s">
        <x:v>1276</x:v>
      </x:c>
      <x:c r="N53" s="8" t="s">
        <x:v>1026</x:v>
      </x:c>
      <x:c r="O53" s="8"/>
      <x:c r="P53" s="8" t="s">
        <x:v>1028</x:v>
      </x:c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45">
      <x:c r="A54" s="8" t="s">
        <x:v>83</x:v>
      </x:c>
      <x:c r="B54" s="8" t="s">
        <x:v>1016</x:v>
      </x:c>
      <x:c r="C54" s="8" t="s">
        <x:v>1277</x:v>
      </x:c>
      <x:c r="D54" s="8" t="s">
        <x:v>1018</x:v>
      </x:c>
      <x:c r="E54" s="8" t="s">
        <x:v>1278</x:v>
      </x:c>
      <x:c r="F54" s="8" t="s">
        <x:v>154</x:v>
      </x:c>
      <x:c r="G54" s="8" t="s">
        <x:v>1279</x:v>
      </x:c>
      <x:c r="H54" s="8" t="s">
        <x:v>1021</x:v>
      </x:c>
      <x:c r="I54" s="8" t="s">
        <x:v>1022</x:v>
      </x:c>
      <x:c r="J54" s="8" t="s">
        <x:v>1023</x:v>
      </x:c>
      <x:c r="K54" s="8" t="s">
        <x:v>154</x:v>
      </x:c>
      <x:c r="L54" s="8" t="s">
        <x:v>1280</x:v>
      </x:c>
      <x:c r="M54" s="8" t="s">
        <x:v>1281</x:v>
      </x:c>
      <x:c r="N54" s="8" t="s">
        <x:v>1026</x:v>
      </x:c>
      <x:c r="O54" s="8" t="s">
        <x:v>1282</x:v>
      </x:c>
      <x:c r="P54" s="8" t="s">
        <x:v>1028</x:v>
      </x:c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45">
      <x:c r="A55" s="8" t="s">
        <x:v>83</x:v>
      </x:c>
      <x:c r="B55" s="8" t="s">
        <x:v>1283</x:v>
      </x:c>
      <x:c r="C55" s="8" t="s">
        <x:v>1284</x:v>
      </x:c>
      <x:c r="D55" s="8" t="s">
        <x:v>1018</x:v>
      </x:c>
      <x:c r="E55" s="8" t="s">
        <x:v>1285</x:v>
      </x:c>
      <x:c r="F55" s="8" t="s">
        <x:v>154</x:v>
      </x:c>
      <x:c r="G55" s="8" t="s">
        <x:v>154</x:v>
      </x:c>
      <x:c r="H55" s="8" t="s">
        <x:v>1021</x:v>
      </x:c>
      <x:c r="I55" s="8" t="s">
        <x:v>1286</x:v>
      </x:c>
      <x:c r="J55" s="8" t="s">
        <x:v>1287</x:v>
      </x:c>
      <x:c r="K55" s="8" t="s">
        <x:v>154</x:v>
      </x:c>
      <x:c r="L55" s="8" t="s">
        <x:v>1288</x:v>
      </x:c>
      <x:c r="M55" s="8" t="s">
        <x:v>1281</x:v>
      </x:c>
      <x:c r="N55" s="8" t="s">
        <x:v>1026</x:v>
      </x:c>
      <x:c r="O55" s="8" t="s">
        <x:v>1289</x:v>
      </x:c>
      <x:c r="P55" s="8" t="s">
        <x:v>1028</x:v>
      </x:c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45">
      <x:c r="A56" s="8" t="s">
        <x:v>83</x:v>
      </x:c>
      <x:c r="B56" s="8" t="s">
        <x:v>1283</x:v>
      </x:c>
      <x:c r="C56" s="8" t="s">
        <x:v>1290</x:v>
      </x:c>
      <x:c r="D56" s="8" t="s">
        <x:v>1018</x:v>
      </x:c>
      <x:c r="E56" s="8" t="s">
        <x:v>1291</x:v>
      </x:c>
      <x:c r="F56" s="8" t="s">
        <x:v>154</x:v>
      </x:c>
      <x:c r="G56" s="8" t="s">
        <x:v>154</x:v>
      </x:c>
      <x:c r="H56" s="8" t="s">
        <x:v>1021</x:v>
      </x:c>
      <x:c r="I56" s="8" t="s">
        <x:v>1286</x:v>
      </x:c>
      <x:c r="J56" s="8" t="s">
        <x:v>1287</x:v>
      </x:c>
      <x:c r="K56" s="8" t="s">
        <x:v>154</x:v>
      </x:c>
      <x:c r="L56" s="8" t="s">
        <x:v>1292</x:v>
      </x:c>
      <x:c r="M56" s="8" t="s">
        <x:v>1281</x:v>
      </x:c>
      <x:c r="N56" s="8" t="s">
        <x:v>1026</x:v>
      </x:c>
      <x:c r="O56" s="8" t="s">
        <x:v>1289</x:v>
      </x:c>
      <x:c r="P56" s="8" t="s">
        <x:v>1028</x:v>
      </x:c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45">
      <x:c r="A57" s="8" t="str">
        <x:f>IF(Master!C755="","",Master!C755)</x:f>
        <x:v>No paid tier: donations unlock nothing</x:v>
      </x:c>
      <x:c r="B57" s="8" t="str">
        <x:f>IF(Master!D755="","",Master!D755)</x:f>
        <x:v>pqp.gg</x:v>
      </x:c>
      <x:c r="C57" s="8" t="str">
        <x:f>IF(Master!E755="","",Master!E755)</x:f>
        <x:v>Free hosted + donations</x:v>
      </x:c>
      <x:c r="D57" s="8" t="str">
        <x:f>IF(Master!F755="","",Master!F755)</x:f>
        <x:v>Active free hosted beta</x:v>
      </x:c>
      <x:c r="E57" s="8" t="str">
        <x:f>IF(Master!G755="","",Master!G755)</x:f>
        <x:v>N/A</x:v>
      </x:c>
      <x:c r="F57" s="8" t="str">
        <x:f>IF(Master!H755="","",Master!H755)</x:f>
        <x:v>N/A</x:v>
      </x:c>
      <x:c r="G57" s="8" t="str">
        <x:f>IF(Master!I755="","",Master!I755)</x:f>
        <x:v>N/A</x:v>
      </x:c>
      <x:c r="H57" s="8" t="str">
        <x:f>IF(Master!J755="","",Master!J755)</x:f>
        <x:v>N/A</x:v>
      </x:c>
      <x:c r="I57" s="8" t="str">
        <x:f>IF(Master!K755="","",Master!K755)</x:f>
        <x:v>Free hosted + optional donations</x:v>
      </x:c>
      <x:c r="J57" s="8" t="str">
        <x:f>IF(Master!L755="","",Master!L755)</x:f>
        <x:v>All hosted users / self-hosters</x:v>
      </x:c>
      <x:c r="K57" s="8" t="str">
        <x:f>IF(Master!M755="","",Master!M755)</x:f>
        <x:v>AGPL-3.0 self-host</x:v>
      </x:c>
      <x:c r="L57" s="8" t="str">
        <x:f>IF(Master!N755="","",Master!N755)</x:f>
        <x:v>Free hosted service; donations unlock nothing; self-hostable AGPL-3.0; not VC-backed</x:v>
      </x:c>
      <x:c r="M57" s="8" t="str">
        <x:f>IF(Master!O755="","",Master!O755)</x:f>
        <x:v>https://pqp.gg/apoie</x:v>
      </x:c>
      <x:c r="N57" s="8" t="str">
        <x:f>IF(Master!P755="","",Master!P755)</x:f>
        <x:v>2026-09-16</x:v>
      </x:c>
      <x:c r="O57" s="8" t="str">
        <x:f>IF(Master!Q755="","",Master!Q755)</x:f>
        <x:v>No fixed-price subscription; donations confer no feature unlocks.</x:v>
      </x:c>
      <x:c r="P57" s="8" t="str">
        <x:f>IF(Master!R755="","",Master!R755)</x:f>
        <x:v>Primary / developer-provided response</x:v>
      </x:c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">
        <x:v>67</x:v>
      </x:c>
      <x:c r="B58" s="8" t="s">
        <x:v>1049</x:v>
      </x:c>
      <x:c r="C58" s="8" t="s">
        <x:v>1050</x:v>
      </x:c>
      <x:c r="D58" s="8" t="s">
        <x:v>1051</x:v>
      </x:c>
      <x:c r="E58" s="8" t="s">
        <x:v>154</x:v>
      </x:c>
      <x:c r="F58" s="8" t="s">
        <x:v>154</x:v>
      </x:c>
      <x:c r="G58" s="8" t="s">
        <x:v>154</x:v>
      </x:c>
      <x:c r="H58" s="8" t="s">
        <x:v>151</x:v>
      </x:c>
      <x:c r="I58" s="8" t="s">
        <x:v>151</x:v>
      </x:c>
      <x:c r="J58" s="8" t="s">
        <x:v>1226</x:v>
      </x:c>
      <x:c r="K58" s="8" t="s">
        <x:v>154</x:v>
      </x:c>
      <x:c r="L58" s="8" t="s">
        <x:v>151</x:v>
      </x:c>
      <x:c r="M58" s="8" t="s">
        <x:v>1293</x:v>
      </x:c>
      <x:c r="N58" s="8" t="s">
        <x:v>1026</x:v>
      </x:c>
      <x:c r="O58" s="8" t="s">
        <x:v>1244</x:v>
      </x:c>
      <x:c r="P58" s="8" t="s">
        <x:v>1028</x:v>
      </x:c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30">
      <x:c r="A59" s="8" t="s">
        <x:v>90</x:v>
      </x:c>
      <x:c r="B59" s="8" t="s">
        <x:v>1294</x:v>
      </x:c>
      <x:c r="C59" s="8" t="s">
        <x:v>1295</x:v>
      </x:c>
      <x:c r="D59" s="8" t="s">
        <x:v>1296</x:v>
      </x:c>
      <x:c r="E59" s="8" t="s">
        <x:v>151</x:v>
      </x:c>
      <x:c r="F59" s="8" t="s">
        <x:v>154</x:v>
      </x:c>
      <x:c r="G59" s="8" t="s">
        <x:v>151</x:v>
      </x:c>
      <x:c r="H59" s="8" t="s">
        <x:v>151</x:v>
      </x:c>
      <x:c r="I59" s="8" t="s">
        <x:v>1297</x:v>
      </x:c>
      <x:c r="J59" s="8" t="s">
        <x:v>1023</x:v>
      </x:c>
      <x:c r="K59" s="8" t="s">
        <x:v>154</x:v>
      </x:c>
      <x:c r="L59" s="8" t="s">
        <x:v>1298</x:v>
      </x:c>
      <x:c r="M59" s="8" t="s">
        <x:v>1299</x:v>
      </x:c>
      <x:c r="N59" s="8" t="s">
        <x:v>1026</x:v>
      </x:c>
      <x:c r="O59" s="8" t="s">
        <x:v>1300</x:v>
      </x:c>
      <x:c r="P59" s="8" t="s">
        <x:v>1028</x:v>
      </x:c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45">
      <x:c r="A60" s="8" t="s">
        <x:v>92</x:v>
      </x:c>
      <x:c r="B60" s="8" t="s">
        <x:v>1301</x:v>
      </x:c>
      <x:c r="C60" s="8" t="s">
        <x:v>1302</x:v>
      </x:c>
      <x:c r="D60" s="8" t="s">
        <x:v>1018</x:v>
      </x:c>
      <x:c r="E60" s="8" t="s">
        <x:v>1303</x:v>
      </x:c>
      <x:c r="F60" s="8" t="s">
        <x:v>154</x:v>
      </x:c>
      <x:c r="G60" s="8" t="s">
        <x:v>151</x:v>
      </x:c>
      <x:c r="H60" s="8" t="s">
        <x:v>1021</x:v>
      </x:c>
      <x:c r="I60" s="8" t="s">
        <x:v>1304</x:v>
      </x:c>
      <x:c r="J60" s="8" t="s">
        <x:v>1305</x:v>
      </x:c>
      <x:c r="K60" s="8" t="s">
        <x:v>154</x:v>
      </x:c>
      <x:c r="L60" s="8" t="s">
        <x:v>1306</x:v>
      </x:c>
      <x:c r="M60" s="8" t="s">
        <x:v>1307</x:v>
      </x:c>
      <x:c r="N60" s="8" t="s">
        <x:v>1026</x:v>
      </x:c>
      <x:c r="O60" s="8" t="s">
        <x:v>1308</x:v>
      </x:c>
      <x:c r="P60" s="8" t="s">
        <x:v>1028</x:v>
      </x:c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45">
      <x:c r="A61" s="8" t="s">
        <x:v>92</x:v>
      </x:c>
      <x:c r="B61" s="8" t="s">
        <x:v>1309</x:v>
      </x:c>
      <x:c r="C61" s="8" t="str">
        <x:v>Have it built: Crew</x:v>
      </x:c>
      <x:c r="D61" s="8" t="s">
        <x:v>1193</x:v>
      </x:c>
      <x:c r="E61" s="8" t="s">
        <x:v>188</x:v>
      </x:c>
      <x:c r="F61" s="8" t="s">
        <x:v>154</x:v>
      </x:c>
      <x:c r="G61" s="8" t="s">
        <x:v>188</x:v>
      </x:c>
      <x:c r="H61" s="8" t="s">
        <x:v>1140</x:v>
      </x:c>
      <x:c r="I61" s="8" t="s">
        <x:v>1310</x:v>
      </x:c>
      <x:c r="J61" s="8" t="s">
        <x:v>1311</x:v>
      </x:c>
      <x:c r="K61" s="8" t="s">
        <x:v>154</x:v>
      </x:c>
      <x:c r="L61" s="8" t="s">
        <x:v>1312</x:v>
      </x:c>
      <x:c r="M61" s="8" t="s">
        <x:v>1307</x:v>
      </x:c>
      <x:c r="N61" s="8" t="s">
        <x:v>1026</x:v>
      </x:c>
      <x:c r="O61" s="8" t="s">
        <x:v>1313</x:v>
      </x:c>
      <x:c r="P61" s="8" t="s">
        <x:v>1028</x:v>
      </x:c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45">
      <x:c r="A62" s="8" t="s">
        <x:v>92</x:v>
      </x:c>
      <x:c r="B62" s="8" t="s">
        <x:v>1309</x:v>
      </x:c>
      <x:c r="C62" s="8" t="str">
        <x:v>Have it built: League</x:v>
      </x:c>
      <x:c r="D62" s="8" t="s">
        <x:v>1193</x:v>
      </x:c>
      <x:c r="E62" s="8" t="s">
        <x:v>188</x:v>
      </x:c>
      <x:c r="F62" s="8" t="s">
        <x:v>154</x:v>
      </x:c>
      <x:c r="G62" s="8" t="s">
        <x:v>188</x:v>
      </x:c>
      <x:c r="H62" s="8" t="s">
        <x:v>1140</x:v>
      </x:c>
      <x:c r="I62" s="8" t="s">
        <x:v>1310</x:v>
      </x:c>
      <x:c r="J62" s="8" t="s">
        <x:v>1311</x:v>
      </x:c>
      <x:c r="K62" s="8" t="s">
        <x:v>154</x:v>
      </x:c>
      <x:c r="L62" s="8" t="s">
        <x:v>1314</x:v>
      </x:c>
      <x:c r="M62" s="8" t="s">
        <x:v>1307</x:v>
      </x:c>
      <x:c r="N62" s="8" t="s">
        <x:v>1026</x:v>
      </x:c>
      <x:c r="O62" s="8" t="s">
        <x:v>1313</x:v>
      </x:c>
      <x:c r="P62" s="8" t="s">
        <x:v>1028</x:v>
      </x:c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45">
      <x:c r="A63" s="8" t="s">
        <x:v>92</x:v>
      </x:c>
      <x:c r="B63" s="8" t="s">
        <x:v>1309</x:v>
      </x:c>
      <x:c r="C63" s="8" t="str">
        <x:v>Have it built: Network</x:v>
      </x:c>
      <x:c r="D63" s="8" t="s">
        <x:v>1193</x:v>
      </x:c>
      <x:c r="E63" s="8" t="s">
        <x:v>188</x:v>
      </x:c>
      <x:c r="F63" s="8" t="s">
        <x:v>154</x:v>
      </x:c>
      <x:c r="G63" s="8" t="s">
        <x:v>188</x:v>
      </x:c>
      <x:c r="H63" s="8" t="s">
        <x:v>1140</x:v>
      </x:c>
      <x:c r="I63" s="8" t="s">
        <x:v>1310</x:v>
      </x:c>
      <x:c r="J63" s="8" t="s">
        <x:v>1311</x:v>
      </x:c>
      <x:c r="K63" s="8" t="s">
        <x:v>154</x:v>
      </x:c>
      <x:c r="L63" s="8" t="s">
        <x:v>1315</x:v>
      </x:c>
      <x:c r="M63" s="8" t="s">
        <x:v>1307</x:v>
      </x:c>
      <x:c r="N63" s="8" t="s">
        <x:v>1026</x:v>
      </x:c>
      <x:c r="O63" s="8" t="s">
        <x:v>1313</x:v>
      </x:c>
      <x:c r="P63" s="8" t="s">
        <x:v>1028</x:v>
      </x:c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45">
      <x:c r="A64" s="8" t="s">
        <x:v>92</x:v>
      </x:c>
      <x:c r="B64" s="8" t="s">
        <x:v>1309</x:v>
      </x:c>
      <x:c r="C64" s="8" t="str">
        <x:v>Have it built: Larger</x:v>
      </x:c>
      <x:c r="D64" s="8" t="s">
        <x:v>1193</x:v>
      </x:c>
      <x:c r="E64" s="8" t="s">
        <x:v>188</x:v>
      </x:c>
      <x:c r="F64" s="8" t="s">
        <x:v>154</x:v>
      </x:c>
      <x:c r="G64" s="8" t="s">
        <x:v>188</x:v>
      </x:c>
      <x:c r="H64" s="8" t="s">
        <x:v>1140</x:v>
      </x:c>
      <x:c r="I64" s="8" t="s">
        <x:v>1310</x:v>
      </x:c>
      <x:c r="J64" s="8" t="s">
        <x:v>1311</x:v>
      </x:c>
      <x:c r="K64" s="8" t="s">
        <x:v>154</x:v>
      </x:c>
      <x:c r="L64" s="8" t="s">
        <x:v>1316</x:v>
      </x:c>
      <x:c r="M64" s="8" t="s">
        <x:v>1307</x:v>
      </x:c>
      <x:c r="N64" s="8" t="s">
        <x:v>1026</x:v>
      </x:c>
      <x:c r="O64" s="8" t="s">
        <x:v>1313</x:v>
      </x:c>
      <x:c r="P64" s="8" t="s">
        <x:v>1028</x:v>
      </x:c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</x:sheetData>
  <x:mergeCells>
    <x:mergeCell ref="A1:P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Directory'!A1","Free vs Paid Feature Entitlements"),"Free vs Paid Feature Entitlements")</x:f>
        <x:v>Free vs Paid Feature Entitlements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1317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1318</x:v>
      </x:c>
      <x:c r="B4" s="3" t="str">
        <x:f>IF(Master!C720="","",Master!C720)</x:f>
        <x:v>Yes</x:v>
      </x:c>
      <x:c r="C4" s="3" t="str">
        <x:f>IF(Master!D720="","",Master!D720)</x:f>
      </x:c>
      <x:c r="D4" s="3" t="str">
        <x:f>IF(Master!E720="","",Master!E720)</x:f>
      </x:c>
      <x:c r="E4" s="3" t="str">
        <x:f>IF(Master!F720="","",Master!F720)</x:f>
      </x:c>
      <x:c r="F4" s="3" t="str">
        <x:f>IF(Master!G720="","",Master!G720)</x:f>
      </x:c>
      <x:c r="G4" s="3" t="str">
        <x:f>IF(Master!H720="","",Master!H720)</x:f>
        <x:v>Yes</x:v>
      </x:c>
      <x:c r="H4" s="3" t="str">
        <x:f>IF(Master!I720="","",Master!I720)</x:f>
      </x:c>
      <x:c r="I4" s="3" t="str">
        <x:f>IF(Master!J720="","",Master!J720)</x:f>
      </x:c>
      <x:c r="J4" s="3" t="str">
        <x:f>IF(Master!K720="","",Master!K720)</x:f>
      </x:c>
      <x:c r="K4" s="3" t="str">
        <x:f>IF(Master!L720="","",Master!L720)</x:f>
        <x:v>Unknown/not separately documented</x:v>
      </x:c>
      <x:c r="L4" s="3" t="str">
        <x:f>IF(Master!M720="","",Master!M720)</x:f>
      </x:c>
      <x:c r="M4" s="3" t="str">
        <x:f>IF(Master!N720="","",Master!N720)</x:f>
      </x:c>
      <x:c r="N4" s="3" t="str">
        <x:f>IF(Master!O720="","",Master!O720)</x:f>
        <x:v>Client/provider-dependent</x:v>
      </x:c>
      <x:c r="O4" s="3" t="str">
        <x:f>IF(Master!P720="","",Master!P720)</x:f>
      </x:c>
      <x:c r="P4" s="3" t="str">
        <x:f>IF(Master!Q720="","",Master!Q720)</x:f>
      </x:c>
      <x:c r="Q4" s="3" t="str">
        <x:f>IF(Master!R720="","",Master!R720)</x:f>
      </x:c>
      <x:c r="R4" s="3" t="str">
        <x:f>IF(Master!S720="","",Master!S720)</x:f>
      </x:c>
      <x:c r="S4" s="3" t="str">
        <x:f>IF(Master!T720="","",Master!T720)</x:f>
      </x:c>
      <x:c r="T4" s="3" t="str">
        <x:f>IF(Master!U720="","",Master!U720)</x:f>
      </x:c>
      <x:c r="U4" s="3" t="str">
        <x:f>IF(Master!V720="","",Master!V720)</x:f>
        <x:v>Yes</x:v>
      </x:c>
      <x:c r="V4" s="3" t="str">
        <x:f>IF(Master!W720="","",Master!W720)</x:f>
      </x:c>
      <x:c r="W4" s="3" t="str">
        <x:f>IF(Master!X720="","",Master!X720)</x:f>
      </x:c>
      <x:c r="X4" s="3" t="str">
        <x:f>IF(Master!Y720="","",Master!Y720)</x:f>
      </x:c>
      <x:c r="Y4" s="3" t="str">
        <x:f>IF(Master!Z720="","",Master!Z720)</x:f>
      </x:c>
      <x:c r="Z4" s="3" t="str">
        <x:f>IF(Master!AA720="","",Master!AA720)</x:f>
      </x:c>
      <x:c r="AA4" s="6" t="str">
        <x:f>IF(Master!AB720="","",Master!AB720)</x:f>
      </x:c>
      <x:c r="AB4" s="3" t="str">
        <x:f>IF(Master!AC720="","",Master!AC720)</x:f>
      </x:c>
      <x:c r="AC4" s="3" t="str">
        <x:f>IF(Master!AD720="","",Master!AD720)</x:f>
      </x:c>
      <x:c r="AD4" s="3" t="str">
        <x:f>IF(Master!AE720="","",Master!AE720)</x:f>
      </x:c>
      <x:c r="AE4" s="3" t="str">
        <x:f>IF(Master!AF720="","",Master!AF720)</x:f>
      </x:c>
      <x:c r="AF4" s="8" t="str">
        <x:f>IF(Master!AG720="","",Master!AG720)</x:f>
      </x:c>
    </x:row>
    <x:row r="5" ht="36" customHeight="1">
      <x:c r="A5" s="17" t="s">
        <x:v>1319</x:v>
      </x:c>
      <x:c r="B5" s="3" t="str">
        <x:f>IF(Master!C721="","",Master!C721)</x:f>
        <x:v>Paid: Nitro</x:v>
      </x:c>
      <x:c r="C5" s="3" t="str">
        <x:f>IF(Master!D721="","",Master!D721)</x:f>
      </x:c>
      <x:c r="D5" s="3" t="str">
        <x:f>IF(Master!E721="","",Master!E721)</x:f>
      </x:c>
      <x:c r="E5" s="3" t="str">
        <x:f>IF(Master!F721="","",Master!F721)</x:f>
      </x:c>
      <x:c r="F5" s="3" t="str">
        <x:f>IF(Master!G721="","",Master!G721)</x:f>
      </x:c>
      <x:c r="G5" s="3" t="str">
        <x:f>IF(Master!H721="","",Master!H721)</x:f>
        <x:v>Paid: Plutonium</x:v>
      </x:c>
      <x:c r="H5" s="3" t="str">
        <x:f>IF(Master!I721="","",Master!I721)</x:f>
      </x:c>
      <x:c r="I5" s="3" t="str">
        <x:f>IF(Master!J721="","",Master!J721)</x:f>
      </x:c>
      <x:c r="J5" s="3" t="str">
        <x:f>IF(Master!K721="","",Master!K721)</x:f>
      </x:c>
      <x:c r="K5" s="3" t="str">
        <x:f>IF(Master!L721="","",Master!L721)</x:f>
        <x:v>Unknown/not separately documented</x:v>
      </x:c>
      <x:c r="L5" s="3" t="str">
        <x:f>IF(Master!M721="","",Master!M721)</x:f>
      </x:c>
      <x:c r="M5" s="3" t="str">
        <x:f>IF(Master!N721="","",Master!N721)</x:f>
      </x:c>
      <x:c r="N5" s="3" t="str">
        <x:f>IF(Master!O721="","",Master!O721)</x:f>
        <x:v>Client/provider-dependent</x:v>
      </x:c>
      <x:c r="O5" s="3" t="str">
        <x:f>IF(Master!P721="","",Master!P721)</x:f>
      </x:c>
      <x:c r="P5" s="3" t="str">
        <x:f>IF(Master!Q721="","",Master!Q721)</x:f>
        <x:v>Free if supported</x:v>
      </x:c>
      <x:c r="Q5" s="3" t="str">
        <x:f>IF(Master!R721="","",Master!R721)</x:f>
      </x:c>
      <x:c r="R5" s="3" t="str">
        <x:f>IF(Master!S721="","",Master!S721)</x:f>
      </x:c>
      <x:c r="S5" s="3" t="str">
        <x:f>IF(Master!T721="","",Master!T721)</x:f>
      </x:c>
      <x:c r="T5" s="3" t="str">
        <x:f>IF(Master!U721="","",Master!U721)</x:f>
      </x:c>
      <x:c r="U5" s="3" t="str">
        <x:f>IF(Master!V721="","",Master!V721)</x:f>
        <x:v>Rift+ / entitlement details vary</x:v>
      </x:c>
      <x:c r="V5" s="3" t="str">
        <x:f>IF(Master!W721="","",Master!W721)</x:f>
      </x:c>
      <x:c r="W5" s="3" t="str">
        <x:f>IF(Master!X721="","",Master!X721)</x:f>
      </x:c>
      <x:c r="X5" s="3" t="str">
        <x:f>IF(Master!Y721="","",Master!Y721)</x:f>
      </x:c>
      <x:c r="Y5" s="3" t="str">
        <x:f>IF(Master!Z721="","",Master!Z721)</x:f>
      </x:c>
      <x:c r="Z5" s="3" t="str">
        <x:f>IF(Master!AA721="","",Master!AA721)</x:f>
      </x:c>
      <x:c r="AA5" s="6" t="str">
        <x:f>IF(Master!AB721="","",Master!AB721)</x:f>
      </x:c>
      <x:c r="AB5" s="3" t="str">
        <x:f>IF(Master!AC721="","",Master!AC721)</x:f>
      </x:c>
      <x:c r="AC5" s="3" t="str">
        <x:f>IF(Master!AD721="","",Master!AD721)</x:f>
      </x:c>
      <x:c r="AD5" s="3" t="str">
        <x:f>IF(Master!AE721="","",Master!AE721)</x:f>
      </x:c>
      <x:c r="AE5" s="3" t="str">
        <x:f>IF(Master!AF721="","",Master!AF721)</x:f>
      </x:c>
      <x:c r="AF5" s="8" t="str">
        <x:f>IF(Master!AG721="","",Master!AG721)</x:f>
      </x:c>
    </x:row>
    <x:row r="6" ht="36" customHeight="1">
      <x:c r="A6" s="17" t="s">
        <x:v>1320</x:v>
      </x:c>
      <x:c r="B6" s="3" t="str">
        <x:f>IF(Master!C722="","",Master!C722)</x:f>
        <x:v>Yes</x:v>
      </x:c>
      <x:c r="C6" s="3" t="str">
        <x:f>IF(Master!D722="","",Master!D722)</x:f>
      </x:c>
      <x:c r="D6" s="3" t="str">
        <x:f>IF(Master!E722="","",Master!E722)</x:f>
      </x:c>
      <x:c r="E6" s="3" t="str">
        <x:f>IF(Master!F722="","",Master!F722)</x:f>
      </x:c>
      <x:c r="F6" s="3" t="str">
        <x:f>IF(Master!G722="","",Master!G722)</x:f>
      </x:c>
      <x:c r="G6" s="3" t="str">
        <x:f>IF(Master!H722="","",Master!H722)</x:f>
        <x:v>Yes</x:v>
      </x:c>
      <x:c r="H6" s="3" t="str">
        <x:f>IF(Master!I722="","",Master!I722)</x:f>
      </x:c>
      <x:c r="I6" s="3" t="str">
        <x:f>IF(Master!J722="","",Master!J722)</x:f>
      </x:c>
      <x:c r="J6" s="3" t="str">
        <x:f>IF(Master!K722="","",Master!K722)</x:f>
      </x:c>
      <x:c r="K6" s="3" t="str">
        <x:f>IF(Master!L722="","",Master!L722)</x:f>
        <x:v>Unknown/not separately documented</x:v>
      </x:c>
      <x:c r="L6" s="3" t="str">
        <x:f>IF(Master!M722="","",Master!M722)</x:f>
      </x:c>
      <x:c r="M6" s="3" t="str">
        <x:f>IF(Master!N722="","",Master!N722)</x:f>
      </x:c>
      <x:c r="N6" s="3" t="str">
        <x:f>IF(Master!O722="","",Master!O722)</x:f>
        <x:v>Client-dependent</x:v>
      </x:c>
      <x:c r="O6" s="3" t="str">
        <x:f>IF(Master!P722="","",Master!P722)</x:f>
      </x:c>
      <x:c r="P6" s="3" t="str">
        <x:f>IF(Master!Q722="","",Master!Q722)</x:f>
      </x:c>
      <x:c r="Q6" s="3" t="str">
        <x:f>IF(Master!R722="","",Master!R722)</x:f>
      </x:c>
      <x:c r="R6" s="3" t="str">
        <x:f>IF(Master!S722="","",Master!S722)</x:f>
      </x:c>
      <x:c r="S6" s="3" t="str">
        <x:f>IF(Master!T722="","",Master!T722)</x:f>
      </x:c>
      <x:c r="T6" s="3" t="str">
        <x:f>IF(Master!U722="","",Master!U722)</x:f>
      </x:c>
      <x:c r="U6" s="3" t="str">
        <x:f>IF(Master!V722="","",Master!V722)</x:f>
        <x:v>Yes</x:v>
      </x:c>
      <x:c r="V6" s="3" t="str">
        <x:f>IF(Master!W722="","",Master!W722)</x:f>
      </x:c>
      <x:c r="W6" s="3" t="str">
        <x:f>IF(Master!X722="","",Master!X722)</x:f>
      </x:c>
      <x:c r="X6" s="3" t="str">
        <x:f>IF(Master!Y722="","",Master!Y722)</x:f>
      </x:c>
      <x:c r="Y6" s="3" t="str">
        <x:f>IF(Master!Z722="","",Master!Z722)</x:f>
      </x:c>
      <x:c r="Z6" s="3" t="str">
        <x:f>IF(Master!AA722="","",Master!AA722)</x:f>
      </x:c>
      <x:c r="AA6" s="6" t="str">
        <x:f>IF(Master!AB722="","",Master!AB722)</x:f>
      </x:c>
      <x:c r="AB6" s="3" t="str">
        <x:f>IF(Master!AC722="","",Master!AC722)</x:f>
      </x:c>
      <x:c r="AC6" s="3" t="str">
        <x:f>IF(Master!AD722="","",Master!AD722)</x:f>
      </x:c>
      <x:c r="AD6" s="3" t="str">
        <x:f>IF(Master!AE722="","",Master!AE722)</x:f>
      </x:c>
      <x:c r="AE6" s="3" t="str">
        <x:f>IF(Master!AF722="","",Master!AF722)</x:f>
      </x:c>
      <x:c r="AF6" s="8" t="str">
        <x:f>IF(Master!AG722="","",Master!AG722)</x:f>
      </x:c>
    </x:row>
    <x:row r="7" ht="36" customHeight="1">
      <x:c r="A7" s="17" t="s">
        <x:v>1321</x:v>
      </x:c>
      <x:c r="B7" s="3" t="str">
        <x:f>IF(Master!C723="","",Master!C723)</x:f>
        <x:v>Paid: Nitro</x:v>
      </x:c>
      <x:c r="C7" s="3" t="str">
        <x:f>IF(Master!D723="","",Master!D723)</x:f>
      </x:c>
      <x:c r="D7" s="3" t="str">
        <x:f>IF(Master!E723="","",Master!E723)</x:f>
      </x:c>
      <x:c r="E7" s="3" t="str">
        <x:f>IF(Master!F723="","",Master!F723)</x:f>
      </x:c>
      <x:c r="F7" s="3" t="str">
        <x:f>IF(Master!G723="","",Master!G723)</x:f>
      </x:c>
      <x:c r="G7" s="3" t="str">
        <x:f>IF(Master!H723="","",Master!H723)</x:f>
        <x:v>Paid: Plutonium</x:v>
      </x:c>
      <x:c r="H7" s="3" t="str">
        <x:f>IF(Master!I723="","",Master!I723)</x:f>
      </x:c>
      <x:c r="I7" s="3" t="str">
        <x:f>IF(Master!J723="","",Master!J723)</x:f>
      </x:c>
      <x:c r="J7" s="3" t="str">
        <x:f>IF(Master!K723="","",Master!K723)</x:f>
      </x:c>
      <x:c r="K7" s="3" t="str">
        <x:f>IF(Master!L723="","",Master!L723)</x:f>
        <x:v>Unknown/not separately documented</x:v>
      </x:c>
      <x:c r="L7" s="3" t="str">
        <x:f>IF(Master!M723="","",Master!M723)</x:f>
      </x:c>
      <x:c r="M7" s="3" t="str">
        <x:f>IF(Master!N723="","",Master!N723)</x:f>
      </x:c>
      <x:c r="N7" s="3" t="str">
        <x:f>IF(Master!O723="","",Master!O723)</x:f>
        <x:v>Client/provider-dependent</x:v>
      </x:c>
      <x:c r="O7" s="3" t="str">
        <x:f>IF(Master!P723="","",Master!P723)</x:f>
      </x:c>
      <x:c r="P7" s="3" t="str">
        <x:f>IF(Master!Q723="","",Master!Q723)</x:f>
        <x:v>Free if supported</x:v>
      </x:c>
      <x:c r="Q7" s="3" t="str">
        <x:f>IF(Master!R723="","",Master!R723)</x:f>
      </x:c>
      <x:c r="R7" s="3" t="str">
        <x:f>IF(Master!S723="","",Master!S723)</x:f>
      </x:c>
      <x:c r="S7" s="3" t="str">
        <x:f>IF(Master!T723="","",Master!T723)</x:f>
      </x:c>
      <x:c r="T7" s="3" t="str">
        <x:f>IF(Master!U723="","",Master!U723)</x:f>
      </x:c>
      <x:c r="U7" s="3" t="str">
        <x:f>IF(Master!V723="","",Master!V723)</x:f>
        <x:v>Rift+ adds animated/profile cosmetics</x:v>
      </x:c>
      <x:c r="V7" s="3" t="str">
        <x:f>IF(Master!W723="","",Master!W723)</x:f>
      </x:c>
      <x:c r="W7" s="3" t="str">
        <x:f>IF(Master!X723="","",Master!X723)</x:f>
      </x:c>
      <x:c r="X7" s="3" t="str">
        <x:f>IF(Master!Y723="","",Master!Y723)</x:f>
      </x:c>
      <x:c r="Y7" s="3" t="str">
        <x:f>IF(Master!Z723="","",Master!Z723)</x:f>
      </x:c>
      <x:c r="Z7" s="3" t="str">
        <x:f>IF(Master!AA723="","",Master!AA723)</x:f>
      </x:c>
      <x:c r="AA7" s="6" t="str">
        <x:f>IF(Master!AB723="","",Master!AB723)</x:f>
      </x:c>
      <x:c r="AB7" s="3" t="str">
        <x:f>IF(Master!AC723="","",Master!AC723)</x:f>
      </x:c>
      <x:c r="AC7" s="3" t="str">
        <x:f>IF(Master!AD723="","",Master!AD723)</x:f>
      </x:c>
      <x:c r="AD7" s="3" t="str">
        <x:f>IF(Master!AE723="","",Master!AE723)</x:f>
      </x:c>
      <x:c r="AE7" s="3" t="str">
        <x:f>IF(Master!AF723="","",Master!AF723)</x:f>
      </x:c>
      <x:c r="AF7" s="8" t="str">
        <x:f>IF(Master!AG723="","",Master!AG723)</x:f>
      </x:c>
    </x:row>
    <x:row r="8" ht="36" customHeight="1">
      <x:c r="A8" s="17" t="s">
        <x:v>1322</x:v>
      </x:c>
      <x:c r="B8" s="3" t="str">
        <x:f>IF(Master!C724="","",Master!C724)</x:f>
        <x:v>Yes</x:v>
      </x:c>
      <x:c r="C8" s="3" t="str">
        <x:f>IF(Master!D724="","",Master!D724)</x:f>
      </x:c>
      <x:c r="D8" s="3" t="str">
        <x:f>IF(Master!E724="","",Master!E724)</x:f>
      </x:c>
      <x:c r="E8" s="3" t="str">
        <x:f>IF(Master!F724="","",Master!F724)</x:f>
      </x:c>
      <x:c r="F8" s="3" t="str">
        <x:f>IF(Master!G724="","",Master!G724)</x:f>
        <x:v>Planned / Yes</x:v>
      </x:c>
      <x:c r="G8" s="3" t="str">
        <x:f>IF(Master!H724="","",Master!H724)</x:f>
        <x:v>Yes</x:v>
      </x:c>
      <x:c r="H8" s="3" t="str">
        <x:f>IF(Master!I724="","",Master!I724)</x:f>
      </x:c>
      <x:c r="I8" s="3" t="str">
        <x:f>IF(Master!J724="","",Master!J724)</x:f>
        <x:v>Yes / client-controlled</x:v>
      </x:c>
      <x:c r="J8" s="3" t="str">
        <x:f>IF(Master!K724="","",Master!K724)</x:f>
      </x:c>
      <x:c r="K8" s="3" t="str">
        <x:f>IF(Master!L724="","",Master!L724)</x:f>
        <x:v>Yes: developer reports custom CSS/theme support</x:v>
      </x:c>
      <x:c r="L8" s="3" t="str">
        <x:f>IF(Master!M724="","",Master!M724)</x:f>
      </x:c>
      <x:c r="M8" s="3" t="str">
        <x:f>IF(Master!N724="","",Master!N724)</x:f>
      </x:c>
      <x:c r="N8" s="3" t="str">
        <x:f>IF(Master!O724="","",Master!O724)</x:f>
        <x:v>Client-dependent</x:v>
      </x:c>
      <x:c r="O8" s="3" t="str">
        <x:f>IF(Master!P724="","",Master!P724)</x:f>
        <x:v>Yes</x:v>
      </x:c>
      <x:c r="P8" s="3" t="str">
        <x:f>IF(Master!Q724="","",Master!Q724)</x:f>
      </x:c>
      <x:c r="Q8" s="3" t="str">
        <x:f>IF(Master!R724="","",Master!R724)</x:f>
      </x:c>
      <x:c r="R8" s="3" t="str">
        <x:f>IF(Master!S724="","",Master!S724)</x:f>
        <x:v>Yes / community themes</x:v>
      </x:c>
      <x:c r="S8" s="3" t="str">
        <x:f>IF(Master!T724="","",Master!T724)</x:f>
      </x:c>
      <x:c r="T8" s="3" t="str">
        <x:f>IF(Master!U724="","",Master!U724)</x:f>
        <x:v>Built-in light/dark/system themes, accents and high-contrast mode; arbitrary custom-theme framework not claimed</x:v>
      </x:c>
      <x:c r="U8" s="3" t="str">
        <x:f>IF(Master!V724="","",Master!V724)</x:f>
        <x:v>Yes</x:v>
      </x:c>
      <x:c r="V8" s="3" t="str">
        <x:f>IF(Master!W724="","",Master!W724)</x:f>
        <x:v>Yes</x:v>
      </x:c>
      <x:c r="W8" s="3" t="str">
        <x:f>IF(Master!X724="","",Master!X724)</x:f>
      </x:c>
      <x:c r="X8" s="3" t="str">
        <x:f>IF(Master!Y724="","",Master!Y724)</x:f>
      </x:c>
      <x:c r="Y8" s="3" t="str">
        <x:f>IF(Master!Z724="","",Master!Z724)</x:f>
        <x:v>Client-dependent</x:v>
      </x:c>
      <x:c r="Z8" s="3" t="str">
        <x:f>IF(Master!AA724="","",Master!AA724)</x:f>
      </x:c>
      <x:c r="AA8" s="6" t="str">
        <x:f>IF(Master!AB724="","",Master!AB724)</x:f>
        <x:v>Yes / add-on ecosystem</x:v>
      </x:c>
      <x:c r="AB8" s="3" t="str">
        <x:f>IF(Master!AC724="","",Master!AC724)</x:f>
        <x:v>Yes</x:v>
      </x:c>
      <x:c r="AC8" s="3" t="str">
        <x:f>IF(Master!AD724="","",Master!AD724)</x:f>
      </x:c>
      <x:c r="AD8" s="3" t="str">
        <x:f>IF(Master!AE724="","",Master!AE724)</x:f>
      </x:c>
      <x:c r="AE8" s="3" t="str">
        <x:f>IF(Master!AF724="","",Master!AF724)</x:f>
      </x:c>
      <x:c r="AF8" s="8" t="str">
        <x:f>IF(Master!AG724="","",Master!AG724)</x:f>
        <x:v>Yes</x:v>
      </x:c>
    </x:row>
    <x:row r="9" ht="36" customHeight="1">
      <x:c r="A9" s="17" t="s">
        <x:v>1323</x:v>
      </x:c>
      <x:c r="B9" s="3" t="str">
        <x:f>IF(Master!C725="","",Master!C725)</x:f>
        <x:v>Paid: Nitro</x:v>
      </x:c>
      <x:c r="C9" s="3" t="str">
        <x:f>IF(Master!D725="","",Master!D725)</x:f>
      </x:c>
      <x:c r="D9" s="3" t="str">
        <x:f>IF(Master!E725="","",Master!E725)</x:f>
      </x:c>
      <x:c r="E9" s="3" t="str">
        <x:f>IF(Master!F725="","",Master!F725)</x:f>
      </x:c>
      <x:c r="F9" s="3" t="str">
        <x:f>IF(Master!G725="","",Master!G725)</x:f>
        <x:v>Paid tiers planned to expand themes</x:v>
      </x:c>
      <x:c r="G9" s="3" t="str">
        <x:f>IF(Master!H725="","",Master!H725)</x:f>
        <x:v>Free / open-source theming; Plutonium includes additional cosmetics</x:v>
      </x:c>
      <x:c r="H9" s="3" t="str">
        <x:f>IF(Master!I725="","",Master!I725)</x:f>
      </x:c>
      <x:c r="I9" s="3" t="str">
        <x:f>IF(Master!J725="","",Master!J725)</x:f>
        <x:v>Open-source client</x:v>
      </x:c>
      <x:c r="J9" s="3" t="str">
        <x:f>IF(Master!K725="","",Master!K725)</x:f>
      </x:c>
      <x:c r="K9" s="3" t="str">
        <x:f>IF(Master!L725="","",Master!L725)</x:f>
        <x:v>Free/current; no paid tier</x:v>
      </x:c>
      <x:c r="L9" s="3" t="str">
        <x:f>IF(Master!M725="","",Master!M725)</x:f>
      </x:c>
      <x:c r="M9" s="3" t="str">
        <x:f>IF(Master!N725="","",Master!N725)</x:f>
      </x:c>
      <x:c r="N9" s="3" t="str">
        <x:f>IF(Master!O725="","",Master!O725)</x:f>
        <x:v>Client-dependent</x:v>
      </x:c>
      <x:c r="O9" s="3" t="str">
        <x:f>IF(Master!P725="","",Master!P725)</x:f>
        <x:v>Core/client capability</x:v>
      </x:c>
      <x:c r="P9" s="3" t="str">
        <x:f>IF(Master!Q725="","",Master!Q725)</x:f>
        <x:v>Free if supported</x:v>
      </x:c>
      <x:c r="Q9" s="3" t="str">
        <x:f>IF(Master!R725="","",Master!R725)</x:f>
      </x:c>
      <x:c r="R9" s="3" t="str">
        <x:f>IF(Master!S725="","",Master!S725)</x:f>
        <x:v>Free/open-source/community</x:v>
      </x:c>
      <x:c r="S9" s="3" t="str">
        <x:f>IF(Master!T725="","",Master!T725)</x:f>
      </x:c>
      <x:c r="T9" s="3" t="str">
        <x:f>IF(Master!U725="","",Master!U725)</x:f>
        <x:v>Free</x:v>
      </x:c>
      <x:c r="U9" s="3" t="str">
        <x:f>IF(Master!V725="","",Master!V725)</x:f>
        <x:v>Rift+ adds animated themes/accents</x:v>
      </x:c>
      <x:c r="V9" s="3" t="str">
        <x:f>IF(Master!W725="","",Master!W725)</x:f>
        <x:v>Deployment/admin capability</x:v>
      </x:c>
      <x:c r="W9" s="3" t="str">
        <x:f>IF(Master!X725="","",Master!X725)</x:f>
      </x:c>
      <x:c r="X9" s="3" t="str">
        <x:f>IF(Master!Y725="","",Master!Y725)</x:f>
      </x:c>
      <x:c r="Y9" s="3" t="str">
        <x:f>IF(Master!Z725="","",Master!Z725)</x:f>
        <x:v>Self-host/client controlled</x:v>
      </x:c>
      <x:c r="Z9" s="3" t="str">
        <x:f>IF(Master!AA725="","",Master!AA725)</x:f>
      </x:c>
      <x:c r="AA9" s="6" t="str">
        <x:f>IF(Master!AB725="","",Master!AB725)</x:f>
        <x:v>Client/add-on ecosystem</x:v>
      </x:c>
      <x:c r="AB9" s="3" t="str">
        <x:f>IF(Master!AC725="","",Master!AC725)</x:f>
        <x:v>Themes marketplace/core</x:v>
      </x:c>
      <x:c r="AC9" s="3" t="str">
        <x:f>IF(Master!AD725="","",Master!AD725)</x:f>
      </x:c>
      <x:c r="AD9" s="3" t="str">
        <x:f>IF(Master!AE725="","",Master!AE725)</x:f>
      </x:c>
      <x:c r="AE9" s="3" t="str">
        <x:f>IF(Master!AF725="","",Master!AF725)</x:f>
      </x:c>
      <x:c r="AF9" s="8" t="str">
        <x:f>IF(Master!AG725="","",Master!AG725)</x:f>
        <x:v>Core app themes; not a cosmetic subscription model</x:v>
      </x:c>
    </x:row>
    <x:row r="10" ht="36" customHeight="1">
      <x:c r="A10" s="17" t="s">
        <x:v>1324</x:v>
      </x:c>
      <x:c r="B10" s="3" t="str">
        <x:f>IF(Master!C726="","",Master!C726)</x:f>
        <x:v>Yes</x:v>
      </x:c>
      <x:c r="C10" s="3" t="str">
        <x:f>IF(Master!D726="","",Master!D726)</x:f>
      </x:c>
      <x:c r="D10" s="3" t="str">
        <x:f>IF(Master!E726="","",Master!E726)</x:f>
      </x:c>
      <x:c r="E10" s="3" t="str">
        <x:f>IF(Master!F726="","",Master!F726)</x:f>
      </x:c>
      <x:c r="F10" s="3" t="str">
        <x:f>IF(Master!G726="","",Master!G726)</x:f>
      </x:c>
      <x:c r="G10" s="3" t="str">
        <x:f>IF(Master!H726="","",Master!H726)</x:f>
        <x:v>Yes</x:v>
      </x:c>
      <x:c r="H10" s="3" t="str">
        <x:f>IF(Master!I726="","",Master!I726)</x:f>
      </x:c>
      <x:c r="I10" s="3" t="str">
        <x:f>IF(Master!J726="","",Master!J726)</x:f>
      </x:c>
      <x:c r="J10" s="3" t="str">
        <x:f>IF(Master!K726="","",Master!K726)</x:f>
      </x:c>
      <x:c r="K10" s="3" t="str">
        <x:f>IF(Master!L726="","",Master!L726)</x:f>
        <x:v>Unknown/not separately documented</x:v>
      </x:c>
      <x:c r="L10" s="3" t="str">
        <x:f>IF(Master!M726="","",Master!M726)</x:f>
      </x:c>
      <x:c r="M10" s="3" t="str">
        <x:f>IF(Master!N726="","",Master!N726)</x:f>
      </x:c>
      <x:c r="N10" s="3" t="str">
        <x:f>IF(Master!O726="","",Master!O726)</x:f>
        <x:v>Client/protocol-extension dependent</x:v>
      </x:c>
      <x:c r="O10" s="3" t="str">
        <x:f>IF(Master!P726="","",Master!P726)</x:f>
      </x:c>
      <x:c r="P10" s="3" t="str">
        <x:f>IF(Master!Q726="","",Master!Q726)</x:f>
      </x:c>
      <x:c r="Q10" s="3" t="str">
        <x:f>IF(Master!R726="","",Master!R726)</x:f>
      </x:c>
      <x:c r="R10" s="3" t="str">
        <x:f>IF(Master!S726="","",Master!S726)</x:f>
      </x:c>
      <x:c r="S10" s="3" t="str">
        <x:f>IF(Master!T726="","",Master!T726)</x:f>
      </x:c>
      <x:c r="T10" s="3" t="str">
        <x:f>IF(Master!U726="","",Master!U726)</x:f>
      </x:c>
      <x:c r="U10" s="3" t="str">
        <x:f>IF(Master!V726="","",Master!V726)</x:f>
        <x:v>Yes</x:v>
      </x:c>
      <x:c r="V10" s="3" t="str">
        <x:f>IF(Master!W726="","",Master!W726)</x:f>
      </x:c>
      <x:c r="W10" s="3" t="str">
        <x:f>IF(Master!X726="","",Master!X726)</x:f>
      </x:c>
      <x:c r="X10" s="3" t="str">
        <x:f>IF(Master!Y726="","",Master!Y726)</x:f>
      </x:c>
      <x:c r="Y10" s="3" t="str">
        <x:f>IF(Master!Z726="","",Master!Z726)</x:f>
      </x:c>
      <x:c r="Z10" s="3" t="str">
        <x:f>IF(Master!AA726="","",Master!AA726)</x:f>
      </x:c>
      <x:c r="AA10" s="6" t="str">
        <x:f>IF(Master!AB726="","",Master!AB726)</x:f>
      </x:c>
      <x:c r="AB10" s="3" t="str">
        <x:f>IF(Master!AC726="","",Master!AC726)</x:f>
      </x:c>
      <x:c r="AC10" s="3" t="str">
        <x:f>IF(Master!AD726="","",Master!AD726)</x:f>
      </x:c>
      <x:c r="AD10" s="3" t="str">
        <x:f>IF(Master!AE726="","",Master!AE726)</x:f>
      </x:c>
      <x:c r="AE10" s="3" t="str">
        <x:f>IF(Master!AF726="","",Master!AF726)</x:f>
      </x:c>
      <x:c r="AF10" s="8" t="str">
        <x:f>IF(Master!AG726="","",Master!AG726)</x:f>
      </x:c>
    </x:row>
    <x:row r="11" ht="36" customHeight="1">
      <x:c r="A11" s="17" t="s">
        <x:v>1325</x:v>
      </x:c>
      <x:c r="B11" s="3" t="str">
        <x:f>IF(Master!C727="","",Master!C727)</x:f>
        <x:v>Paid: Nitro for expanded customization</x:v>
      </x:c>
      <x:c r="C11" s="3" t="str">
        <x:f>IF(Master!D727="","",Master!D727)</x:f>
      </x:c>
      <x:c r="D11" s="3" t="str">
        <x:f>IF(Master!E727="","",Master!E727)</x:f>
      </x:c>
      <x:c r="E11" s="3" t="str">
        <x:f>IF(Master!F727="","",Master!F727)</x:f>
      </x:c>
      <x:c r="F11" s="3" t="str">
        <x:f>IF(Master!G727="","",Master!G727)</x:f>
      </x:c>
      <x:c r="G11" s="3" t="str">
        <x:f>IF(Master!H727="","",Master!H727)</x:f>
        <x:v>Paid: Plutonium</x:v>
      </x:c>
      <x:c r="H11" s="3" t="str">
        <x:f>IF(Master!I727="","",Master!I727)</x:f>
      </x:c>
      <x:c r="I11" s="3" t="str">
        <x:f>IF(Master!J727="","",Master!J727)</x:f>
      </x:c>
      <x:c r="J11" s="3" t="str">
        <x:f>IF(Master!K727="","",Master!K727)</x:f>
      </x:c>
      <x:c r="K11" s="3" t="str">
        <x:f>IF(Master!L727="","",Master!L727)</x:f>
        <x:v>Unknown/not separately documented</x:v>
      </x:c>
      <x:c r="L11" s="3" t="str">
        <x:f>IF(Master!M727="","",Master!M727)</x:f>
      </x:c>
      <x:c r="M11" s="3" t="str">
        <x:f>IF(Master!N727="","",Master!N727)</x:f>
      </x:c>
      <x:c r="N11" s="3" t="str">
        <x:f>IF(Master!O727="","",Master!O727)</x:f>
        <x:v>Client/provider-dependent</x:v>
      </x:c>
      <x:c r="O11" s="3" t="str">
        <x:f>IF(Master!P727="","",Master!P727)</x:f>
      </x:c>
      <x:c r="P11" s="3" t="str">
        <x:f>IF(Master!Q727="","",Master!Q727)</x:f>
      </x:c>
      <x:c r="Q11" s="3" t="str">
        <x:f>IF(Master!R727="","",Master!R727)</x:f>
      </x:c>
      <x:c r="R11" s="3" t="str">
        <x:f>IF(Master!S727="","",Master!S727)</x:f>
      </x:c>
      <x:c r="S11" s="3" t="str">
        <x:f>IF(Master!T727="","",Master!T727)</x:f>
      </x:c>
      <x:c r="T11" s="3" t="str">
        <x:f>IF(Master!U727="","",Master!U727)</x:f>
      </x:c>
      <x:c r="U11" s="3" t="str">
        <x:f>IF(Master!V727="","",Master!V727)</x:f>
        <x:v>Yes</x:v>
      </x:c>
      <x:c r="V11" s="3" t="str">
        <x:f>IF(Master!W727="","",Master!W727)</x:f>
      </x:c>
      <x:c r="W11" s="3" t="str">
        <x:f>IF(Master!X727="","",Master!X727)</x:f>
      </x:c>
      <x:c r="X11" s="3" t="str">
        <x:f>IF(Master!Y727="","",Master!Y727)</x:f>
      </x:c>
      <x:c r="Y11" s="3" t="str">
        <x:f>IF(Master!Z727="","",Master!Z727)</x:f>
      </x:c>
      <x:c r="Z11" s="3" t="str">
        <x:f>IF(Master!AA727="","",Master!AA727)</x:f>
      </x:c>
      <x:c r="AA11" s="6" t="str">
        <x:f>IF(Master!AB727="","",Master!AB727)</x:f>
      </x:c>
      <x:c r="AB11" s="3" t="str">
        <x:f>IF(Master!AC727="","",Master!AC727)</x:f>
      </x:c>
      <x:c r="AC11" s="3" t="str">
        <x:f>IF(Master!AD727="","",Master!AD727)</x:f>
      </x:c>
      <x:c r="AD11" s="3" t="str">
        <x:f>IF(Master!AE727="","",Master!AE727)</x:f>
      </x:c>
      <x:c r="AE11" s="3" t="str">
        <x:f>IF(Master!AF727="","",Master!AF727)</x:f>
      </x:c>
      <x:c r="AF11" s="8" t="str">
        <x:f>IF(Master!AG727="","",Master!AG727)</x:f>
      </x:c>
    </x:row>
    <x:row r="12" ht="21.950000762939453" customHeight="1">
      <x:c r="A12" s="18" t="s">
        <x:v>1326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1327</x:v>
      </x:c>
      <x:c r="B13" s="3" t="str">
        <x:f>IF(Master!C728="","",Master!C728)</x:f>
        <x:v>Yes</x:v>
      </x:c>
      <x:c r="C13" s="3" t="str">
        <x:f>IF(Master!D728="","",Master!D728)</x:f>
      </x:c>
      <x:c r="D13" s="3" t="str">
        <x:f>IF(Master!E728="","",Master!E728)</x:f>
      </x:c>
      <x:c r="E13" s="3" t="str">
        <x:f>IF(Master!F728="","",Master!F728)</x:f>
      </x:c>
      <x:c r="F13" s="3" t="str">
        <x:f>IF(Master!G728="","",Master!G728)</x:f>
        <x:v>Yes</x:v>
      </x:c>
      <x:c r="G13" s="3" t="str">
        <x:f>IF(Master!H728="","",Master!H728)</x:f>
        <x:v>Yes</x:v>
      </x:c>
      <x:c r="H13" s="3" t="str">
        <x:f>IF(Master!I728="","",Master!I728)</x:f>
        <x:v>Yes</x:v>
      </x:c>
      <x:c r="I13" s="3" t="str">
        <x:f>IF(Master!J728="","",Master!J728)</x:f>
      </x:c>
      <x:c r="J13" s="3" t="str">
        <x:f>IF(Master!K728="","",Master!K728)</x:f>
      </x:c>
      <x:c r="K13" s="3" t="str">
        <x:f>IF(Master!L728="","",Master!L728)</x:f>
        <x:v>Yes</x:v>
      </x:c>
      <x:c r="L13" s="3" t="str">
        <x:f>IF(Master!M728="","",Master!M728)</x:f>
      </x:c>
      <x:c r="M13" s="3" t="str">
        <x:f>IF(Master!N728="","",Master!N728)</x:f>
        <x:v>Yes</x:v>
      </x:c>
      <x:c r="N13" s="3" t="str">
        <x:f>IF(Master!O728="","",Master!O728)</x:f>
        <x:v>Client/room-state dependent</x:v>
      </x:c>
      <x:c r="O13" s="3" t="str">
        <x:f>IF(Master!P728="","",Master!P728)</x:f>
      </x:c>
      <x:c r="P13" s="3" t="str">
        <x:f>IF(Master!Q728="","",Master!Q728)</x:f>
        <x:v>Yes</x:v>
      </x:c>
      <x:c r="Q13" s="3" t="str">
        <x:f>IF(Master!R728="","",Master!R728)</x:f>
      </x:c>
      <x:c r="R13" s="3" t="str">
        <x:f>IF(Master!S728="","",Master!S728)</x:f>
        <x:v>Yes</x:v>
      </x:c>
      <x:c r="S13" s="3" t="str">
        <x:f>IF(Master!T728="","",Master!T728)</x:f>
      </x:c>
      <x:c r="T13" s="3" t="str">
        <x:f>IF(Master!U728="","",Master!U728)</x:f>
      </x:c>
      <x:c r="U13" s="3" t="str">
        <x:f>IF(Master!V728="","",Master!V728)</x:f>
        <x:v>Yes</x:v>
      </x:c>
      <x:c r="V13" s="3" t="str">
        <x:f>IF(Master!W728="","",Master!W728)</x:f>
      </x:c>
      <x:c r="W13" s="3" t="str">
        <x:f>IF(Master!X728="","",Master!X728)</x:f>
      </x:c>
      <x:c r="X13" s="3" t="str">
        <x:f>IF(Master!Y728="","",Master!Y728)</x:f>
        <x:v>Yes</x:v>
      </x:c>
      <x:c r="Y13" s="3" t="str">
        <x:f>IF(Master!Z728="","",Master!Z728)</x:f>
        <x:v>Yes / Discord-compatible target</x:v>
      </x:c>
      <x:c r="Z13" s="3" t="str">
        <x:f>IF(Master!AA728="","",Master!AA728)</x:f>
      </x:c>
      <x:c r="AA13" s="6" t="str">
        <x:f>IF(Master!AB728="","",Master!AB728)</x:f>
      </x:c>
      <x:c r="AB13" s="3" t="str">
        <x:f>IF(Master!AC728="","",Master!AC728)</x:f>
      </x:c>
      <x:c r="AC13" s="3" t="str">
        <x:f>IF(Master!AD728="","",Master!AD728)</x:f>
      </x:c>
      <x:c r="AD13" s="3" t="str">
        <x:f>IF(Master!AE728="","",Master!AE728)</x:f>
      </x:c>
      <x:c r="AE13" s="3" t="str">
        <x:f>IF(Master!AF728="","",Master!AF728)</x:f>
      </x:c>
      <x:c r="AF13" s="8" t="str">
        <x:f>IF(Master!AG728="","",Master!AG728)</x:f>
      </x:c>
    </x:row>
    <x:row r="14" ht="36" customHeight="1">
      <x:c r="A14" s="17" t="s">
        <x:v>1328</x:v>
      </x:c>
      <x:c r="B14" s="3" t="str">
        <x:f>IF(Master!C729="","",Master!C729)</x:f>
        <x:v>Free within owning server; cross-server use is a Nitro perk</x:v>
      </x:c>
      <x:c r="C14" s="3" t="str">
        <x:f>IF(Master!D729="","",Master!D729)</x:f>
      </x:c>
      <x:c r="D14" s="3" t="str">
        <x:f>IF(Master!E729="","",Master!E729)</x:f>
      </x:c>
      <x:c r="E14" s="3" t="str">
        <x:f>IF(Master!F729="","",Master!F729)</x:f>
      </x:c>
      <x:c r="F14" s="3" t="str">
        <x:f>IF(Master!G729="","",Master!G729)</x:f>
        <x:v>Free base; higher limits planned on paid tiers</x:v>
      </x:c>
      <x:c r="G14" s="3" t="str">
        <x:f>IF(Master!H729="","",Master!H729)</x:f>
        <x:v>Free in own community; Plutonium expands global use/limits</x:v>
      </x:c>
      <x:c r="H14" s="3" t="str">
        <x:f>IF(Master!I729="","",Master!I729)</x:f>
        <x:v>0 free → up to 500 Diamond</x:v>
      </x:c>
      <x:c r="I14" s="3" t="str">
        <x:f>IF(Master!J729="","",Master!J729)</x:f>
      </x:c>
      <x:c r="J14" s="3" t="str">
        <x:f>IF(Master!K729="","",Master!K729)</x:f>
      </x:c>
      <x:c r="K14" s="3" t="str">
        <x:f>IF(Master!L729="","",Master!L729)</x:f>
        <x:v>Free/current; no paid tier</x:v>
      </x:c>
      <x:c r="L14" s="3" t="str">
        <x:f>IF(Master!M729="","",Master!M729)</x:f>
      </x:c>
      <x:c r="M14" s="3" t="str">
        <x:f>IF(Master!N729="","",Master!N729)</x:f>
        <x:v>Open-beta/core</x:v>
      </x:c>
      <x:c r="N14" s="3" t="str">
        <x:f>IF(Master!O729="","",Master!O729)</x:f>
        <x:v>Client/provider-dependent</x:v>
      </x:c>
      <x:c r="O14" s="3" t="str">
        <x:f>IF(Master!P729="","",Master!P729)</x:f>
      </x:c>
      <x:c r="P14" s="3" t="str">
        <x:f>IF(Master!Q729="","",Master!Q729)</x:f>
        <x:v>Free</x:v>
      </x:c>
      <x:c r="Q14" s="3" t="str">
        <x:f>IF(Master!R729="","",Master!R729)</x:f>
      </x:c>
      <x:c r="R14" s="3" t="str">
        <x:f>IF(Master!S729="","",Master!S729)</x:f>
        <x:v>Free</x:v>
      </x:c>
      <x:c r="S14" s="3" t="str">
        <x:f>IF(Master!T729="","",Master!T729)</x:f>
      </x:c>
      <x:c r="T14" s="3" t="str">
        <x:f>IF(Master!U729="","",Master!U729)</x:f>
      </x:c>
      <x:c r="U14" s="3" t="str">
        <x:f>IF(Master!V729="","",Master!V729)</x:f>
        <x:v>50 Shard → 150 Ember → 250 Forge; personal 25 free → 100 Rift+</x:v>
      </x:c>
      <x:c r="V14" s="3" t="str">
        <x:f>IF(Master!W729="","",Master!W729)</x:f>
      </x:c>
      <x:c r="W14" s="3" t="str">
        <x:f>IF(Master!X729="","",Master!X729)</x:f>
      </x:c>
      <x:c r="X14" s="3" t="str">
        <x:f>IF(Master!Y729="","",Master!Y729)</x:f>
      </x:c>
      <x:c r="Y14" s="3" t="str">
        <x:f>IF(Master!Z729="","",Master!Z729)</x:f>
        <x:v>Operator-configurable</x:v>
      </x:c>
      <x:c r="Z14" s="3" t="str">
        <x:f>IF(Master!AA729="","",Master!AA729)</x:f>
      </x:c>
      <x:c r="AA14" s="6" t="str">
        <x:f>IF(Master!AB729="","",Master!AB729)</x:f>
      </x:c>
      <x:c r="AB14" s="3" t="str">
        <x:f>IF(Master!AC729="","",Master!AC729)</x:f>
      </x:c>
      <x:c r="AC14" s="3" t="str">
        <x:f>IF(Master!AD729="","",Master!AD729)</x:f>
      </x:c>
      <x:c r="AD14" s="3" t="str">
        <x:f>IF(Master!AE729="","",Master!AE729)</x:f>
      </x:c>
      <x:c r="AE14" s="3" t="str">
        <x:f>IF(Master!AF729="","",Master!AF729)</x:f>
      </x:c>
      <x:c r="AF14" s="8" t="str">
        <x:f>IF(Master!AG729="","",Master!AG729)</x:f>
      </x:c>
    </x:row>
    <x:row r="15" ht="36" customHeight="1">
      <x:c r="A15" s="17" t="s">
        <x:v>1329</x:v>
      </x:c>
      <x:c r="B15" s="3" t="str">
        <x:f>IF(Master!C730="","",Master!C730)</x:f>
        <x:v>Yes</x:v>
      </x:c>
      <x:c r="C15" s="3" t="str">
        <x:f>IF(Master!D730="","",Master!D730)</x:f>
      </x:c>
      <x:c r="D15" s="3" t="str">
        <x:f>IF(Master!E730="","",Master!E730)</x:f>
      </x:c>
      <x:c r="E15" s="3" t="str">
        <x:f>IF(Master!F730="","",Master!F730)</x:f>
      </x:c>
      <x:c r="F15" s="3" t="str">
        <x:f>IF(Master!G730="","",Master!G730)</x:f>
      </x:c>
      <x:c r="G15" s="3" t="str">
        <x:f>IF(Master!H730="","",Master!H730)</x:f>
        <x:v>Yes</x:v>
      </x:c>
      <x:c r="H15" s="3" t="str">
        <x:f>IF(Master!I730="","",Master!I730)</x:f>
      </x:c>
      <x:c r="I15" s="3" t="str">
        <x:f>IF(Master!J730="","",Master!J730)</x:f>
      </x:c>
      <x:c r="J15" s="3" t="str">
        <x:f>IF(Master!K730="","",Master!K730)</x:f>
      </x:c>
      <x:c r="K15" s="3" t="str">
        <x:f>IF(Master!L730="","",Master!L730)</x:f>
        <x:v>Not separately documented</x:v>
      </x:c>
      <x:c r="L15" s="3" t="str">
        <x:f>IF(Master!M730="","",Master!M730)</x:f>
      </x:c>
      <x:c r="M15" s="3" t="str">
        <x:f>IF(Master!N730="","",Master!N730)</x:f>
      </x:c>
      <x:c r="N15" s="3" t="str">
        <x:f>IF(Master!O730="","",Master!O730)</x:f>
      </x:c>
      <x:c r="O15" s="3" t="str">
        <x:f>IF(Master!P730="","",Master!P730)</x:f>
      </x:c>
      <x:c r="P15" s="3" t="str">
        <x:f>IF(Master!Q730="","",Master!Q730)</x:f>
      </x:c>
      <x:c r="Q15" s="3" t="str">
        <x:f>IF(Master!R730="","",Master!R730)</x:f>
      </x:c>
      <x:c r="R15" s="3" t="str">
        <x:f>IF(Master!S730="","",Master!S730)</x:f>
      </x:c>
      <x:c r="S15" s="3" t="str">
        <x:f>IF(Master!T730="","",Master!T730)</x:f>
      </x:c>
      <x:c r="T15" s="3" t="str">
        <x:f>IF(Master!U730="","",Master!U730)</x:f>
      </x:c>
      <x:c r="U15" s="3" t="str">
        <x:f>IF(Master!V730="","",Master!V730)</x:f>
        <x:v>Yes</x:v>
      </x:c>
      <x:c r="V15" s="3" t="str">
        <x:f>IF(Master!W730="","",Master!W730)</x:f>
      </x:c>
      <x:c r="W15" s="3" t="str">
        <x:f>IF(Master!X730="","",Master!X730)</x:f>
      </x:c>
      <x:c r="X15" s="3" t="str">
        <x:f>IF(Master!Y730="","",Master!Y730)</x:f>
      </x:c>
      <x:c r="Y15" s="3" t="str">
        <x:f>IF(Master!Z730="","",Master!Z730)</x:f>
      </x:c>
      <x:c r="Z15" s="3" t="str">
        <x:f>IF(Master!AA730="","",Master!AA730)</x:f>
      </x:c>
      <x:c r="AA15" s="6" t="str">
        <x:f>IF(Master!AB730="","",Master!AB730)</x:f>
      </x:c>
      <x:c r="AB15" s="3" t="str">
        <x:f>IF(Master!AC730="","",Master!AC730)</x:f>
      </x:c>
      <x:c r="AC15" s="3" t="str">
        <x:f>IF(Master!AD730="","",Master!AD730)</x:f>
      </x:c>
      <x:c r="AD15" s="3" t="str">
        <x:f>IF(Master!AE730="","",Master!AE730)</x:f>
      </x:c>
      <x:c r="AE15" s="3" t="str">
        <x:f>IF(Master!AF730="","",Master!AF730)</x:f>
      </x:c>
      <x:c r="AF15" s="8" t="str">
        <x:f>IF(Master!AG730="","",Master!AG730)</x:f>
      </x:c>
    </x:row>
    <x:row r="16" ht="36" customHeight="1">
      <x:c r="A16" s="17" t="s">
        <x:v>1330</x:v>
      </x:c>
      <x:c r="B16" s="3" t="str">
        <x:f>IF(Master!C731="","",Master!C731)</x:f>
        <x:v>Server-dependent creation; Nitro expands use</x:v>
      </x:c>
      <x:c r="C16" s="3" t="str">
        <x:f>IF(Master!D731="","",Master!D731)</x:f>
      </x:c>
      <x:c r="D16" s="3" t="str">
        <x:f>IF(Master!E731="","",Master!E731)</x:f>
      </x:c>
      <x:c r="E16" s="3" t="str">
        <x:f>IF(Master!F731="","",Master!F731)</x:f>
      </x:c>
      <x:c r="F16" s="3" t="str">
        <x:f>IF(Master!G731="","",Master!G731)</x:f>
      </x:c>
      <x:c r="G16" s="3" t="str">
        <x:f>IF(Master!H731="","",Master!H731)</x:f>
        <x:v>Plutonium expands use</x:v>
      </x:c>
      <x:c r="H16" s="3" t="str">
        <x:f>IF(Master!I731="","",Master!I731)</x:f>
      </x:c>
      <x:c r="I16" s="3" t="str">
        <x:f>IF(Master!J731="","",Master!J731)</x:f>
      </x:c>
      <x:c r="J16" s="3" t="str">
        <x:f>IF(Master!K731="","",Master!K731)</x:f>
      </x:c>
      <x:c r="K16" s="3" t="str">
        <x:f>IF(Master!L731="","",Master!L731)</x:f>
        <x:v>Not separately documented</x:v>
      </x:c>
      <x:c r="L16" s="3" t="str">
        <x:f>IF(Master!M731="","",Master!M731)</x:f>
      </x:c>
      <x:c r="M16" s="3" t="str">
        <x:f>IF(Master!N731="","",Master!N731)</x:f>
      </x:c>
      <x:c r="N16" s="3" t="str">
        <x:f>IF(Master!O731="","",Master!O731)</x:f>
      </x:c>
      <x:c r="O16" s="3" t="str">
        <x:f>IF(Master!P731="","",Master!P731)</x:f>
      </x:c>
      <x:c r="P16" s="3" t="str">
        <x:f>IF(Master!Q731="","",Master!Q731)</x:f>
      </x:c>
      <x:c r="Q16" s="3" t="str">
        <x:f>IF(Master!R731="","",Master!R731)</x:f>
      </x:c>
      <x:c r="R16" s="3" t="str">
        <x:f>IF(Master!S731="","",Master!S731)</x:f>
      </x:c>
      <x:c r="S16" s="3" t="str">
        <x:f>IF(Master!T731="","",Master!T731)</x:f>
      </x:c>
      <x:c r="T16" s="3" t="str">
        <x:f>IF(Master!U731="","",Master!U731)</x:f>
      </x:c>
      <x:c r="U16" s="3" t="str">
        <x:f>IF(Master!V731="","",Master!V731)</x:f>
      </x:c>
      <x:c r="V16" s="3" t="str">
        <x:f>IF(Master!W731="","",Master!W731)</x:f>
      </x:c>
      <x:c r="W16" s="3" t="str">
        <x:f>IF(Master!X731="","",Master!X731)</x:f>
      </x:c>
      <x:c r="X16" s="3" t="str">
        <x:f>IF(Master!Y731="","",Master!Y731)</x:f>
      </x:c>
      <x:c r="Y16" s="3" t="str">
        <x:f>IF(Master!Z731="","",Master!Z731)</x:f>
      </x:c>
      <x:c r="Z16" s="3" t="str">
        <x:f>IF(Master!AA731="","",Master!AA731)</x:f>
      </x:c>
      <x:c r="AA16" s="6" t="str">
        <x:f>IF(Master!AB731="","",Master!AB731)</x:f>
      </x:c>
      <x:c r="AB16" s="3" t="str">
        <x:f>IF(Master!AC731="","",Master!AC731)</x:f>
      </x:c>
      <x:c r="AC16" s="3" t="str">
        <x:f>IF(Master!AD731="","",Master!AD731)</x:f>
      </x:c>
      <x:c r="AD16" s="3" t="str">
        <x:f>IF(Master!AE731="","",Master!AE731)</x:f>
      </x:c>
      <x:c r="AE16" s="3" t="str">
        <x:f>IF(Master!AF731="","",Master!AF731)</x:f>
      </x:c>
      <x:c r="AF16" s="8" t="str">
        <x:f>IF(Master!AG731="","",Master!AG731)</x:f>
      </x:c>
    </x:row>
    <x:row r="17" ht="36" customHeight="1">
      <x:c r="A17" s="17" t="s">
        <x:v>1331</x:v>
      </x:c>
      <x:c r="B17" s="3" t="str">
        <x:f>IF(Master!C732="","",Master!C732)</x:f>
        <x:v>Yes</x:v>
      </x:c>
      <x:c r="C17" s="3" t="str">
        <x:f>IF(Master!D732="","",Master!D732)</x:f>
      </x:c>
      <x:c r="D17" s="3" t="str">
        <x:f>IF(Master!E732="","",Master!E732)</x:f>
      </x:c>
      <x:c r="E17" s="3" t="str">
        <x:f>IF(Master!F732="","",Master!F732)</x:f>
      </x:c>
      <x:c r="F17" s="3" t="str">
        <x:f>IF(Master!G732="","",Master!G732)</x:f>
      </x:c>
      <x:c r="G17" s="3" t="str">
        <x:f>IF(Master!H732="","",Master!H732)</x:f>
        <x:v>Yes</x:v>
      </x:c>
      <x:c r="H17" s="3" t="str">
        <x:f>IF(Master!I732="","",Master!I732)</x:f>
      </x:c>
      <x:c r="I17" s="3" t="str">
        <x:f>IF(Master!J732="","",Master!J732)</x:f>
      </x:c>
      <x:c r="J17" s="3" t="str">
        <x:f>IF(Master!K732="","",Master!K732)</x:f>
      </x:c>
      <x:c r="K17" s="3" t="str">
        <x:f>IF(Master!L732="","",Master!L732)</x:f>
        <x:v>Yes</x:v>
      </x:c>
      <x:c r="L17" s="3" t="str">
        <x:f>IF(Master!M732="","",Master!M732)</x:f>
      </x:c>
      <x:c r="M17" s="3" t="str">
        <x:f>IF(Master!N732="","",Master!N732)</x:f>
      </x:c>
      <x:c r="N17" s="3" t="str">
        <x:f>IF(Master!O732="","",Master!O732)</x:f>
      </x:c>
      <x:c r="O17" s="3" t="str">
        <x:f>IF(Master!P732="","",Master!P732)</x:f>
      </x:c>
      <x:c r="P17" s="3" t="str">
        <x:f>IF(Master!Q732="","",Master!Q732)</x:f>
      </x:c>
      <x:c r="Q17" s="3" t="str">
        <x:f>IF(Master!R732="","",Master!R732)</x:f>
      </x:c>
      <x:c r="R17" s="3" t="str">
        <x:f>IF(Master!S732="","",Master!S732)</x:f>
      </x:c>
      <x:c r="S17" s="3" t="str">
        <x:f>IF(Master!T732="","",Master!T732)</x:f>
      </x:c>
      <x:c r="T17" s="3" t="str">
        <x:f>IF(Master!U732="","",Master!U732)</x:f>
      </x:c>
      <x:c r="U17" s="3" t="str">
        <x:f>IF(Master!V732="","",Master!V732)</x:f>
        <x:v>Yes</x:v>
      </x:c>
      <x:c r="V17" s="3" t="str">
        <x:f>IF(Master!W732="","",Master!W732)</x:f>
      </x:c>
      <x:c r="W17" s="3" t="str">
        <x:f>IF(Master!X732="","",Master!X732)</x:f>
      </x:c>
      <x:c r="X17" s="3" t="str">
        <x:f>IF(Master!Y732="","",Master!Y732)</x:f>
      </x:c>
      <x:c r="Y17" s="3" t="str">
        <x:f>IF(Master!Z732="","",Master!Z732)</x:f>
      </x:c>
      <x:c r="Z17" s="3" t="str">
        <x:f>IF(Master!AA732="","",Master!AA732)</x:f>
      </x:c>
      <x:c r="AA17" s="6" t="str">
        <x:f>IF(Master!AB732="","",Master!AB732)</x:f>
      </x:c>
      <x:c r="AB17" s="3" t="str">
        <x:f>IF(Master!AC732="","",Master!AC732)</x:f>
      </x:c>
      <x:c r="AC17" s="3" t="str">
        <x:f>IF(Master!AD732="","",Master!AD732)</x:f>
      </x:c>
      <x:c r="AD17" s="3" t="str">
        <x:f>IF(Master!AE732="","",Master!AE732)</x:f>
      </x:c>
      <x:c r="AE17" s="3" t="str">
        <x:f>IF(Master!AF732="","",Master!AF732)</x:f>
      </x:c>
      <x:c r="AF17" s="8" t="str">
        <x:f>IF(Master!AG732="","",Master!AG732)</x:f>
      </x:c>
    </x:row>
    <x:row r="18" ht="36" customHeight="1">
      <x:c r="A18" s="17" t="s">
        <x:v>1332</x:v>
      </x:c>
      <x:c r="B18" s="3" t="str">
        <x:f>IF(Master!C733="","",Master!C733)</x:f>
        <x:v>Server-dependent; Nitro expands cross-server use</x:v>
      </x:c>
      <x:c r="C18" s="3" t="str">
        <x:f>IF(Master!D733="","",Master!D733)</x:f>
      </x:c>
      <x:c r="D18" s="3" t="str">
        <x:f>IF(Master!E733="","",Master!E733)</x:f>
      </x:c>
      <x:c r="E18" s="3" t="str">
        <x:f>IF(Master!F733="","",Master!F733)</x:f>
      </x:c>
      <x:c r="F18" s="3" t="str">
        <x:f>IF(Master!G733="","",Master!G733)</x:f>
      </x:c>
      <x:c r="G18" s="3" t="str">
        <x:f>IF(Master!H733="","",Master!H733)</x:f>
        <x:v>Plutonium expands use</x:v>
      </x:c>
      <x:c r="H18" s="3" t="str">
        <x:f>IF(Master!I733="","",Master!I733)</x:f>
      </x:c>
      <x:c r="I18" s="3" t="str">
        <x:f>IF(Master!J733="","",Master!J733)</x:f>
      </x:c>
      <x:c r="J18" s="3" t="str">
        <x:f>IF(Master!K733="","",Master!K733)</x:f>
      </x:c>
      <x:c r="K18" s="3" t="str">
        <x:f>IF(Master!L733="","",Master!L733)</x:f>
        <x:v>Free/current; no paid tier</x:v>
      </x:c>
      <x:c r="L18" s="3" t="str">
        <x:f>IF(Master!M733="","",Master!M733)</x:f>
      </x:c>
      <x:c r="M18" s="3" t="str">
        <x:f>IF(Master!N733="","",Master!N733)</x:f>
      </x:c>
      <x:c r="N18" s="3" t="str">
        <x:f>IF(Master!O733="","",Master!O733)</x:f>
      </x:c>
      <x:c r="O18" s="3" t="str">
        <x:f>IF(Master!P733="","",Master!P733)</x:f>
      </x:c>
      <x:c r="P18" s="3" t="str">
        <x:f>IF(Master!Q733="","",Master!Q733)</x:f>
      </x:c>
      <x:c r="Q18" s="3" t="str">
        <x:f>IF(Master!R733="","",Master!R733)</x:f>
      </x:c>
      <x:c r="R18" s="3" t="str">
        <x:f>IF(Master!S733="","",Master!S733)</x:f>
      </x:c>
      <x:c r="S18" s="3" t="str">
        <x:f>IF(Master!T733="","",Master!T733)</x:f>
      </x:c>
      <x:c r="T18" s="3" t="str">
        <x:f>IF(Master!U733="","",Master!U733)</x:f>
      </x:c>
      <x:c r="U18" s="3" t="str">
        <x:f>IF(Master!V733="","",Master!V733)</x:f>
      </x:c>
      <x:c r="V18" s="3" t="str">
        <x:f>IF(Master!W733="","",Master!W733)</x:f>
      </x:c>
      <x:c r="W18" s="3" t="str">
        <x:f>IF(Master!X733="","",Master!X733)</x:f>
      </x:c>
      <x:c r="X18" s="3" t="str">
        <x:f>IF(Master!Y733="","",Master!Y733)</x:f>
      </x:c>
      <x:c r="Y18" s="3" t="str">
        <x:f>IF(Master!Z733="","",Master!Z733)</x:f>
      </x:c>
      <x:c r="Z18" s="3" t="str">
        <x:f>IF(Master!AA733="","",Master!AA733)</x:f>
      </x:c>
      <x:c r="AA18" s="6" t="str">
        <x:f>IF(Master!AB733="","",Master!AB733)</x:f>
      </x:c>
      <x:c r="AB18" s="3" t="str">
        <x:f>IF(Master!AC733="","",Master!AC733)</x:f>
      </x:c>
      <x:c r="AC18" s="3" t="str">
        <x:f>IF(Master!AD733="","",Master!AD733)</x:f>
      </x:c>
      <x:c r="AD18" s="3" t="str">
        <x:f>IF(Master!AE733="","",Master!AE733)</x:f>
      </x:c>
      <x:c r="AE18" s="3" t="str">
        <x:f>IF(Master!AF733="","",Master!AF733)</x:f>
      </x:c>
      <x:c r="AF18" s="8" t="str">
        <x:f>IF(Master!AG733="","",Master!AG733)</x:f>
      </x:c>
    </x:row>
    <x:row r="19" ht="36" customHeight="1">
      <x:c r="A19" s="17" t="s">
        <x:v>1333</x:v>
      </x:c>
      <x:c r="B19" s="3" t="str">
        <x:f>IF(Master!C734="","",Master!C734)</x:f>
        <x:v>Partial</x:v>
      </x:c>
      <x:c r="C19" s="3" t="str">
        <x:f>IF(Master!D734="","",Master!D734)</x:f>
      </x:c>
      <x:c r="D19" s="3" t="str">
        <x:f>IF(Master!E734="","",Master!E734)</x:f>
      </x:c>
      <x:c r="E19" s="3" t="str">
        <x:f>IF(Master!F734="","",Master!F734)</x:f>
      </x:c>
      <x:c r="F19" s="3" t="str">
        <x:f>IF(Master!G734="","",Master!G734)</x:f>
      </x:c>
      <x:c r="G19" s="3" t="str">
        <x:f>IF(Master!H734="","",Master!H734)</x:f>
      </x:c>
      <x:c r="H19" s="3" t="str">
        <x:f>IF(Master!I734="","",Master!I734)</x:f>
      </x:c>
      <x:c r="I19" s="3" t="str">
        <x:f>IF(Master!J734="","",Master!J734)</x:f>
      </x:c>
      <x:c r="J19" s="3" t="str">
        <x:f>IF(Master!K734="","",Master!K734)</x:f>
      </x:c>
      <x:c r="K19" s="3" t="str">
        <x:f>IF(Master!L734="","",Master!L734)</x:f>
        <x:v>Not separately documented</x:v>
      </x:c>
      <x:c r="L19" s="3" t="str">
        <x:f>IF(Master!M734="","",Master!M734)</x:f>
      </x:c>
      <x:c r="M19" s="3" t="str">
        <x:f>IF(Master!N734="","",Master!N734)</x:f>
      </x:c>
      <x:c r="N19" s="3" t="str">
        <x:f>IF(Master!O734="","",Master!O734)</x:f>
      </x:c>
      <x:c r="O19" s="3" t="str">
        <x:f>IF(Master!P734="","",Master!P734)</x:f>
      </x:c>
      <x:c r="P19" s="3" t="str">
        <x:f>IF(Master!Q734="","",Master!Q734)</x:f>
      </x:c>
      <x:c r="Q19" s="3" t="str">
        <x:f>IF(Master!R734="","",Master!R734)</x:f>
      </x:c>
      <x:c r="R19" s="3" t="str">
        <x:f>IF(Master!S734="","",Master!S734)</x:f>
      </x:c>
      <x:c r="S19" s="3" t="str">
        <x:f>IF(Master!T734="","",Master!T734)</x:f>
      </x:c>
      <x:c r="T19" s="3" t="str">
        <x:f>IF(Master!U734="","",Master!U734)</x:f>
      </x:c>
      <x:c r="U19" s="3" t="str">
        <x:f>IF(Master!V734="","",Master!V734)</x:f>
        <x:v>Yes</x:v>
      </x:c>
      <x:c r="V19" s="3" t="str">
        <x:f>IF(Master!W734="","",Master!W734)</x:f>
      </x:c>
      <x:c r="W19" s="3" t="str">
        <x:f>IF(Master!X734="","",Master!X734)</x:f>
      </x:c>
      <x:c r="X19" s="3" t="str">
        <x:f>IF(Master!Y734="","",Master!Y734)</x:f>
      </x:c>
      <x:c r="Y19" s="3" t="str">
        <x:f>IF(Master!Z734="","",Master!Z734)</x:f>
      </x:c>
      <x:c r="Z19" s="3" t="str">
        <x:f>IF(Master!AA734="","",Master!AA734)</x:f>
      </x:c>
      <x:c r="AA19" s="6" t="str">
        <x:f>IF(Master!AB734="","",Master!AB734)</x:f>
      </x:c>
      <x:c r="AB19" s="3" t="str">
        <x:f>IF(Master!AC734="","",Master!AC734)</x:f>
      </x:c>
      <x:c r="AC19" s="3" t="str">
        <x:f>IF(Master!AD734="","",Master!AD734)</x:f>
      </x:c>
      <x:c r="AD19" s="3" t="str">
        <x:f>IF(Master!AE734="","",Master!AE734)</x:f>
      </x:c>
      <x:c r="AE19" s="3" t="str">
        <x:f>IF(Master!AF734="","",Master!AF734)</x:f>
      </x:c>
      <x:c r="AF19" s="8" t="str">
        <x:f>IF(Master!AG734="","",Master!AG734)</x:f>
      </x:c>
    </x:row>
    <x:row r="20" ht="23.100000381469727" customHeight="1">
      <x:c r="A20" s="17" t="s">
        <x:v>1334</x:v>
      </x:c>
      <x:c r="B20" s="4" t="str">
        <x:f>IF(Master!C735="","",Master!C735)</x:f>
      </x:c>
      <x:c r="C20" s="4" t="str">
        <x:f>IF(Master!D735="","",Master!D735)</x:f>
      </x:c>
      <x:c r="D20" s="4" t="str">
        <x:f>IF(Master!E735="","",Master!E735)</x:f>
      </x:c>
      <x:c r="E20" s="4" t="str">
        <x:f>IF(Master!F735="","",Master!F735)</x:f>
      </x:c>
      <x:c r="F20" s="4" t="str">
        <x:f>IF(Master!G735="","",Master!G735)</x:f>
      </x:c>
      <x:c r="G20" s="4" t="str">
        <x:f>IF(Master!H735="","",Master!H735)</x:f>
      </x:c>
      <x:c r="H20" s="4" t="str">
        <x:f>IF(Master!I735="","",Master!I735)</x:f>
      </x:c>
      <x:c r="I20" s="4" t="str">
        <x:f>IF(Master!J735="","",Master!J735)</x:f>
      </x:c>
      <x:c r="J20" s="4" t="str">
        <x:f>IF(Master!K735="","",Master!K735)</x:f>
      </x:c>
      <x:c r="K20" s="4" t="str">
        <x:f>IF(Master!L735="","",Master!L735)</x:f>
        <x:v>Not separately documented</x:v>
      </x:c>
      <x:c r="L20" s="4" t="str">
        <x:f>IF(Master!M735="","",Master!M735)</x:f>
      </x:c>
      <x:c r="M20" s="4" t="str">
        <x:f>IF(Master!N735="","",Master!N735)</x:f>
      </x:c>
      <x:c r="N20" s="4" t="str">
        <x:f>IF(Master!O735="","",Master!O735)</x:f>
      </x:c>
      <x:c r="O20" s="4" t="str">
        <x:f>IF(Master!P735="","",Master!P735)</x:f>
      </x:c>
      <x:c r="P20" s="4" t="str">
        <x:f>IF(Master!Q735="","",Master!Q735)</x:f>
      </x:c>
      <x:c r="Q20" s="4" t="str">
        <x:f>IF(Master!R735="","",Master!R735)</x:f>
      </x:c>
      <x:c r="R20" s="4" t="str">
        <x:f>IF(Master!S735="","",Master!S735)</x:f>
      </x:c>
      <x:c r="S20" s="4" t="str">
        <x:f>IF(Master!T735="","",Master!T735)</x:f>
      </x:c>
      <x:c r="T20" s="4" t="str">
        <x:f>IF(Master!U735="","",Master!U735)</x:f>
      </x:c>
      <x:c r="U20" s="4" t="str">
        <x:f>IF(Master!V735="","",Master!V735)</x:f>
        <x:v>Free</x:v>
      </x:c>
      <x:c r="V20" s="4" t="str">
        <x:f>IF(Master!W735="","",Master!W735)</x:f>
      </x:c>
      <x:c r="W20" s="4" t="str">
        <x:f>IF(Master!X735="","",Master!X735)</x:f>
      </x:c>
      <x:c r="X20" s="4" t="str">
        <x:f>IF(Master!Y735="","",Master!Y735)</x:f>
      </x:c>
      <x:c r="Y20" s="4" t="str">
        <x:f>IF(Master!Z735="","",Master!Z735)</x:f>
      </x:c>
      <x:c r="Z20" s="4" t="str">
        <x:f>IF(Master!AA735="","",Master!AA735)</x:f>
      </x:c>
      <x:c r="AA20" s="5" t="str">
        <x:f>IF(Master!AB735="","",Master!AB735)</x:f>
      </x:c>
      <x:c r="AB20" s="4" t="str">
        <x:f>IF(Master!AC735="","",Master!AC735)</x:f>
      </x:c>
      <x:c r="AC20" s="4" t="str">
        <x:f>IF(Master!AD735="","",Master!AD735)</x:f>
      </x:c>
      <x:c r="AD20" s="4" t="str">
        <x:f>IF(Master!AE735="","",Master!AE735)</x:f>
      </x:c>
      <x:c r="AE20" s="4" t="str">
        <x:f>IF(Master!AF735="","",Master!AF735)</x:f>
      </x:c>
      <x:c r="AF20" s="8" t="str">
        <x:f>IF(Master!AG735="","",Master!AG735)</x:f>
      </x:c>
    </x:row>
    <x:row r="21" ht="36" customHeight="1">
      <x:c r="A21" s="17" t="s">
        <x:v>1335</x:v>
      </x:c>
      <x:c r="B21" s="3" t="str">
        <x:f>IF(Master!C736="","",Master!C736)</x:f>
        <x:v>Yes</x:v>
      </x:c>
      <x:c r="C21" s="3" t="str">
        <x:f>IF(Master!D736="","",Master!D736)</x:f>
      </x:c>
      <x:c r="D21" s="3" t="str">
        <x:f>IF(Master!E736="","",Master!E736)</x:f>
      </x:c>
      <x:c r="E21" s="3" t="str">
        <x:f>IF(Master!F736="","",Master!F736)</x:f>
      </x:c>
      <x:c r="F21" s="3" t="str">
        <x:f>IF(Master!G736="","",Master!G736)</x:f>
      </x:c>
      <x:c r="G21" s="3" t="str">
        <x:f>IF(Master!H736="","",Master!H736)</x:f>
      </x:c>
      <x:c r="H21" s="3" t="str">
        <x:f>IF(Master!I736="","",Master!I736)</x:f>
        <x:v>Yes</x:v>
      </x:c>
      <x:c r="I21" s="3" t="str">
        <x:f>IF(Master!J736="","",Master!J736)</x:f>
      </x:c>
      <x:c r="J21" s="3" t="str">
        <x:f>IF(Master!K736="","",Master!K736)</x:f>
      </x:c>
      <x:c r="K21" s="3" t="str">
        <x:f>IF(Master!L736="","",Master!L736)</x:f>
        <x:v>Yes</x:v>
      </x:c>
      <x:c r="L21" s="3" t="str">
        <x:f>IF(Master!M736="","",Master!M736)</x:f>
      </x:c>
      <x:c r="M21" s="3" t="str">
        <x:f>IF(Master!N736="","",Master!N736)</x:f>
      </x:c>
      <x:c r="N21" s="3" t="str">
        <x:f>IF(Master!O736="","",Master!O736)</x:f>
      </x:c>
      <x:c r="O21" s="3" t="str">
        <x:f>IF(Master!P736="","",Master!P736)</x:f>
      </x:c>
      <x:c r="P21" s="3" t="str">
        <x:f>IF(Master!Q736="","",Master!Q736)</x:f>
      </x:c>
      <x:c r="Q21" s="3" t="str">
        <x:f>IF(Master!R736="","",Master!R736)</x:f>
      </x:c>
      <x:c r="R21" s="3" t="str">
        <x:f>IF(Master!S736="","",Master!S736)</x:f>
      </x:c>
      <x:c r="S21" s="3" t="str">
        <x:f>IF(Master!T736="","",Master!T736)</x:f>
      </x:c>
      <x:c r="T21" s="3" t="str">
        <x:f>IF(Master!U736="","",Master!U736)</x:f>
      </x:c>
      <x:c r="U21" s="3" t="str">
        <x:f>IF(Master!V736="","",Master!V736)</x:f>
        <x:v>Yes</x:v>
      </x:c>
      <x:c r="V21" s="3" t="str">
        <x:f>IF(Master!W736="","",Master!W736)</x:f>
      </x:c>
      <x:c r="W21" s="3" t="str">
        <x:f>IF(Master!X736="","",Master!X736)</x:f>
      </x:c>
      <x:c r="X21" s="3" t="str">
        <x:f>IF(Master!Y736="","",Master!Y736)</x:f>
      </x:c>
      <x:c r="Y21" s="3" t="str">
        <x:f>IF(Master!Z736="","",Master!Z736)</x:f>
      </x:c>
      <x:c r="Z21" s="3" t="str">
        <x:f>IF(Master!AA736="","",Master!AA736)</x:f>
      </x:c>
      <x:c r="AA21" s="6" t="str">
        <x:f>IF(Master!AB736="","",Master!AB736)</x:f>
      </x:c>
      <x:c r="AB21" s="3" t="str">
        <x:f>IF(Master!AC736="","",Master!AC736)</x:f>
      </x:c>
      <x:c r="AC21" s="3" t="str">
        <x:f>IF(Master!AD736="","",Master!AD736)</x:f>
      </x:c>
      <x:c r="AD21" s="3" t="str">
        <x:f>IF(Master!AE736="","",Master!AE736)</x:f>
      </x:c>
      <x:c r="AE21" s="3" t="str">
        <x:f>IF(Master!AF736="","",Master!AF736)</x:f>
      </x:c>
      <x:c r="AF21" s="8" t="str">
        <x:f>IF(Master!AG736="","",Master!AG736)</x:f>
      </x:c>
    </x:row>
    <x:row r="22" ht="36" customHeight="1">
      <x:c r="A22" s="17" t="s">
        <x:v>1336</x:v>
      </x:c>
      <x:c r="B22" s="3" t="str">
        <x:f>IF(Master!C737="","",Master!C737)</x:f>
        <x:v>Free base slots; more slots with Server Boost level</x:v>
      </x:c>
      <x:c r="C22" s="3" t="str">
        <x:f>IF(Master!D737="","",Master!D737)</x:f>
      </x:c>
      <x:c r="D22" s="3" t="str">
        <x:f>IF(Master!E737="","",Master!E737)</x:f>
      </x:c>
      <x:c r="E22" s="3" t="str">
        <x:f>IF(Master!F737="","",Master!F737)</x:f>
      </x:c>
      <x:c r="F22" s="3" t="str">
        <x:f>IF(Master!G737="","",Master!G737)</x:f>
      </x:c>
      <x:c r="G22" s="3" t="str">
        <x:f>IF(Master!H737="","",Master!H737)</x:f>
      </x:c>
      <x:c r="H22" s="3" t="str">
        <x:f>IF(Master!I737="","",Master!I737)</x:f>
        <x:v>8 free → 48 Diamond</x:v>
      </x:c>
      <x:c r="I22" s="3" t="str">
        <x:f>IF(Master!J737="","",Master!J737)</x:f>
      </x:c>
      <x:c r="J22" s="3" t="str">
        <x:f>IF(Master!K737="","",Master!K737)</x:f>
      </x:c>
      <x:c r="K22" s="3" t="str">
        <x:f>IF(Master!L737="","",Master!L737)</x:f>
        <x:v>Free/current; no paid tier</x:v>
      </x:c>
      <x:c r="L22" s="3" t="str">
        <x:f>IF(Master!M737="","",Master!M737)</x:f>
      </x:c>
      <x:c r="M22" s="3" t="str">
        <x:f>IF(Master!N737="","",Master!N737)</x:f>
      </x:c>
      <x:c r="N22" s="3" t="str">
        <x:f>IF(Master!O737="","",Master!O737)</x:f>
      </x:c>
      <x:c r="O22" s="3" t="str">
        <x:f>IF(Master!P737="","",Master!P737)</x:f>
      </x:c>
      <x:c r="P22" s="3" t="str">
        <x:f>IF(Master!Q737="","",Master!Q737)</x:f>
      </x:c>
      <x:c r="Q22" s="3" t="str">
        <x:f>IF(Master!R737="","",Master!R737)</x:f>
      </x:c>
      <x:c r="R22" s="3" t="str">
        <x:f>IF(Master!S737="","",Master!S737)</x:f>
      </x:c>
      <x:c r="S22" s="3" t="str">
        <x:f>IF(Master!T737="","",Master!T737)</x:f>
      </x:c>
      <x:c r="T22" s="3" t="str">
        <x:f>IF(Master!U737="","",Master!U737)</x:f>
      </x:c>
      <x:c r="U22" s="3" t="str">
        <x:f>IF(Master!V737="","",Master!V737)</x:f>
        <x:v>10 free Shard → 25 Ember → 75 Forge; personal 5 free → 25 Rift+</x:v>
      </x:c>
      <x:c r="V22" s="3" t="str">
        <x:f>IF(Master!W737="","",Master!W737)</x:f>
      </x:c>
      <x:c r="W22" s="3" t="str">
        <x:f>IF(Master!X737="","",Master!X737)</x:f>
      </x:c>
      <x:c r="X22" s="3" t="str">
        <x:f>IF(Master!Y737="","",Master!Y737)</x:f>
      </x:c>
      <x:c r="Y22" s="3" t="str">
        <x:f>IF(Master!Z737="","",Master!Z737)</x:f>
      </x:c>
      <x:c r="Z22" s="3" t="str">
        <x:f>IF(Master!AA737="","",Master!AA737)</x:f>
      </x:c>
      <x:c r="AA22" s="6" t="str">
        <x:f>IF(Master!AB737="","",Master!AB737)</x:f>
      </x:c>
      <x:c r="AB22" s="3" t="str">
        <x:f>IF(Master!AC737="","",Master!AC737)</x:f>
      </x:c>
      <x:c r="AC22" s="3" t="str">
        <x:f>IF(Master!AD737="","",Master!AD737)</x:f>
      </x:c>
      <x:c r="AD22" s="3" t="str">
        <x:f>IF(Master!AE737="","",Master!AE737)</x:f>
      </x:c>
      <x:c r="AE22" s="3" t="str">
        <x:f>IF(Master!AF737="","",Master!AF737)</x:f>
      </x:c>
      <x:c r="AF22" s="8" t="str">
        <x:f>IF(Master!AG737="","",Master!AG737)</x:f>
      </x:c>
    </x:row>
    <x:row r="23" ht="21.950000762939453" customHeight="1">
      <x:c r="A23" s="18" t="s">
        <x:v>1337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1338</x:v>
      </x:c>
      <x:c r="B24" s="3" t="str">
        <x:f>IF(Master!C738="","",Master!C738)</x:f>
        <x:v>Yes</x:v>
      </x:c>
      <x:c r="C24" s="3" t="str">
        <x:f>IF(Master!D738="","",Master!D738)</x:f>
      </x:c>
      <x:c r="D24" s="3" t="str">
        <x:f>IF(Master!E738="","",Master!E738)</x:f>
      </x:c>
      <x:c r="E24" s="3" t="str">
        <x:f>IF(Master!F738="","",Master!F738)</x:f>
      </x:c>
      <x:c r="F24" s="3" t="str">
        <x:f>IF(Master!G738="","",Master!G738)</x:f>
      </x:c>
      <x:c r="G24" s="3" t="str">
        <x:f>IF(Master!H738="","",Master!H738)</x:f>
      </x:c>
      <x:c r="H24" s="3" t="str">
        <x:f>IF(Master!I738="","",Master!I738)</x:f>
      </x:c>
      <x:c r="I24" s="3" t="str">
        <x:f>IF(Master!J738="","",Master!J738)</x:f>
      </x:c>
      <x:c r="J24" s="3" t="str">
        <x:f>IF(Master!K738="","",Master!K738)</x:f>
      </x:c>
      <x:c r="K24" s="3" t="str">
        <x:f>IF(Master!L738="","",Master!L738)</x:f>
        <x:v>Not separately documented</x:v>
      </x:c>
      <x:c r="L24" s="3" t="str">
        <x:f>IF(Master!M738="","",Master!M738)</x:f>
      </x:c>
      <x:c r="M24" s="3" t="str">
        <x:f>IF(Master!N738="","",Master!N738)</x:f>
      </x:c>
      <x:c r="N24" s="3" t="str">
        <x:f>IF(Master!O738="","",Master!O738)</x:f>
      </x:c>
      <x:c r="O24" s="3" t="str">
        <x:f>IF(Master!P738="","",Master!P738)</x:f>
      </x:c>
      <x:c r="P24" s="3" t="str">
        <x:f>IF(Master!Q738="","",Master!Q738)</x:f>
      </x:c>
      <x:c r="Q24" s="3" t="str">
        <x:f>IF(Master!R738="","",Master!R738)</x:f>
      </x:c>
      <x:c r="R24" s="3" t="str">
        <x:f>IF(Master!S738="","",Master!S738)</x:f>
      </x:c>
      <x:c r="S24" s="3" t="str">
        <x:f>IF(Master!T738="","",Master!T738)</x:f>
      </x:c>
      <x:c r="T24" s="3" t="str">
        <x:f>IF(Master!U738="","",Master!U738)</x:f>
      </x:c>
      <x:c r="U24" s="3" t="str">
        <x:f>IF(Master!V738="","",Master!V738)</x:f>
        <x:v>Yes</x:v>
      </x:c>
      <x:c r="V24" s="3" t="str">
        <x:f>IF(Master!W738="","",Master!W738)</x:f>
      </x:c>
      <x:c r="W24" s="3" t="str">
        <x:f>IF(Master!X738="","",Master!X738)</x:f>
      </x:c>
      <x:c r="X24" s="3" t="str">
        <x:f>IF(Master!Y738="","",Master!Y738)</x:f>
      </x:c>
      <x:c r="Y24" s="3" t="str">
        <x:f>IF(Master!Z738="","",Master!Z738)</x:f>
      </x:c>
      <x:c r="Z24" s="3" t="str">
        <x:f>IF(Master!AA738="","",Master!AA738)</x:f>
      </x:c>
      <x:c r="AA24" s="6" t="str">
        <x:f>IF(Master!AB738="","",Master!AB738)</x:f>
      </x:c>
      <x:c r="AB24" s="3" t="str">
        <x:f>IF(Master!AC738="","",Master!AC738)</x:f>
      </x:c>
      <x:c r="AC24" s="3" t="str">
        <x:f>IF(Master!AD738="","",Master!AD738)</x:f>
      </x:c>
      <x:c r="AD24" s="3" t="str">
        <x:f>IF(Master!AE738="","",Master!AE738)</x:f>
      </x:c>
      <x:c r="AE24" s="3" t="str">
        <x:f>IF(Master!AF738="","",Master!AF738)</x:f>
      </x:c>
      <x:c r="AF24" s="8" t="str">
        <x:f>IF(Master!AG738="","",Master!AG738)</x:f>
      </x:c>
    </x:row>
    <x:row r="25" ht="36" customHeight="1">
      <x:c r="A25" s="17" t="s">
        <x:v>1339</x:v>
      </x:c>
      <x:c r="B25" s="3" t="str">
        <x:f>IF(Master!C739="","",Master!C739)</x:f>
        <x:v>Server Boost Level 3 / eligible communities</x:v>
      </x:c>
      <x:c r="C25" s="3" t="str">
        <x:f>IF(Master!D739="","",Master!D739)</x:f>
      </x:c>
      <x:c r="D25" s="3" t="str">
        <x:f>IF(Master!E739="","",Master!E739)</x:f>
      </x:c>
      <x:c r="E25" s="3" t="str">
        <x:f>IF(Master!F739="","",Master!F739)</x:f>
      </x:c>
      <x:c r="F25" s="3" t="str">
        <x:f>IF(Master!G739="","",Master!G739)</x:f>
      </x:c>
      <x:c r="G25" s="3" t="str">
        <x:f>IF(Master!H739="","",Master!H739)</x:f>
      </x:c>
      <x:c r="H25" s="3" t="str">
        <x:f>IF(Master!I739="","",Master!I739)</x:f>
      </x:c>
      <x:c r="I25" s="3" t="str">
        <x:f>IF(Master!J739="","",Master!J739)</x:f>
      </x:c>
      <x:c r="J25" s="3" t="str">
        <x:f>IF(Master!K739="","",Master!K739)</x:f>
      </x:c>
      <x:c r="K25" s="3" t="str">
        <x:f>IF(Master!L739="","",Master!L739)</x:f>
        <x:v>Not separately documented</x:v>
      </x:c>
      <x:c r="L25" s="3" t="str">
        <x:f>IF(Master!M739="","",Master!M739)</x:f>
      </x:c>
      <x:c r="M25" s="3" t="str">
        <x:f>IF(Master!N739="","",Master!N739)</x:f>
      </x:c>
      <x:c r="N25" s="3" t="str">
        <x:f>IF(Master!O739="","",Master!O739)</x:f>
      </x:c>
      <x:c r="O25" s="3" t="str">
        <x:f>IF(Master!P739="","",Master!P739)</x:f>
      </x:c>
      <x:c r="P25" s="3" t="str">
        <x:f>IF(Master!Q739="","",Master!Q739)</x:f>
      </x:c>
      <x:c r="Q25" s="3" t="str">
        <x:f>IF(Master!R739="","",Master!R739)</x:f>
      </x:c>
      <x:c r="R25" s="3" t="str">
        <x:f>IF(Master!S739="","",Master!S739)</x:f>
      </x:c>
      <x:c r="S25" s="3" t="str">
        <x:f>IF(Master!T739="","",Master!T739)</x:f>
      </x:c>
      <x:c r="T25" s="3" t="str">
        <x:f>IF(Master!U739="","",Master!U739)</x:f>
      </x:c>
      <x:c r="U25" s="3" t="str">
        <x:f>IF(Master!V739="","",Master!V739)</x:f>
        <x:v>Shard Forge</x:v>
      </x:c>
      <x:c r="V25" s="3" t="str">
        <x:f>IF(Master!W739="","",Master!W739)</x:f>
      </x:c>
      <x:c r="W25" s="3" t="str">
        <x:f>IF(Master!X739="","",Master!X739)</x:f>
      </x:c>
      <x:c r="X25" s="3" t="str">
        <x:f>IF(Master!Y739="","",Master!Y739)</x:f>
      </x:c>
      <x:c r="Y25" s="3" t="str">
        <x:f>IF(Master!Z739="","",Master!Z739)</x:f>
      </x:c>
      <x:c r="Z25" s="3" t="str">
        <x:f>IF(Master!AA739="","",Master!AA739)</x:f>
      </x:c>
      <x:c r="AA25" s="6" t="str">
        <x:f>IF(Master!AB739="","",Master!AB739)</x:f>
      </x:c>
      <x:c r="AB25" s="3" t="str">
        <x:f>IF(Master!AC739="","",Master!AC739)</x:f>
      </x:c>
      <x:c r="AC25" s="3" t="str">
        <x:f>IF(Master!AD739="","",Master!AD739)</x:f>
      </x:c>
      <x:c r="AD25" s="3" t="str">
        <x:f>IF(Master!AE739="","",Master!AE739)</x:f>
      </x:c>
      <x:c r="AE25" s="3" t="str">
        <x:f>IF(Master!AF739="","",Master!AF739)</x:f>
      </x:c>
      <x:c r="AF25" s="8" t="str">
        <x:f>IF(Master!AG739="","",Master!AG739)</x:f>
      </x:c>
    </x:row>
    <x:row r="26" ht="36" customHeight="1">
      <x:c r="A26" s="17" t="s">
        <x:v>1340</x:v>
      </x:c>
      <x:c r="B26" s="3" t="str">
        <x:f>IF(Master!C740="","",Master!C740)</x:f>
        <x:v>Yes: Server Boost levels</x:v>
      </x:c>
      <x:c r="C26" s="3" t="str">
        <x:f>IF(Master!D740="","",Master!D740)</x:f>
      </x:c>
      <x:c r="D26" s="3" t="str">
        <x:f>IF(Master!E740="","",Master!E740)</x:f>
        <x:v>No central premium tier; operator-configurable</x:v>
      </x:c>
      <x:c r="E26" s="3" t="str">
        <x:f>IF(Master!F740="","",Master!F740)</x:f>
      </x:c>
      <x:c r="F26" s="3" t="str">
        <x:f>IF(Master!G740="","",Master!G740)</x:f>
      </x:c>
      <x:c r="G26" s="3" t="str">
        <x:f>IF(Master!H740="","",Master!H740)</x:f>
      </x:c>
      <x:c r="H26" s="3" t="str">
        <x:f>IF(Master!I740="","",Master!I740)</x:f>
        <x:v>Yes: higher tiers</x:v>
      </x:c>
      <x:c r="I26" s="3" t="str">
        <x:f>IF(Master!J740="","",Master!J740)</x:f>
        <x:v>No central premium tier</x:v>
      </x:c>
      <x:c r="J26" s="3" t="str">
        <x:f>IF(Master!K740="","",Master!K740)</x:f>
      </x:c>
      <x:c r="K26" s="3" t="str">
        <x:f>IF(Master!L740="","",Master!L740)</x:f>
        <x:v>No: channel/user-selectable voice quality exists without a paid tier</x:v>
      </x:c>
      <x:c r="L26" s="3" t="str">
        <x:f>IF(Master!M740="","",Master!M740)</x:f>
      </x:c>
      <x:c r="M26" s="3" t="str">
        <x:f>IF(Master!N740="","",Master!N740)</x:f>
      </x:c>
      <x:c r="N26" s="3" t="str">
        <x:f>IF(Master!O740="","",Master!O740)</x:f>
        <x:v>Provider/client-dependent</x:v>
      </x:c>
      <x:c r="O26" s="3" t="str">
        <x:f>IF(Master!P740="","",Master!P740)</x:f>
      </x:c>
      <x:c r="P26" s="3" t="str">
        <x:f>IF(Master!Q740="","",Master!Q740)</x:f>
        <x:v>No: no premium plan</x:v>
      </x:c>
      <x:c r="Q26" s="3" t="str">
        <x:f>IF(Master!R740="","",Master!R740)</x:f>
        <x:v>No platform tier; server-configurable</x:v>
      </x:c>
      <x:c r="R26" s="3" t="str">
        <x:f>IF(Master!S740="","",Master!S740)</x:f>
      </x:c>
      <x:c r="S26" s="3" t="str">
        <x:f>IF(Master!T740="","",Master!T740)</x:f>
      </x:c>
      <x:c r="T26" s="3" t="str">
        <x:f>IF(Master!U740="","",Master!U740)</x:f>
      </x:c>
      <x:c r="U26" s="3" t="str">
        <x:f>IF(Master!V740="","",Master!V740)</x:f>
        <x:v>Yes: 96 free → 128 Rift+/Ember → 192 Forge</x:v>
      </x:c>
      <x:c r="V26" s="3" t="str">
        <x:f>IF(Master!W740="","",Master!W740)</x:f>
      </x:c>
      <x:c r="W26" s="3" t="str">
        <x:f>IF(Master!X740="","",Master!X740)</x:f>
      </x:c>
      <x:c r="X26" s="3" t="str">
        <x:f>IF(Master!Y740="","",Master!Y740)</x:f>
      </x:c>
      <x:c r="Y26" s="3" t="str">
        <x:f>IF(Master!Z740="","",Master!Z740)</x:f>
        <x:v>No platform subscription; operator-configurable</x:v>
      </x:c>
      <x:c r="Z26" s="3" t="str">
        <x:f>IF(Master!AA740="","",Master!AA740)</x:f>
      </x:c>
      <x:c r="AA26" s="6" t="str">
        <x:f>IF(Master!AB740="","",Master!AB740)</x:f>
        <x:v>Server/license/provider-dependent</x:v>
      </x:c>
      <x:c r="AB26" s="3" t="str">
        <x:f>IF(Master!AC740="","",Master!AC740)</x:f>
      </x:c>
      <x:c r="AC26" s="3" t="str">
        <x:f>IF(Master!AD740="","",Master!AD740)</x:f>
      </x:c>
      <x:c r="AD26" s="3" t="str">
        <x:f>IF(Master!AE740="","",Master!AE740)</x:f>
        <x:v>No: core media available to users</x:v>
      </x:c>
      <x:c r="AE26" s="3" t="str">
        <x:f>IF(Master!AF740="","",Master!AF740)</x:f>
        <x:v>License/server resources rather than per-user premium</x:v>
      </x:c>
      <x:c r="AF26" s="8" t="str">
        <x:f>IF(Master!AG740="","",Master!AG740)</x:f>
      </x:c>
    </x:row>
    <x:row r="27" ht="36" customHeight="1">
      <x:c r="A27" s="17" t="s">
        <x:v>1341</x:v>
      </x:c>
      <x:c r="B27" s="3" t="str">
        <x:f>IF(Master!C741="","",Master!C741)</x:f>
        <x:v>Yes: Nitro</x:v>
      </x:c>
      <x:c r="C27" s="3" t="str">
        <x:f>IF(Master!D741="","",Master!D741)</x:f>
      </x:c>
      <x:c r="D27" s="3" t="str">
        <x:f>IF(Master!E741="","",Master!E741)</x:f>
        <x:v>No central premium tier; operator-configurable</x:v>
      </x:c>
      <x:c r="E27" s="3" t="str">
        <x:f>IF(Master!F741="","",Master!F741)</x:f>
      </x:c>
      <x:c r="F27" s="3" t="str">
        <x:f>IF(Master!G741="","",Master!G741)</x:f>
        <x:v>Planned paid differentiation</x:v>
      </x:c>
      <x:c r="G27" s="3" t="str">
        <x:f>IF(Master!H741="","",Master!H741)</x:f>
        <x:v>Yes: Plutonium</x:v>
      </x:c>
      <x:c r="H27" s="3" t="str">
        <x:f>IF(Master!I741="","",Master!I741)</x:f>
        <x:v>Yes: Gold/Diamond</x:v>
      </x:c>
      <x:c r="I27" s="3" t="str">
        <x:f>IF(Master!J741="","",Master!J741)</x:f>
        <x:v>No central premium tier</x:v>
      </x:c>
      <x:c r="J27" s="3" t="str">
        <x:f>IF(Master!K741="","",Master!K741)</x:f>
      </x:c>
      <x:c r="K27" s="3" t="str">
        <x:f>IF(Master!L741="","",Master!L741)</x:f>
        <x:v>No: documented screen-share quality presets are not paywalled</x:v>
      </x:c>
      <x:c r="L27" s="3" t="str">
        <x:f>IF(Master!M741="","",Master!M741)</x:f>
      </x:c>
      <x:c r="M27" s="3" t="str">
        <x:f>IF(Master!N741="","",Master!N741)</x:f>
        <x:v>No paid tier verified</x:v>
      </x:c>
      <x:c r="N27" s="3" t="str">
        <x:f>IF(Master!O741="","",Master!O741)</x:f>
        <x:v>Provider/client-dependent</x:v>
      </x:c>
      <x:c r="O27" s="3" t="str">
        <x:f>IF(Master!P741="","",Master!P741)</x:f>
      </x:c>
      <x:c r="P27" s="3" t="str">
        <x:f>IF(Master!Q741="","",Master!Q741)</x:f>
        <x:v>No: no premium plan</x:v>
      </x:c>
      <x:c r="Q27" s="3" t="str">
        <x:f>IF(Master!R741="","",Master!R741)</x:f>
        <x:v>N/A</x:v>
      </x:c>
      <x:c r="R27" s="3" t="str">
        <x:f>IF(Master!S741="","",Master!S741)</x:f>
        <x:v>No paid tier verified</x:v>
      </x:c>
      <x:c r="S27" s="3" t="str">
        <x:f>IF(Master!T741="","",Master!T741)</x:f>
      </x:c>
      <x:c r="T27" s="3" t="str">
        <x:f>IF(Master!U741="","",Master!U741)</x:f>
        <x:v>No: 1080p is free</x:v>
      </x:c>
      <x:c r="U27" s="3" t="str">
        <x:f>IF(Master!V741="","",Master!V741)</x:f>
        <x:v>1080p Free - 1440p Rift+</x:v>
      </x:c>
      <x:c r="V27" s="3" t="str">
        <x:f>IF(Master!W741="","",Master!W741)</x:f>
      </x:c>
      <x:c r="W27" s="3" t="str">
        <x:f>IF(Master!X741="","",Master!X741)</x:f>
      </x:c>
      <x:c r="X27" s="3" t="str">
        <x:f>IF(Master!Y741="","",Master!Y741)</x:f>
        <x:v>Yes: Sudo</x:v>
      </x:c>
      <x:c r="Y27" s="3" t="str">
        <x:f>IF(Master!Z741="","",Master!Z741)</x:f>
        <x:v>No platform subscription; operator-configurable</x:v>
      </x:c>
      <x:c r="Z27" s="3" t="str">
        <x:f>IF(Master!AA741="","",Master!AA741)</x:f>
      </x:c>
      <x:c r="AA27" s="6" t="str">
        <x:f>IF(Master!AB741="","",Master!AB741)</x:f>
      </x:c>
      <x:c r="AB27" s="3" t="str">
        <x:f>IF(Master!AC741="","",Master!AC741)</x:f>
      </x:c>
      <x:c r="AC27" s="3" t="str">
        <x:f>IF(Master!AD741="","",Master!AD741)</x:f>
      </x:c>
      <x:c r="AD27" s="3" t="str">
        <x:f>IF(Master!AE741="","",Master!AE741)</x:f>
        <x:v>No core quality paywall verified</x:v>
      </x:c>
      <x:c r="AE27" s="3" t="str">
        <x:f>IF(Master!AF741="","",Master!AF741)</x:f>
      </x:c>
      <x:c r="AF27" s="8" t="str">
        <x:f>IF(Master!AG741="","",Master!AG741)</x:f>
      </x:c>
    </x:row>
    <x:row r="28" ht="36" customHeight="1">
      <x:c r="A28" s="17" t="s">
        <x:v>1342</x:v>
      </x:c>
      <x:c r="B28" s="3" t="str">
        <x:f>IF(Master!C742="","",Master!C742)</x:f>
        <x:v>Yes: Nitro Basic / Nitro</x:v>
      </x:c>
      <x:c r="C28" s="3" t="str">
        <x:f>IF(Master!D742="","",Master!D742)</x:f>
      </x:c>
      <x:c r="D28" s="3" t="str">
        <x:f>IF(Master!E742="","",Master!E742)</x:f>
        <x:v>No central premium tier; operator-configurable</x:v>
      </x:c>
      <x:c r="E28" s="3" t="str">
        <x:f>IF(Master!F742="","",Master!F742)</x:f>
      </x:c>
      <x:c r="F28" s="3" t="str">
        <x:f>IF(Master!G742="","",Master!G742)</x:f>
        <x:v>Planned paid higher limits</x:v>
      </x:c>
      <x:c r="G28" s="3" t="str">
        <x:f>IF(Master!H742="","",Master!H742)</x:f>
        <x:v>Yes: 25 MB free → 500 MB Plutonium</x:v>
      </x:c>
      <x:c r="H28" s="3" t="str">
        <x:f>IF(Master!I742="","",Master!I742)</x:f>
        <x:v>Yes: 500 MB free → 10 GB Diamond</x:v>
      </x:c>
      <x:c r="I28" s="3" t="str">
        <x:f>IF(Master!J742="","",Master!J742)</x:f>
        <x:v>Self-host/operator controlled</x:v>
      </x:c>
      <x:c r="J28" s="3" t="str">
        <x:f>IF(Master!K742="","",Master!K742)</x:f>
      </x:c>
      <x:c r="K28" s="3" t="str">
        <x:f>IF(Master!L742="","",Master!L742)</x:f>
        <x:v>No paid tier; official 15 MB limit is developer-reported and self-host quotas are configurable</x:v>
      </x:c>
      <x:c r="L28" s="3" t="str">
        <x:f>IF(Master!M742="","",Master!M742)</x:f>
      </x:c>
      <x:c r="M28" s="3" t="str">
        <x:f>IF(Master!N742="","",Master!N742)</x:f>
      </x:c>
      <x:c r="N28" s="3" t="str">
        <x:f>IF(Master!O742="","",Master!O742)</x:f>
        <x:v>Homeserver/provider-dependent</x:v>
      </x:c>
      <x:c r="O28" s="3" t="str">
        <x:f>IF(Master!P742="","",Master!P742)</x:f>
      </x:c>
      <x:c r="P28" s="3" t="str">
        <x:f>IF(Master!Q742="","",Master!Q742)</x:f>
        <x:v>No: no premium plan</x:v>
      </x:c>
      <x:c r="Q28" s="3" t="str">
        <x:f>IF(Master!R742="","",Master!R742)</x:f>
        <x:v>N/A</x:v>
      </x:c>
      <x:c r="R28" s="3" t="str">
        <x:f>IF(Master!S742="","",Master!S742)</x:f>
        <x:v>No paid tier verified</x:v>
      </x:c>
      <x:c r="S28" s="3" t="str">
        <x:f>IF(Master!T742="","",Master!T742)</x:f>
      </x:c>
      <x:c r="T28" s="3" t="str">
        <x:f>IF(Master!U742="","",Master!U742)</x:f>
        <x:v>No paid tier; hard upload limit not publicly claimed</x:v>
      </x:c>
      <x:c r="U28" s="3" t="str">
        <x:f>IF(Master!V742="","",Master!V742)</x:f>
        <x:v>Yes: 50 MB free → 300 MB Rift+ / 75 to 100 MB per member Shard tiers</x:v>
      </x:c>
      <x:c r="V28" s="3" t="str">
        <x:f>IF(Master!W742="","",Master!W742)</x:f>
        <x:v>Deployment/admin configurable</x:v>
      </x:c>
      <x:c r="W28" s="3" t="str">
        <x:f>IF(Master!X742="","",Master!X742)</x:f>
      </x:c>
      <x:c r="X28" s="3" t="str">
        <x:f>IF(Master!Y742="","",Master!Y742)</x:f>
        <x:v>No higher paid file cap verified</x:v>
      </x:c>
      <x:c r="Y28" s="3" t="str">
        <x:f>IF(Master!Z742="","",Master!Z742)</x:f>
        <x:v>No platform subscription; operator-configurable</x:v>
      </x:c>
      <x:c r="Z28" s="3" t="str">
        <x:f>IF(Master!AA742="","",Master!AA742)</x:f>
      </x:c>
      <x:c r="AA28" s="6" t="str">
        <x:f>IF(Master!AB742="","",Master!AB742)</x:f>
      </x:c>
      <x:c r="AB28" s="3" t="str">
        <x:f>IF(Master!AC742="","",Master!AC742)</x:f>
      </x:c>
      <x:c r="AC28" s="3" t="str">
        <x:f>IF(Master!AD742="","",Master!AD742)</x:f>
      </x:c>
      <x:c r="AD28" s="3" t="str">
        <x:f>IF(Master!AE742="","",Master!AE742)</x:f>
      </x:c>
      <x:c r="AE28" s="3" t="str">
        <x:f>IF(Master!AF742="","",Master!AF742)</x:f>
      </x:c>
      <x:c r="AF28" s="8" t="str">
        <x:f>IF(Master!AG742="","",Master!AG742)</x:f>
        <x:v>Storage/history increase with paid cloud plans</x:v>
      </x:c>
    </x:row>
    <x:row r="29" ht="36" customHeight="1">
      <x:c r="A29" s="17" t="s">
        <x:v>1343</x:v>
      </x:c>
      <x:c r="B29" s="3" t="str">
        <x:f>IF(Master!C743="","",Master!C743)</x:f>
        <x:v>No general Nitro requirement</x:v>
      </x:c>
      <x:c r="C29" s="3" t="str">
        <x:f>IF(Master!D743="","",Master!D743)</x:f>
      </x:c>
      <x:c r="D29" s="3" t="str">
        <x:f>IF(Master!E743="","",Master!E743)</x:f>
      </x:c>
      <x:c r="E29" s="3" t="str">
        <x:f>IF(Master!F743="","",Master!F743)</x:f>
      </x:c>
      <x:c r="F29" s="3" t="str">
        <x:f>IF(Master!G743="","",Master!G743)</x:f>
      </x:c>
      <x:c r="G29" s="3" t="str">
        <x:f>IF(Master!H743="","",Master!H743)</x:f>
      </x:c>
      <x:c r="H29" s="3" t="str">
        <x:f>IF(Master!I743="","",Master!I743)</x:f>
      </x:c>
      <x:c r="I29" s="3" t="str">
        <x:f>IF(Master!J743="","",Master!J743)</x:f>
      </x:c>
      <x:c r="J29" s="3" t="str">
        <x:f>IF(Master!K743="","",Master!K743)</x:f>
      </x:c>
      <x:c r="K29" s="3" t="str">
        <x:f>IF(Master!L743="","",Master!L743)</x:f>
        <x:v>No paid app/bot capacity tier documented</x:v>
      </x:c>
      <x:c r="L29" s="3" t="str">
        <x:f>IF(Master!M743="","",Master!M743)</x:f>
      </x:c>
      <x:c r="M29" s="3" t="str">
        <x:f>IF(Master!N743="","",Master!N743)</x:f>
      </x:c>
      <x:c r="N29" s="3" t="str">
        <x:f>IF(Master!O743="","",Master!O743)</x:f>
        <x:v>Provider-dependent</x:v>
      </x:c>
      <x:c r="O29" s="3" t="str">
        <x:f>IF(Master!P743="","",Master!P743)</x:f>
        <x:v>Enterprise/deployment-dependent</x:v>
      </x:c>
      <x:c r="P29" s="3" t="str">
        <x:f>IF(Master!Q743="","",Master!Q743)</x:f>
        <x:v>No subscription paywall verified</x:v>
      </x:c>
      <x:c r="Q29" s="3" t="str">
        <x:f>IF(Master!R743="","",Master!R743)</x:f>
      </x:c>
      <x:c r="R29" s="3" t="str">
        <x:f>IF(Master!S743="","",Master!S743)</x:f>
      </x:c>
      <x:c r="S29" s="3" t="str">
        <x:f>IF(Master!T743="","",Master!T743)</x:f>
      </x:c>
      <x:c r="T29" s="3" t="str">
        <x:f>IF(Master!U743="","",Master!U743)</x:f>
        <x:v>No public bot API or paid app-capacity tier</x:v>
      </x:c>
      <x:c r="U29" s="3" t="str">
        <x:f>IF(Master!V743="","",Master!V743)</x:f>
        <x:v>Webhook/community capacity increases by Shard tier</x:v>
      </x:c>
      <x:c r="V29" s="3" t="str">
        <x:f>IF(Master!W743="","",Master!W743)</x:f>
        <x:v>Plan/deployment-dependent</x:v>
      </x:c>
      <x:c r="W29" s="3" t="str">
        <x:f>IF(Master!X743="","",Master!X743)</x:f>
      </x:c>
      <x:c r="X29" s="3" t="str">
        <x:f>IF(Master!Y743="","",Master!Y743)</x:f>
        <x:v>Yes / community Core model can affect hosted app capacity</x:v>
      </x:c>
      <x:c r="Y29" s="3" t="str">
        <x:f>IF(Master!Z743="","",Master!Z743)</x:f>
      </x:c>
      <x:c r="Z29" s="3" t="str">
        <x:f>IF(Master!AA743="","",Master!AA743)</x:f>
      </x:c>
      <x:c r="AA29" s="6" t="str">
        <x:f>IF(Master!AB743="","",Master!AB743)</x:f>
      </x:c>
      <x:c r="AB29" s="3" t="str">
        <x:f>IF(Master!AC743="","",Master!AC743)</x:f>
      </x:c>
      <x:c r="AC29" s="3" t="str">
        <x:f>IF(Master!AD743="","",Master!AD743)</x:f>
      </x:c>
      <x:c r="AD29" s="3" t="str">
        <x:f>IF(Master!AE743="","",Master!AE743)</x:f>
        <x:v>Owning/customizing a lobby is paid</x:v>
      </x:c>
      <x:c r="AE29" s="3" t="str">
        <x:f>IF(Master!AF743="","",Master!AF743)</x:f>
      </x:c>
      <x:c r="AF29" s="8" t="str">
        <x:f>IF(Master!AG743="","",Master!AG743)</x:f>
      </x:c>
    </x:row>
    <x:row r="30" ht="36" customHeight="1">
      <x:c r="A30" s="17" t="s">
        <x:v>1344</x:v>
      </x:c>
      <x:c r="B30" s="3" t="str">
        <x:f>IF(Master!C744="","",Master!C744)</x:f>
        <x:v>No general Nitro requirement / community tools</x:v>
      </x:c>
      <x:c r="C30" s="3" t="str">
        <x:f>IF(Master!D744="","",Master!D744)</x:f>
      </x:c>
      <x:c r="D30" s="3" t="str">
        <x:f>IF(Master!E744="","",Master!E744)</x:f>
      </x:c>
      <x:c r="E30" s="3" t="str">
        <x:f>IF(Master!F744="","",Master!F744)</x:f>
      </x:c>
      <x:c r="F30" s="3" t="str">
        <x:f>IF(Master!G744="","",Master!G744)</x:f>
      </x:c>
      <x:c r="G30" s="3" t="str">
        <x:f>IF(Master!H744="","",Master!H744)</x:f>
      </x:c>
      <x:c r="H30" s="3" t="str">
        <x:f>IF(Master!I744="","",Master!I744)</x:f>
      </x:c>
      <x:c r="I30" s="3" t="str">
        <x:f>IF(Master!J744="","",Master!J744)</x:f>
      </x:c>
      <x:c r="J30" s="3" t="str">
        <x:f>IF(Master!K744="","",Master!K744)</x:f>
      </x:c>
      <x:c r="K30" s="3" t="str">
        <x:f>IF(Master!L744="","",Master!L744)</x:f>
        <x:v>No paid analytics tier documented</x:v>
      </x:c>
      <x:c r="L30" s="3" t="str">
        <x:f>IF(Master!M744="","",Master!M744)</x:f>
      </x:c>
      <x:c r="M30" s="3" t="str">
        <x:f>IF(Master!N744="","",Master!N744)</x:f>
      </x:c>
      <x:c r="N30" s="3" t="str">
        <x:f>IF(Master!O744="","",Master!O744)</x:f>
        <x:v>Provider-dependent</x:v>
      </x:c>
      <x:c r="O30" s="3" t="str">
        <x:f>IF(Master!P744="","",Master!P744)</x:f>
        <x:v>Yes: advanced enterprise analytics/admin features</x:v>
      </x:c>
      <x:c r="P30" s="3" t="str">
        <x:f>IF(Master!Q744="","",Master!Q744)</x:f>
        <x:v>No premium communication tier</x:v>
      </x:c>
      <x:c r="Q30" s="3" t="str">
        <x:f>IF(Master!R744="","",Master!R744)</x:f>
      </x:c>
      <x:c r="R30" s="3" t="str">
        <x:f>IF(Master!S744="","",Master!S744)</x:f>
      </x:c>
      <x:c r="S30" s="3" t="str">
        <x:f>IF(Master!T744="","",Master!T744)</x:f>
      </x:c>
      <x:c r="T30" s="3" t="str">
        <x:f>IF(Master!U744="","",Master!U744)</x:f>
        <x:v>No paid tier</x:v>
      </x:c>
      <x:c r="U30" s="3" t="str">
        <x:f>IF(Master!V744="","",Master!V744)</x:f>
        <x:v>Yes: Shard tiers add analytics</x:v>
      </x:c>
      <x:c r="V30" s="3" t="str">
        <x:f>IF(Master!W744="","",Master!W744)</x:f>
        <x:v>Enterprise/admin features vary by plan</x:v>
      </x:c>
      <x:c r="W30" s="3" t="str">
        <x:f>IF(Master!X744="","",Master!X744)</x:f>
      </x:c>
      <x:c r="X30" s="3" t="str">
        <x:f>IF(Master!Y744="","",Master!Y744)</x:f>
      </x:c>
      <x:c r="Y30" s="3" t="str">
        <x:f>IF(Master!Z744="","",Master!Z744)</x:f>
      </x:c>
      <x:c r="Z30" s="3" t="str">
        <x:f>IF(Master!AA744="","",Master!AA744)</x:f>
      </x:c>
      <x:c r="AA30" s="6" t="str">
        <x:f>IF(Master!AB744="","",Master!AB744)</x:f>
      </x:c>
      <x:c r="AB30" s="3" t="str">
        <x:f>IF(Master!AC744="","",Master!AC744)</x:f>
      </x:c>
      <x:c r="AC30" s="3" t="str">
        <x:f>IF(Master!AD744="","",Master!AD744)</x:f>
      </x:c>
      <x:c r="AD30" s="3" t="str">
        <x:f>IF(Master!AE744="","",Master!AE744)</x:f>
      </x:c>
      <x:c r="AE30" s="3" t="str">
        <x:f>IF(Master!AF744="","",Master!AF744)</x:f>
      </x:c>
      <x:c r="AF30" s="8" t="str">
        <x:f>IF(Master!AG744="","",Master!AG744)</x:f>
        <x:v>Advanced organization/admin capabilities vary by plan</x:v>
      </x:c>
    </x:row>
    <x:row r="31" ht="36" customHeight="1">
      <x:c r="A31" s="17" t="s">
        <x:v>1345</x:v>
      </x:c>
      <x:c r="B31" s="3" t="str">
        <x:f>IF(Master!C745="","",Master!C745)</x:f>
        <x:v>No: core moderation/AutoMod is not a Nitro entitlement</x:v>
      </x:c>
      <x:c r="C31" s="3" t="str">
        <x:f>IF(Master!D745="","",Master!D745)</x:f>
      </x:c>
      <x:c r="D31" s="3" t="str">
        <x:f>IF(Master!E745="","",Master!E745)</x:f>
      </x:c>
      <x:c r="E31" s="3" t="str">
        <x:f>IF(Master!F745="","",Master!F745)</x:f>
      </x:c>
      <x:c r="F31" s="3" t="str">
        <x:f>IF(Master!G745="","",Master!G745)</x:f>
      </x:c>
      <x:c r="G31" s="3" t="str">
        <x:f>IF(Master!H745="","",Master!H745)</x:f>
      </x:c>
      <x:c r="H31" s="3" t="str">
        <x:f>IF(Master!I745="","",Master!I745)</x:f>
      </x:c>
      <x:c r="I31" s="3" t="str">
        <x:f>IF(Master!J745="","",Master!J745)</x:f>
      </x:c>
      <x:c r="J31" s="3" t="str">
        <x:f>IF(Master!K745="","",Master!K745)</x:f>
      </x:c>
      <x:c r="K31" s="3" t="str">
        <x:f>IF(Master!L745="","",Master!L745)</x:f>
        <x:v>No paid advanced-moderation tier documented</x:v>
      </x:c>
      <x:c r="L31" s="3" t="str">
        <x:f>IF(Master!M745="","",Master!M745)</x:f>
      </x:c>
      <x:c r="M31" s="3" t="str">
        <x:f>IF(Master!N745="","",Master!N745)</x:f>
      </x:c>
      <x:c r="N31" s="3" t="str">
        <x:f>IF(Master!O745="","",Master!O745)</x:f>
        <x:v>Provider-dependent</x:v>
      </x:c>
      <x:c r="O31" s="3" t="str">
        <x:f>IF(Master!P745="","",Master!P745)</x:f>
        <x:v>Enterprise governance/compliance features paid</x:v>
      </x:c>
      <x:c r="P31" s="3" t="str">
        <x:f>IF(Master!Q745="","",Master!Q745)</x:f>
        <x:v>No premium communication tier</x:v>
      </x:c>
      <x:c r="Q31" s="3" t="str">
        <x:f>IF(Master!R745="","",Master!R745)</x:f>
        <x:v>No: ACLs are core</x:v>
      </x:c>
      <x:c r="R31" s="3" t="str">
        <x:f>IF(Master!S745="","",Master!S745)</x:f>
      </x:c>
      <x:c r="S31" s="3" t="str">
        <x:f>IF(Master!T745="","",Master!T745)</x:f>
      </x:c>
      <x:c r="T31" s="3" t="str">
        <x:f>IF(Master!U745="","",Master!U745)</x:f>
        <x:v>No paid tier</x:v>
      </x:c>
      <x:c r="U31" s="3" t="str">
        <x:f>IF(Master!V745="","",Master!V745)</x:f>
        <x:v>No: safety/moderation remains free</x:v>
      </x:c>
      <x:c r="V31" s="3" t="str">
        <x:f>IF(Master!W745="","",Master!W745)</x:f>
        <x:v>Enterprise governance features vary by plan</x:v>
      </x:c>
      <x:c r="W31" s="3" t="str">
        <x:f>IF(Master!X745="","",Master!X745)</x:f>
      </x:c>
      <x:c r="X31" s="3" t="str">
        <x:f>IF(Master!Y745="","",Master!Y745)</x:f>
        <x:v>No evidence core moderation is Sudo-gated</x:v>
      </x:c>
      <x:c r="Y31" s="3" t="str">
        <x:f>IF(Master!Z745="","",Master!Z745)</x:f>
      </x:c>
      <x:c r="Z31" s="3" t="str">
        <x:f>IF(Master!AA745="","",Master!AA745)</x:f>
      </x:c>
      <x:c r="AA31" s="6" t="str">
        <x:f>IF(Master!AB745="","",Master!AB745)</x:f>
        <x:v>Core permissions available; enterprise options separate</x:v>
      </x:c>
      <x:c r="AB31" s="3" t="str">
        <x:f>IF(Master!AC745="","",Master!AC745)</x:f>
      </x:c>
      <x:c r="AC31" s="3" t="str">
        <x:f>IF(Master!AD745="","",Master!AD745)</x:f>
      </x:c>
      <x:c r="AD31" s="3" t="str">
        <x:f>IF(Master!AE745="","",Master!AE745)</x:f>
      </x:c>
      <x:c r="AE31" s="3" t="str">
        <x:f>IF(Master!AF745="","",Master!AF745)</x:f>
      </x:c>
      <x:c r="AF31" s="8" t="str">
        <x:f>IF(Master!AG745="","",Master!AG745)</x:f>
        <x:v>Some enterprise/admin functionality is plan-dependent</x:v>
      </x:c>
    </x:row>
    <x:row r="32" ht="21.950000762939453" customHeight="1">
      <x:c r="A32" s="18" t="s">
        <x:v>413</x:v>
      </x:c>
      <x:c r="B32" s="18" t="str">
        <x:f t="shared" ref="B32:AF32" si="3">IF(""="","","")</x:f>
      </x:c>
      <x:c r="C32" s="18" t="str">
        <x:f t="shared" si="3"/>
      </x:c>
      <x:c r="D32" s="18" t="str">
        <x:f t="shared" si="3"/>
      </x:c>
      <x:c r="E32" s="18" t="str">
        <x:f t="shared" si="3"/>
      </x:c>
      <x:c r="F32" s="18" t="str">
        <x:f t="shared" si="3"/>
      </x:c>
      <x:c r="G32" s="18" t="str">
        <x:f t="shared" si="3"/>
      </x:c>
      <x:c r="H32" s="18" t="str">
        <x:f t="shared" si="3"/>
      </x:c>
      <x:c r="I32" s="18" t="str">
        <x:f t="shared" si="3"/>
      </x:c>
      <x:c r="J32" s="18" t="str">
        <x:f t="shared" si="3"/>
      </x:c>
      <x:c r="K32" s="18" t="str">
        <x:f t="shared" si="3"/>
      </x:c>
      <x:c r="L32" s="18" t="str">
        <x:f t="shared" si="3"/>
      </x:c>
      <x:c r="M32" s="18" t="str">
        <x:f t="shared" si="3"/>
      </x:c>
      <x:c r="N32" s="18" t="str">
        <x:f t="shared" si="3"/>
      </x:c>
      <x:c r="O32" s="18" t="str">
        <x:f t="shared" si="3"/>
      </x:c>
      <x:c r="P32" s="18" t="str">
        <x:f t="shared" si="3"/>
      </x:c>
      <x:c r="Q32" s="18" t="str">
        <x:f t="shared" si="3"/>
      </x:c>
      <x:c r="R32" s="18" t="str">
        <x:f t="shared" si="3"/>
      </x:c>
      <x:c r="S32" s="18" t="str">
        <x:f t="shared" si="3"/>
      </x:c>
      <x:c r="T32" s="18" t="str">
        <x:f t="shared" si="3"/>
      </x:c>
      <x:c r="U32" s="18" t="str">
        <x:f t="shared" si="3"/>
      </x:c>
      <x:c r="V32" s="18" t="str">
        <x:f t="shared" si="3"/>
      </x:c>
      <x:c r="W32" s="18" t="str">
        <x:f t="shared" si="3"/>
      </x:c>
      <x:c r="X32" s="18" t="str">
        <x:f t="shared" si="3"/>
      </x:c>
      <x:c r="Y32" s="18" t="str">
        <x:f t="shared" si="3"/>
      </x:c>
      <x:c r="Z32" s="18" t="str">
        <x:f t="shared" si="3"/>
      </x:c>
      <x:c r="AA32" s="18" t="str">
        <x:f t="shared" si="3"/>
      </x:c>
      <x:c r="AB32" s="18" t="str">
        <x:f t="shared" si="3"/>
      </x:c>
      <x:c r="AC32" s="18" t="str">
        <x:f t="shared" si="3"/>
      </x:c>
      <x:c r="AD32" s="18" t="str">
        <x:f t="shared" si="3"/>
      </x:c>
      <x:c r="AE32" s="18" t="str">
        <x:f t="shared" si="3"/>
      </x:c>
      <x:c r="AF32" s="19" t="str">
        <x:f t="shared" si="3"/>
      </x:c>
    </x:row>
    <x:row r="33" ht="36" customHeight="1">
      <x:c r="A33" s="17" t="s">
        <x:v>1346</x:v>
      </x:c>
      <x:c r="B33" s="3" t="str">
        <x:f>IF(Master!C746="","",Master!C746)</x:f>
        <x:v>Discord splits personal Nitro entitlements from server-wide Boost entitlements.</x:v>
      </x:c>
      <x:c r="C33" s="3" t="str">
        <x:f>IF(Master!D746="","",Master!D746)</x:f>
        <x:v>No central paid entitlement system; relay/provider costs are separate.</x:v>
      </x:c>
      <x:c r="D33" s="3" t="str">
        <x:f>IF(Master!E746="","",Master!E746)</x:f>
        <x:v>AGPL/self-host model; limits are operator/configuration concerns.</x:v>
      </x:c>
      <x:c r="E33" s="3" t="str">
        <x:f>IF(Master!F746="","",Master!F746)</x:f>
        <x:v>No public premium entitlement schedule verified.</x:v>
      </x:c>
      <x:c r="F33" s="3" t="str">
        <x:f>IF(Master!G746="","",Master!G746)</x:f>
        <x:v>Fenrid is alpha; tier benefits are planned and may change before stable release.</x:v>
      </x:c>
      <x:c r="G33" s="3" t="str">
        <x:f>IF(Master!H746="","",Master!H746)</x:f>
        <x:v>Plutonium is primarily a personal premium tier; self-hosting remains free/open source.</x:v>
      </x:c>
      <x:c r="H33" s="3" t="str">
        <x:f>IF(Master!I746="","",Master!I746)</x:f>
        <x:v>Premium tiers are server-wide; all members benefit from the selected server tier.</x:v>
      </x:c>
      <x:c r="I33" s="3" t="str">
        <x:f>IF(Master!J746="","",Master!J746)</x:f>
        <x:v>Open-source/self-host model; no central premium entitlement system.</x:v>
      </x:c>
      <x:c r="J33" s="3" t="str">
        <x:f>IF(Master!K746="","",Master!K746)</x:f>
        <x:v>No central paid entitlement system; open-source/local-first.</x:v>
      </x:c>
      <x:c r="K33" s="3" t="str">
        <x:f>IF(Master!L746="","",Master!L746)</x:f>
        <x:v>Core/self-host features are not split into paid tiers today</x:v>
      </x:c>
      <x:c r="L33" s="3" t="str">
        <x:f>IF(Master!M746="","",Master!M746)</x:f>
        <x:v>No public premium entitlement schedule verified.</x:v>
      </x:c>
      <x:c r="M33" s="3" t="str">
        <x:f>IF(Master!N746="","",Master!N746)</x:f>
        <x:v>Open beta; fixed premium entitlements not verified.</x:v>
      </x:c>
      <x:c r="N33" s="3" t="str">
        <x:f>IF(Master!O746="","",Master!O746)</x:f>
        <x:v>Matrix has no universal paid tier. Entitlements belong to a homeserver provider or client vendor, not the protocol.</x:v>
      </x:c>
      <x:c r="O33" s="3" t="str">
        <x:f>IF(Master!P746="","",Master!P746)</x:f>
        <x:v>Paid differentiation is enterprise governance/workflow/support, not gaming cosmetics.</x:v>
      </x:c>
      <x:c r="P33" s="3" t="str">
        <x:f>IF(Master!Q746="","",Master!Q746)</x:f>
        <x:v>Official FAQ says communication features are free with no premium plan/paywall.</x:v>
      </x:c>
      <x:c r="Q33" s="3" t="str">
        <x:f>IF(Master!R746="","",Master!R746)</x:f>
        <x:v>No Nitro-style entitlement system.</x:v>
      </x:c>
      <x:c r="R33" s="3" t="str">
        <x:f>IF(Master!S746="","",Master!S746)</x:f>
        <x:v>Donation-funded; no premium entitlement tier verified.</x:v>
      </x:c>
      <x:c r="S33" s="3" t="str">
        <x:f>IF(Master!T746="","",Master!T746)</x:f>
        <x:v>Public monetization/entitlement schedule is not sufficiently documented.</x:v>
      </x:c>
      <x:c r="T33" s="3" t="str">
        <x:f>IF(Master!U746="","",Master!U746)</x:f>
        <x:v>Hosted service is free; donations unlock nothing. Built-in themes/accessibility settings are free; 1080p screen share is free.</x:v>
      </x:c>
      <x:c r="U33" s="3" t="str">
        <x:f>IF(Master!V746="","",Master!V746)</x:f>
        <x:v>Rift separates personal Rift+ entitlements from community-wide Shard Ember/Forge entitlements.</x:v>
      </x:c>
      <x:c r="V33" s="3" t="str">
        <x:f>IF(Master!W746="","",Master!W746)</x:f>
        <x:v>Paid differentiation is commercial deployment/support/security rather than Nitro-style cosmetics.</x:v>
      </x:c>
      <x:c r="W33" s="3" t="str">
        <x:f>IF(Master!X746="","",Master!X746)</x:f>
        <x:v>No Roomy-specific paid entitlement system verified.</x:v>
      </x:c>
      <x:c r="X33" s="3" t="str">
        <x:f>IF(Master!Y746="","",Master!Y746)</x:f>
        <x:v>Sudo is user-level; Cores are community resources. They should not be conflated.</x:v>
      </x:c>
      <x:c r="Y33" s="3" t="str">
        <x:f>IF(Master!Z746="","",Master!Z746)</x:f>
        <x:v>Self-host operator sets limits; no central premium tier.</x:v>
      </x:c>
      <x:c r="Z33" s="3" t="str">
        <x:f>IF(Master!AA746="","",Master!AA746)</x:f>
      </x:c>
      <x:c r="AA33" s="6" t="str">
        <x:f>IF(Master!AB746="","",Master!AB746)</x:f>
        <x:v>Paid model centers on server slots/licensing rather than per-user cosmetic entitlements.</x:v>
      </x:c>
      <x:c r="AB33" s="3" t="str">
        <x:f>IF(Master!AC746="","",Master!AC746)</x:f>
        <x:v>Stargazer supporter subscription exists; current public price/caps were not verified.</x:v>
      </x:c>
      <x:c r="AC33" s="3" t="str">
        <x:f>IF(Master!AD746="","",Master!AD746)</x:f>
        <x:v>Early project; premium feature gating not publicly defined.</x:v>
      </x:c>
      <x:c r="AD33" s="3" t="str">
        <x:f>IF(Master!AE746="","",Master!AE746)</x:f>
        <x:v>Using existing lobbies is free; operating your own lobby is the paid distinction.</x:v>
      </x:c>
      <x:c r="AE33" s="3" t="str">
        <x:f>IF(Master!AF746="","",Master!AF746)</x:f>
        <x:v>Monetization is licensing/managed hosting, not Nitro-style cosmetics.</x:v>
      </x:c>
      <x:c r="AF33" s="8" t="str">
        <x:f>IF(Master!AG746="","",Master!AG746)</x:f>
        <x:v>Paid tiers focus on history, storage, support, compliance and admin features rather than cosmetics.</x:v>
      </x:c>
    </x:row>
    <x:row r="34" ht="21.950000762939453" customHeight="1">
      <x:c r="A34" s="18" t="s">
        <x:v>1347</x:v>
      </x:c>
      <x:c r="B34" s="18" t="str">
        <x:f t="shared" ref="B34:AF34" si="4">IF(""="","","")</x:f>
      </x:c>
      <x:c r="C34" s="18" t="str">
        <x:f t="shared" si="4"/>
      </x:c>
      <x:c r="D34" s="18" t="str">
        <x:f t="shared" si="4"/>
      </x:c>
      <x:c r="E34" s="18" t="str">
        <x:f t="shared" si="4"/>
      </x:c>
      <x:c r="F34" s="18" t="str">
        <x:f t="shared" si="4"/>
      </x:c>
      <x:c r="G34" s="18" t="str">
        <x:f t="shared" si="4"/>
      </x:c>
      <x:c r="H34" s="18" t="str">
        <x:f t="shared" si="4"/>
      </x:c>
      <x:c r="I34" s="18" t="str">
        <x:f t="shared" si="4"/>
      </x:c>
      <x:c r="J34" s="18" t="str">
        <x:f t="shared" si="4"/>
      </x:c>
      <x:c r="K34" s="18" t="str">
        <x:f t="shared" si="4"/>
      </x:c>
      <x:c r="L34" s="18" t="str">
        <x:f t="shared" si="4"/>
      </x:c>
      <x:c r="M34" s="18" t="str">
        <x:f t="shared" si="4"/>
      </x:c>
      <x:c r="N34" s="18" t="str">
        <x:f t="shared" si="4"/>
      </x:c>
      <x:c r="O34" s="18" t="str">
        <x:f t="shared" si="4"/>
      </x:c>
      <x:c r="P34" s="18" t="str">
        <x:f t="shared" si="4"/>
      </x:c>
      <x:c r="Q34" s="18" t="str">
        <x:f t="shared" si="4"/>
      </x:c>
      <x:c r="R34" s="18" t="str">
        <x:f t="shared" si="4"/>
      </x:c>
      <x:c r="S34" s="18" t="str">
        <x:f t="shared" si="4"/>
      </x:c>
      <x:c r="T34" s="18" t="str">
        <x:f t="shared" si="4"/>
      </x:c>
      <x:c r="U34" s="18" t="str">
        <x:f t="shared" si="4"/>
      </x:c>
      <x:c r="V34" s="18" t="str">
        <x:f t="shared" si="4"/>
      </x:c>
      <x:c r="W34" s="18" t="str">
        <x:f t="shared" si="4"/>
      </x:c>
      <x:c r="X34" s="18" t="str">
        <x:f t="shared" si="4"/>
      </x:c>
      <x:c r="Y34" s="18" t="str">
        <x:f t="shared" si="4"/>
      </x:c>
      <x:c r="Z34" s="18" t="str">
        <x:f t="shared" si="4"/>
      </x:c>
      <x:c r="AA34" s="18" t="str">
        <x:f t="shared" si="4"/>
      </x:c>
      <x:c r="AB34" s="18" t="str">
        <x:f t="shared" si="4"/>
      </x:c>
      <x:c r="AC34" s="18" t="str">
        <x:f t="shared" si="4"/>
      </x:c>
      <x:c r="AD34" s="18" t="str">
        <x:f t="shared" si="4"/>
      </x:c>
      <x:c r="AE34" s="18" t="str">
        <x:f t="shared" si="4"/>
      </x:c>
      <x:c r="AF34" s="19" t="str">
        <x:f t="shared" si="4"/>
      </x:c>
    </x:row>
    <x:row r="35" ht="36" customHeight="1">
      <x:c r="A35" s="17" t="s">
        <x:v>1348</x:v>
      </x:c>
      <x:c r="B35" s="3" t="str">
        <x:f>IF(Master!C747="","",Master!C747)</x:f>
        <x:v>No general feature</x:v>
      </x:c>
      <x:c r="C35" s="3" t="str">
        <x:f>IF(Master!D747="","",Master!D747)</x:f>
      </x:c>
      <x:c r="D35" s="3" t="str">
        <x:f>IF(Master!E747="","",Master!E747)</x:f>
      </x:c>
      <x:c r="E35" s="3" t="str">
        <x:f>IF(Master!F747="","",Master!F747)</x:f>
      </x:c>
      <x:c r="F35" s="3" t="str">
        <x:f>IF(Master!G747="","",Master!G747)</x:f>
      </x:c>
      <x:c r="G35" s="3" t="str">
        <x:f>IF(Master!H747="","",Master!H747)</x:f>
      </x:c>
      <x:c r="H35" s="3" t="str">
        <x:f>IF(Master!I747="","",Master!I747)</x:f>
      </x:c>
      <x:c r="I35" s="3" t="str">
        <x:f>IF(Master!J747="","",Master!J747)</x:f>
      </x:c>
      <x:c r="J35" s="3" t="str">
        <x:f>IF(Master!K747="","",Master!K747)</x:f>
      </x:c>
      <x:c r="K35" s="3" t="str">
        <x:f>IF(Master!L747="","",Master!L747)</x:f>
        <x:v>No saved multi-panel workspace/layout system documented</x:v>
      </x:c>
      <x:c r="L35" s="3" t="str">
        <x:f>IF(Master!M747="","",Master!M747)</x:f>
      </x:c>
      <x:c r="M35" s="3" t="str">
        <x:f>IF(Master!N747="","",Master!N747)</x:f>
      </x:c>
      <x:c r="N35" s="3" t="str">
        <x:f>IF(Master!O747="","",Master!O747)</x:f>
      </x:c>
      <x:c r="O35" s="3" t="str">
        <x:f>IF(Master!P747="","",Master!P747)</x:f>
      </x:c>
      <x:c r="P35" s="3" t="str">
        <x:f>IF(Master!Q747="","",Master!Q747)</x:f>
      </x:c>
      <x:c r="Q35" s="3" t="str">
        <x:f>IF(Master!R747="","",Master!R747)</x:f>
      </x:c>
      <x:c r="R35" s="3" t="str">
        <x:f>IF(Master!S747="","",Master!S747)</x:f>
      </x:c>
      <x:c r="S35" s="3" t="str">
        <x:f>IF(Master!T747="","",Master!T747)</x:f>
      </x:c>
      <x:c r="T35" s="3" t="str">
        <x:f>IF(Master!U747="","",Master!U747)</x:f>
      </x:c>
      <x:c r="U35" s="3" t="str">
        <x:f>IF(Master!V747="","",Master!V747)</x:f>
        <x:v>Yes</x:v>
      </x:c>
      <x:c r="V35" s="3" t="str">
        <x:f>IF(Master!W747="","",Master!W747)</x:f>
      </x:c>
      <x:c r="W35" s="3" t="str">
        <x:f>IF(Master!X747="","",Master!X747)</x:f>
      </x:c>
      <x:c r="X35" s="3" t="str">
        <x:f>IF(Master!Y747="","",Master!Y747)</x:f>
      </x:c>
      <x:c r="Y35" s="3" t="str">
        <x:f>IF(Master!Z747="","",Master!Z747)</x:f>
      </x:c>
      <x:c r="Z35" s="3" t="str">
        <x:f>IF(Master!AA747="","",Master!AA747)</x:f>
      </x:c>
      <x:c r="AA35" s="6" t="str">
        <x:f>IF(Master!AB747="","",Master!AB747)</x:f>
      </x:c>
      <x:c r="AB35" s="3" t="str">
        <x:f>IF(Master!AC747="","",Master!AC747)</x:f>
      </x:c>
      <x:c r="AC35" s="3" t="str">
        <x:f>IF(Master!AD747="","",Master!AD747)</x:f>
      </x:c>
      <x:c r="AD35" s="3" t="str">
        <x:f>IF(Master!AE747="","",Master!AE747)</x:f>
      </x:c>
      <x:c r="AE35" s="3" t="str">
        <x:f>IF(Master!AF747="","",Master!AF747)</x:f>
      </x:c>
      <x:c r="AF35" s="8" t="str">
        <x:f>IF(Master!AG747="","",Master!AG747)</x:f>
      </x:c>
    </x:row>
    <x:row r="36" ht="36" customHeight="1">
      <x:c r="A36" s="17" t="s">
        <x:v>1349</x:v>
      </x:c>
      <x:c r="B36" s="3" t="str">
        <x:f>IF(Master!C748="","",Master!C748)</x:f>
        <x:v>N/A</x:v>
      </x:c>
      <x:c r="C36" s="3" t="str">
        <x:f>IF(Master!D748="","",Master!D748)</x:f>
      </x:c>
      <x:c r="D36" s="3" t="str">
        <x:f>IF(Master!E748="","",Master!E748)</x:f>
      </x:c>
      <x:c r="E36" s="3" t="str">
        <x:f>IF(Master!F748="","",Master!F748)</x:f>
      </x:c>
      <x:c r="F36" s="3" t="str">
        <x:f>IF(Master!G748="","",Master!G748)</x:f>
      </x:c>
      <x:c r="G36" s="3" t="str">
        <x:f>IF(Master!H748="","",Master!H748)</x:f>
      </x:c>
      <x:c r="H36" s="3" t="str">
        <x:f>IF(Master!I748="","",Master!I748)</x:f>
      </x:c>
      <x:c r="I36" s="3" t="str">
        <x:f>IF(Master!J748="","",Master!J748)</x:f>
      </x:c>
      <x:c r="J36" s="3" t="str">
        <x:f>IF(Master!K748="","",Master!K748)</x:f>
      </x:c>
      <x:c r="K36" s="3" t="str">
        <x:f>IF(Master!L748="","",Master!L748)</x:f>
        <x:v>No saved multi-panel workspace/layout system documented</x:v>
      </x:c>
      <x:c r="L36" s="3" t="str">
        <x:f>IF(Master!M748="","",Master!M748)</x:f>
      </x:c>
      <x:c r="M36" s="3" t="str">
        <x:f>IF(Master!N748="","",Master!N748)</x:f>
      </x:c>
      <x:c r="N36" s="3" t="str">
        <x:f>IF(Master!O748="","",Master!O748)</x:f>
      </x:c>
      <x:c r="O36" s="3" t="str">
        <x:f>IF(Master!P748="","",Master!P748)</x:f>
      </x:c>
      <x:c r="P36" s="3" t="str">
        <x:f>IF(Master!Q748="","",Master!Q748)</x:f>
      </x:c>
      <x:c r="Q36" s="3" t="str">
        <x:f>IF(Master!R748="","",Master!R748)</x:f>
      </x:c>
      <x:c r="R36" s="3" t="str">
        <x:f>IF(Master!S748="","",Master!S748)</x:f>
      </x:c>
      <x:c r="S36" s="3" t="str">
        <x:f>IF(Master!T748="","",Master!T748)</x:f>
      </x:c>
      <x:c r="T36" s="3" t="str">
        <x:f>IF(Master!U748="","",Master!U748)</x:f>
      </x:c>
      <x:c r="U36" s="3" t="str">
        <x:f>IF(Master!V748="","",Master!V748)</x:f>
        <x:v>2 layouts free/ 8 layouts Rift +</x:v>
      </x:c>
      <x:c r="V36" s="3" t="str">
        <x:f>IF(Master!W748="","",Master!W748)</x:f>
      </x:c>
      <x:c r="W36" s="3" t="str">
        <x:f>IF(Master!X748="","",Master!X748)</x:f>
      </x:c>
      <x:c r="X36" s="3" t="str">
        <x:f>IF(Master!Y748="","",Master!Y748)</x:f>
      </x:c>
      <x:c r="Y36" s="3" t="str">
        <x:f>IF(Master!Z748="","",Master!Z748)</x:f>
      </x:c>
      <x:c r="Z36" s="3" t="str">
        <x:f>IF(Master!AA748="","",Master!AA748)</x:f>
      </x:c>
      <x:c r="AA36" s="6" t="str">
        <x:f>IF(Master!AB748="","",Master!AB748)</x:f>
      </x:c>
      <x:c r="AB36" s="3" t="str">
        <x:f>IF(Master!AC748="","",Master!AC748)</x:f>
      </x:c>
      <x:c r="AC36" s="3" t="str">
        <x:f>IF(Master!AD748="","",Master!AD748)</x:f>
      </x:c>
      <x:c r="AD36" s="3" t="str">
        <x:f>IF(Master!AE748="","",Master!AE748)</x:f>
      </x:c>
      <x:c r="AE36" s="3" t="str">
        <x:f>IF(Master!AF748="","",Master!AF748)</x:f>
      </x:c>
      <x:c r="AF36" s="8" t="str">
        <x:f>IF(Master!AG748="","",Master!AG748)</x:f>
      </x:c>
    </x:row>
    <x:row r="37" ht="36" customHeight="1">
      <x:c r="A37" s="17" t="s">
        <x:v>1350</x:v>
      </x:c>
      <x:c r="B37" s="3" t="str">
        <x:f>IF(Master!C749="","",Master!C749)</x:f>
        <x:v>Yes: Activities/apps</x:v>
      </x:c>
      <x:c r="C37" s="3" t="str">
        <x:f>IF(Master!D749="","",Master!D749)</x:f>
      </x:c>
      <x:c r="D37" s="3" t="str">
        <x:f>IF(Master!E749="","",Master!E749)</x:f>
      </x:c>
      <x:c r="E37" s="3" t="str">
        <x:f>IF(Master!F749="","",Master!F749)</x:f>
      </x:c>
      <x:c r="F37" s="3" t="str">
        <x:f>IF(Master!G749="","",Master!G749)</x:f>
      </x:c>
      <x:c r="G37" s="3" t="str">
        <x:f>IF(Master!H749="","",Master!H749)</x:f>
      </x:c>
      <x:c r="H37" s="3" t="str">
        <x:f>IF(Master!I749="","",Master!I749)</x:f>
      </x:c>
      <x:c r="I37" s="3" t="str">
        <x:f>IF(Master!J749="","",Master!J749)</x:f>
      </x:c>
      <x:c r="J37" s="3" t="str">
        <x:f>IF(Master!K749="","",Master!K749)</x:f>
      </x:c>
      <x:c r="K37" s="3" t="str">
        <x:f>IF(Master!L749="","",Master!L749)</x:f>
        <x:v>No embedded-app/Portal runtime documented</x:v>
      </x:c>
      <x:c r="L37" s="3" t="str">
        <x:f>IF(Master!M749="","",Master!M749)</x:f>
      </x:c>
      <x:c r="M37" s="3" t="str">
        <x:f>IF(Master!N749="","",Master!N749)</x:f>
      </x:c>
      <x:c r="N37" s="3" t="str">
        <x:f>IF(Master!O749="","",Master!O749)</x:f>
      </x:c>
      <x:c r="O37" s="3" t="str">
        <x:f>IF(Master!P749="","",Master!P749)</x:f>
      </x:c>
      <x:c r="P37" s="3" t="str">
        <x:f>IF(Master!Q749="","",Master!Q749)</x:f>
      </x:c>
      <x:c r="Q37" s="3" t="str">
        <x:f>IF(Master!R749="","",Master!R749)</x:f>
      </x:c>
      <x:c r="R37" s="3" t="str">
        <x:f>IF(Master!S749="","",Master!S749)</x:f>
      </x:c>
      <x:c r="S37" s="3" t="str">
        <x:f>IF(Master!T749="","",Master!T749)</x:f>
      </x:c>
      <x:c r="T37" s="3" t="str">
        <x:f>IF(Master!U749="","",Master!U749)</x:f>
      </x:c>
      <x:c r="U37" s="3" t="str">
        <x:f>IF(Master!V749="","",Master!V749)</x:f>
        <x:v>Yes: Portals</x:v>
      </x:c>
      <x:c r="V37" s="3" t="str">
        <x:f>IF(Master!W749="","",Master!W749)</x:f>
      </x:c>
      <x:c r="W37" s="3" t="str">
        <x:f>IF(Master!X749="","",Master!X749)</x:f>
      </x:c>
      <x:c r="X37" s="3" t="str">
        <x:f>IF(Master!Y749="","",Master!Y749)</x:f>
      </x:c>
      <x:c r="Y37" s="3" t="str">
        <x:f>IF(Master!Z749="","",Master!Z749)</x:f>
      </x:c>
      <x:c r="Z37" s="3" t="str">
        <x:f>IF(Master!AA749="","",Master!AA749)</x:f>
      </x:c>
      <x:c r="AA37" s="6" t="str">
        <x:f>IF(Master!AB749="","",Master!AB749)</x:f>
      </x:c>
      <x:c r="AB37" s="3" t="str">
        <x:f>IF(Master!AC749="","",Master!AC749)</x:f>
      </x:c>
      <x:c r="AC37" s="3" t="str">
        <x:f>IF(Master!AD749="","",Master!AD749)</x:f>
      </x:c>
      <x:c r="AD37" s="3" t="str">
        <x:f>IF(Master!AE749="","",Master!AE749)</x:f>
      </x:c>
      <x:c r="AE37" s="3" t="str">
        <x:f>IF(Master!AF749="","",Master!AF749)</x:f>
      </x:c>
      <x:c r="AF37" s="8" t="str">
        <x:f>IF(Master!AG749="","",Master!AG749)</x:f>
      </x:c>
    </x:row>
    <x:row r="38" ht="36" customHeight="1">
      <x:c r="A38" s="17" t="s">
        <x:v>1351</x:v>
      </x:c>
      <x:c r="B38" s="3" t="str">
        <x:f>IF(Master!C750="","",Master!C750)</x:f>
        <x:v>Many Activities free; app-specific monetization may apply</x:v>
      </x:c>
      <x:c r="C38" s="3" t="str">
        <x:f>IF(Master!D750="","",Master!D750)</x:f>
      </x:c>
      <x:c r="D38" s="3" t="str">
        <x:f>IF(Master!E750="","",Master!E750)</x:f>
      </x:c>
      <x:c r="E38" s="3" t="str">
        <x:f>IF(Master!F750="","",Master!F750)</x:f>
      </x:c>
      <x:c r="F38" s="3" t="str">
        <x:f>IF(Master!G750="","",Master!G750)</x:f>
      </x:c>
      <x:c r="G38" s="3" t="str">
        <x:f>IF(Master!H750="","",Master!H750)</x:f>
      </x:c>
      <x:c r="H38" s="3" t="str">
        <x:f>IF(Master!I750="","",Master!I750)</x:f>
      </x:c>
      <x:c r="I38" s="3" t="str">
        <x:f>IF(Master!J750="","",Master!J750)</x:f>
      </x:c>
      <x:c r="J38" s="3" t="str">
        <x:f>IF(Master!K750="","",Master!K750)</x:f>
      </x:c>
      <x:c r="K38" s="3" t="str">
        <x:f>IF(Master!L750="","",Master!L750)</x:f>
        <x:v>No embedded-app/Portal runtime documented</x:v>
      </x:c>
      <x:c r="L38" s="3" t="str">
        <x:f>IF(Master!M750="","",Master!M750)</x:f>
      </x:c>
      <x:c r="M38" s="3" t="str">
        <x:f>IF(Master!N750="","",Master!N750)</x:f>
      </x:c>
      <x:c r="N38" s="3" t="str">
        <x:f>IF(Master!O750="","",Master!O750)</x:f>
      </x:c>
      <x:c r="O38" s="3" t="str">
        <x:f>IF(Master!P750="","",Master!P750)</x:f>
      </x:c>
      <x:c r="P38" s="3" t="str">
        <x:f>IF(Master!Q750="","",Master!Q750)</x:f>
      </x:c>
      <x:c r="Q38" s="3" t="str">
        <x:f>IF(Master!R750="","",Master!R750)</x:f>
      </x:c>
      <x:c r="R38" s="3" t="str">
        <x:f>IF(Master!S750="","",Master!S750)</x:f>
      </x:c>
      <x:c r="S38" s="3" t="str">
        <x:f>IF(Master!T750="","",Master!T750)</x:f>
      </x:c>
      <x:c r="T38" s="3" t="str">
        <x:f>IF(Master!U750="","",Master!U750)</x:f>
      </x:c>
      <x:c r="U38" s="3" t="str">
        <x:f>IF(Master!V750="","",Master!V750)</x:f>
        <x:v>Embedded Apps Free / Rift+ Studio</x:v>
      </x:c>
      <x:c r="V38" s="3" t="str">
        <x:f>IF(Master!W750="","",Master!W750)</x:f>
      </x:c>
      <x:c r="W38" s="3" t="str">
        <x:f>IF(Master!X750="","",Master!X750)</x:f>
      </x:c>
      <x:c r="X38" s="3" t="str">
        <x:f>IF(Master!Y750="","",Master!Y750)</x:f>
      </x:c>
      <x:c r="Y38" s="3" t="str">
        <x:f>IF(Master!Z750="","",Master!Z750)</x:f>
      </x:c>
      <x:c r="Z38" s="3" t="str">
        <x:f>IF(Master!AA750="","",Master!AA750)</x:f>
      </x:c>
      <x:c r="AA38" s="6" t="str">
        <x:f>IF(Master!AB750="","",Master!AB750)</x:f>
      </x:c>
      <x:c r="AB38" s="3" t="str">
        <x:f>IF(Master!AC750="","",Master!AC750)</x:f>
      </x:c>
      <x:c r="AC38" s="3" t="str">
        <x:f>IF(Master!AD750="","",Master!AD750)</x:f>
      </x:c>
      <x:c r="AD38" s="3" t="str">
        <x:f>IF(Master!AE750="","",Master!AE750)</x:f>
      </x:c>
      <x:c r="AE38" s="3" t="str">
        <x:f>IF(Master!AF750="","",Master!AF750)</x:f>
      </x:c>
      <x:c r="AF38" s="8" t="str">
        <x:f>IF(Master!AG750="","",Master!AG750)</x:f>
      </x:c>
    </x:row>
    <x:row r="39" ht="36" customHeight="1">
      <x:c r="A39" s="17" t="s">
        <x:v>1352</x:v>
      </x:c>
      <x:c r="B39" s="3" t="str">
        <x:f>IF(Master!C751="","",Master!C751)</x:f>
        <x:v>Via third-party apps/bots; app pricing varies</x:v>
      </x:c>
      <x:c r="C39" s="3" t="str">
        <x:f>IF(Master!D751="","",Master!D751)</x:f>
      </x:c>
      <x:c r="D39" s="3" t="str">
        <x:f>IF(Master!E751="","",Master!E751)</x:f>
      </x:c>
      <x:c r="E39" s="3" t="str">
        <x:f>IF(Master!F751="","",Master!F751)</x:f>
      </x:c>
      <x:c r="F39" s="3" t="str">
        <x:f>IF(Master!G751="","",Master!G751)</x:f>
      </x:c>
      <x:c r="G39" s="3" t="str">
        <x:f>IF(Master!H751="","",Master!H751)</x:f>
      </x:c>
      <x:c r="H39" s="3" t="str">
        <x:f>IF(Master!I751="","",Master!I751)</x:f>
      </x:c>
      <x:c r="I39" s="3" t="str">
        <x:f>IF(Master!J751="","",Master!J751)</x:f>
      </x:c>
      <x:c r="J39" s="3" t="str">
        <x:f>IF(Master!K751="","",Master!K751)</x:f>
      </x:c>
      <x:c r="K39" s="3" t="str">
        <x:f>IF(Master!L751="","",Master!L751)</x:f>
        <x:v>No native leveling/giveaway monetization system documented</x:v>
      </x:c>
      <x:c r="L39" s="3" t="str">
        <x:f>IF(Master!M751="","",Master!M751)</x:f>
      </x:c>
      <x:c r="M39" s="3" t="str">
        <x:f>IF(Master!N751="","",Master!N751)</x:f>
      </x:c>
      <x:c r="N39" s="3" t="str">
        <x:f>IF(Master!O751="","",Master!O751)</x:f>
      </x:c>
      <x:c r="O39" s="3" t="str">
        <x:f>IF(Master!P751="","",Master!P751)</x:f>
      </x:c>
      <x:c r="P39" s="3" t="str">
        <x:f>IF(Master!Q751="","",Master!Q751)</x:f>
      </x:c>
      <x:c r="Q39" s="3" t="str">
        <x:f>IF(Master!R751="","",Master!R751)</x:f>
      </x:c>
      <x:c r="R39" s="3" t="str">
        <x:f>IF(Master!S751="","",Master!S751)</x:f>
      </x:c>
      <x:c r="S39" s="3" t="str">
        <x:f>IF(Master!T751="","",Master!T751)</x:f>
      </x:c>
      <x:c r="T39" s="3" t="str">
        <x:f>IF(Master!U751="","",Master!U751)</x:f>
      </x:c>
      <x:c r="U39" s="3" t="str">
        <x:f>IF(Master!V751="","",Master!V751)</x:f>
        <x:v>No: leveling stated free for every Shard; giveaways built in</x:v>
      </x:c>
      <x:c r="V39" s="3" t="str">
        <x:f>IF(Master!W751="","",Master!W751)</x:f>
      </x:c>
      <x:c r="W39" s="3" t="str">
        <x:f>IF(Master!X751="","",Master!X751)</x:f>
      </x:c>
      <x:c r="X39" s="3" t="str">
        <x:f>IF(Master!Y751="","",Master!Y751)</x:f>
      </x:c>
      <x:c r="Y39" s="3" t="str">
        <x:f>IF(Master!Z751="","",Master!Z751)</x:f>
      </x:c>
      <x:c r="Z39" s="3" t="str">
        <x:f>IF(Master!AA751="","",Master!AA751)</x:f>
      </x:c>
      <x:c r="AA39" s="6" t="str">
        <x:f>IF(Master!AB751="","",Master!AB751)</x:f>
      </x:c>
      <x:c r="AB39" s="3" t="str">
        <x:f>IF(Master!AC751="","",Master!AC751)</x:f>
      </x:c>
      <x:c r="AC39" s="3" t="str">
        <x:f>IF(Master!AD751="","",Master!AD751)</x:f>
      </x:c>
      <x:c r="AD39" s="3" t="str">
        <x:f>IF(Master!AE751="","",Master!AE751)</x:f>
      </x:c>
      <x:c r="AE39" s="3" t="str">
        <x:f>IF(Master!AF751="","",Master!AF751)</x:f>
      </x:c>
      <x:c r="AF39" s="8" t="str">
        <x:f>IF(Master!AG751="","",Master!AG751)</x:f>
      </x:c>
    </x:row>
  </x:sheetData>
  <x:mergeCells>
    <x:mergeCell ref="A1:AF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4" width="22" customWidth="1"/>
    <x:col min="5" max="6" width="15" customWidth="1"/>
    <x:col min="7" max="8" width="18" customWidth="1"/>
    <x:col min="9" max="9" width="36" customWidth="1"/>
    <x:col min="10" max="13" width="18" customWidth="1"/>
    <x:col min="14" max="14" width="36" customWidth="1"/>
    <x:col min="15" max="15" width="15" customWidth="1"/>
    <x:col min="16" max="16" width="36" customWidth="1"/>
    <x:col min="17" max="17" width="22" customWidth="1"/>
    <x:col min="18" max="32" width="20" customWidth="1"/>
  </x:cols>
  <x:sheetData>
    <x:row r="1" ht="27.950000762939453" customHeight="1">
      <x:c r="A1" s="24" t="str">
        <x:f>IFERROR(HYPERLINK("#'Sheet Directory'!A1","Monetization Detail: current and intended revenue models, including per-user and per-server/community upgrades"),"Monetization Detail: current and intended revenue models, including per-user and per-server/community upgrades")</x:f>
        <x:v>Monetization Detail: current and intended revenue models, including per-user and per-server/community upgrades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1353</x:v>
      </x:c>
      <x:c r="C2" s="11" t="s">
        <x:v>1354</x:v>
      </x:c>
      <x:c r="D2" s="11" t="s">
        <x:v>1355</x:v>
      </x:c>
      <x:c r="E2" s="11" t="s">
        <x:v>1356</x:v>
      </x:c>
      <x:c r="F2" s="11" t="s">
        <x:v>1007</x:v>
      </x:c>
      <x:c r="G2" s="11" t="s">
        <x:v>1357</x:v>
      </x:c>
      <x:c r="H2" s="11" t="s">
        <x:v>1358</x:v>
      </x:c>
      <x:c r="I2" s="11" t="s">
        <x:v>1359</x:v>
      </x:c>
      <x:c r="J2" s="11" t="s">
        <x:v>1360</x:v>
      </x:c>
      <x:c r="K2" s="11" t="s">
        <x:v>1361</x:v>
      </x:c>
      <x:c r="L2" s="11" t="s">
        <x:v>1362</x:v>
      </x:c>
      <x:c r="M2" s="11" t="s">
        <x:v>1363</x:v>
      </x:c>
      <x:c r="N2" s="11" t="s">
        <x:v>1012</x:v>
      </x:c>
      <x:c r="O2" s="11" t="s">
        <x:v>1013</x:v>
      </x:c>
      <x:c r="P2" s="11" t="s">
        <x:v>1014</x:v>
      </x:c>
      <x:c r="Q2" s="11" t="s">
        <x:v>1015</x:v>
      </x:c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64</x:v>
      </x:c>
      <x:c r="B3" s="8" t="s">
        <x:v>1364</x:v>
      </x:c>
      <x:c r="C3" s="8" t="s">
        <x:v>1016</x:v>
      </x:c>
      <x:c r="D3" s="8" t="s">
        <x:v>1017</x:v>
      </x:c>
      <x:c r="E3" s="8" t="s">
        <x:v>1365</x:v>
      </x:c>
      <x:c r="F3" s="8" t="s">
        <x:v>1021</x:v>
      </x:c>
      <x:c r="G3" s="8" t="s">
        <x:v>1366</x:v>
      </x:c>
      <x:c r="H3" s="8" t="s">
        <x:v>1022</x:v>
      </x:c>
      <x:c r="I3" s="8" t="s">
        <x:v>1023</x:v>
      </x:c>
      <x:c r="J3" s="8" t="s">
        <x:v>159</x:v>
      </x:c>
      <x:c r="K3" s="8" t="s">
        <x:v>156</x:v>
      </x:c>
      <x:c r="L3" s="8" t="s">
        <x:v>1018</x:v>
      </x:c>
      <x:c r="M3" s="8"/>
      <x:c r="N3" s="8" t="s">
        <x:v>1025</x:v>
      </x:c>
      <x:c r="O3" s="8" t="s">
        <x:v>1026</x:v>
      </x:c>
      <x:c r="P3" s="8" t="s">
        <x:v>1027</x:v>
      </x:c>
      <x:c r="Q3" s="8" t="s">
        <x:v>1028</x:v>
      </x:c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5">
      <x:c r="A4" s="8" t="s">
        <x:v>64</x:v>
      </x:c>
      <x:c r="B4" s="8" t="s">
        <x:v>1364</x:v>
      </x:c>
      <x:c r="C4" s="8" t="s">
        <x:v>1016</x:v>
      </x:c>
      <x:c r="D4" s="8" t="s">
        <x:v>1029</x:v>
      </x:c>
      <x:c r="E4" s="8" t="s">
        <x:v>1367</x:v>
      </x:c>
      <x:c r="F4" s="8" t="s">
        <x:v>1021</x:v>
      </x:c>
      <x:c r="G4" s="8" t="s">
        <x:v>1366</x:v>
      </x:c>
      <x:c r="H4" s="8" t="s">
        <x:v>1022</x:v>
      </x:c>
      <x:c r="I4" s="8" t="s">
        <x:v>1023</x:v>
      </x:c>
      <x:c r="J4" s="8" t="s">
        <x:v>159</x:v>
      </x:c>
      <x:c r="K4" s="8" t="s">
        <x:v>156</x:v>
      </x:c>
      <x:c r="L4" s="8" t="s">
        <x:v>1018</x:v>
      </x:c>
      <x:c r="M4" s="8"/>
      <x:c r="N4" s="8" t="s">
        <x:v>1025</x:v>
      </x:c>
      <x:c r="O4" s="8" t="s">
        <x:v>1026</x:v>
      </x:c>
      <x:c r="P4" s="8" t="s">
        <x:v>1034</x:v>
      </x:c>
      <x:c r="Q4" s="8" t="s">
        <x:v>1028</x:v>
      </x:c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45">
      <x:c r="A5" s="8" t="s">
        <x:v>64</x:v>
      </x:c>
      <x:c r="B5" s="8" t="s">
        <x:v>1364</x:v>
      </x:c>
      <x:c r="C5" s="8" t="s">
        <x:v>1035</x:v>
      </x:c>
      <x:c r="D5" s="8" t="s">
        <x:v>1036</x:v>
      </x:c>
      <x:c r="E5" s="8" t="s">
        <x:v>1368</x:v>
      </x:c>
      <x:c r="F5" s="8" t="s">
        <x:v>1021</x:v>
      </x:c>
      <x:c r="G5" s="8" t="s">
        <x:v>1366</x:v>
      </x:c>
      <x:c r="H5" s="8" t="s">
        <x:v>1039</x:v>
      </x:c>
      <x:c r="I5" s="8" t="s">
        <x:v>1040</x:v>
      </x:c>
      <x:c r="J5" s="8" t="s">
        <x:v>156</x:v>
      </x:c>
      <x:c r="K5" s="8" t="s">
        <x:v>1206</x:v>
      </x:c>
      <x:c r="L5" s="8" t="s">
        <x:v>1018</x:v>
      </x:c>
      <x:c r="M5" s="8"/>
      <x:c r="N5" s="8" t="s">
        <x:v>1025</x:v>
      </x:c>
      <x:c r="O5" s="8" t="s">
        <x:v>1026</x:v>
      </x:c>
      <x:c r="P5" s="8" t="s">
        <x:v>1043</x:v>
      </x:c>
      <x:c r="Q5" s="8" t="s">
        <x:v>1028</x:v>
      </x:c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45">
      <x:c r="A6" s="8" t="s">
        <x:v>64</x:v>
      </x:c>
      <x:c r="B6" s="8" t="s">
        <x:v>1369</x:v>
      </x:c>
      <x:c r="C6" s="8" t="s">
        <x:v>1044</x:v>
      </x:c>
      <x:c r="D6" s="8" t="s">
        <x:v>1045</x:v>
      </x:c>
      <x:c r="E6" s="8" t="s">
        <x:v>1368</x:v>
      </x:c>
      <x:c r="F6" s="8" t="s">
        <x:v>1021</x:v>
      </x:c>
      <x:c r="G6" s="8" t="s">
        <x:v>1366</x:v>
      </x:c>
      <x:c r="H6" s="8" t="s">
        <x:v>1022</x:v>
      </x:c>
      <x:c r="I6" s="8" t="s">
        <x:v>1023</x:v>
      </x:c>
      <x:c r="J6" s="8" t="s">
        <x:v>159</x:v>
      </x:c>
      <x:c r="K6" s="8" t="s">
        <x:v>156</x:v>
      </x:c>
      <x:c r="L6" s="8" t="s">
        <x:v>1046</x:v>
      </x:c>
      <x:c r="M6" s="8"/>
      <x:c r="N6" s="8" t="s">
        <x:v>1025</x:v>
      </x:c>
      <x:c r="O6" s="8" t="s">
        <x:v>1026</x:v>
      </x:c>
      <x:c r="P6" s="8" t="s">
        <x:v>1048</x:v>
      </x:c>
      <x:c r="Q6" s="8" t="s">
        <x:v>1028</x:v>
      </x:c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88</x:v>
      </x:c>
      <x:c r="B7" s="8" t="s">
        <x:v>1364</x:v>
      </x:c>
      <x:c r="C7" s="8" t="s">
        <x:v>1049</x:v>
      </x:c>
      <x:c r="D7" s="8" t="s">
        <x:v>1050</x:v>
      </x:c>
      <x:c r="E7" s="8" t="s">
        <x:v>154</x:v>
      </x:c>
      <x:c r="F7" s="8" t="s">
        <x:v>154</x:v>
      </x:c>
      <x:c r="G7" s="8" t="s">
        <x:v>1370</x:v>
      </x:c>
      <x:c r="H7" s="8" t="s">
        <x:v>154</x:v>
      </x:c>
      <x:c r="I7" s="8" t="s">
        <x:v>154</x:v>
      </x:c>
      <x:c r="J7" s="8" t="s">
        <x:v>159</x:v>
      </x:c>
      <x:c r="K7" s="8" t="s">
        <x:v>154</x:v>
      </x:c>
      <x:c r="L7" s="8" t="s">
        <x:v>1051</x:v>
      </x:c>
      <x:c r="M7" s="8"/>
      <x:c r="N7" s="8" t="s">
        <x:v>1052</x:v>
      </x:c>
      <x:c r="O7" s="8" t="s">
        <x:v>1026</x:v>
      </x:c>
      <x:c r="P7" s="8" t="s">
        <x:v>1053</x:v>
      </x:c>
      <x:c r="Q7" s="8" t="s">
        <x:v>1028</x:v>
      </x:c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60">
      <x:c r="A8" s="8" t="s">
        <x:v>68</x:v>
      </x:c>
      <x:c r="B8" s="8" t="s">
        <x:v>1371</x:v>
      </x:c>
      <x:c r="C8" s="8" t="s">
        <x:v>1054</x:v>
      </x:c>
      <x:c r="D8" s="8" t="s">
        <x:v>1055</x:v>
      </x:c>
      <x:c r="E8" s="8" t="s">
        <x:v>1372</x:v>
      </x:c>
      <x:c r="F8" s="8" t="s">
        <x:v>1021</x:v>
      </x:c>
      <x:c r="G8" s="8" t="s">
        <x:v>1366</x:v>
      </x:c>
      <x:c r="H8" s="8" t="s">
        <x:v>1057</x:v>
      </x:c>
      <x:c r="I8" s="8" t="s">
        <x:v>1058</x:v>
      </x:c>
      <x:c r="J8" s="8" t="s">
        <x:v>159</x:v>
      </x:c>
      <x:c r="K8" s="8" t="s">
        <x:v>1058</x:v>
      </x:c>
      <x:c r="L8" s="8" t="s">
        <x:v>1056</x:v>
      </x:c>
      <x:c r="M8" s="8" t="s">
        <x:v>1061</x:v>
      </x:c>
      <x:c r="N8" s="8" t="s">
        <x:v>1060</x:v>
      </x:c>
      <x:c r="O8" s="8" t="s">
        <x:v>1026</x:v>
      </x:c>
      <x:c r="P8" s="8" t="s">
        <x:v>1061</x:v>
      </x:c>
      <x:c r="Q8" s="8" t="s">
        <x:v>1028</x:v>
      </x:c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">
        <x:v>68</x:v>
      </x:c>
      <x:c r="B9" s="8" t="s">
        <x:v>1371</x:v>
      </x:c>
      <x:c r="C9" s="8" t="s">
        <x:v>1054</x:v>
      </x:c>
      <x:c r="D9" s="8" t="s">
        <x:v>1062</x:v>
      </x:c>
      <x:c r="E9" s="8" t="s">
        <x:v>1373</x:v>
      </x:c>
      <x:c r="F9" s="8" t="s">
        <x:v>1021</x:v>
      </x:c>
      <x:c r="G9" s="8" t="s">
        <x:v>1366</x:v>
      </x:c>
      <x:c r="H9" s="8" t="s">
        <x:v>1057</x:v>
      </x:c>
      <x:c r="I9" s="8" t="s">
        <x:v>1058</x:v>
      </x:c>
      <x:c r="J9" s="8" t="s">
        <x:v>159</x:v>
      </x:c>
      <x:c r="K9" s="8" t="s">
        <x:v>1058</x:v>
      </x:c>
      <x:c r="L9" s="8" t="s">
        <x:v>1056</x:v>
      </x:c>
      <x:c r="M9" s="8" t="s">
        <x:v>1061</x:v>
      </x:c>
      <x:c r="N9" s="8" t="s">
        <x:v>1060</x:v>
      </x:c>
      <x:c r="O9" s="8" t="s">
        <x:v>1026</x:v>
      </x:c>
      <x:c r="P9" s="8" t="s">
        <x:v>1061</x:v>
      </x:c>
      <x:c r="Q9" s="8" t="s">
        <x:v>1028</x:v>
      </x:c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60">
      <x:c r="A10" s="8" t="s">
        <x:v>68</x:v>
      </x:c>
      <x:c r="B10" s="8" t="s">
        <x:v>1371</x:v>
      </x:c>
      <x:c r="C10" s="8" t="s">
        <x:v>1054</x:v>
      </x:c>
      <x:c r="D10" s="8" t="s">
        <x:v>1064</x:v>
      </x:c>
      <x:c r="E10" s="8" t="s">
        <x:v>1374</x:v>
      </x:c>
      <x:c r="F10" s="8" t="s">
        <x:v>1021</x:v>
      </x:c>
      <x:c r="G10" s="8" t="s">
        <x:v>1366</x:v>
      </x:c>
      <x:c r="H10" s="8" t="s">
        <x:v>1057</x:v>
      </x:c>
      <x:c r="I10" s="8" t="s">
        <x:v>1058</x:v>
      </x:c>
      <x:c r="J10" s="8" t="s">
        <x:v>159</x:v>
      </x:c>
      <x:c r="K10" s="8" t="s">
        <x:v>1058</x:v>
      </x:c>
      <x:c r="L10" s="8" t="s">
        <x:v>1056</x:v>
      </x:c>
      <x:c r="M10" s="8" t="s">
        <x:v>1061</x:v>
      </x:c>
      <x:c r="N10" s="8" t="s">
        <x:v>1060</x:v>
      </x:c>
      <x:c r="O10" s="8" t="s">
        <x:v>1026</x:v>
      </x:c>
      <x:c r="P10" s="8" t="s">
        <x:v>1061</x:v>
      </x:c>
      <x:c r="Q10" s="8" t="s">
        <x:v>1028</x:v>
      </x:c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30">
      <x:c r="A11" s="8" t="s">
        <x:v>69</x:v>
      </x:c>
      <x:c r="B11" s="8" t="s">
        <x:v>1364</x:v>
      </x:c>
      <x:c r="C11" s="8" t="s">
        <x:v>1016</x:v>
      </x:c>
      <x:c r="D11" s="8" t="s">
        <x:v>1067</x:v>
      </x:c>
      <x:c r="E11" s="8" t="s">
        <x:v>1368</x:v>
      </x:c>
      <x:c r="F11" s="8" t="s">
        <x:v>1021</x:v>
      </x:c>
      <x:c r="G11" s="8" t="s">
        <x:v>1366</x:v>
      </x:c>
      <x:c r="H11" s="8" t="s">
        <x:v>1022</x:v>
      </x:c>
      <x:c r="I11" s="8" t="s">
        <x:v>1023</x:v>
      </x:c>
      <x:c r="J11" s="8" t="s">
        <x:v>159</x:v>
      </x:c>
      <x:c r="K11" s="8" t="s">
        <x:v>156</x:v>
      </x:c>
      <x:c r="L11" s="8" t="s">
        <x:v>1018</x:v>
      </x:c>
      <x:c r="M11" s="8"/>
      <x:c r="N11" s="8" t="s">
        <x:v>1069</x:v>
      </x:c>
      <x:c r="O11" s="8" t="s">
        <x:v>1026</x:v>
      </x:c>
      <x:c r="P11" s="8" t="s">
        <x:v>1070</x:v>
      </x:c>
      <x:c r="Q11" s="8" t="s">
        <x:v>1028</x:v>
      </x:c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45">
      <x:c r="A12" s="8" t="s">
        <x:v>86</x:v>
      </x:c>
      <x:c r="B12" s="8" t="s">
        <x:v>1364</x:v>
      </x:c>
      <x:c r="C12" s="8" t="s">
        <x:v>1016</x:v>
      </x:c>
      <x:c r="D12" s="8" t="s">
        <x:v>1071</x:v>
      </x:c>
      <x:c r="E12" s="8" t="s">
        <x:v>151</x:v>
      </x:c>
      <x:c r="F12" s="8" t="s">
        <x:v>1072</x:v>
      </x:c>
      <x:c r="G12" s="8" t="s">
        <x:v>1370</x:v>
      </x:c>
      <x:c r="H12" s="8" t="s">
        <x:v>1022</x:v>
      </x:c>
      <x:c r="I12" s="8" t="s">
        <x:v>1023</x:v>
      </x:c>
      <x:c r="J12" s="8" t="s">
        <x:v>159</x:v>
      </x:c>
      <x:c r="K12" s="8" t="s">
        <x:v>156</x:v>
      </x:c>
      <x:c r="L12" s="8" t="s">
        <x:v>1018</x:v>
      </x:c>
      <x:c r="M12" s="8"/>
      <x:c r="N12" s="8" t="s">
        <x:v>1075</x:v>
      </x:c>
      <x:c r="O12" s="8" t="s">
        <x:v>1026</x:v>
      </x:c>
      <x:c r="P12" s="8" t="s">
        <x:v>1076</x:v>
      </x:c>
      <x:c r="Q12" s="8" t="s">
        <x:v>1028</x:v>
      </x:c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30">
      <x:c r="A13" s="8" t="s">
        <x:v>76</x:v>
      </x:c>
      <x:c r="B13" s="8" t="s">
        <x:v>1364</x:v>
      </x:c>
      <x:c r="C13" s="8" t="s">
        <x:v>1077</x:v>
      </x:c>
      <x:c r="D13" s="8" t="s">
        <x:v>1078</x:v>
      </x:c>
      <x:c r="E13" s="8" t="s">
        <x:v>154</x:v>
      </x:c>
      <x:c r="F13" s="8" t="s">
        <x:v>1079</x:v>
      </x:c>
      <x:c r="G13" s="8" t="s">
        <x:v>1370</x:v>
      </x:c>
      <x:c r="H13" s="8" t="s">
        <x:v>1079</x:v>
      </x:c>
      <x:c r="I13" s="8" t="s">
        <x:v>1080</x:v>
      </x:c>
      <x:c r="J13" s="8" t="s">
        <x:v>159</x:v>
      </x:c>
      <x:c r="K13" s="8" t="s">
        <x:v>1080</x:v>
      </x:c>
      <x:c r="L13" s="8" t="s">
        <x:v>1079</x:v>
      </x:c>
      <x:c r="M13" s="8"/>
      <x:c r="N13" s="8" t="s">
        <x:v>1082</x:v>
      </x:c>
      <x:c r="O13" s="8" t="s">
        <x:v>1026</x:v>
      </x:c>
      <x:c r="P13" s="8" t="s">
        <x:v>1083</x:v>
      </x:c>
      <x:c r="Q13" s="8" t="s">
        <x:v>1028</x:v>
      </x:c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87</x:v>
      </x:c>
      <x:c r="B14" s="8" t="s">
        <x:v>1364</x:v>
      </x:c>
      <x:c r="C14" s="8" t="s">
        <x:v>1049</x:v>
      </x:c>
      <x:c r="D14" s="8" t="s">
        <x:v>1084</x:v>
      </x:c>
      <x:c r="E14" s="8" t="s">
        <x:v>154</x:v>
      </x:c>
      <x:c r="F14" s="8" t="s">
        <x:v>154</x:v>
      </x:c>
      <x:c r="G14" s="8" t="s">
        <x:v>1370</x:v>
      </x:c>
      <x:c r="H14" s="8" t="s">
        <x:v>1086</x:v>
      </x:c>
      <x:c r="I14" s="8" t="s">
        <x:v>1087</x:v>
      </x:c>
      <x:c r="J14" s="8" t="s">
        <x:v>159</x:v>
      </x:c>
      <x:c r="K14" s="8" t="s">
        <x:v>1087</x:v>
      </x:c>
      <x:c r="L14" s="8" t="s">
        <x:v>1085</x:v>
      </x:c>
      <x:c r="M14" s="8"/>
      <x:c r="N14" s="8" t="s">
        <x:v>1089</x:v>
      </x:c>
      <x:c r="O14" s="8" t="s">
        <x:v>1026</x:v>
      </x:c>
      <x:c r="P14" s="8" t="s">
        <x:v>1090</x:v>
      </x:c>
      <x:c r="Q14" s="8" t="s">
        <x:v>1028</x:v>
      </x:c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30">
      <x:c r="A15" s="8" t="s">
        <x:v>79</x:v>
      </x:c>
      <x:c r="B15" s="8" t="s">
        <x:v>1364</x:v>
      </x:c>
      <x:c r="C15" s="8" t="s">
        <x:v>1091</x:v>
      </x:c>
      <x:c r="D15" s="8" t="s">
        <x:v>1092</x:v>
      </x:c>
      <x:c r="E15" s="8" t="s">
        <x:v>154</x:v>
      </x:c>
      <x:c r="F15" s="8" t="s">
        <x:v>154</x:v>
      </x:c>
      <x:c r="G15" s="8" t="s">
        <x:v>1370</x:v>
      </x:c>
      <x:c r="H15" s="8" t="s">
        <x:v>1093</x:v>
      </x:c>
      <x:c r="I15" s="8" t="s">
        <x:v>1087</x:v>
      </x:c>
      <x:c r="J15" s="8" t="s">
        <x:v>159</x:v>
      </x:c>
      <x:c r="K15" s="8" t="s">
        <x:v>1087</x:v>
      </x:c>
      <x:c r="L15" s="8" t="s">
        <x:v>1085</x:v>
      </x:c>
      <x:c r="M15" s="8"/>
      <x:c r="N15" s="8" t="s">
        <x:v>1095</x:v>
      </x:c>
      <x:c r="O15" s="8" t="s">
        <x:v>1026</x:v>
      </x:c>
      <x:c r="P15" s="8" t="s">
        <x:v>1096</x:v>
      </x:c>
      <x:c r="Q15" s="8" t="s">
        <x:v>1028</x:v>
      </x:c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89</x:v>
      </x:c>
      <x:c r="B16" s="8" t="s">
        <x:v>1364</x:v>
      </x:c>
      <x:c r="C16" s="8" t="s">
        <x:v>1097</x:v>
      </x:c>
      <x:c r="D16" s="8" t="s">
        <x:v>1098</x:v>
      </x:c>
      <x:c r="E16" s="8" t="s">
        <x:v>1375</x:v>
      </x:c>
      <x:c r="F16" s="8" t="s">
        <x:v>1021</x:v>
      </x:c>
      <x:c r="G16" s="8" t="s">
        <x:v>1366</x:v>
      </x:c>
      <x:c r="H16" s="8" t="s">
        <x:v>1100</x:v>
      </x:c>
      <x:c r="I16" s="8" t="s">
        <x:v>1101</x:v>
      </x:c>
      <x:c r="J16" s="8" t="s">
        <x:v>156</x:v>
      </x:c>
      <x:c r="K16" s="8" t="s">
        <x:v>1206</x:v>
      </x:c>
      <x:c r="L16" s="8" t="s">
        <x:v>1018</x:v>
      </x:c>
      <x:c r="M16" s="8"/>
      <x:c r="N16" s="8" t="s">
        <x:v>1103</x:v>
      </x:c>
      <x:c r="O16" s="8" t="s">
        <x:v>1026</x:v>
      </x:c>
      <x:c r="P16" s="8" t="s">
        <x:v>1104</x:v>
      </x:c>
      <x:c r="Q16" s="8" t="s">
        <x:v>1028</x:v>
      </x:c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89</x:v>
      </x:c>
      <x:c r="B17" s="8" t="s">
        <x:v>1364</x:v>
      </x:c>
      <x:c r="C17" s="8" t="s">
        <x:v>1097</x:v>
      </x:c>
      <x:c r="D17" s="8" t="s">
        <x:v>1105</x:v>
      </x:c>
      <x:c r="E17" s="8" t="s">
        <x:v>1376</x:v>
      </x:c>
      <x:c r="F17" s="8" t="s">
        <x:v>1021</x:v>
      </x:c>
      <x:c r="G17" s="8" t="s">
        <x:v>1366</x:v>
      </x:c>
      <x:c r="H17" s="8" t="s">
        <x:v>1100</x:v>
      </x:c>
      <x:c r="I17" s="8" t="s">
        <x:v>1101</x:v>
      </x:c>
      <x:c r="J17" s="8" t="s">
        <x:v>156</x:v>
      </x:c>
      <x:c r="K17" s="8" t="s">
        <x:v>1206</x:v>
      </x:c>
      <x:c r="L17" s="8" t="s">
        <x:v>1018</x:v>
      </x:c>
      <x:c r="M17" s="8"/>
      <x:c r="N17" s="8" t="s">
        <x:v>1103</x:v>
      </x:c>
      <x:c r="O17" s="8" t="s">
        <x:v>1026</x:v>
      </x:c>
      <x:c r="P17" s="8" t="s">
        <x:v>1104</x:v>
      </x:c>
      <x:c r="Q17" s="8" t="s">
        <x:v>1028</x:v>
      </x:c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89</x:v>
      </x:c>
      <x:c r="B18" s="8" t="s">
        <x:v>1364</x:v>
      </x:c>
      <x:c r="C18" s="8" t="s">
        <x:v>1097</x:v>
      </x:c>
      <x:c r="D18" s="8" t="s">
        <x:v>1109</x:v>
      </x:c>
      <x:c r="E18" s="8" t="s">
        <x:v>1377</x:v>
      </x:c>
      <x:c r="F18" s="8" t="s">
        <x:v>1021</x:v>
      </x:c>
      <x:c r="G18" s="8" t="s">
        <x:v>1366</x:v>
      </x:c>
      <x:c r="H18" s="8" t="s">
        <x:v>1100</x:v>
      </x:c>
      <x:c r="I18" s="8" t="s">
        <x:v>1101</x:v>
      </x:c>
      <x:c r="J18" s="8" t="s">
        <x:v>156</x:v>
      </x:c>
      <x:c r="K18" s="8" t="s">
        <x:v>1206</x:v>
      </x:c>
      <x:c r="L18" s="8" t="s">
        <x:v>1018</x:v>
      </x:c>
      <x:c r="M18" s="8"/>
      <x:c r="N18" s="8" t="s">
        <x:v>1103</x:v>
      </x:c>
      <x:c r="O18" s="8" t="s">
        <x:v>1026</x:v>
      </x:c>
      <x:c r="P18" s="8" t="s">
        <x:v>1104</x:v>
      </x:c>
      <x:c r="Q18" s="8" t="s">
        <x:v>1028</x:v>
      </x:c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89</x:v>
      </x:c>
      <x:c r="B19" s="8" t="s">
        <x:v>1364</x:v>
      </x:c>
      <x:c r="C19" s="8" t="s">
        <x:v>1113</x:v>
      </x:c>
      <x:c r="D19" s="8" t="s">
        <x:v>1114</x:v>
      </x:c>
      <x:c r="E19" s="8" t="s">
        <x:v>1378</x:v>
      </x:c>
      <x:c r="F19" s="8" t="s">
        <x:v>1021</x:v>
      </x:c>
      <x:c r="G19" s="8" t="s">
        <x:v>1366</x:v>
      </x:c>
      <x:c r="H19" s="8" t="s">
        <x:v>1116</x:v>
      </x:c>
      <x:c r="I19" s="8" t="s">
        <x:v>1117</x:v>
      </x:c>
      <x:c r="J19" s="8" t="s">
        <x:v>1113</x:v>
      </x:c>
      <x:c r="K19" s="8" t="s">
        <x:v>1117</x:v>
      </x:c>
      <x:c r="L19" s="8" t="s">
        <x:v>1018</x:v>
      </x:c>
      <x:c r="M19" s="8"/>
      <x:c r="N19" s="8" t="s">
        <x:v>1119</x:v>
      </x:c>
      <x:c r="O19" s="8" t="s">
        <x:v>1026</x:v>
      </x:c>
      <x:c r="P19" s="8" t="s">
        <x:v>1120</x:v>
      </x:c>
      <x:c r="Q19" s="8" t="s">
        <x:v>1028</x:v>
      </x:c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45">
      <x:c r="A20" s="8" t="s">
        <x:v>89</x:v>
      </x:c>
      <x:c r="B20" s="8" t="s">
        <x:v>1364</x:v>
      </x:c>
      <x:c r="C20" s="8" t="s">
        <x:v>1113</x:v>
      </x:c>
      <x:c r="D20" s="8" t="s">
        <x:v>1121</x:v>
      </x:c>
      <x:c r="E20" s="8" t="s">
        <x:v>1379</x:v>
      </x:c>
      <x:c r="F20" s="8" t="s">
        <x:v>1021</x:v>
      </x:c>
      <x:c r="G20" s="8" t="s">
        <x:v>1366</x:v>
      </x:c>
      <x:c r="H20" s="8" t="s">
        <x:v>1116</x:v>
      </x:c>
      <x:c r="I20" s="8" t="s">
        <x:v>1117</x:v>
      </x:c>
      <x:c r="J20" s="8" t="s">
        <x:v>1113</x:v>
      </x:c>
      <x:c r="K20" s="8" t="s">
        <x:v>1117</x:v>
      </x:c>
      <x:c r="L20" s="8" t="s">
        <x:v>1018</x:v>
      </x:c>
      <x:c r="M20" s="8"/>
      <x:c r="N20" s="8" t="s">
        <x:v>1119</x:v>
      </x:c>
      <x:c r="O20" s="8" t="s">
        <x:v>1026</x:v>
      </x:c>
      <x:c r="P20" s="8" t="s">
        <x:v>1120</x:v>
      </x:c>
      <x:c r="Q20" s="8" t="s">
        <x:v>1028</x:v>
      </x:c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89</x:v>
      </x:c>
      <x:c r="B21" s="8" t="s">
        <x:v>1364</x:v>
      </x:c>
      <x:c r="C21" s="8" t="s">
        <x:v>1113</x:v>
      </x:c>
      <x:c r="D21" s="8" t="s">
        <x:v>1125</x:v>
      </x:c>
      <x:c r="E21" s="8" t="s">
        <x:v>1380</x:v>
      </x:c>
      <x:c r="F21" s="8" t="s">
        <x:v>1021</x:v>
      </x:c>
      <x:c r="G21" s="8" t="s">
        <x:v>1366</x:v>
      </x:c>
      <x:c r="H21" s="8" t="s">
        <x:v>1116</x:v>
      </x:c>
      <x:c r="I21" s="8" t="s">
        <x:v>1117</x:v>
      </x:c>
      <x:c r="J21" s="8" t="s">
        <x:v>1113</x:v>
      </x:c>
      <x:c r="K21" s="8" t="s">
        <x:v>1117</x:v>
      </x:c>
      <x:c r="L21" s="8" t="s">
        <x:v>1018</x:v>
      </x:c>
      <x:c r="M21" s="8"/>
      <x:c r="N21" s="8" t="s">
        <x:v>1119</x:v>
      </x:c>
      <x:c r="O21" s="8" t="s">
        <x:v>1026</x:v>
      </x:c>
      <x:c r="P21" s="8" t="s">
        <x:v>1120</x:v>
      </x:c>
      <x:c r="Q21" s="8" t="s">
        <x:v>1028</x:v>
      </x:c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89</x:v>
      </x:c>
      <x:c r="B22" s="8" t="s">
        <x:v>1364</x:v>
      </x:c>
      <x:c r="C22" s="8" t="s">
        <x:v>1113</x:v>
      </x:c>
      <x:c r="D22" s="8" t="s">
        <x:v>1129</x:v>
      </x:c>
      <x:c r="E22" s="8" t="s">
        <x:v>1381</x:v>
      </x:c>
      <x:c r="F22" s="8" t="s">
        <x:v>1021</x:v>
      </x:c>
      <x:c r="G22" s="8" t="s">
        <x:v>1366</x:v>
      </x:c>
      <x:c r="H22" s="8" t="s">
        <x:v>1116</x:v>
      </x:c>
      <x:c r="I22" s="8" t="s">
        <x:v>1117</x:v>
      </x:c>
      <x:c r="J22" s="8" t="s">
        <x:v>1113</x:v>
      </x:c>
      <x:c r="K22" s="8" t="s">
        <x:v>1117</x:v>
      </x:c>
      <x:c r="L22" s="8" t="s">
        <x:v>1018</x:v>
      </x:c>
      <x:c r="M22" s="8"/>
      <x:c r="N22" s="8" t="s">
        <x:v>1119</x:v>
      </x:c>
      <x:c r="O22" s="8" t="s">
        <x:v>1026</x:v>
      </x:c>
      <x:c r="P22" s="8" t="s">
        <x:v>1120</x:v>
      </x:c>
      <x:c r="Q22" s="8" t="s">
        <x:v>1028</x:v>
      </x:c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89</x:v>
      </x:c>
      <x:c r="B23" s="8" t="s">
        <x:v>1364</x:v>
      </x:c>
      <x:c r="C23" s="8" t="s">
        <x:v>1113</x:v>
      </x:c>
      <x:c r="D23" s="8" t="s">
        <x:v>1133</x:v>
      </x:c>
      <x:c r="E23" s="8" t="s">
        <x:v>1382</x:v>
      </x:c>
      <x:c r="F23" s="8" t="s">
        <x:v>1021</x:v>
      </x:c>
      <x:c r="G23" s="8" t="s">
        <x:v>1366</x:v>
      </x:c>
      <x:c r="H23" s="8" t="s">
        <x:v>1116</x:v>
      </x:c>
      <x:c r="I23" s="8" t="s">
        <x:v>1117</x:v>
      </x:c>
      <x:c r="J23" s="8" t="s">
        <x:v>1113</x:v>
      </x:c>
      <x:c r="K23" s="8" t="s">
        <x:v>1117</x:v>
      </x:c>
      <x:c r="L23" s="8" t="s">
        <x:v>1018</x:v>
      </x:c>
      <x:c r="M23" s="8"/>
      <x:c r="N23" s="8" t="s">
        <x:v>1119</x:v>
      </x:c>
      <x:c r="O23" s="8" t="s">
        <x:v>1026</x:v>
      </x:c>
      <x:c r="P23" s="8" t="s">
        <x:v>1120</x:v>
      </x:c>
      <x:c r="Q23" s="8" t="s">
        <x:v>1028</x:v>
      </x:c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45">
      <x:c r="A24" s="8" t="s">
        <x:v>89</x:v>
      </x:c>
      <x:c r="B24" s="8" t="s">
        <x:v>1364</x:v>
      </x:c>
      <x:c r="C24" s="8" t="s">
        <x:v>1137</x:v>
      </x:c>
      <x:c r="D24" s="8" t="s">
        <x:v>1138</x:v>
      </x:c>
      <x:c r="E24" s="8" t="s">
        <x:v>1383</x:v>
      </x:c>
      <x:c r="F24" s="8" t="s">
        <x:v>1140</x:v>
      </x:c>
      <x:c r="G24" s="8" t="s">
        <x:v>1193</x:v>
      </x:c>
      <x:c r="H24" s="8" t="s">
        <x:v>1141</x:v>
      </x:c>
      <x:c r="I24" s="8" t="s">
        <x:v>1142</x:v>
      </x:c>
      <x:c r="J24" s="8" t="s">
        <x:v>1113</x:v>
      </x:c>
      <x:c r="K24" s="8" t="s">
        <x:v>1142</x:v>
      </x:c>
      <x:c r="L24" s="8" t="s">
        <x:v>1139</x:v>
      </x:c>
      <x:c r="M24" s="8"/>
      <x:c r="N24" s="8" t="s">
        <x:v>1119</x:v>
      </x:c>
      <x:c r="O24" s="8" t="s">
        <x:v>1026</x:v>
      </x:c>
      <x:c r="P24" s="8"/>
      <x:c r="Q24" s="8" t="s">
        <x:v>1028</x:v>
      </x:c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89</x:v>
      </x:c>
      <x:c r="B25" s="8" t="s">
        <x:v>1364</x:v>
      </x:c>
      <x:c r="C25" s="8" t="s">
        <x:v>1144</x:v>
      </x:c>
      <x:c r="D25" s="8" t="s">
        <x:v>1145</x:v>
      </x:c>
      <x:c r="E25" s="8" t="s">
        <x:v>1383</x:v>
      </x:c>
      <x:c r="F25" s="8" t="s">
        <x:v>1140</x:v>
      </x:c>
      <x:c r="G25" s="8" t="s">
        <x:v>1193</x:v>
      </x:c>
      <x:c r="H25" s="8" t="s">
        <x:v>1141</x:v>
      </x:c>
      <x:c r="I25" s="8" t="s">
        <x:v>1146</x:v>
      </x:c>
      <x:c r="J25" s="8" t="s">
        <x:v>159</x:v>
      </x:c>
      <x:c r="K25" s="8" t="s">
        <x:v>1146</x:v>
      </x:c>
      <x:c r="L25" s="8" t="s">
        <x:v>1139</x:v>
      </x:c>
      <x:c r="M25" s="8"/>
      <x:c r="N25" s="8" t="s">
        <x:v>1119</x:v>
      </x:c>
      <x:c r="O25" s="8" t="s">
        <x:v>1026</x:v>
      </x:c>
      <x:c r="P25" s="8"/>
      <x:c r="Q25" s="8" t="s">
        <x:v>1028</x:v>
      </x:c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30">
      <x:c r="A26" s="8" t="s">
        <x:v>94</x:v>
      </x:c>
      <x:c r="B26" s="8" t="s">
        <x:v>1364</x:v>
      </x:c>
      <x:c r="C26" s="8" t="s">
        <x:v>1148</x:v>
      </x:c>
      <x:c r="D26" s="8" t="s">
        <x:v>1149</x:v>
      </x:c>
      <x:c r="E26" s="8" t="s">
        <x:v>1384</x:v>
      </x:c>
      <x:c r="F26" s="8" t="s">
        <x:v>1021</x:v>
      </x:c>
      <x:c r="G26" s="8" t="s">
        <x:v>1366</x:v>
      </x:c>
      <x:c r="H26" s="8" t="s">
        <x:v>1022</x:v>
      </x:c>
      <x:c r="I26" s="8" t="s">
        <x:v>1152</x:v>
      </x:c>
      <x:c r="J26" s="8" t="s">
        <x:v>159</x:v>
      </x:c>
      <x:c r="K26" s="8" t="s">
        <x:v>1152</x:v>
      </x:c>
      <x:c r="L26" s="8" t="s">
        <x:v>1018</x:v>
      </x:c>
      <x:c r="M26" s="8"/>
      <x:c r="N26" s="8" t="s">
        <x:v>1154</x:v>
      </x:c>
      <x:c r="O26" s="8" t="s">
        <x:v>1026</x:v>
      </x:c>
      <x:c r="P26" s="8" t="s">
        <x:v>1155</x:v>
      </x:c>
      <x:c r="Q26" s="8" t="s">
        <x:v>1028</x:v>
      </x:c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94</x:v>
      </x:c>
      <x:c r="B27" s="8" t="s">
        <x:v>1364</x:v>
      </x:c>
      <x:c r="C27" s="8" t="s">
        <x:v>1148</x:v>
      </x:c>
      <x:c r="D27" s="8" t="s">
        <x:v>1156</x:v>
      </x:c>
      <x:c r="E27" s="8" t="s">
        <x:v>1385</x:v>
      </x:c>
      <x:c r="F27" s="8" t="s">
        <x:v>1021</x:v>
      </x:c>
      <x:c r="G27" s="8" t="s">
        <x:v>1366</x:v>
      </x:c>
      <x:c r="H27" s="8" t="s">
        <x:v>1159</x:v>
      </x:c>
      <x:c r="I27" s="8" t="s">
        <x:v>1152</x:v>
      </x:c>
      <x:c r="J27" s="8" t="s">
        <x:v>159</x:v>
      </x:c>
      <x:c r="K27" s="8" t="s">
        <x:v>1152</x:v>
      </x:c>
      <x:c r="L27" s="8" t="s">
        <x:v>1018</x:v>
      </x:c>
      <x:c r="M27" s="8"/>
      <x:c r="N27" s="8" t="s">
        <x:v>1154</x:v>
      </x:c>
      <x:c r="O27" s="8" t="s">
        <x:v>1026</x:v>
      </x:c>
      <x:c r="P27" s="8" t="s">
        <x:v>1155</x:v>
      </x:c>
      <x:c r="Q27" s="8" t="s">
        <x:v>1028</x:v>
      </x:c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30">
      <x:c r="A28" s="8" t="s">
        <x:v>94</x:v>
      </x:c>
      <x:c r="B28" s="8" t="s">
        <x:v>1364</x:v>
      </x:c>
      <x:c r="C28" s="8" t="s">
        <x:v>1161</x:v>
      </x:c>
      <x:c r="D28" s="8" t="s">
        <x:v>1162</x:v>
      </x:c>
      <x:c r="E28" s="8" t="s">
        <x:v>1386</x:v>
      </x:c>
      <x:c r="F28" s="8" t="s">
        <x:v>1021</x:v>
      </x:c>
      <x:c r="G28" s="8" t="s">
        <x:v>1366</x:v>
      </x:c>
      <x:c r="H28" s="8" t="s">
        <x:v>1022</x:v>
      </x:c>
      <x:c r="I28" s="8" t="s">
        <x:v>1164</x:v>
      </x:c>
      <x:c r="J28" s="8" t="s">
        <x:v>1113</x:v>
      </x:c>
      <x:c r="K28" s="8" t="s">
        <x:v>1164</x:v>
      </x:c>
      <x:c r="L28" s="8" t="s">
        <x:v>1018</x:v>
      </x:c>
      <x:c r="M28" s="8"/>
      <x:c r="N28" s="8" t="s">
        <x:v>1154</x:v>
      </x:c>
      <x:c r="O28" s="8" t="s">
        <x:v>1026</x:v>
      </x:c>
      <x:c r="P28" s="8" t="s">
        <x:v>1155</x:v>
      </x:c>
      <x:c r="Q28" s="8" t="s">
        <x:v>1028</x:v>
      </x:c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30">
      <x:c r="A29" s="8" t="s">
        <x:v>94</x:v>
      </x:c>
      <x:c r="B29" s="8" t="s">
        <x:v>1364</x:v>
      </x:c>
      <x:c r="C29" s="8" t="s">
        <x:v>1161</x:v>
      </x:c>
      <x:c r="D29" s="8" t="s">
        <x:v>1166</x:v>
      </x:c>
      <x:c r="E29" s="8" t="s">
        <x:v>1384</x:v>
      </x:c>
      <x:c r="F29" s="8" t="s">
        <x:v>1021</x:v>
      </x:c>
      <x:c r="G29" s="8" t="s">
        <x:v>1366</x:v>
      </x:c>
      <x:c r="H29" s="8" t="s">
        <x:v>1167</x:v>
      </x:c>
      <x:c r="I29" s="8" t="s">
        <x:v>1164</x:v>
      </x:c>
      <x:c r="J29" s="8" t="s">
        <x:v>1113</x:v>
      </x:c>
      <x:c r="K29" s="8" t="s">
        <x:v>1164</x:v>
      </x:c>
      <x:c r="L29" s="8" t="s">
        <x:v>1018</x:v>
      </x:c>
      <x:c r="M29" s="8"/>
      <x:c r="N29" s="8" t="s">
        <x:v>1154</x:v>
      </x:c>
      <x:c r="O29" s="8" t="s">
        <x:v>1026</x:v>
      </x:c>
      <x:c r="P29" s="8" t="s">
        <x:v>1155</x:v>
      </x:c>
      <x:c r="Q29" s="8" t="s">
        <x:v>1028</x:v>
      </x:c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30">
      <x:c r="A30" s="8" t="s">
        <x:v>94</x:v>
      </x:c>
      <x:c r="B30" s="8" t="s">
        <x:v>1364</x:v>
      </x:c>
      <x:c r="C30" s="8" t="s">
        <x:v>1169</x:v>
      </x:c>
      <x:c r="D30" s="8" t="s">
        <x:v>1170</x:v>
      </x:c>
      <x:c r="E30" s="8" t="s">
        <x:v>1383</x:v>
      </x:c>
      <x:c r="F30" s="8" t="s">
        <x:v>1140</x:v>
      </x:c>
      <x:c r="G30" s="8" t="s">
        <x:v>1193</x:v>
      </x:c>
      <x:c r="H30" s="8" t="s">
        <x:v>1141</x:v>
      </x:c>
      <x:c r="I30" s="8" t="s">
        <x:v>1164</x:v>
      </x:c>
      <x:c r="J30" s="8" t="s">
        <x:v>1113</x:v>
      </x:c>
      <x:c r="K30" s="8" t="s">
        <x:v>1164</x:v>
      </x:c>
      <x:c r="L30" s="8" t="s">
        <x:v>1139</x:v>
      </x:c>
      <x:c r="M30" s="8"/>
      <x:c r="N30" s="8" t="s">
        <x:v>1154</x:v>
      </x:c>
      <x:c r="O30" s="8" t="s">
        <x:v>1026</x:v>
      </x:c>
      <x:c r="P30" s="8"/>
      <x:c r="Q30" s="8" t="s">
        <x:v>1028</x:v>
      </x:c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77</x:v>
      </x:c>
      <x:c r="B31" s="8" t="s">
        <x:v>1364</x:v>
      </x:c>
      <x:c r="C31" s="8" t="s">
        <x:v>1172</x:v>
      </x:c>
      <x:c r="D31" s="8" t="s">
        <x:v>1173</x:v>
      </x:c>
      <x:c r="E31" s="8" t="s">
        <x:v>1383</x:v>
      </x:c>
      <x:c r="F31" s="8" t="s">
        <x:v>1140</x:v>
      </x:c>
      <x:c r="G31" s="8" t="s">
        <x:v>1193</x:v>
      </x:c>
      <x:c r="H31" s="8" t="s">
        <x:v>1174</x:v>
      </x:c>
      <x:c r="I31" s="8" t="s">
        <x:v>1175</x:v>
      </x:c>
      <x:c r="J31" s="8" t="s">
        <x:v>159</x:v>
      </x:c>
      <x:c r="K31" s="8" t="s">
        <x:v>1175</x:v>
      </x:c>
      <x:c r="L31" s="8" t="s">
        <x:v>1139</x:v>
      </x:c>
      <x:c r="M31" s="8"/>
      <x:c r="N31" s="8" t="s">
        <x:v>1177</x:v>
      </x:c>
      <x:c r="O31" s="8" t="s">
        <x:v>1026</x:v>
      </x:c>
      <x:c r="P31" s="8" t="s">
        <x:v>1178</x:v>
      </x:c>
      <x:c r="Q31" s="8" t="s">
        <x:v>1028</x:v>
      </x:c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30">
      <x:c r="A32" s="8" t="s">
        <x:v>77</x:v>
      </x:c>
      <x:c r="B32" s="8" t="s">
        <x:v>1364</x:v>
      </x:c>
      <x:c r="C32" s="8" t="s">
        <x:v>1172</x:v>
      </x:c>
      <x:c r="D32" s="8" t="s">
        <x:v>1179</x:v>
      </x:c>
      <x:c r="E32" s="8" t="s">
        <x:v>1383</x:v>
      </x:c>
      <x:c r="F32" s="8" t="s">
        <x:v>1140</x:v>
      </x:c>
      <x:c r="G32" s="8" t="s">
        <x:v>1193</x:v>
      </x:c>
      <x:c r="H32" s="8" t="s">
        <x:v>1174</x:v>
      </x:c>
      <x:c r="I32" s="8" t="s">
        <x:v>1175</x:v>
      </x:c>
      <x:c r="J32" s="8" t="s">
        <x:v>159</x:v>
      </x:c>
      <x:c r="K32" s="8" t="s">
        <x:v>1175</x:v>
      </x:c>
      <x:c r="L32" s="8" t="s">
        <x:v>1139</x:v>
      </x:c>
      <x:c r="M32" s="8"/>
      <x:c r="N32" s="8" t="s">
        <x:v>1177</x:v>
      </x:c>
      <x:c r="O32" s="8" t="s">
        <x:v>1026</x:v>
      </x:c>
      <x:c r="P32" s="8" t="s">
        <x:v>1178</x:v>
      </x:c>
      <x:c r="Q32" s="8" t="s">
        <x:v>1028</x:v>
      </x:c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30">
      <x:c r="A33" s="8" t="s">
        <x:v>77</x:v>
      </x:c>
      <x:c r="B33" s="8" t="s">
        <x:v>1364</x:v>
      </x:c>
      <x:c r="C33" s="8" t="s">
        <x:v>1172</x:v>
      </x:c>
      <x:c r="D33" s="8" t="s">
        <x:v>1181</x:v>
      </x:c>
      <x:c r="E33" s="8" t="s">
        <x:v>1383</x:v>
      </x:c>
      <x:c r="F33" s="8" t="s">
        <x:v>1140</x:v>
      </x:c>
      <x:c r="G33" s="8" t="s">
        <x:v>1193</x:v>
      </x:c>
      <x:c r="H33" s="8" t="s">
        <x:v>1174</x:v>
      </x:c>
      <x:c r="I33" s="8" t="s">
        <x:v>1175</x:v>
      </x:c>
      <x:c r="J33" s="8" t="s">
        <x:v>159</x:v>
      </x:c>
      <x:c r="K33" s="8" t="s">
        <x:v>1175</x:v>
      </x:c>
      <x:c r="L33" s="8" t="s">
        <x:v>1139</x:v>
      </x:c>
      <x:c r="M33" s="8"/>
      <x:c r="N33" s="8" t="s">
        <x:v>1177</x:v>
      </x:c>
      <x:c r="O33" s="8" t="s">
        <x:v>1026</x:v>
      </x:c>
      <x:c r="P33" s="8" t="s">
        <x:v>1178</x:v>
      </x:c>
      <x:c r="Q33" s="8" t="s">
        <x:v>1028</x:v>
      </x:c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30">
      <x:c r="A34" s="8" t="s">
        <x:v>77</x:v>
      </x:c>
      <x:c r="B34" s="8" t="s">
        <x:v>1364</x:v>
      </x:c>
      <x:c r="C34" s="8" t="s">
        <x:v>1183</x:v>
      </x:c>
      <x:c r="D34" s="8" t="s">
        <x:v>1184</x:v>
      </x:c>
      <x:c r="E34" s="8" t="s">
        <x:v>1383</x:v>
      </x:c>
      <x:c r="F34" s="8" t="s">
        <x:v>1140</x:v>
      </x:c>
      <x:c r="G34" s="8" t="s">
        <x:v>1193</x:v>
      </x:c>
      <x:c r="H34" s="8" t="s">
        <x:v>1186</x:v>
      </x:c>
      <x:c r="I34" s="8" t="s">
        <x:v>1187</x:v>
      </x:c>
      <x:c r="J34" s="8" t="s">
        <x:v>159</x:v>
      </x:c>
      <x:c r="K34" s="8" t="s">
        <x:v>1187</x:v>
      </x:c>
      <x:c r="L34" s="8" t="s">
        <x:v>1185</x:v>
      </x:c>
      <x:c r="M34" s="8"/>
      <x:c r="N34" s="8" t="s">
        <x:v>1190</x:v>
      </x:c>
      <x:c r="O34" s="8" t="s">
        <x:v>1026</x:v>
      </x:c>
      <x:c r="P34" s="8"/>
      <x:c r="Q34" s="8" t="s">
        <x:v>1028</x:v>
      </x:c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30">
      <x:c r="A35" s="8" t="s">
        <x:v>84</x:v>
      </x:c>
      <x:c r="B35" s="8" t="s">
        <x:v>1364</x:v>
      </x:c>
      <x:c r="C35" s="8" t="s">
        <x:v>1191</x:v>
      </x:c>
      <x:c r="D35" s="8" t="s">
        <x:v>1192</x:v>
      </x:c>
      <x:c r="E35" s="8" t="s">
        <x:v>1383</x:v>
      </x:c>
      <x:c r="F35" s="8" t="s">
        <x:v>1193</x:v>
      </x:c>
      <x:c r="G35" s="8" t="s">
        <x:v>1193</x:v>
      </x:c>
      <x:c r="H35" s="8" t="s">
        <x:v>1194</x:v>
      </x:c>
      <x:c r="I35" s="8" t="s">
        <x:v>1195</x:v>
      </x:c>
      <x:c r="J35" s="8" t="s">
        <x:v>159</x:v>
      </x:c>
      <x:c r="K35" s="8" t="s">
        <x:v>1195</x:v>
      </x:c>
      <x:c r="L35" s="8" t="s">
        <x:v>1139</x:v>
      </x:c>
      <x:c r="M35" s="8"/>
      <x:c r="N35" s="8" t="s">
        <x:v>1197</x:v>
      </x:c>
      <x:c r="O35" s="8" t="s">
        <x:v>1026</x:v>
      </x:c>
      <x:c r="P35" s="8" t="s">
        <x:v>1198</x:v>
      </x:c>
      <x:c r="Q35" s="8" t="s">
        <x:v>1028</x:v>
      </x:c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30">
      <x:c r="A36" s="8" t="s">
        <x:v>84</x:v>
      </x:c>
      <x:c r="B36" s="8" t="s">
        <x:v>1364</x:v>
      </x:c>
      <x:c r="C36" s="8" t="s">
        <x:v>1191</x:v>
      </x:c>
      <x:c r="D36" s="8" t="s">
        <x:v>1199</x:v>
      </x:c>
      <x:c r="E36" s="8" t="s">
        <x:v>1383</x:v>
      </x:c>
      <x:c r="F36" s="8" t="s">
        <x:v>1193</x:v>
      </x:c>
      <x:c r="G36" s="8" t="s">
        <x:v>1193</x:v>
      </x:c>
      <x:c r="H36" s="8" t="s">
        <x:v>1194</x:v>
      </x:c>
      <x:c r="I36" s="8" t="s">
        <x:v>1195</x:v>
      </x:c>
      <x:c r="J36" s="8" t="s">
        <x:v>159</x:v>
      </x:c>
      <x:c r="K36" s="8" t="s">
        <x:v>1195</x:v>
      </x:c>
      <x:c r="L36" s="8" t="s">
        <x:v>1139</x:v>
      </x:c>
      <x:c r="M36" s="8"/>
      <x:c r="N36" s="8" t="s">
        <x:v>1197</x:v>
      </x:c>
      <x:c r="O36" s="8" t="s">
        <x:v>1026</x:v>
      </x:c>
      <x:c r="P36" s="8" t="s">
        <x:v>1198</x:v>
      </x:c>
      <x:c r="Q36" s="8" t="s">
        <x:v>1028</x:v>
      </x:c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30">
      <x:c r="A37" s="8" t="s">
        <x:v>84</x:v>
      </x:c>
      <x:c r="B37" s="8" t="s">
        <x:v>1364</x:v>
      </x:c>
      <x:c r="C37" s="8" t="s">
        <x:v>1191</x:v>
      </x:c>
      <x:c r="D37" s="8" t="s">
        <x:v>1201</x:v>
      </x:c>
      <x:c r="E37" s="8" t="s">
        <x:v>1383</x:v>
      </x:c>
      <x:c r="F37" s="8" t="s">
        <x:v>1193</x:v>
      </x:c>
      <x:c r="G37" s="8" t="s">
        <x:v>1193</x:v>
      </x:c>
      <x:c r="H37" s="8" t="s">
        <x:v>1194</x:v>
      </x:c>
      <x:c r="I37" s="8" t="s">
        <x:v>1195</x:v>
      </x:c>
      <x:c r="J37" s="8" t="s">
        <x:v>159</x:v>
      </x:c>
      <x:c r="K37" s="8" t="s">
        <x:v>1195</x:v>
      </x:c>
      <x:c r="L37" s="8" t="s">
        <x:v>1139</x:v>
      </x:c>
      <x:c r="M37" s="8"/>
      <x:c r="N37" s="8" t="s">
        <x:v>1197</x:v>
      </x:c>
      <x:c r="O37" s="8" t="s">
        <x:v>1026</x:v>
      </x:c>
      <x:c r="P37" s="8" t="s">
        <x:v>1198</x:v>
      </x:c>
      <x:c r="Q37" s="8" t="s">
        <x:v>1028</x:v>
      </x:c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30">
      <x:c r="A38" s="8" t="s">
        <x:v>70</x:v>
      </x:c>
      <x:c r="B38" s="8" t="s">
        <x:v>1364</x:v>
      </x:c>
      <x:c r="C38" s="8" t="s">
        <x:v>1203</x:v>
      </x:c>
      <x:c r="D38" s="8" t="s">
        <x:v>1204</x:v>
      </x:c>
      <x:c r="E38" s="8" t="s">
        <x:v>1372</x:v>
      </x:c>
      <x:c r="F38" s="8" t="s">
        <x:v>1021</x:v>
      </x:c>
      <x:c r="G38" s="8" t="s">
        <x:v>1366</x:v>
      </x:c>
      <x:c r="H38" s="8" t="s">
        <x:v>1205</x:v>
      </x:c>
      <x:c r="I38" s="8" t="s">
        <x:v>1206</x:v>
      </x:c>
      <x:c r="J38" s="8" t="s">
        <x:v>156</x:v>
      </x:c>
      <x:c r="K38" s="8" t="s">
        <x:v>1206</x:v>
      </x:c>
      <x:c r="L38" s="8" t="s">
        <x:v>1018</x:v>
      </x:c>
      <x:c r="M38" s="8"/>
      <x:c r="N38" s="8" t="s">
        <x:v>1208</x:v>
      </x:c>
      <x:c r="O38" s="8" t="s">
        <x:v>1026</x:v>
      </x:c>
      <x:c r="P38" s="8" t="s">
        <x:v>1209</x:v>
      </x:c>
      <x:c r="Q38" s="8" t="s">
        <x:v>1028</x:v>
      </x:c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30">
      <x:c r="A39" s="8" t="s">
        <x:v>70</x:v>
      </x:c>
      <x:c r="B39" s="8" t="s">
        <x:v>1364</x:v>
      </x:c>
      <x:c r="C39" s="8" t="s">
        <x:v>1203</x:v>
      </x:c>
      <x:c r="D39" s="8" t="s">
        <x:v>1210</x:v>
      </x:c>
      <x:c r="E39" s="8" t="s">
        <x:v>1373</x:v>
      </x:c>
      <x:c r="F39" s="8" t="s">
        <x:v>1021</x:v>
      </x:c>
      <x:c r="G39" s="8" t="s">
        <x:v>1366</x:v>
      </x:c>
      <x:c r="H39" s="8" t="s">
        <x:v>1205</x:v>
      </x:c>
      <x:c r="I39" s="8" t="s">
        <x:v>1206</x:v>
      </x:c>
      <x:c r="J39" s="8" t="s">
        <x:v>156</x:v>
      </x:c>
      <x:c r="K39" s="8" t="s">
        <x:v>1206</x:v>
      </x:c>
      <x:c r="L39" s="8" t="s">
        <x:v>1018</x:v>
      </x:c>
      <x:c r="M39" s="8"/>
      <x:c r="N39" s="8" t="s">
        <x:v>1208</x:v>
      </x:c>
      <x:c r="O39" s="8" t="s">
        <x:v>1026</x:v>
      </x:c>
      <x:c r="P39" s="8" t="s">
        <x:v>1209</x:v>
      </x:c>
      <x:c r="Q39" s="8" t="s">
        <x:v>1028</x:v>
      </x:c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30">
      <x:c r="A40" s="8" t="s">
        <x:v>70</x:v>
      </x:c>
      <x:c r="B40" s="8" t="s">
        <x:v>1364</x:v>
      </x:c>
      <x:c r="C40" s="8" t="s">
        <x:v>1203</x:v>
      </x:c>
      <x:c r="D40" s="8" t="s">
        <x:v>1212</x:v>
      </x:c>
      <x:c r="E40" s="8" t="s">
        <x:v>1387</x:v>
      </x:c>
      <x:c r="F40" s="8" t="s">
        <x:v>1021</x:v>
      </x:c>
      <x:c r="G40" s="8" t="s">
        <x:v>1366</x:v>
      </x:c>
      <x:c r="H40" s="8" t="s">
        <x:v>1205</x:v>
      </x:c>
      <x:c r="I40" s="8" t="s">
        <x:v>1206</x:v>
      </x:c>
      <x:c r="J40" s="8" t="s">
        <x:v>156</x:v>
      </x:c>
      <x:c r="K40" s="8" t="s">
        <x:v>1206</x:v>
      </x:c>
      <x:c r="L40" s="8" t="s">
        <x:v>1018</x:v>
      </x:c>
      <x:c r="M40" s="8"/>
      <x:c r="N40" s="8" t="s">
        <x:v>1208</x:v>
      </x:c>
      <x:c r="O40" s="8" t="s">
        <x:v>1026</x:v>
      </x:c>
      <x:c r="P40" s="8" t="s">
        <x:v>1209</x:v>
      </x:c>
      <x:c r="Q40" s="8" t="s">
        <x:v>1028</x:v>
      </x:c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">
        <x:v>70</x:v>
      </x:c>
      <x:c r="B41" s="8" t="s">
        <x:v>1364</x:v>
      </x:c>
      <x:c r="C41" s="8" t="s">
        <x:v>1113</x:v>
      </x:c>
      <x:c r="D41" s="8" t="s">
        <x:v>1215</x:v>
      </x:c>
      <x:c r="E41" s="8" t="s">
        <x:v>1388</x:v>
      </x:c>
      <x:c r="F41" s="8" t="s">
        <x:v>1021</x:v>
      </x:c>
      <x:c r="G41" s="8" t="s">
        <x:v>1366</x:v>
      </x:c>
      <x:c r="H41" s="8" t="s">
        <x:v>1218</x:v>
      </x:c>
      <x:c r="I41" s="8" t="s">
        <x:v>1219</x:v>
      </x:c>
      <x:c r="J41" s="8" t="s">
        <x:v>1113</x:v>
      </x:c>
      <x:c r="K41" s="8" t="s">
        <x:v>1219</x:v>
      </x:c>
      <x:c r="L41" s="8" t="s">
        <x:v>1018</x:v>
      </x:c>
      <x:c r="M41" s="8"/>
      <x:c r="N41" s="8" t="s">
        <x:v>1222</x:v>
      </x:c>
      <x:c r="O41" s="8" t="s">
        <x:v>1026</x:v>
      </x:c>
      <x:c r="P41" s="8" t="s">
        <x:v>1223</x:v>
      </x:c>
      <x:c r="Q41" s="8" t="s">
        <x:v>1028</x:v>
      </x:c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">
        <x:v>80</x:v>
      </x:c>
      <x:c r="B42" s="8" t="s">
        <x:v>1364</x:v>
      </x:c>
      <x:c r="C42" s="8" t="s">
        <x:v>1049</x:v>
      </x:c>
      <x:c r="D42" s="8" t="s">
        <x:v>1224</x:v>
      </x:c>
      <x:c r="E42" s="8" t="s">
        <x:v>154</x:v>
      </x:c>
      <x:c r="F42" s="8" t="s">
        <x:v>154</x:v>
      </x:c>
      <x:c r="G42" s="8" t="s">
        <x:v>1370</x:v>
      </x:c>
      <x:c r="H42" s="8" t="s">
        <x:v>1225</x:v>
      </x:c>
      <x:c r="I42" s="8" t="s">
        <x:v>1226</x:v>
      </x:c>
      <x:c r="J42" s="8" t="s">
        <x:v>159</x:v>
      </x:c>
      <x:c r="K42" s="8" t="s">
        <x:v>1226</x:v>
      </x:c>
      <x:c r="L42" s="8" t="s">
        <x:v>1051</x:v>
      </x:c>
      <x:c r="M42" s="8"/>
      <x:c r="N42" s="8" t="s">
        <x:v>1228</x:v>
      </x:c>
      <x:c r="O42" s="8" t="s">
        <x:v>1026</x:v>
      </x:c>
      <x:c r="P42" s="8"/>
      <x:c r="Q42" s="8" t="s">
        <x:v>1028</x:v>
      </x:c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30">
      <x:c r="A43" s="8" t="s">
        <x:v>81</x:v>
      </x:c>
      <x:c r="B43" s="8" t="s">
        <x:v>1364</x:v>
      </x:c>
      <x:c r="C43" s="8" t="s">
        <x:v>1049</x:v>
      </x:c>
      <x:c r="D43" s="8" t="s">
        <x:v>1050</x:v>
      </x:c>
      <x:c r="E43" s="8" t="s">
        <x:v>154</x:v>
      </x:c>
      <x:c r="F43" s="8" t="s">
        <x:v>151</x:v>
      </x:c>
      <x:c r="G43" s="8" t="s">
        <x:v>1370</x:v>
      </x:c>
      <x:c r="H43" s="8" t="s">
        <x:v>151</x:v>
      </x:c>
      <x:c r="I43" s="8" t="s">
        <x:v>1226</x:v>
      </x:c>
      <x:c r="J43" s="8" t="s">
        <x:v>159</x:v>
      </x:c>
      <x:c r="K43" s="8" t="s">
        <x:v>1226</x:v>
      </x:c>
      <x:c r="L43" s="8" t="s">
        <x:v>1051</x:v>
      </x:c>
      <x:c r="M43" s="8"/>
      <x:c r="N43" s="8" t="s">
        <x:v>1229</x:v>
      </x:c>
      <x:c r="O43" s="8" t="s">
        <x:v>1026</x:v>
      </x:c>
      <x:c r="P43" s="8" t="s">
        <x:v>1230</x:v>
      </x:c>
      <x:c r="Q43" s="8" t="s">
        <x:v>1028</x:v>
      </x:c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30">
      <x:c r="A44" s="8" t="s">
        <x:v>75</x:v>
      </x:c>
      <x:c r="B44" s="8" t="s">
        <x:v>1364</x:v>
      </x:c>
      <x:c r="C44" s="8" t="s">
        <x:v>1049</x:v>
      </x:c>
      <x:c r="D44" s="8" t="s">
        <x:v>1050</x:v>
      </x:c>
      <x:c r="E44" s="8" t="s">
        <x:v>154</x:v>
      </x:c>
      <x:c r="F44" s="8" t="s">
        <x:v>151</x:v>
      </x:c>
      <x:c r="G44" s="8" t="s">
        <x:v>1370</x:v>
      </x:c>
      <x:c r="H44" s="8" t="s">
        <x:v>151</x:v>
      </x:c>
      <x:c r="I44" s="8" t="s">
        <x:v>1231</x:v>
      </x:c>
      <x:c r="J44" s="8" t="s">
        <x:v>159</x:v>
      </x:c>
      <x:c r="K44" s="8" t="s">
        <x:v>1231</x:v>
      </x:c>
      <x:c r="L44" s="8" t="s">
        <x:v>1051</x:v>
      </x:c>
      <x:c r="M44" s="8"/>
      <x:c r="N44" s="8" t="s">
        <x:v>1232</x:v>
      </x:c>
      <x:c r="O44" s="8" t="s">
        <x:v>1026</x:v>
      </x:c>
      <x:c r="P44" s="8" t="s">
        <x:v>1233</x:v>
      </x:c>
      <x:c r="Q44" s="8" t="s">
        <x:v>1028</x:v>
      </x:c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30">
      <x:c r="A45" s="8" t="s">
        <x:v>91</x:v>
      </x:c>
      <x:c r="B45" s="8" t="s">
        <x:v>1364</x:v>
      </x:c>
      <x:c r="C45" s="8" t="s">
        <x:v>1049</x:v>
      </x:c>
      <x:c r="D45" s="8" t="s">
        <x:v>1050</x:v>
      </x:c>
      <x:c r="E45" s="8" t="s">
        <x:v>154</x:v>
      </x:c>
      <x:c r="F45" s="8" t="s">
        <x:v>151</x:v>
      </x:c>
      <x:c r="G45" s="8" t="s">
        <x:v>1370</x:v>
      </x:c>
      <x:c r="H45" s="8" t="s">
        <x:v>151</x:v>
      </x:c>
      <x:c r="I45" s="8" t="s">
        <x:v>1234</x:v>
      </x:c>
      <x:c r="J45" s="8" t="s">
        <x:v>159</x:v>
      </x:c>
      <x:c r="K45" s="8" t="s">
        <x:v>1234</x:v>
      </x:c>
      <x:c r="L45" s="8" t="s">
        <x:v>1051</x:v>
      </x:c>
      <x:c r="M45" s="8"/>
      <x:c r="N45" s="8" t="s">
        <x:v>1235</x:v>
      </x:c>
      <x:c r="O45" s="8" t="s">
        <x:v>1026</x:v>
      </x:c>
      <x:c r="P45" s="8" t="s">
        <x:v>1236</x:v>
      </x:c>
      <x:c r="Q45" s="8" t="s">
        <x:v>1028</x:v>
      </x:c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">
        <x:v>78</x:v>
      </x:c>
      <x:c r="B46" s="8" t="s">
        <x:v>1364</x:v>
      </x:c>
      <x:c r="C46" s="8" t="s">
        <x:v>1237</x:v>
      </x:c>
      <x:c r="D46" s="8" t="s">
        <x:v>1238</x:v>
      </x:c>
      <x:c r="E46" s="8" t="s">
        <x:v>154</x:v>
      </x:c>
      <x:c r="F46" s="8" t="s">
        <x:v>154</x:v>
      </x:c>
      <x:c r="G46" s="8" t="s">
        <x:v>1370</x:v>
      </x:c>
      <x:c r="H46" s="8" t="s">
        <x:v>1239</x:v>
      </x:c>
      <x:c r="I46" s="8" t="s">
        <x:v>1240</x:v>
      </x:c>
      <x:c r="J46" s="8" t="s">
        <x:v>159</x:v>
      </x:c>
      <x:c r="K46" s="8" t="s">
        <x:v>1240</x:v>
      </x:c>
      <x:c r="L46" s="8" t="s">
        <x:v>1085</x:v>
      </x:c>
      <x:c r="M46" s="8"/>
      <x:c r="N46" s="8" t="s">
        <x:v>1242</x:v>
      </x:c>
      <x:c r="O46" s="8" t="s">
        <x:v>1026</x:v>
      </x:c>
      <x:c r="P46" s="8"/>
      <x:c r="Q46" s="8" t="s">
        <x:v>1028</x:v>
      </x:c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30">
      <x:c r="A47" s="8" t="s">
        <x:v>74</x:v>
      </x:c>
      <x:c r="B47" s="8" t="s">
        <x:v>1364</x:v>
      </x:c>
      <x:c r="C47" s="8" t="s">
        <x:v>1049</x:v>
      </x:c>
      <x:c r="D47" s="8" t="s">
        <x:v>1050</x:v>
      </x:c>
      <x:c r="E47" s="8" t="s">
        <x:v>154</x:v>
      </x:c>
      <x:c r="F47" s="8" t="s">
        <x:v>151</x:v>
      </x:c>
      <x:c r="G47" s="8" t="s">
        <x:v>1370</x:v>
      </x:c>
      <x:c r="H47" s="8" t="s">
        <x:v>151</x:v>
      </x:c>
      <x:c r="I47" s="8" t="s">
        <x:v>1226</x:v>
      </x:c>
      <x:c r="J47" s="8" t="s">
        <x:v>159</x:v>
      </x:c>
      <x:c r="K47" s="8" t="s">
        <x:v>1226</x:v>
      </x:c>
      <x:c r="L47" s="8" t="s">
        <x:v>1051</x:v>
      </x:c>
      <x:c r="M47" s="8"/>
      <x:c r="N47" s="8" t="s">
        <x:v>1243</x:v>
      </x:c>
      <x:c r="O47" s="8" t="s">
        <x:v>1026</x:v>
      </x:c>
      <x:c r="P47" s="8" t="s">
        <x:v>1244</x:v>
      </x:c>
      <x:c r="Q47" s="8" t="s">
        <x:v>1028</x:v>
      </x:c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45">
      <x:c r="A48" s="8" t="s">
        <x:v>93</x:v>
      </x:c>
      <x:c r="B48" s="8" t="s">
        <x:v>1364</x:v>
      </x:c>
      <x:c r="C48" s="8" t="s">
        <x:v>1245</x:v>
      </x:c>
      <x:c r="D48" s="8" t="str">
        <x:v>Yapper Hosting: 1 Year</x:v>
      </x:c>
      <x:c r="E48" s="8" t="s">
        <x:v>1389</x:v>
      </x:c>
      <x:c r="F48" s="8" t="s">
        <x:v>1248</x:v>
      </x:c>
      <x:c r="G48" s="8" t="s">
        <x:v>1366</x:v>
      </x:c>
      <x:c r="H48" s="8" t="s">
        <x:v>1249</x:v>
      </x:c>
      <x:c r="I48" s="8" t="s">
        <x:v>1250</x:v>
      </x:c>
      <x:c r="J48" s="8" t="s">
        <x:v>159</x:v>
      </x:c>
      <x:c r="K48" s="8" t="s">
        <x:v>1250</x:v>
      </x:c>
      <x:c r="L48" s="8" t="s">
        <x:v>1246</x:v>
      </x:c>
      <x:c r="M48" s="8"/>
      <x:c r="N48" s="8" t="s">
        <x:v>1253</x:v>
      </x:c>
      <x:c r="O48" s="8" t="s">
        <x:v>1026</x:v>
      </x:c>
      <x:c r="P48" s="8" t="s">
        <x:v>1254</x:v>
      </x:c>
      <x:c r="Q48" s="8" t="s">
        <x:v>1028</x:v>
      </x:c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30">
      <x:c r="A49" s="8" t="s">
        <x:v>71</x:v>
      </x:c>
      <x:c r="B49" s="8" t="s">
        <x:v>1364</x:v>
      </x:c>
      <x:c r="C49" s="8" t="s">
        <x:v>1049</x:v>
      </x:c>
      <x:c r="D49" s="8" t="s">
        <x:v>1084</x:v>
      </x:c>
      <x:c r="E49" s="8" t="s">
        <x:v>154</x:v>
      </x:c>
      <x:c r="F49" s="8" t="s">
        <x:v>154</x:v>
      </x:c>
      <x:c r="G49" s="8" t="s">
        <x:v>1370</x:v>
      </x:c>
      <x:c r="H49" s="8" t="s">
        <x:v>1255</x:v>
      </x:c>
      <x:c r="I49" s="8" t="s">
        <x:v>1087</x:v>
      </x:c>
      <x:c r="J49" s="8" t="s">
        <x:v>159</x:v>
      </x:c>
      <x:c r="K49" s="8" t="s">
        <x:v>1087</x:v>
      </x:c>
      <x:c r="L49" s="8" t="s">
        <x:v>1085</x:v>
      </x:c>
      <x:c r="M49" s="8"/>
      <x:c r="N49" s="8" t="s">
        <x:v>1257</x:v>
      </x:c>
      <x:c r="O49" s="8" t="s">
        <x:v>1026</x:v>
      </x:c>
      <x:c r="P49" s="8" t="s">
        <x:v>1258</x:v>
      </x:c>
      <x:c r="Q49" s="8" t="s">
        <x:v>1028</x:v>
      </x:c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30">
      <x:c r="A50" s="8" t="s">
        <x:v>85</x:v>
      </x:c>
      <x:c r="B50" s="8" t="s">
        <x:v>1364</x:v>
      </x:c>
      <x:c r="C50" s="8" t="s">
        <x:v>1259</x:v>
      </x:c>
      <x:c r="D50" s="8" t="s">
        <x:v>1260</x:v>
      </x:c>
      <x:c r="E50" s="8" t="s">
        <x:v>154</x:v>
      </x:c>
      <x:c r="F50" s="8" t="s">
        <x:v>154</x:v>
      </x:c>
      <x:c r="G50" s="8" t="s">
        <x:v>1370</x:v>
      </x:c>
      <x:c r="H50" s="8" t="s">
        <x:v>1261</x:v>
      </x:c>
      <x:c r="I50" s="8" t="s">
        <x:v>1079</x:v>
      </x:c>
      <x:c r="J50" s="8" t="s">
        <x:v>159</x:v>
      </x:c>
      <x:c r="K50" s="8" t="s">
        <x:v>1079</x:v>
      </x:c>
      <x:c r="L50" s="8" t="s">
        <x:v>1051</x:v>
      </x:c>
      <x:c r="M50" s="8"/>
      <x:c r="N50" s="8" t="s">
        <x:v>1263</x:v>
      </x:c>
      <x:c r="O50" s="8" t="s">
        <x:v>1026</x:v>
      </x:c>
      <x:c r="P50" s="8"/>
      <x:c r="Q50" s="8" t="s">
        <x:v>1028</x:v>
      </x:c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30">
      <x:c r="A51" s="8" t="s">
        <x:v>65</x:v>
      </x:c>
      <x:c r="B51" s="8" t="s">
        <x:v>1364</x:v>
      </x:c>
      <x:c r="C51" s="8" t="s">
        <x:v>1084</x:v>
      </x:c>
      <x:c r="D51" s="8" t="s">
        <x:v>1264</x:v>
      </x:c>
      <x:c r="E51" s="8" t="s">
        <x:v>154</x:v>
      </x:c>
      <x:c r="F51" s="8" t="s">
        <x:v>154</x:v>
      </x:c>
      <x:c r="G51" s="8" t="s">
        <x:v>1370</x:v>
      </x:c>
      <x:c r="H51" s="8" t="s">
        <x:v>1265</x:v>
      </x:c>
      <x:c r="I51" s="8" t="s">
        <x:v>1266</x:v>
      </x:c>
      <x:c r="J51" s="8" t="s">
        <x:v>159</x:v>
      </x:c>
      <x:c r="K51" s="8" t="s">
        <x:v>1266</x:v>
      </x:c>
      <x:c r="L51" s="8" t="s">
        <x:v>1085</x:v>
      </x:c>
      <x:c r="M51" s="8"/>
      <x:c r="N51" s="8" t="s">
        <x:v>1268</x:v>
      </x:c>
      <x:c r="O51" s="8" t="s">
        <x:v>1026</x:v>
      </x:c>
      <x:c r="P51" s="8"/>
      <x:c r="Q51" s="8" t="s">
        <x:v>1028</x:v>
      </x:c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30">
      <x:c r="A52" s="8" t="s">
        <x:v>72</x:v>
      </x:c>
      <x:c r="B52" s="8" t="s">
        <x:v>1364</x:v>
      </x:c>
      <x:c r="C52" s="8" t="s">
        <x:v>1084</x:v>
      </x:c>
      <x:c r="D52" s="8" t="s">
        <x:v>1269</x:v>
      </x:c>
      <x:c r="E52" s="8" t="s">
        <x:v>154</x:v>
      </x:c>
      <x:c r="F52" s="8" t="s">
        <x:v>154</x:v>
      </x:c>
      <x:c r="G52" s="8" t="s">
        <x:v>1370</x:v>
      </x:c>
      <x:c r="H52" s="8" t="s">
        <x:v>1270</x:v>
      </x:c>
      <x:c r="I52" s="8" t="s">
        <x:v>1087</x:v>
      </x:c>
      <x:c r="J52" s="8" t="s">
        <x:v>159</x:v>
      </x:c>
      <x:c r="K52" s="8" t="s">
        <x:v>1087</x:v>
      </x:c>
      <x:c r="L52" s="8" t="s">
        <x:v>1085</x:v>
      </x:c>
      <x:c r="M52" s="8"/>
      <x:c r="N52" s="8" t="s">
        <x:v>1272</x:v>
      </x:c>
      <x:c r="O52" s="8" t="s">
        <x:v>1026</x:v>
      </x:c>
      <x:c r="P52" s="8"/>
      <x:c r="Q52" s="8" t="s">
        <x:v>1028</x:v>
      </x:c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45">
      <x:c r="A53" s="8" t="s">
        <x:v>66</x:v>
      </x:c>
      <x:c r="B53" s="8" t="s">
        <x:v>1364</x:v>
      </x:c>
      <x:c r="C53" s="8" t="s">
        <x:v>1084</x:v>
      </x:c>
      <x:c r="D53" s="8" t="s">
        <x:v>1273</x:v>
      </x:c>
      <x:c r="E53" s="8" t="s">
        <x:v>154</x:v>
      </x:c>
      <x:c r="F53" s="8" t="s">
        <x:v>154</x:v>
      </x:c>
      <x:c r="G53" s="8" t="s">
        <x:v>1370</x:v>
      </x:c>
      <x:c r="H53" s="8" t="s">
        <x:v>1274</x:v>
      </x:c>
      <x:c r="I53" s="8" t="s">
        <x:v>1087</x:v>
      </x:c>
      <x:c r="J53" s="8" t="s">
        <x:v>159</x:v>
      </x:c>
      <x:c r="K53" s="8" t="s">
        <x:v>1087</x:v>
      </x:c>
      <x:c r="L53" s="8" t="s">
        <x:v>1085</x:v>
      </x:c>
      <x:c r="M53" s="8"/>
      <x:c r="N53" s="8" t="s">
        <x:v>1276</x:v>
      </x:c>
      <x:c r="O53" s="8" t="s">
        <x:v>1026</x:v>
      </x:c>
      <x:c r="P53" s="8"/>
      <x:c r="Q53" s="8" t="s">
        <x:v>1028</x:v>
      </x:c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30">
      <x:c r="A54" s="8" t="s">
        <x:v>83</x:v>
      </x:c>
      <x:c r="B54" s="8" t="s">
        <x:v>1364</x:v>
      </x:c>
      <x:c r="C54" s="8" t="s">
        <x:v>1016</x:v>
      </x:c>
      <x:c r="D54" s="8" t="s">
        <x:v>1277</x:v>
      </x:c>
      <x:c r="E54" s="8" t="s">
        <x:v>1390</x:v>
      </x:c>
      <x:c r="F54" s="8" t="s">
        <x:v>1021</x:v>
      </x:c>
      <x:c r="G54" s="8" t="s">
        <x:v>1366</x:v>
      </x:c>
      <x:c r="H54" s="8" t="s">
        <x:v>1022</x:v>
      </x:c>
      <x:c r="I54" s="8" t="s">
        <x:v>1023</x:v>
      </x:c>
      <x:c r="J54" s="8" t="s">
        <x:v>159</x:v>
      </x:c>
      <x:c r="K54" s="8" t="s">
        <x:v>156</x:v>
      </x:c>
      <x:c r="L54" s="8" t="s">
        <x:v>1018</x:v>
      </x:c>
      <x:c r="M54" s="8"/>
      <x:c r="N54" s="8" t="s">
        <x:v>1281</x:v>
      </x:c>
      <x:c r="O54" s="8" t="s">
        <x:v>1026</x:v>
      </x:c>
      <x:c r="P54" s="8" t="s">
        <x:v>1282</x:v>
      </x:c>
      <x:c r="Q54" s="8" t="s">
        <x:v>1028</x:v>
      </x:c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30">
      <x:c r="A55" s="8" t="s">
        <x:v>83</x:v>
      </x:c>
      <x:c r="B55" s="8" t="s">
        <x:v>1364</x:v>
      </x:c>
      <x:c r="C55" s="8" t="s">
        <x:v>1283</x:v>
      </x:c>
      <x:c r="D55" s="8" t="s">
        <x:v>1284</x:v>
      </x:c>
      <x:c r="E55" s="8" t="s">
        <x:v>1391</x:v>
      </x:c>
      <x:c r="F55" s="8" t="s">
        <x:v>1021</x:v>
      </x:c>
      <x:c r="G55" s="8" t="s">
        <x:v>1366</x:v>
      </x:c>
      <x:c r="H55" s="8" t="s">
        <x:v>1286</x:v>
      </x:c>
      <x:c r="I55" s="8" t="s">
        <x:v>1287</x:v>
      </x:c>
      <x:c r="J55" s="8" t="s">
        <x:v>159</x:v>
      </x:c>
      <x:c r="K55" s="8" t="s">
        <x:v>1287</x:v>
      </x:c>
      <x:c r="L55" s="8" t="s">
        <x:v>1018</x:v>
      </x:c>
      <x:c r="M55" s="8"/>
      <x:c r="N55" s="8" t="s">
        <x:v>1281</x:v>
      </x:c>
      <x:c r="O55" s="8" t="s">
        <x:v>1026</x:v>
      </x:c>
      <x:c r="P55" s="8" t="s">
        <x:v>1289</x:v>
      </x:c>
      <x:c r="Q55" s="8" t="s">
        <x:v>1028</x:v>
      </x:c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30">
      <x:c r="A56" s="8" t="s">
        <x:v>83</x:v>
      </x:c>
      <x:c r="B56" s="8" t="s">
        <x:v>1364</x:v>
      </x:c>
      <x:c r="C56" s="8" t="s">
        <x:v>1283</x:v>
      </x:c>
      <x:c r="D56" s="8" t="s">
        <x:v>1290</x:v>
      </x:c>
      <x:c r="E56" s="8" t="s">
        <x:v>1392</x:v>
      </x:c>
      <x:c r="F56" s="8" t="s">
        <x:v>1021</x:v>
      </x:c>
      <x:c r="G56" s="8" t="s">
        <x:v>1366</x:v>
      </x:c>
      <x:c r="H56" s="8" t="s">
        <x:v>1286</x:v>
      </x:c>
      <x:c r="I56" s="8" t="s">
        <x:v>1287</x:v>
      </x:c>
      <x:c r="J56" s="8" t="s">
        <x:v>159</x:v>
      </x:c>
      <x:c r="K56" s="8" t="s">
        <x:v>1287</x:v>
      </x:c>
      <x:c r="L56" s="8" t="s">
        <x:v>1018</x:v>
      </x:c>
      <x:c r="M56" s="8"/>
      <x:c r="N56" s="8" t="s">
        <x:v>1281</x:v>
      </x:c>
      <x:c r="O56" s="8" t="s">
        <x:v>1026</x:v>
      </x:c>
      <x:c r="P56" s="8" t="s">
        <x:v>1289</x:v>
      </x:c>
      <x:c r="Q56" s="8" t="s">
        <x:v>1028</x:v>
      </x:c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45">
      <x:c r="A57" s="8" t="str">
        <x:f>IF(Master!C756="","",Master!C756)</x:f>
        <x:v>No paid tier</x:v>
      </x:c>
      <x:c r="B57" s="8" t="str">
        <x:f>IF(Master!D756="","",Master!D756)</x:f>
        <x:v>pqp.gg</x:v>
      </x:c>
      <x:c r="C57" s="8" t="str">
        <x:f>IF(Master!E756="","",Master!E756)</x:f>
        <x:v>Current</x:v>
      </x:c>
      <x:c r="D57" s="8" t="str">
        <x:f>IF(Master!F756="","",Master!F756)</x:f>
        <x:v>Free hosted service</x:v>
      </x:c>
      <x:c r="E57" s="8" t="str">
        <x:f>IF(Master!G756="","",Master!G756)</x:f>
      </x:c>
      <x:c r="F57" s="8" t="str">
        <x:f>IF(Master!H756="","",Master!H756)</x:f>
        <x:v>N/A</x:v>
      </x:c>
      <x:c r="G57" s="8" t="str">
        <x:f>IF(Master!I756="","",Master!I756)</x:f>
        <x:v>N/A</x:v>
      </x:c>
      <x:c r="H57" s="8" t="str">
        <x:f>IF(Master!J756="","",Master!J756)</x:f>
        <x:v>Hosted users</x:v>
      </x:c>
      <x:c r="I57" s="8" t="str">
        <x:f>IF(Master!K756="","",Master!K756)</x:f>
        <x:v>All hosted users</x:v>
      </x:c>
      <x:c r="J57" s="8" t="str">
        <x:f>IF(Master!L756="","",Master!L756)</x:f>
        <x:v>No</x:v>
      </x:c>
      <x:c r="K57" s="8" t="str">
        <x:f>IF(Master!M756="","",Master!M756)</x:f>
        <x:v>Free service</x:v>
      </x:c>
      <x:c r="L57" s="8" t="str">
        <x:f>IF(Master!N756="","",Master!N756)</x:f>
        <x:v>Active</x:v>
      </x:c>
      <x:c r="M57" s="8" t="str">
        <x:f>IF(Master!O756="","",Master!O756)</x:f>
        <x:v>Donations are optional and unlock nothing</x:v>
      </x:c>
      <x:c r="N57" s="8" t="str">
        <x:f>IF(Master!P756="","",Master!P756)</x:f>
        <x:v>https://pqp.gg/</x:v>
      </x:c>
      <x:c r="O57" s="8" t="str">
        <x:f>IF(Master!Q756="","",Master!Q756)</x:f>
        <x:v>2026-09-16</x:v>
      </x:c>
      <x:c r="P57" s="8" t="str">
        <x:f>IF(Master!R756="","",Master!R756)</x:f>
        <x:v>Free hosted beta; AGPL self-hostable; not VC-backed.</x:v>
      </x:c>
      <x:c r="Q57" s="8" t="str">
        <x:f>IF(Master!S756="","",Master!S756)</x:f>
        <x:v>Primary / developer-provided response</x:v>
      </x:c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">
        <x:v>67</x:v>
      </x:c>
      <x:c r="B58" s="8" t="s">
        <x:v>1364</x:v>
      </x:c>
      <x:c r="C58" s="8" t="s">
        <x:v>1049</x:v>
      </x:c>
      <x:c r="D58" s="8" t="s">
        <x:v>1050</x:v>
      </x:c>
      <x:c r="E58" s="8" t="s">
        <x:v>154</x:v>
      </x:c>
      <x:c r="F58" s="8" t="s">
        <x:v>151</x:v>
      </x:c>
      <x:c r="G58" s="8" t="s">
        <x:v>1370</x:v>
      </x:c>
      <x:c r="H58" s="8" t="s">
        <x:v>151</x:v>
      </x:c>
      <x:c r="I58" s="8" t="s">
        <x:v>1226</x:v>
      </x:c>
      <x:c r="J58" s="8" t="s">
        <x:v>159</x:v>
      </x:c>
      <x:c r="K58" s="8" t="s">
        <x:v>1226</x:v>
      </x:c>
      <x:c r="L58" s="8" t="s">
        <x:v>1051</x:v>
      </x:c>
      <x:c r="M58" s="8"/>
      <x:c r="N58" s="8" t="s">
        <x:v>1293</x:v>
      </x:c>
      <x:c r="O58" s="8" t="s">
        <x:v>1026</x:v>
      </x:c>
      <x:c r="P58" s="8" t="s">
        <x:v>1244</x:v>
      </x:c>
      <x:c r="Q58" s="8" t="s">
        <x:v>1028</x:v>
      </x:c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30">
      <x:c r="A59" s="8" t="s">
        <x:v>90</x:v>
      </x:c>
      <x:c r="B59" s="8" t="s">
        <x:v>1364</x:v>
      </x:c>
      <x:c r="C59" s="8" t="s">
        <x:v>1294</x:v>
      </x:c>
      <x:c r="D59" s="8" t="s">
        <x:v>1295</x:v>
      </x:c>
      <x:c r="E59" s="8" t="s">
        <x:v>151</x:v>
      </x:c>
      <x:c r="F59" s="8" t="s">
        <x:v>151</x:v>
      </x:c>
      <x:c r="G59" s="8" t="s">
        <x:v>1370</x:v>
      </x:c>
      <x:c r="H59" s="8" t="s">
        <x:v>1297</x:v>
      </x:c>
      <x:c r="I59" s="8" t="s">
        <x:v>1023</x:v>
      </x:c>
      <x:c r="J59" s="8" t="s">
        <x:v>159</x:v>
      </x:c>
      <x:c r="K59" s="8" t="s">
        <x:v>156</x:v>
      </x:c>
      <x:c r="L59" s="8" t="s">
        <x:v>1296</x:v>
      </x:c>
      <x:c r="M59" s="8"/>
      <x:c r="N59" s="8" t="s">
        <x:v>1299</x:v>
      </x:c>
      <x:c r="O59" s="8" t="s">
        <x:v>1026</x:v>
      </x:c>
      <x:c r="P59" s="8" t="s">
        <x:v>1300</x:v>
      </x:c>
      <x:c r="Q59" s="8" t="s">
        <x:v>1028</x:v>
      </x:c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30">
      <x:c r="A60" s="8" t="s">
        <x:v>92</x:v>
      </x:c>
      <x:c r="B60" s="8" t="s">
        <x:v>1364</x:v>
      </x:c>
      <x:c r="C60" s="8" t="s">
        <x:v>1301</x:v>
      </x:c>
      <x:c r="D60" s="8" t="s">
        <x:v>1302</x:v>
      </x:c>
      <x:c r="E60" s="8" t="s">
        <x:v>1393</x:v>
      </x:c>
      <x:c r="F60" s="8" t="s">
        <x:v>1021</x:v>
      </x:c>
      <x:c r="G60" s="8" t="s">
        <x:v>1366</x:v>
      </x:c>
      <x:c r="H60" s="8" t="s">
        <x:v>1304</x:v>
      </x:c>
      <x:c r="I60" s="8" t="s">
        <x:v>1305</x:v>
      </x:c>
      <x:c r="J60" s="8" t="s">
        <x:v>156</x:v>
      </x:c>
      <x:c r="K60" s="8" t="s">
        <x:v>1206</x:v>
      </x:c>
      <x:c r="L60" s="8" t="s">
        <x:v>1018</x:v>
      </x:c>
      <x:c r="M60" s="8"/>
      <x:c r="N60" s="8" t="s">
        <x:v>1307</x:v>
      </x:c>
      <x:c r="O60" s="8" t="s">
        <x:v>1026</x:v>
      </x:c>
      <x:c r="P60" s="8" t="s">
        <x:v>1308</x:v>
      </x:c>
      <x:c r="Q60" s="8" t="s">
        <x:v>1028</x:v>
      </x:c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30">
      <x:c r="A61" s="8" t="s">
        <x:v>92</x:v>
      </x:c>
      <x:c r="B61" s="8" t="s">
        <x:v>1364</x:v>
      </x:c>
      <x:c r="C61" s="8" t="s">
        <x:v>1309</x:v>
      </x:c>
      <x:c r="D61" s="8" t="str">
        <x:v>Have it built: Crew</x:v>
      </x:c>
      <x:c r="E61" s="8" t="s">
        <x:v>1383</x:v>
      </x:c>
      <x:c r="F61" s="8" t="s">
        <x:v>1140</x:v>
      </x:c>
      <x:c r="G61" s="8" t="s">
        <x:v>1193</x:v>
      </x:c>
      <x:c r="H61" s="8" t="s">
        <x:v>1310</x:v>
      </x:c>
      <x:c r="I61" s="8" t="s">
        <x:v>1311</x:v>
      </x:c>
      <x:c r="J61" s="8" t="s">
        <x:v>156</x:v>
      </x:c>
      <x:c r="K61" s="8" t="s">
        <x:v>1206</x:v>
      </x:c>
      <x:c r="L61" s="8" t="s">
        <x:v>1193</x:v>
      </x:c>
      <x:c r="M61" s="8"/>
      <x:c r="N61" s="8" t="s">
        <x:v>1307</x:v>
      </x:c>
      <x:c r="O61" s="8" t="s">
        <x:v>1026</x:v>
      </x:c>
      <x:c r="P61" s="8" t="s">
        <x:v>1313</x:v>
      </x:c>
      <x:c r="Q61" s="8" t="s">
        <x:v>1028</x:v>
      </x:c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30">
      <x:c r="A62" s="8" t="s">
        <x:v>92</x:v>
      </x:c>
      <x:c r="B62" s="8" t="s">
        <x:v>1364</x:v>
      </x:c>
      <x:c r="C62" s="8" t="s">
        <x:v>1309</x:v>
      </x:c>
      <x:c r="D62" s="8" t="str">
        <x:v>Have it built: League</x:v>
      </x:c>
      <x:c r="E62" s="8" t="s">
        <x:v>1383</x:v>
      </x:c>
      <x:c r="F62" s="8" t="s">
        <x:v>1140</x:v>
      </x:c>
      <x:c r="G62" s="8" t="s">
        <x:v>1193</x:v>
      </x:c>
      <x:c r="H62" s="8" t="s">
        <x:v>1310</x:v>
      </x:c>
      <x:c r="I62" s="8" t="s">
        <x:v>1311</x:v>
      </x:c>
      <x:c r="J62" s="8" t="s">
        <x:v>156</x:v>
      </x:c>
      <x:c r="K62" s="8" t="s">
        <x:v>1206</x:v>
      </x:c>
      <x:c r="L62" s="8" t="s">
        <x:v>1193</x:v>
      </x:c>
      <x:c r="M62" s="8"/>
      <x:c r="N62" s="8" t="s">
        <x:v>1307</x:v>
      </x:c>
      <x:c r="O62" s="8" t="s">
        <x:v>1026</x:v>
      </x:c>
      <x:c r="P62" s="8" t="s">
        <x:v>1313</x:v>
      </x:c>
      <x:c r="Q62" s="8" t="s">
        <x:v>1028</x:v>
      </x:c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30">
      <x:c r="A63" s="8" t="s">
        <x:v>92</x:v>
      </x:c>
      <x:c r="B63" s="8" t="s">
        <x:v>1364</x:v>
      </x:c>
      <x:c r="C63" s="8" t="s">
        <x:v>1309</x:v>
      </x:c>
      <x:c r="D63" s="8" t="str">
        <x:v>Have it built: Network</x:v>
      </x:c>
      <x:c r="E63" s="8" t="s">
        <x:v>1383</x:v>
      </x:c>
      <x:c r="F63" s="8" t="s">
        <x:v>1140</x:v>
      </x:c>
      <x:c r="G63" s="8" t="s">
        <x:v>1193</x:v>
      </x:c>
      <x:c r="H63" s="8" t="s">
        <x:v>1310</x:v>
      </x:c>
      <x:c r="I63" s="8" t="s">
        <x:v>1311</x:v>
      </x:c>
      <x:c r="J63" s="8" t="s">
        <x:v>156</x:v>
      </x:c>
      <x:c r="K63" s="8" t="s">
        <x:v>1206</x:v>
      </x:c>
      <x:c r="L63" s="8" t="s">
        <x:v>1193</x:v>
      </x:c>
      <x:c r="M63" s="8"/>
      <x:c r="N63" s="8" t="s">
        <x:v>1307</x:v>
      </x:c>
      <x:c r="O63" s="8" t="s">
        <x:v>1026</x:v>
      </x:c>
      <x:c r="P63" s="8" t="s">
        <x:v>1313</x:v>
      </x:c>
      <x:c r="Q63" s="8" t="s">
        <x:v>1028</x:v>
      </x:c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30">
      <x:c r="A64" s="8" t="s">
        <x:v>92</x:v>
      </x:c>
      <x:c r="B64" s="8" t="s">
        <x:v>1364</x:v>
      </x:c>
      <x:c r="C64" s="8" t="s">
        <x:v>1309</x:v>
      </x:c>
      <x:c r="D64" s="8" t="str">
        <x:v>Have it built: Larger</x:v>
      </x:c>
      <x:c r="E64" s="8" t="s">
        <x:v>1383</x:v>
      </x:c>
      <x:c r="F64" s="8" t="s">
        <x:v>1140</x:v>
      </x:c>
      <x:c r="G64" s="8" t="s">
        <x:v>1193</x:v>
      </x:c>
      <x:c r="H64" s="8" t="s">
        <x:v>1310</x:v>
      </x:c>
      <x:c r="I64" s="8" t="s">
        <x:v>1311</x:v>
      </x:c>
      <x:c r="J64" s="8" t="s">
        <x:v>156</x:v>
      </x:c>
      <x:c r="K64" s="8" t="s">
        <x:v>1206</x:v>
      </x:c>
      <x:c r="L64" s="8" t="s">
        <x:v>1193</x:v>
      </x:c>
      <x:c r="M64" s="8"/>
      <x:c r="N64" s="8" t="s">
        <x:v>1307</x:v>
      </x:c>
      <x:c r="O64" s="8" t="s">
        <x:v>1026</x:v>
      </x:c>
      <x:c r="P64" s="8" t="s">
        <x:v>1313</x:v>
      </x:c>
      <x:c r="Q64" s="8" t="s">
        <x:v>1028</x:v>
      </x:c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  <x:row r="65" ht="45">
      <x:c r="A65" s="8" t="s">
        <x:v>64</x:v>
      </x:c>
      <x:c r="B65" s="8" t="s">
        <x:v>1364</x:v>
      </x:c>
      <x:c r="C65" s="8" t="s">
        <x:v>1394</x:v>
      </x:c>
      <x:c r="D65" s="8" t="s">
        <x:v>1395</x:v>
      </x:c>
      <x:c r="E65" s="8" t="s">
        <x:v>1396</x:v>
      </x:c>
      <x:c r="F65" s="8" t="s">
        <x:v>1021</x:v>
      </x:c>
      <x:c r="G65" s="8" t="s">
        <x:v>1397</x:v>
      </x:c>
      <x:c r="H65" s="8" t="s">
        <x:v>1205</x:v>
      </x:c>
      <x:c r="I65" s="8" t="s">
        <x:v>1398</x:v>
      </x:c>
      <x:c r="J65" s="8" t="s">
        <x:v>156</x:v>
      </x:c>
      <x:c r="K65" s="8" t="s">
        <x:v>1206</x:v>
      </x:c>
      <x:c r="L65" s="8" t="s">
        <x:v>1018</x:v>
      </x:c>
      <x:c r="M65" s="8" t="s">
        <x:v>151</x:v>
      </x:c>
      <x:c r="N65" s="8" t="s">
        <x:v>1399</x:v>
      </x:c>
      <x:c r="O65" s="8" t="s">
        <x:v>1026</x:v>
      </x:c>
      <x:c r="P65" s="8" t="s">
        <x:v>1400</x:v>
      </x:c>
      <x:c r="Q65" s="8" t="s">
        <x:v>1028</x:v>
      </x:c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</x:row>
    <x:row r="66" ht="45">
      <x:c r="A66" s="8" t="s">
        <x:v>64</x:v>
      </x:c>
      <x:c r="B66" s="8" t="s">
        <x:v>1364</x:v>
      </x:c>
      <x:c r="C66" s="8" t="s">
        <x:v>1394</x:v>
      </x:c>
      <x:c r="D66" s="8" t="s">
        <x:v>1401</x:v>
      </x:c>
      <x:c r="E66" s="8" t="s">
        <x:v>1402</x:v>
      </x:c>
      <x:c r="F66" s="8" t="s">
        <x:v>1021</x:v>
      </x:c>
      <x:c r="G66" s="8" t="s">
        <x:v>1397</x:v>
      </x:c>
      <x:c r="H66" s="8" t="s">
        <x:v>1205</x:v>
      </x:c>
      <x:c r="I66" s="8" t="s">
        <x:v>1398</x:v>
      </x:c>
      <x:c r="J66" s="8" t="s">
        <x:v>156</x:v>
      </x:c>
      <x:c r="K66" s="8" t="s">
        <x:v>1206</x:v>
      </x:c>
      <x:c r="L66" s="8" t="s">
        <x:v>1018</x:v>
      </x:c>
      <x:c r="M66" s="8" t="s">
        <x:v>151</x:v>
      </x:c>
      <x:c r="N66" s="8" t="s">
        <x:v>1399</x:v>
      </x:c>
      <x:c r="O66" s="8" t="s">
        <x:v>1026</x:v>
      </x:c>
      <x:c r="P66" s="8" t="s">
        <x:v>1403</x:v>
      </x:c>
      <x:c r="Q66" s="8" t="s">
        <x:v>1028</x:v>
      </x:c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</x:row>
    <x:row r="67" ht="45">
      <x:c r="A67" s="8" t="s">
        <x:v>64</x:v>
      </x:c>
      <x:c r="B67" s="8" t="s">
        <x:v>1364</x:v>
      </x:c>
      <x:c r="C67" s="8" t="s">
        <x:v>1394</x:v>
      </x:c>
      <x:c r="D67" s="8" t="s">
        <x:v>1404</x:v>
      </x:c>
      <x:c r="E67" s="8" t="s">
        <x:v>1405</x:v>
      </x:c>
      <x:c r="F67" s="8" t="s">
        <x:v>1021</x:v>
      </x:c>
      <x:c r="G67" s="8" t="s">
        <x:v>1397</x:v>
      </x:c>
      <x:c r="H67" s="8" t="s">
        <x:v>1205</x:v>
      </x:c>
      <x:c r="I67" s="8" t="s">
        <x:v>1398</x:v>
      </x:c>
      <x:c r="J67" s="8" t="s">
        <x:v>156</x:v>
      </x:c>
      <x:c r="K67" s="8" t="s">
        <x:v>1206</x:v>
      </x:c>
      <x:c r="L67" s="8" t="s">
        <x:v>1018</x:v>
      </x:c>
      <x:c r="M67" s="8" t="s">
        <x:v>151</x:v>
      </x:c>
      <x:c r="N67" s="8" t="s">
        <x:v>1399</x:v>
      </x:c>
      <x:c r="O67" s="8" t="s">
        <x:v>1026</x:v>
      </x:c>
      <x:c r="P67" s="8" t="s">
        <x:v>1406</x:v>
      </x:c>
      <x:c r="Q67" s="8" t="s">
        <x:v>1028</x:v>
      </x:c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</x:row>
    <x:row r="68" ht="30">
      <x:c r="A68" s="8" t="s">
        <x:v>86</x:v>
      </x:c>
      <x:c r="B68" s="8" t="s">
        <x:v>1364</x:v>
      </x:c>
      <x:c r="C68" s="8" t="s">
        <x:v>1407</x:v>
      </x:c>
      <x:c r="D68" s="8" t="s">
        <x:v>1408</x:v>
      </x:c>
      <x:c r="E68" s="8" t="s">
        <x:v>151</x:v>
      </x:c>
      <x:c r="F68" s="8" t="s">
        <x:v>1072</x:v>
      </x:c>
      <x:c r="G68" s="8" t="s">
        <x:v>151</x:v>
      </x:c>
      <x:c r="H68" s="8" t="s">
        <x:v>1409</x:v>
      </x:c>
      <x:c r="I68" s="8" t="s">
        <x:v>1410</x:v>
      </x:c>
      <x:c r="J68" s="8" t="s">
        <x:v>156</x:v>
      </x:c>
      <x:c r="K68" s="8" t="s">
        <x:v>1287</x:v>
      </x:c>
      <x:c r="L68" s="8" t="s">
        <x:v>1018</x:v>
      </x:c>
      <x:c r="M68" s="8" t="s">
        <x:v>151</x:v>
      </x:c>
      <x:c r="N68" s="8" t="s">
        <x:v>1075</x:v>
      </x:c>
      <x:c r="O68" s="8" t="s">
        <x:v>1026</x:v>
      </x:c>
      <x:c r="P68" s="8" t="s">
        <x:v>1411</x:v>
      </x:c>
      <x:c r="Q68" s="8" t="s">
        <x:v>1028</x:v>
      </x:c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</x:row>
    <x:row r="69" ht="45">
      <x:c r="A69" s="8" t="s">
        <x:v>64</x:v>
      </x:c>
      <x:c r="B69" s="8" t="s">
        <x:v>1364</x:v>
      </x:c>
      <x:c r="C69" s="8" t="s">
        <x:v>1412</x:v>
      </x:c>
      <x:c r="D69" s="8" t="s">
        <x:v>1413</x:v>
      </x:c>
      <x:c r="E69" s="8" t="s">
        <x:v>151</x:v>
      </x:c>
      <x:c r="F69" s="8" t="s">
        <x:v>1414</x:v>
      </x:c>
      <x:c r="G69" s="8" t="s">
        <x:v>1415</x:v>
      </x:c>
      <x:c r="H69" s="8" t="s">
        <x:v>1416</x:v>
      </x:c>
      <x:c r="I69" s="8" t="s">
        <x:v>1417</x:v>
      </x:c>
      <x:c r="J69" s="8" t="s">
        <x:v>159</x:v>
      </x:c>
      <x:c r="K69" s="8" t="s">
        <x:v>1418</x:v>
      </x:c>
      <x:c r="L69" s="8" t="s">
        <x:v>1018</x:v>
      </x:c>
      <x:c r="M69" s="8" t="s">
        <x:v>1419</x:v>
      </x:c>
      <x:c r="N69" s="8" t="s">
        <x:v>1420</x:v>
      </x:c>
      <x:c r="O69" s="8" t="s">
        <x:v>1026</x:v>
      </x:c>
      <x:c r="P69" s="8" t="s">
        <x:v>1421</x:v>
      </x:c>
      <x:c r="Q69" s="8" t="s">
        <x:v>1028</x:v>
      </x:c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</x:row>
    <x:row r="70" ht="45">
      <x:c r="A70" s="8" t="s">
        <x:v>64</x:v>
      </x:c>
      <x:c r="B70" s="8" t="s">
        <x:v>1364</x:v>
      </x:c>
      <x:c r="C70" s="8" t="s">
        <x:v>1422</x:v>
      </x:c>
      <x:c r="D70" s="8" t="s">
        <x:v>1423</x:v>
      </x:c>
      <x:c r="E70" s="8" t="s">
        <x:v>1424</x:v>
      </x:c>
      <x:c r="F70" s="8" t="s">
        <x:v>1425</x:v>
      </x:c>
      <x:c r="G70" s="8" t="s">
        <x:v>1426</x:v>
      </x:c>
      <x:c r="H70" s="8" t="s">
        <x:v>1427</x:v>
      </x:c>
      <x:c r="I70" s="8" t="s">
        <x:v>1428</x:v>
      </x:c>
      <x:c r="J70" s="8" t="s">
        <x:v>156</x:v>
      </x:c>
      <x:c r="K70" s="8" t="s">
        <x:v>1429</x:v>
      </x:c>
      <x:c r="L70" s="8" t="s">
        <x:v>1018</x:v>
      </x:c>
      <x:c r="M70" s="8" t="s">
        <x:v>151</x:v>
      </x:c>
      <x:c r="N70" s="8" t="s">
        <x:v>1430</x:v>
      </x:c>
      <x:c r="O70" s="8" t="s">
        <x:v>1026</x:v>
      </x:c>
      <x:c r="P70" s="8" t="s">
        <x:v>1431</x:v>
      </x:c>
      <x:c r="Q70" s="8" t="s">
        <x:v>1028</x:v>
      </x:c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</x:row>
    <x:row r="71" ht="45">
      <x:c r="A71" s="8" t="s">
        <x:v>69</x:v>
      </x:c>
      <x:c r="B71" s="8" t="s">
        <x:v>1364</x:v>
      </x:c>
      <x:c r="C71" s="8" t="s">
        <x:v>1432</x:v>
      </x:c>
      <x:c r="D71" s="8" t="s">
        <x:v>1433</x:v>
      </x:c>
      <x:c r="E71" s="8" t="s">
        <x:v>1434</x:v>
      </x:c>
      <x:c r="F71" s="8" t="s">
        <x:v>1435</x:v>
      </x:c>
      <x:c r="G71" s="8" t="s">
        <x:v>1436</x:v>
      </x:c>
      <x:c r="H71" s="8" t="s">
        <x:v>1437</x:v>
      </x:c>
      <x:c r="I71" s="8" t="s">
        <x:v>1438</x:v>
      </x:c>
      <x:c r="J71" s="8" t="s">
        <x:v>159</x:v>
      </x:c>
      <x:c r="K71" s="8" t="s">
        <x:v>1439</x:v>
      </x:c>
      <x:c r="L71" s="8" t="s">
        <x:v>1018</x:v>
      </x:c>
      <x:c r="M71" s="8" t="s">
        <x:v>1440</x:v>
      </x:c>
      <x:c r="N71" s="8" t="s">
        <x:v>1441</x:v>
      </x:c>
      <x:c r="O71" s="8" t="s">
        <x:v>1026</x:v>
      </x:c>
      <x:c r="P71" s="8"/>
      <x:c r="Q71" s="8" t="s">
        <x:v>1028</x:v>
      </x:c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</x:row>
    <x:row r="72" ht="30">
      <x:c r="A72" s="8" t="s">
        <x:v>80</x:v>
      </x:c>
      <x:c r="B72" s="8" t="s">
        <x:v>1364</x:v>
      </x:c>
      <x:c r="C72" s="8" t="s">
        <x:v>1432</x:v>
      </x:c>
      <x:c r="D72" s="8" t="s">
        <x:v>1442</x:v>
      </x:c>
      <x:c r="E72" s="8" t="s">
        <x:v>1443</x:v>
      </x:c>
      <x:c r="F72" s="8" t="s">
        <x:v>151</x:v>
      </x:c>
      <x:c r="G72" s="8" t="s">
        <x:v>1444</x:v>
      </x:c>
      <x:c r="H72" s="8" t="s">
        <x:v>1437</x:v>
      </x:c>
      <x:c r="I72" s="8" t="s">
        <x:v>1438</x:v>
      </x:c>
      <x:c r="J72" s="8" t="s">
        <x:v>159</x:v>
      </x:c>
      <x:c r="K72" s="8" t="s">
        <x:v>1445</x:v>
      </x:c>
      <x:c r="L72" s="8" t="s">
        <x:v>1018</x:v>
      </x:c>
      <x:c r="M72" s="8" t="s">
        <x:v>151</x:v>
      </x:c>
      <x:c r="N72" s="8" t="s">
        <x:v>1228</x:v>
      </x:c>
      <x:c r="O72" s="8" t="s">
        <x:v>1026</x:v>
      </x:c>
      <x:c r="P72" s="8" t="s">
        <x:v>1446</x:v>
      </x:c>
      <x:c r="Q72" s="8" t="s">
        <x:v>1028</x:v>
      </x:c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</x:row>
    <x:row r="73" ht="30">
      <x:c r="A73" s="8" t="s">
        <x:v>76</x:v>
      </x:c>
      <x:c r="B73" s="8" t="s">
        <x:v>1364</x:v>
      </x:c>
      <x:c r="C73" s="8" t="s">
        <x:v>1447</x:v>
      </x:c>
      <x:c r="D73" s="8" t="s">
        <x:v>1448</x:v>
      </x:c>
      <x:c r="E73" s="8" t="s">
        <x:v>1449</x:v>
      </x:c>
      <x:c r="F73" s="8" t="s">
        <x:v>151</x:v>
      </x:c>
      <x:c r="G73" s="8" t="s">
        <x:v>1450</x:v>
      </x:c>
      <x:c r="H73" s="8" t="s">
        <x:v>1451</x:v>
      </x:c>
      <x:c r="I73" s="8" t="s">
        <x:v>1452</x:v>
      </x:c>
      <x:c r="J73" s="8" t="s">
        <x:v>159</x:v>
      </x:c>
      <x:c r="K73" s="8" t="s">
        <x:v>1453</x:v>
      </x:c>
      <x:c r="L73" s="8" t="s">
        <x:v>1018</x:v>
      </x:c>
      <x:c r="M73" s="8" t="s">
        <x:v>1454</x:v>
      </x:c>
      <x:c r="N73" s="8" t="s">
        <x:v>1455</x:v>
      </x:c>
      <x:c r="O73" s="8" t="s">
        <x:v>1026</x:v>
      </x:c>
      <x:c r="P73" s="8" t="s">
        <x:v>1456</x:v>
      </x:c>
      <x:c r="Q73" s="8" t="s">
        <x:v>1028</x:v>
      </x:c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</x:row>
    <x:row r="74" ht="60">
      <x:c r="A74" s="8" t="s">
        <x:v>76</x:v>
      </x:c>
      <x:c r="B74" s="8" t="s">
        <x:v>1371</x:v>
      </x:c>
      <x:c r="C74" s="8" t="s">
        <x:v>1457</x:v>
      </x:c>
      <x:c r="D74" s="8" t="s">
        <x:v>1458</x:v>
      </x:c>
      <x:c r="E74" s="8" t="s">
        <x:v>1459</x:v>
      </x:c>
      <x:c r="F74" s="8" t="s">
        <x:v>151</x:v>
      </x:c>
      <x:c r="G74" s="8" t="s">
        <x:v>151</x:v>
      </x:c>
      <x:c r="H74" s="8" t="s">
        <x:v>1460</x:v>
      </x:c>
      <x:c r="I74" s="8" t="s">
        <x:v>1461</x:v>
      </x:c>
      <x:c r="J74" s="8" t="s">
        <x:v>159</x:v>
      </x:c>
      <x:c r="K74" s="8" t="s">
        <x:v>1462</x:v>
      </x:c>
      <x:c r="L74" s="8" t="s">
        <x:v>1463</x:v>
      </x:c>
      <x:c r="M74" s="8" t="s">
        <x:v>1464</x:v>
      </x:c>
      <x:c r="N74" s="8" t="s">
        <x:v>1465</x:v>
      </x:c>
      <x:c r="O74" s="8" t="s">
        <x:v>1026</x:v>
      </x:c>
      <x:c r="P74" s="8" t="s">
        <x:v>1466</x:v>
      </x:c>
      <x:c r="Q74" s="8" t="s">
        <x:v>1028</x:v>
      </x:c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</x:row>
    <x:row r="75" ht="45">
      <x:c r="A75" s="8" t="s">
        <x:v>74</x:v>
      </x:c>
      <x:c r="B75" s="8" t="s">
        <x:v>1364</x:v>
      </x:c>
      <x:c r="C75" s="8" t="s">
        <x:v>1432</x:v>
      </x:c>
      <x:c r="D75" s="8" t="s">
        <x:v>1467</x:v>
      </x:c>
      <x:c r="E75" s="8" t="s">
        <x:v>1443</x:v>
      </x:c>
      <x:c r="F75" s="8" t="s">
        <x:v>151</x:v>
      </x:c>
      <x:c r="G75" s="8" t="s">
        <x:v>1444</x:v>
      </x:c>
      <x:c r="H75" s="8" t="s">
        <x:v>1437</x:v>
      </x:c>
      <x:c r="I75" s="8" t="s">
        <x:v>1438</x:v>
      </x:c>
      <x:c r="J75" s="8" t="s">
        <x:v>159</x:v>
      </x:c>
      <x:c r="K75" s="8" t="s">
        <x:v>1468</x:v>
      </x:c>
      <x:c r="L75" s="8" t="s">
        <x:v>1018</x:v>
      </x:c>
      <x:c r="M75" s="8" t="s">
        <x:v>1469</x:v>
      </x:c>
      <x:c r="N75" s="8" t="s">
        <x:v>1470</x:v>
      </x:c>
      <x:c r="O75" s="8" t="s">
        <x:v>1026</x:v>
      </x:c>
      <x:c r="P75" s="8"/>
      <x:c r="Q75" s="8" t="s">
        <x:v>1028</x:v>
      </x:c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</x:row>
    <x:row r="76" ht="30">
      <x:c r="A76" s="8" t="s">
        <x:v>66</x:v>
      </x:c>
      <x:c r="B76" s="8" t="s">
        <x:v>1364</x:v>
      </x:c>
      <x:c r="C76" s="8" t="s">
        <x:v>1432</x:v>
      </x:c>
      <x:c r="D76" s="8" t="s">
        <x:v>1471</x:v>
      </x:c>
      <x:c r="E76" s="8" t="s">
        <x:v>1443</x:v>
      </x:c>
      <x:c r="F76" s="8" t="s">
        <x:v>151</x:v>
      </x:c>
      <x:c r="G76" s="8" t="s">
        <x:v>1444</x:v>
      </x:c>
      <x:c r="H76" s="8" t="s">
        <x:v>1437</x:v>
      </x:c>
      <x:c r="I76" s="8" t="s">
        <x:v>1438</x:v>
      </x:c>
      <x:c r="J76" s="8" t="s">
        <x:v>159</x:v>
      </x:c>
      <x:c r="K76" s="8" t="s">
        <x:v>1472</x:v>
      </x:c>
      <x:c r="L76" s="8" t="s">
        <x:v>1018</x:v>
      </x:c>
      <x:c r="M76" s="8" t="s">
        <x:v>1473</x:v>
      </x:c>
      <x:c r="N76" s="8" t="s">
        <x:v>1474</x:v>
      </x:c>
      <x:c r="O76" s="8" t="s">
        <x:v>1026</x:v>
      </x:c>
      <x:c r="P76" s="8"/>
      <x:c r="Q76" s="8" t="s">
        <x:v>1028</x:v>
      </x:c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</x:row>
    <x:row r="77" ht="45">
      <x:c r="A77" s="8" t="s">
        <x:v>66</x:v>
      </x:c>
      <x:c r="B77" s="8" t="s">
        <x:v>1371</x:v>
      </x:c>
      <x:c r="C77" s="8" t="s">
        <x:v>1245</x:v>
      </x:c>
      <x:c r="D77" s="8" t="s">
        <x:v>1475</x:v>
      </x:c>
      <x:c r="E77" s="8" t="s">
        <x:v>151</x:v>
      </x:c>
      <x:c r="F77" s="8" t="s">
        <x:v>151</x:v>
      </x:c>
      <x:c r="G77" s="8" t="s">
        <x:v>151</x:v>
      </x:c>
      <x:c r="H77" s="8" t="s">
        <x:v>1476</x:v>
      </x:c>
      <x:c r="I77" s="8" t="s">
        <x:v>1477</x:v>
      </x:c>
      <x:c r="J77" s="8" t="s">
        <x:v>156</x:v>
      </x:c>
      <x:c r="K77" s="8" t="s">
        <x:v>1478</x:v>
      </x:c>
      <x:c r="L77" s="8" t="s">
        <x:v>1463</x:v>
      </x:c>
      <x:c r="M77" s="8" t="s">
        <x:v>1479</x:v>
      </x:c>
      <x:c r="N77" s="8" t="s">
        <x:v>1480</x:v>
      </x:c>
      <x:c r="O77" s="8" t="s">
        <x:v>1026</x:v>
      </x:c>
      <x:c r="P77" s="8"/>
      <x:c r="Q77" s="8" t="s">
        <x:v>1028</x:v>
      </x:c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</x:row>
    <x:row r="78" ht="30">
      <x:c r="A78" s="8" t="str">
        <x:f>IF(Master!C757="","",Master!C757)</x:f>
        <x:v>Donations</x:v>
      </x:c>
      <x:c r="B78" s="8" t="str">
        <x:f>IF(Master!D757="","",Master!D757)</x:f>
        <x:v>pqp.gg</x:v>
      </x:c>
      <x:c r="C78" s="8" t="str">
        <x:f>IF(Master!E757="","",Master!E757)</x:f>
        <x:v>Current</x:v>
      </x:c>
      <x:c r="D78" s="8" t="str">
        <x:f>IF(Master!F757="","",Master!F757)</x:f>
        <x:v>Project donations</x:v>
      </x:c>
      <x:c r="E78" s="8" t="str">
        <x:f>IF(Master!G757="","",Master!G757)</x:f>
        <x:v>User-selected</x:v>
      </x:c>
      <x:c r="F78" s="8" t="str">
        <x:f>IF(Master!H757="","",Master!H757)</x:f>
        <x:v>N/A</x:v>
      </x:c>
      <x:c r="G78" s="8" t="str">
        <x:f>IF(Master!I757="","",Master!I757)</x:f>
        <x:v>Donation</x:v>
      </x:c>
      <x:c r="H78" s="8" t="str">
        <x:f>IF(Master!J757="","",Master!J757)</x:f>
        <x:v>Donor</x:v>
      </x:c>
      <x:c r="I78" s="8" t="str">
        <x:f>IF(Master!K757="","",Master!K757)</x:f>
        <x:v>Project funding</x:v>
      </x:c>
      <x:c r="J78" s="8" t="str">
        <x:f>IF(Master!L757="","",Master!L757)</x:f>
        <x:v>No</x:v>
      </x:c>
      <x:c r="K78" s="8" t="str">
        <x:f>IF(Master!M757="","",Master!M757)</x:f>
        <x:v>Donations unlock nothing</x:v>
      </x:c>
      <x:c r="L78" s="8" t="str">
        <x:f>IF(Master!N757="","",Master!N757)</x:f>
        <x:v>Active</x:v>
      </x:c>
      <x:c r="M78" s="8" t="str">
        <x:f>IF(Master!O757="","",Master!O757)</x:f>
        <x:v>No feature unlocks</x:v>
      </x:c>
      <x:c r="N78" s="8" t="str">
        <x:f>IF(Master!P757="","",Master!P757)</x:f>
        <x:v>https://pqp.gg/apoie</x:v>
      </x:c>
      <x:c r="O78" s="8" t="str">
        <x:f>IF(Master!Q757="","",Master!Q757)</x:f>
        <x:v>2026-09-16</x:v>
      </x:c>
      <x:c r="P78" s="8" t="str">
        <x:f>IF(Master!R757="","",Master!R757)</x:f>
        <x:v>Optional project support only; not a paid feature tier.</x:v>
      </x:c>
      <x:c r="Q78" s="8" t="str">
        <x:f>IF(Master!S757="","",Master!S757)</x:f>
        <x:v>Primary / developer-provided response</x:v>
      </x:c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</x:row>
    <x:row r="79" ht="45">
      <x:c r="A79" s="8" t="s">
        <x:v>72</x:v>
      </x:c>
      <x:c r="B79" s="8" t="s">
        <x:v>1481</x:v>
      </x:c>
      <x:c r="C79" s="8" t="s">
        <x:v>1482</x:v>
      </x:c>
      <x:c r="D79" s="8" t="s">
        <x:v>1483</x:v>
      </x:c>
      <x:c r="E79" s="8" t="s">
        <x:v>1484</x:v>
      </x:c>
      <x:c r="F79" s="8" t="s">
        <x:v>154</x:v>
      </x:c>
      <x:c r="G79" s="8" t="s">
        <x:v>154</x:v>
      </x:c>
      <x:c r="H79" s="8" t="s">
        <x:v>154</x:v>
      </x:c>
      <x:c r="I79" s="8" t="s">
        <x:v>1240</x:v>
      </x:c>
      <x:c r="J79" s="8" t="s">
        <x:v>159</x:v>
      </x:c>
      <x:c r="K79" s="8" t="s">
        <x:v>1485</x:v>
      </x:c>
      <x:c r="L79" s="8" t="s">
        <x:v>1486</x:v>
      </x:c>
      <x:c r="M79" s="8" t="s">
        <x:v>1487</x:v>
      </x:c>
      <x:c r="N79" s="8" t="s">
        <x:v>1272</x:v>
      </x:c>
      <x:c r="O79" s="8" t="s">
        <x:v>1026</x:v>
      </x:c>
      <x:c r="P79" s="8"/>
      <x:c r="Q79" s="8" t="s">
        <x:v>1028</x:v>
      </x:c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</x:row>
    <x:row r="80" ht="45">
      <x:c r="A80" s="8" t="s">
        <x:v>78</x:v>
      </x:c>
      <x:c r="B80" s="8" t="s">
        <x:v>1364</x:v>
      </x:c>
      <x:c r="C80" s="8" t="s">
        <x:v>1488</x:v>
      </x:c>
      <x:c r="D80" s="8" t="s">
        <x:v>1489</x:v>
      </x:c>
      <x:c r="E80" s="8" t="s">
        <x:v>1490</x:v>
      </x:c>
      <x:c r="F80" s="8" t="s">
        <x:v>1491</x:v>
      </x:c>
      <x:c r="G80" s="8" t="s">
        <x:v>1492</x:v>
      </x:c>
      <x:c r="H80" s="8" t="s">
        <x:v>1493</x:v>
      </x:c>
      <x:c r="I80" s="8" t="s">
        <x:v>1494</x:v>
      </x:c>
      <x:c r="J80" s="8" t="s">
        <x:v>159</x:v>
      </x:c>
      <x:c r="K80" s="8" t="s">
        <x:v>1495</x:v>
      </x:c>
      <x:c r="L80" s="8" t="s">
        <x:v>1018</x:v>
      </x:c>
      <x:c r="M80" s="8" t="s">
        <x:v>1496</x:v>
      </x:c>
      <x:c r="N80" s="8" t="s">
        <x:v>1242</x:v>
      </x:c>
      <x:c r="O80" s="8" t="s">
        <x:v>1026</x:v>
      </x:c>
      <x:c r="P80" s="8" t="s">
        <x:v>1497</x:v>
      </x:c>
      <x:c r="Q80" s="8" t="s">
        <x:v>1028</x:v>
      </x:c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</x:row>
    <x:row r="81" ht="45">
      <x:c r="A81" s="8" t="s">
        <x:v>90</x:v>
      </x:c>
      <x:c r="B81" s="8" t="s">
        <x:v>1364</x:v>
      </x:c>
      <x:c r="C81" s="8" t="s">
        <x:v>1294</x:v>
      </x:c>
      <x:c r="D81" s="8" t="s">
        <x:v>1295</x:v>
      </x:c>
      <x:c r="E81" s="8" t="s">
        <x:v>1498</x:v>
      </x:c>
      <x:c r="F81" s="8" t="s">
        <x:v>151</x:v>
      </x:c>
      <x:c r="G81" s="8" t="s">
        <x:v>1499</x:v>
      </x:c>
      <x:c r="H81" s="8" t="s">
        <x:v>1500</x:v>
      </x:c>
      <x:c r="I81" s="8" t="s">
        <x:v>1023</x:v>
      </x:c>
      <x:c r="J81" s="8" t="s">
        <x:v>159</x:v>
      </x:c>
      <x:c r="K81" s="8" t="s">
        <x:v>1501</x:v>
      </x:c>
      <x:c r="L81" s="8" t="s">
        <x:v>1502</x:v>
      </x:c>
      <x:c r="M81" s="8" t="s">
        <x:v>1503</x:v>
      </x:c>
      <x:c r="N81" s="8" t="s">
        <x:v>1299</x:v>
      </x:c>
      <x:c r="O81" s="8" t="s">
        <x:v>1026</x:v>
      </x:c>
      <x:c r="P81" s="8"/>
      <x:c r="Q81" s="8" t="s">
        <x:v>1028</x:v>
      </x:c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</x:row>
    <x:row r="82" ht="45">
      <x:c r="A82" s="8" t="s">
        <x:v>67</x:v>
      </x:c>
      <x:c r="B82" s="8" t="s">
        <x:v>1371</x:v>
      </x:c>
      <x:c r="C82" s="8" t="s">
        <x:v>1504</x:v>
      </x:c>
      <x:c r="D82" s="8" t="s">
        <x:v>1504</x:v>
      </x:c>
      <x:c r="E82" s="8" t="s">
        <x:v>151</x:v>
      </x:c>
      <x:c r="F82" s="8" t="s">
        <x:v>151</x:v>
      </x:c>
      <x:c r="G82" s="8" t="s">
        <x:v>151</x:v>
      </x:c>
      <x:c r="H82" s="8" t="s">
        <x:v>1505</x:v>
      </x:c>
      <x:c r="I82" s="8" t="s">
        <x:v>151</x:v>
      </x:c>
      <x:c r="J82" s="8" t="s">
        <x:v>151</x:v>
      </x:c>
      <x:c r="K82" s="8" t="s">
        <x:v>151</x:v>
      </x:c>
      <x:c r="L82" s="8" t="s">
        <x:v>1506</x:v>
      </x:c>
      <x:c r="M82" s="8" t="s">
        <x:v>1507</x:v>
      </x:c>
      <x:c r="N82" s="8" t="s">
        <x:v>1508</x:v>
      </x:c>
      <x:c r="O82" s="8" t="s">
        <x:v>1026</x:v>
      </x:c>
      <x:c r="P82" s="8"/>
      <x:c r="Q82" s="8" t="s">
        <x:v>1028</x:v>
      </x:c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</x:row>
    <x:row r="83" ht="60">
      <x:c r="A83" s="8" t="s">
        <x:v>75</x:v>
      </x:c>
      <x:c r="B83" s="8" t="s">
        <x:v>1509</x:v>
      </x:c>
      <x:c r="C83" s="8" t="s">
        <x:v>1510</x:v>
      </x:c>
      <x:c r="D83" s="8" t="s">
        <x:v>1511</x:v>
      </x:c>
      <x:c r="E83" s="8" t="s">
        <x:v>151</x:v>
      </x:c>
      <x:c r="F83" s="8" t="s">
        <x:v>151</x:v>
      </x:c>
      <x:c r="G83" s="8" t="s">
        <x:v>151</x:v>
      </x:c>
      <x:c r="H83" s="8" t="s">
        <x:v>151</x:v>
      </x:c>
      <x:c r="I83" s="8" t="s">
        <x:v>1512</x:v>
      </x:c>
      <x:c r="J83" s="8" t="s">
        <x:v>151</x:v>
      </x:c>
      <x:c r="K83" s="8" t="s">
        <x:v>151</x:v>
      </x:c>
      <x:c r="L83" s="8" t="s">
        <x:v>1513</x:v>
      </x:c>
      <x:c r="M83" s="8" t="s">
        <x:v>1514</x:v>
      </x:c>
      <x:c r="N83" s="8" t="s">
        <x:v>1515</x:v>
      </x:c>
      <x:c r="O83" s="8" t="s">
        <x:v>1026</x:v>
      </x:c>
      <x:c r="P83" s="8"/>
      <x:c r="Q83" s="8" t="s">
        <x:v>1028</x:v>
      </x:c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</x:row>
    <x:row r="84" ht="45">
      <x:c r="A84" s="8" t="s">
        <x:v>93</x:v>
      </x:c>
      <x:c r="B84" s="8" t="s">
        <x:v>1364</x:v>
      </x:c>
      <x:c r="C84" s="8" t="s">
        <x:v>1113</x:v>
      </x:c>
      <x:c r="D84" s="8" t="s">
        <x:v>1516</x:v>
      </x:c>
      <x:c r="E84" s="8" t="s">
        <x:v>1484</x:v>
      </x:c>
      <x:c r="F84" s="8" t="s">
        <x:v>1021</x:v>
      </x:c>
      <x:c r="G84" s="8" t="s">
        <x:v>1517</x:v>
      </x:c>
      <x:c r="H84" s="8" t="s">
        <x:v>1518</x:v>
      </x:c>
      <x:c r="I84" s="8" t="s">
        <x:v>1519</x:v>
      </x:c>
      <x:c r="J84" s="8" t="s">
        <x:v>1113</x:v>
      </x:c>
      <x:c r="K84" s="8" t="s">
        <x:v>1520</x:v>
      </x:c>
      <x:c r="L84" s="8" t="s">
        <x:v>1018</x:v>
      </x:c>
      <x:c r="M84" s="8" t="s">
        <x:v>1521</x:v>
      </x:c>
      <x:c r="N84" s="8" t="s">
        <x:v>1253</x:v>
      </x:c>
      <x:c r="O84" s="8" t="s">
        <x:v>1026</x:v>
      </x:c>
      <x:c r="P84" s="8"/>
      <x:c r="Q84" s="8" t="s">
        <x:v>1028</x:v>
      </x:c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</x:row>
    <x:row r="85" ht="60">
      <x:c r="A85" s="8" t="s">
        <x:v>92</x:v>
      </x:c>
      <x:c r="B85" s="8" t="s">
        <x:v>1364</x:v>
      </x:c>
      <x:c r="C85" s="8" t="s">
        <x:v>1522</x:v>
      </x:c>
      <x:c r="D85" s="8" t="s">
        <x:v>1523</x:v>
      </x:c>
      <x:c r="E85" s="8" t="s">
        <x:v>1524</x:v>
      </x:c>
      <x:c r="F85" s="8" t="s">
        <x:v>1140</x:v>
      </x:c>
      <x:c r="G85" s="8" t="s">
        <x:v>1525</x:v>
      </x:c>
      <x:c r="H85" s="8" t="s">
        <x:v>1526</x:v>
      </x:c>
      <x:c r="I85" s="8" t="s">
        <x:v>1287</x:v>
      </x:c>
      <x:c r="J85" s="8" t="s">
        <x:v>156</x:v>
      </x:c>
      <x:c r="K85" s="8" t="s">
        <x:v>1527</x:v>
      </x:c>
      <x:c r="L85" s="8" t="s">
        <x:v>1018</x:v>
      </x:c>
      <x:c r="M85" s="8" t="s">
        <x:v>1528</x:v>
      </x:c>
      <x:c r="N85" s="8" t="s">
        <x:v>1307</x:v>
      </x:c>
      <x:c r="O85" s="8" t="s">
        <x:v>1026</x:v>
      </x:c>
      <x:c r="P85" s="8" t="s">
        <x:v>1529</x:v>
      </x:c>
      <x:c r="Q85" s="8" t="s">
        <x:v>1028</x:v>
      </x:c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</x:row>
    <x:row r="86" ht="45">
      <x:c r="A86" s="8" t="s">
        <x:v>64</x:v>
      </x:c>
      <x:c r="B86" s="8" t="s">
        <x:v>1371</x:v>
      </x:c>
      <x:c r="C86" s="8" t="s">
        <x:v>1530</x:v>
      </x:c>
      <x:c r="D86" s="8" t="s">
        <x:v>1531</x:v>
      </x:c>
      <x:c r="E86" s="8" t="s">
        <x:v>151</x:v>
      </x:c>
      <x:c r="F86" s="8" t="s">
        <x:v>151</x:v>
      </x:c>
      <x:c r="G86" s="8" t="s">
        <x:v>151</x:v>
      </x:c>
      <x:c r="H86" s="8" t="s">
        <x:v>151</x:v>
      </x:c>
      <x:c r="I86" s="8" t="s">
        <x:v>151</x:v>
      </x:c>
      <x:c r="J86" s="8" t="s">
        <x:v>151</x:v>
      </x:c>
      <x:c r="K86" s="8" t="s">
        <x:v>151</x:v>
      </x:c>
      <x:c r="L86" s="8" t="s">
        <x:v>1532</x:v>
      </x:c>
      <x:c r="M86" s="8" t="s">
        <x:v>1531</x:v>
      </x:c>
      <x:c r="N86" s="8" t="s">
        <x:v>151</x:v>
      </x:c>
      <x:c r="O86" s="8" t="s">
        <x:v>1026</x:v>
      </x:c>
      <x:c r="P86" s="8"/>
      <x:c r="Q86" s="8" t="s">
        <x:v>1533</x:v>
      </x:c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</x:row>
    <x:row r="87" ht="45">
      <x:c r="A87" s="8" t="s">
        <x:v>88</x:v>
      </x:c>
      <x:c r="B87" s="8" t="s">
        <x:v>1371</x:v>
      </x:c>
      <x:c r="C87" s="8" t="s">
        <x:v>1530</x:v>
      </x:c>
      <x:c r="D87" s="8" t="s">
        <x:v>1531</x:v>
      </x:c>
      <x:c r="E87" s="8" t="s">
        <x:v>151</x:v>
      </x:c>
      <x:c r="F87" s="8" t="s">
        <x:v>151</x:v>
      </x:c>
      <x:c r="G87" s="8" t="s">
        <x:v>151</x:v>
      </x:c>
      <x:c r="H87" s="8" t="s">
        <x:v>151</x:v>
      </x:c>
      <x:c r="I87" s="8" t="s">
        <x:v>151</x:v>
      </x:c>
      <x:c r="J87" s="8" t="s">
        <x:v>151</x:v>
      </x:c>
      <x:c r="K87" s="8" t="s">
        <x:v>151</x:v>
      </x:c>
      <x:c r="L87" s="8" t="s">
        <x:v>1532</x:v>
      </x:c>
      <x:c r="M87" s="8" t="s">
        <x:v>1531</x:v>
      </x:c>
      <x:c r="N87" s="8" t="s">
        <x:v>151</x:v>
      </x:c>
      <x:c r="O87" s="8" t="s">
        <x:v>1026</x:v>
      </x:c>
      <x:c r="P87" s="8"/>
      <x:c r="Q87" s="8" t="s">
        <x:v>1533</x:v>
      </x:c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</x:row>
    <x:row r="88" ht="45">
      <x:c r="A88" s="8" t="s">
        <x:v>68</x:v>
      </x:c>
      <x:c r="B88" s="8" t="s">
        <x:v>1534</x:v>
      </x:c>
      <x:c r="C88" s="8" t="s">
        <x:v>1535</x:v>
      </x:c>
      <x:c r="D88" s="8" t="s">
        <x:v>1536</x:v>
      </x:c>
      <x:c r="E88" s="8" t="s">
        <x:v>151</x:v>
      </x:c>
      <x:c r="F88" s="8" t="s">
        <x:v>151</x:v>
      </x:c>
      <x:c r="G88" s="8" t="s">
        <x:v>151</x:v>
      </x:c>
      <x:c r="H88" s="8" t="s">
        <x:v>151</x:v>
      </x:c>
      <x:c r="I88" s="8" t="s">
        <x:v>151</x:v>
      </x:c>
      <x:c r="J88" s="8" t="s">
        <x:v>151</x:v>
      </x:c>
      <x:c r="K88" s="8" t="s">
        <x:v>151</x:v>
      </x:c>
      <x:c r="L88" s="8" t="s">
        <x:v>151</x:v>
      </x:c>
      <x:c r="M88" s="8" t="s">
        <x:v>151</x:v>
      </x:c>
      <x:c r="N88" s="8" t="s">
        <x:v>151</x:v>
      </x:c>
      <x:c r="O88" s="8" t="s">
        <x:v>1026</x:v>
      </x:c>
      <x:c r="P88" s="8"/>
      <x:c r="Q88" s="8" t="s">
        <x:v>1533</x:v>
      </x:c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</x:row>
    <x:row r="89" ht="45">
      <x:c r="A89" s="8" t="s">
        <x:v>69</x:v>
      </x:c>
      <x:c r="B89" s="8" t="s">
        <x:v>1371</x:v>
      </x:c>
      <x:c r="C89" s="8" t="s">
        <x:v>1530</x:v>
      </x:c>
      <x:c r="D89" s="8" t="s">
        <x:v>1531</x:v>
      </x:c>
      <x:c r="E89" s="8" t="s">
        <x:v>151</x:v>
      </x:c>
      <x:c r="F89" s="8" t="s">
        <x:v>151</x:v>
      </x:c>
      <x:c r="G89" s="8" t="s">
        <x:v>151</x:v>
      </x:c>
      <x:c r="H89" s="8" t="s">
        <x:v>151</x:v>
      </x:c>
      <x:c r="I89" s="8" t="s">
        <x:v>151</x:v>
      </x:c>
      <x:c r="J89" s="8" t="s">
        <x:v>151</x:v>
      </x:c>
      <x:c r="K89" s="8" t="s">
        <x:v>151</x:v>
      </x:c>
      <x:c r="L89" s="8" t="s">
        <x:v>1532</x:v>
      </x:c>
      <x:c r="M89" s="8" t="s">
        <x:v>1531</x:v>
      </x:c>
      <x:c r="N89" s="8" t="s">
        <x:v>151</x:v>
      </x:c>
      <x:c r="O89" s="8" t="s">
        <x:v>1026</x:v>
      </x:c>
      <x:c r="P89" s="8"/>
      <x:c r="Q89" s="8" t="s">
        <x:v>1533</x:v>
      </x:c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</x:row>
    <x:row r="90" ht="45">
      <x:c r="A90" s="8" t="s">
        <x:v>86</x:v>
      </x:c>
      <x:c r="B90" s="8" t="s">
        <x:v>1371</x:v>
      </x:c>
      <x:c r="C90" s="8" t="s">
        <x:v>1530</x:v>
      </x:c>
      <x:c r="D90" s="8" t="s">
        <x:v>1531</x:v>
      </x:c>
      <x:c r="E90" s="8" t="s">
        <x:v>151</x:v>
      </x:c>
      <x:c r="F90" s="8" t="s">
        <x:v>151</x:v>
      </x:c>
      <x:c r="G90" s="8" t="s">
        <x:v>151</x:v>
      </x:c>
      <x:c r="H90" s="8" t="s">
        <x:v>151</x:v>
      </x:c>
      <x:c r="I90" s="8" t="s">
        <x:v>151</x:v>
      </x:c>
      <x:c r="J90" s="8" t="s">
        <x:v>151</x:v>
      </x:c>
      <x:c r="K90" s="8" t="s">
        <x:v>151</x:v>
      </x:c>
      <x:c r="L90" s="8" t="s">
        <x:v>1532</x:v>
      </x:c>
      <x:c r="M90" s="8" t="s">
        <x:v>1531</x:v>
      </x:c>
      <x:c r="N90" s="8" t="s">
        <x:v>151</x:v>
      </x:c>
      <x:c r="O90" s="8" t="s">
        <x:v>1026</x:v>
      </x:c>
      <x:c r="P90" s="8"/>
      <x:c r="Q90" s="8" t="s">
        <x:v>1533</x:v>
      </x:c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</x:row>
    <x:row r="91" ht="45">
      <x:c r="A91" s="8" t="s">
        <x:v>87</x:v>
      </x:c>
      <x:c r="B91" s="8" t="s">
        <x:v>1371</x:v>
      </x:c>
      <x:c r="C91" s="8" t="s">
        <x:v>1530</x:v>
      </x:c>
      <x:c r="D91" s="8" t="s">
        <x:v>1531</x:v>
      </x:c>
      <x:c r="E91" s="8" t="s">
        <x:v>151</x:v>
      </x:c>
      <x:c r="F91" s="8" t="s">
        <x:v>151</x:v>
      </x:c>
      <x:c r="G91" s="8" t="s">
        <x:v>151</x:v>
      </x:c>
      <x:c r="H91" s="8" t="s">
        <x:v>151</x:v>
      </x:c>
      <x:c r="I91" s="8" t="s">
        <x:v>151</x:v>
      </x:c>
      <x:c r="J91" s="8" t="s">
        <x:v>151</x:v>
      </x:c>
      <x:c r="K91" s="8" t="s">
        <x:v>151</x:v>
      </x:c>
      <x:c r="L91" s="8" t="s">
        <x:v>1532</x:v>
      </x:c>
      <x:c r="M91" s="8" t="s">
        <x:v>1531</x:v>
      </x:c>
      <x:c r="N91" s="8" t="s">
        <x:v>151</x:v>
      </x:c>
      <x:c r="O91" s="8" t="s">
        <x:v>1026</x:v>
      </x:c>
      <x:c r="P91" s="8"/>
      <x:c r="Q91" s="8" t="s">
        <x:v>1533</x:v>
      </x:c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</x:row>
    <x:row r="92" ht="45">
      <x:c r="A92" s="8" t="s">
        <x:v>79</x:v>
      </x:c>
      <x:c r="B92" s="8" t="s">
        <x:v>1371</x:v>
      </x:c>
      <x:c r="C92" s="8" t="s">
        <x:v>1530</x:v>
      </x:c>
      <x:c r="D92" s="8" t="s">
        <x:v>1531</x:v>
      </x:c>
      <x:c r="E92" s="8" t="s">
        <x:v>151</x:v>
      </x:c>
      <x:c r="F92" s="8" t="s">
        <x:v>151</x:v>
      </x:c>
      <x:c r="G92" s="8" t="s">
        <x:v>151</x:v>
      </x:c>
      <x:c r="H92" s="8" t="s">
        <x:v>151</x:v>
      </x:c>
      <x:c r="I92" s="8" t="s">
        <x:v>151</x:v>
      </x:c>
      <x:c r="J92" s="8" t="s">
        <x:v>151</x:v>
      </x:c>
      <x:c r="K92" s="8" t="s">
        <x:v>151</x:v>
      </x:c>
      <x:c r="L92" s="8" t="s">
        <x:v>1532</x:v>
      </x:c>
      <x:c r="M92" s="8" t="s">
        <x:v>1531</x:v>
      </x:c>
      <x:c r="N92" s="8" t="s">
        <x:v>151</x:v>
      </x:c>
      <x:c r="O92" s="8" t="s">
        <x:v>1026</x:v>
      </x:c>
      <x:c r="P92" s="8"/>
      <x:c r="Q92" s="8" t="s">
        <x:v>1533</x:v>
      </x:c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</x:row>
    <x:row r="93" ht="45">
      <x:c r="A93" s="8" t="s">
        <x:v>89</x:v>
      </x:c>
      <x:c r="B93" s="8" t="s">
        <x:v>1371</x:v>
      </x:c>
      <x:c r="C93" s="8" t="s">
        <x:v>1530</x:v>
      </x:c>
      <x:c r="D93" s="8" t="s">
        <x:v>1531</x:v>
      </x:c>
      <x:c r="E93" s="8" t="s">
        <x:v>151</x:v>
      </x:c>
      <x:c r="F93" s="8" t="s">
        <x:v>151</x:v>
      </x:c>
      <x:c r="G93" s="8" t="s">
        <x:v>151</x:v>
      </x:c>
      <x:c r="H93" s="8" t="s">
        <x:v>151</x:v>
      </x:c>
      <x:c r="I93" s="8" t="s">
        <x:v>151</x:v>
      </x:c>
      <x:c r="J93" s="8" t="s">
        <x:v>151</x:v>
      </x:c>
      <x:c r="K93" s="8" t="s">
        <x:v>151</x:v>
      </x:c>
      <x:c r="L93" s="8" t="s">
        <x:v>1532</x:v>
      </x:c>
      <x:c r="M93" s="8" t="s">
        <x:v>1531</x:v>
      </x:c>
      <x:c r="N93" s="8" t="s">
        <x:v>151</x:v>
      </x:c>
      <x:c r="O93" s="8" t="s">
        <x:v>1026</x:v>
      </x:c>
      <x:c r="P93" s="8"/>
      <x:c r="Q93" s="8" t="s">
        <x:v>1533</x:v>
      </x:c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</x:row>
    <x:row r="94" ht="45">
      <x:c r="A94" s="8" t="s">
        <x:v>94</x:v>
      </x:c>
      <x:c r="B94" s="8" t="s">
        <x:v>1371</x:v>
      </x:c>
      <x:c r="C94" s="8" t="s">
        <x:v>1530</x:v>
      </x:c>
      <x:c r="D94" s="8" t="s">
        <x:v>1531</x:v>
      </x:c>
      <x:c r="E94" s="8" t="s">
        <x:v>151</x:v>
      </x:c>
      <x:c r="F94" s="8" t="s">
        <x:v>151</x:v>
      </x:c>
      <x:c r="G94" s="8" t="s">
        <x:v>151</x:v>
      </x:c>
      <x:c r="H94" s="8" t="s">
        <x:v>151</x:v>
      </x:c>
      <x:c r="I94" s="8" t="s">
        <x:v>151</x:v>
      </x:c>
      <x:c r="J94" s="8" t="s">
        <x:v>151</x:v>
      </x:c>
      <x:c r="K94" s="8" t="s">
        <x:v>151</x:v>
      </x:c>
      <x:c r="L94" s="8" t="s">
        <x:v>1532</x:v>
      </x:c>
      <x:c r="M94" s="8" t="s">
        <x:v>1531</x:v>
      </x:c>
      <x:c r="N94" s="8" t="s">
        <x:v>151</x:v>
      </x:c>
      <x:c r="O94" s="8" t="s">
        <x:v>1026</x:v>
      </x:c>
      <x:c r="P94" s="8"/>
      <x:c r="Q94" s="8" t="s">
        <x:v>1533</x:v>
      </x:c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</x:row>
    <x:row r="95" ht="45">
      <x:c r="A95" s="8" t="s">
        <x:v>77</x:v>
      </x:c>
      <x:c r="B95" s="8" t="s">
        <x:v>1371</x:v>
      </x:c>
      <x:c r="C95" s="8" t="s">
        <x:v>1530</x:v>
      </x:c>
      <x:c r="D95" s="8" t="s">
        <x:v>1531</x:v>
      </x:c>
      <x:c r="E95" s="8" t="s">
        <x:v>151</x:v>
      </x:c>
      <x:c r="F95" s="8" t="s">
        <x:v>151</x:v>
      </x:c>
      <x:c r="G95" s="8" t="s">
        <x:v>151</x:v>
      </x:c>
      <x:c r="H95" s="8" t="s">
        <x:v>151</x:v>
      </x:c>
      <x:c r="I95" s="8" t="s">
        <x:v>151</x:v>
      </x:c>
      <x:c r="J95" s="8" t="s">
        <x:v>151</x:v>
      </x:c>
      <x:c r="K95" s="8" t="s">
        <x:v>151</x:v>
      </x:c>
      <x:c r="L95" s="8" t="s">
        <x:v>1532</x:v>
      </x:c>
      <x:c r="M95" s="8" t="s">
        <x:v>1531</x:v>
      </x:c>
      <x:c r="N95" s="8" t="s">
        <x:v>151</x:v>
      </x:c>
      <x:c r="O95" s="8" t="s">
        <x:v>1026</x:v>
      </x:c>
      <x:c r="P95" s="8"/>
      <x:c r="Q95" s="8" t="s">
        <x:v>1533</x:v>
      </x:c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</x:row>
    <x:row r="96" ht="45">
      <x:c r="A96" s="8" t="s">
        <x:v>84</x:v>
      </x:c>
      <x:c r="B96" s="8" t="s">
        <x:v>1371</x:v>
      </x:c>
      <x:c r="C96" s="8" t="s">
        <x:v>1530</x:v>
      </x:c>
      <x:c r="D96" s="8" t="s">
        <x:v>1531</x:v>
      </x:c>
      <x:c r="E96" s="8" t="s">
        <x:v>151</x:v>
      </x:c>
      <x:c r="F96" s="8" t="s">
        <x:v>151</x:v>
      </x:c>
      <x:c r="G96" s="8" t="s">
        <x:v>151</x:v>
      </x:c>
      <x:c r="H96" s="8" t="s">
        <x:v>151</x:v>
      </x:c>
      <x:c r="I96" s="8" t="s">
        <x:v>151</x:v>
      </x:c>
      <x:c r="J96" s="8" t="s">
        <x:v>151</x:v>
      </x:c>
      <x:c r="K96" s="8" t="s">
        <x:v>151</x:v>
      </x:c>
      <x:c r="L96" s="8" t="s">
        <x:v>1532</x:v>
      </x:c>
      <x:c r="M96" s="8" t="s">
        <x:v>1531</x:v>
      </x:c>
      <x:c r="N96" s="8" t="s">
        <x:v>151</x:v>
      </x:c>
      <x:c r="O96" s="8" t="s">
        <x:v>1026</x:v>
      </x:c>
      <x:c r="P96" s="8"/>
      <x:c r="Q96" s="8" t="s">
        <x:v>1533</x:v>
      </x:c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</x:row>
    <x:row r="97" ht="45">
      <x:c r="A97" s="8" t="s">
        <x:v>70</x:v>
      </x:c>
      <x:c r="B97" s="8" t="s">
        <x:v>1371</x:v>
      </x:c>
      <x:c r="C97" s="8" t="s">
        <x:v>1530</x:v>
      </x:c>
      <x:c r="D97" s="8" t="s">
        <x:v>1531</x:v>
      </x:c>
      <x:c r="E97" s="8" t="s">
        <x:v>151</x:v>
      </x:c>
      <x:c r="F97" s="8" t="s">
        <x:v>151</x:v>
      </x:c>
      <x:c r="G97" s="8" t="s">
        <x:v>151</x:v>
      </x:c>
      <x:c r="H97" s="8" t="s">
        <x:v>151</x:v>
      </x:c>
      <x:c r="I97" s="8" t="s">
        <x:v>151</x:v>
      </x:c>
      <x:c r="J97" s="8" t="s">
        <x:v>151</x:v>
      </x:c>
      <x:c r="K97" s="8" t="s">
        <x:v>151</x:v>
      </x:c>
      <x:c r="L97" s="8" t="s">
        <x:v>1532</x:v>
      </x:c>
      <x:c r="M97" s="8" t="s">
        <x:v>1531</x:v>
      </x:c>
      <x:c r="N97" s="8" t="s">
        <x:v>151</x:v>
      </x:c>
      <x:c r="O97" s="8" t="s">
        <x:v>1026</x:v>
      </x:c>
      <x:c r="P97" s="8"/>
      <x:c r="Q97" s="8" t="s">
        <x:v>1533</x:v>
      </x:c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</x:row>
    <x:row r="98" ht="45">
      <x:c r="A98" s="8" t="s">
        <x:v>80</x:v>
      </x:c>
      <x:c r="B98" s="8" t="s">
        <x:v>1371</x:v>
      </x:c>
      <x:c r="C98" s="8" t="s">
        <x:v>1530</x:v>
      </x:c>
      <x:c r="D98" s="8" t="s">
        <x:v>1531</x:v>
      </x:c>
      <x:c r="E98" s="8" t="s">
        <x:v>151</x:v>
      </x:c>
      <x:c r="F98" s="8" t="s">
        <x:v>151</x:v>
      </x:c>
      <x:c r="G98" s="8" t="s">
        <x:v>151</x:v>
      </x:c>
      <x:c r="H98" s="8" t="s">
        <x:v>151</x:v>
      </x:c>
      <x:c r="I98" s="8" t="s">
        <x:v>151</x:v>
      </x:c>
      <x:c r="J98" s="8" t="s">
        <x:v>151</x:v>
      </x:c>
      <x:c r="K98" s="8" t="s">
        <x:v>151</x:v>
      </x:c>
      <x:c r="L98" s="8" t="s">
        <x:v>1532</x:v>
      </x:c>
      <x:c r="M98" s="8" t="s">
        <x:v>1531</x:v>
      </x:c>
      <x:c r="N98" s="8" t="s">
        <x:v>151</x:v>
      </x:c>
      <x:c r="O98" s="8" t="s">
        <x:v>1026</x:v>
      </x:c>
      <x:c r="P98" s="8"/>
      <x:c r="Q98" s="8" t="s">
        <x:v>1533</x:v>
      </x:c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</x:row>
    <x:row r="99" ht="45">
      <x:c r="A99" s="8" t="s">
        <x:v>81</x:v>
      </x:c>
      <x:c r="B99" s="8" t="s">
        <x:v>1371</x:v>
      </x:c>
      <x:c r="C99" s="8" t="s">
        <x:v>1530</x:v>
      </x:c>
      <x:c r="D99" s="8" t="s">
        <x:v>1531</x:v>
      </x:c>
      <x:c r="E99" s="8" t="s">
        <x:v>151</x:v>
      </x:c>
      <x:c r="F99" s="8" t="s">
        <x:v>151</x:v>
      </x:c>
      <x:c r="G99" s="8" t="s">
        <x:v>151</x:v>
      </x:c>
      <x:c r="H99" s="8" t="s">
        <x:v>151</x:v>
      </x:c>
      <x:c r="I99" s="8" t="s">
        <x:v>151</x:v>
      </x:c>
      <x:c r="J99" s="8" t="s">
        <x:v>151</x:v>
      </x:c>
      <x:c r="K99" s="8" t="s">
        <x:v>151</x:v>
      </x:c>
      <x:c r="L99" s="8" t="s">
        <x:v>1532</x:v>
      </x:c>
      <x:c r="M99" s="8" t="s">
        <x:v>1531</x:v>
      </x:c>
      <x:c r="N99" s="8" t="s">
        <x:v>151</x:v>
      </x:c>
      <x:c r="O99" s="8" t="s">
        <x:v>1026</x:v>
      </x:c>
      <x:c r="P99" s="8"/>
      <x:c r="Q99" s="8" t="s">
        <x:v>1533</x:v>
      </x:c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</x:row>
    <x:row r="100" ht="45">
      <x:c r="A100" s="8" t="s">
        <x:v>75</x:v>
      </x:c>
      <x:c r="B100" s="8" t="s">
        <x:v>1371</x:v>
      </x:c>
      <x:c r="C100" s="8" t="s">
        <x:v>1530</x:v>
      </x:c>
      <x:c r="D100" s="8" t="s">
        <x:v>1531</x:v>
      </x:c>
      <x:c r="E100" s="8" t="s">
        <x:v>151</x:v>
      </x:c>
      <x:c r="F100" s="8" t="s">
        <x:v>151</x:v>
      </x:c>
      <x:c r="G100" s="8" t="s">
        <x:v>151</x:v>
      </x:c>
      <x:c r="H100" s="8" t="s">
        <x:v>151</x:v>
      </x:c>
      <x:c r="I100" s="8" t="s">
        <x:v>151</x:v>
      </x:c>
      <x:c r="J100" s="8" t="s">
        <x:v>151</x:v>
      </x:c>
      <x:c r="K100" s="8" t="s">
        <x:v>151</x:v>
      </x:c>
      <x:c r="L100" s="8" t="s">
        <x:v>1532</x:v>
      </x:c>
      <x:c r="M100" s="8" t="s">
        <x:v>1531</x:v>
      </x:c>
      <x:c r="N100" s="8" t="s">
        <x:v>151</x:v>
      </x:c>
      <x:c r="O100" s="8" t="s">
        <x:v>1026</x:v>
      </x:c>
      <x:c r="P100" s="8"/>
      <x:c r="Q100" s="8" t="s">
        <x:v>1533</x:v>
      </x:c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</x:row>
    <x:row r="101" ht="45">
      <x:c r="A101" s="8" t="s">
        <x:v>91</x:v>
      </x:c>
      <x:c r="B101" s="8" t="s">
        <x:v>1371</x:v>
      </x:c>
      <x:c r="C101" s="8" t="s">
        <x:v>1530</x:v>
      </x:c>
      <x:c r="D101" s="8" t="s">
        <x:v>1531</x:v>
      </x:c>
      <x:c r="E101" s="8" t="s">
        <x:v>151</x:v>
      </x:c>
      <x:c r="F101" s="8" t="s">
        <x:v>151</x:v>
      </x:c>
      <x:c r="G101" s="8" t="s">
        <x:v>151</x:v>
      </x:c>
      <x:c r="H101" s="8" t="s">
        <x:v>151</x:v>
      </x:c>
      <x:c r="I101" s="8" t="s">
        <x:v>151</x:v>
      </x:c>
      <x:c r="J101" s="8" t="s">
        <x:v>151</x:v>
      </x:c>
      <x:c r="K101" s="8" t="s">
        <x:v>151</x:v>
      </x:c>
      <x:c r="L101" s="8" t="s">
        <x:v>1532</x:v>
      </x:c>
      <x:c r="M101" s="8" t="s">
        <x:v>1531</x:v>
      </x:c>
      <x:c r="N101" s="8" t="s">
        <x:v>151</x:v>
      </x:c>
      <x:c r="O101" s="8" t="s">
        <x:v>1026</x:v>
      </x:c>
      <x:c r="P101" s="8"/>
      <x:c r="Q101" s="8" t="s">
        <x:v>1533</x:v>
      </x:c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</x:row>
    <x:row r="102" ht="45">
      <x:c r="A102" s="8" t="s">
        <x:v>78</x:v>
      </x:c>
      <x:c r="B102" s="8" t="s">
        <x:v>1371</x:v>
      </x:c>
      <x:c r="C102" s="8" t="s">
        <x:v>1530</x:v>
      </x:c>
      <x:c r="D102" s="8" t="s">
        <x:v>1531</x:v>
      </x:c>
      <x:c r="E102" s="8" t="s">
        <x:v>151</x:v>
      </x:c>
      <x:c r="F102" s="8" t="s">
        <x:v>151</x:v>
      </x:c>
      <x:c r="G102" s="8" t="s">
        <x:v>151</x:v>
      </x:c>
      <x:c r="H102" s="8" t="s">
        <x:v>151</x:v>
      </x:c>
      <x:c r="I102" s="8" t="s">
        <x:v>151</x:v>
      </x:c>
      <x:c r="J102" s="8" t="s">
        <x:v>151</x:v>
      </x:c>
      <x:c r="K102" s="8" t="s">
        <x:v>151</x:v>
      </x:c>
      <x:c r="L102" s="8" t="s">
        <x:v>1532</x:v>
      </x:c>
      <x:c r="M102" s="8" t="s">
        <x:v>1531</x:v>
      </x:c>
      <x:c r="N102" s="8" t="s">
        <x:v>151</x:v>
      </x:c>
      <x:c r="O102" s="8" t="s">
        <x:v>1026</x:v>
      </x:c>
      <x:c r="P102" s="8"/>
      <x:c r="Q102" s="8" t="s">
        <x:v>1533</x:v>
      </x:c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</x:row>
    <x:row r="103" ht="45">
      <x:c r="A103" s="8" t="s">
        <x:v>74</x:v>
      </x:c>
      <x:c r="B103" s="8" t="s">
        <x:v>1371</x:v>
      </x:c>
      <x:c r="C103" s="8" t="s">
        <x:v>1530</x:v>
      </x:c>
      <x:c r="D103" s="8" t="s">
        <x:v>1531</x:v>
      </x:c>
      <x:c r="E103" s="8" t="s">
        <x:v>151</x:v>
      </x:c>
      <x:c r="F103" s="8" t="s">
        <x:v>151</x:v>
      </x:c>
      <x:c r="G103" s="8" t="s">
        <x:v>151</x:v>
      </x:c>
      <x:c r="H103" s="8" t="s">
        <x:v>151</x:v>
      </x:c>
      <x:c r="I103" s="8" t="s">
        <x:v>151</x:v>
      </x:c>
      <x:c r="J103" s="8" t="s">
        <x:v>151</x:v>
      </x:c>
      <x:c r="K103" s="8" t="s">
        <x:v>151</x:v>
      </x:c>
      <x:c r="L103" s="8" t="s">
        <x:v>1532</x:v>
      </x:c>
      <x:c r="M103" s="8" t="s">
        <x:v>1531</x:v>
      </x:c>
      <x:c r="N103" s="8" t="s">
        <x:v>151</x:v>
      </x:c>
      <x:c r="O103" s="8" t="s">
        <x:v>1026</x:v>
      </x:c>
      <x:c r="P103" s="8"/>
      <x:c r="Q103" s="8" t="s">
        <x:v>1533</x:v>
      </x:c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</x:row>
    <x:row r="104" ht="45">
      <x:c r="A104" s="8" t="s">
        <x:v>93</x:v>
      </x:c>
      <x:c r="B104" s="8" t="s">
        <x:v>1371</x:v>
      </x:c>
      <x:c r="C104" s="8" t="s">
        <x:v>1530</x:v>
      </x:c>
      <x:c r="D104" s="8" t="s">
        <x:v>1531</x:v>
      </x:c>
      <x:c r="E104" s="8" t="s">
        <x:v>151</x:v>
      </x:c>
      <x:c r="F104" s="8" t="s">
        <x:v>151</x:v>
      </x:c>
      <x:c r="G104" s="8" t="s">
        <x:v>151</x:v>
      </x:c>
      <x:c r="H104" s="8" t="s">
        <x:v>151</x:v>
      </x:c>
      <x:c r="I104" s="8" t="s">
        <x:v>151</x:v>
      </x:c>
      <x:c r="J104" s="8" t="s">
        <x:v>151</x:v>
      </x:c>
      <x:c r="K104" s="8" t="s">
        <x:v>151</x:v>
      </x:c>
      <x:c r="L104" s="8" t="s">
        <x:v>1532</x:v>
      </x:c>
      <x:c r="M104" s="8" t="s">
        <x:v>1531</x:v>
      </x:c>
      <x:c r="N104" s="8" t="s">
        <x:v>151</x:v>
      </x:c>
      <x:c r="O104" s="8" t="s">
        <x:v>1026</x:v>
      </x:c>
      <x:c r="P104" s="8"/>
      <x:c r="Q104" s="8" t="s">
        <x:v>1533</x:v>
      </x:c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</x:row>
    <x:row r="105" ht="45">
      <x:c r="A105" s="8" t="s">
        <x:v>71</x:v>
      </x:c>
      <x:c r="B105" s="8" t="s">
        <x:v>1371</x:v>
      </x:c>
      <x:c r="C105" s="8" t="s">
        <x:v>1530</x:v>
      </x:c>
      <x:c r="D105" s="8" t="s">
        <x:v>1531</x:v>
      </x:c>
      <x:c r="E105" s="8" t="s">
        <x:v>151</x:v>
      </x:c>
      <x:c r="F105" s="8" t="s">
        <x:v>151</x:v>
      </x:c>
      <x:c r="G105" s="8" t="s">
        <x:v>151</x:v>
      </x:c>
      <x:c r="H105" s="8" t="s">
        <x:v>151</x:v>
      </x:c>
      <x:c r="I105" s="8" t="s">
        <x:v>151</x:v>
      </x:c>
      <x:c r="J105" s="8" t="s">
        <x:v>151</x:v>
      </x:c>
      <x:c r="K105" s="8" t="s">
        <x:v>151</x:v>
      </x:c>
      <x:c r="L105" s="8" t="s">
        <x:v>1532</x:v>
      </x:c>
      <x:c r="M105" s="8" t="s">
        <x:v>1531</x:v>
      </x:c>
      <x:c r="N105" s="8" t="s">
        <x:v>151</x:v>
      </x:c>
      <x:c r="O105" s="8" t="s">
        <x:v>1026</x:v>
      </x:c>
      <x:c r="P105" s="8"/>
      <x:c r="Q105" s="8" t="s">
        <x:v>1533</x:v>
      </x:c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</x:row>
    <x:row r="106" ht="45">
      <x:c r="A106" s="8" t="s">
        <x:v>85</x:v>
      </x:c>
      <x:c r="B106" s="8" t="s">
        <x:v>1371</x:v>
      </x:c>
      <x:c r="C106" s="8" t="s">
        <x:v>1530</x:v>
      </x:c>
      <x:c r="D106" s="8" t="s">
        <x:v>1531</x:v>
      </x:c>
      <x:c r="E106" s="8" t="s">
        <x:v>151</x:v>
      </x:c>
      <x:c r="F106" s="8" t="s">
        <x:v>151</x:v>
      </x:c>
      <x:c r="G106" s="8" t="s">
        <x:v>151</x:v>
      </x:c>
      <x:c r="H106" s="8" t="s">
        <x:v>151</x:v>
      </x:c>
      <x:c r="I106" s="8" t="s">
        <x:v>151</x:v>
      </x:c>
      <x:c r="J106" s="8" t="s">
        <x:v>151</x:v>
      </x:c>
      <x:c r="K106" s="8" t="s">
        <x:v>151</x:v>
      </x:c>
      <x:c r="L106" s="8" t="s">
        <x:v>1532</x:v>
      </x:c>
      <x:c r="M106" s="8" t="s">
        <x:v>1531</x:v>
      </x:c>
      <x:c r="N106" s="8" t="s">
        <x:v>151</x:v>
      </x:c>
      <x:c r="O106" s="8" t="s">
        <x:v>1026</x:v>
      </x:c>
      <x:c r="P106" s="8"/>
      <x:c r="Q106" s="8" t="s">
        <x:v>1533</x:v>
      </x:c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</x:row>
    <x:row r="107" ht="45">
      <x:c r="A107" s="8" t="s">
        <x:v>65</x:v>
      </x:c>
      <x:c r="B107" s="8" t="s">
        <x:v>1371</x:v>
      </x:c>
      <x:c r="C107" s="8" t="s">
        <x:v>1530</x:v>
      </x:c>
      <x:c r="D107" s="8" t="s">
        <x:v>1531</x:v>
      </x:c>
      <x:c r="E107" s="8" t="s">
        <x:v>151</x:v>
      </x:c>
      <x:c r="F107" s="8" t="s">
        <x:v>151</x:v>
      </x:c>
      <x:c r="G107" s="8" t="s">
        <x:v>151</x:v>
      </x:c>
      <x:c r="H107" s="8" t="s">
        <x:v>151</x:v>
      </x:c>
      <x:c r="I107" s="8" t="s">
        <x:v>151</x:v>
      </x:c>
      <x:c r="J107" s="8" t="s">
        <x:v>151</x:v>
      </x:c>
      <x:c r="K107" s="8" t="s">
        <x:v>151</x:v>
      </x:c>
      <x:c r="L107" s="8" t="s">
        <x:v>1532</x:v>
      </x:c>
      <x:c r="M107" s="8" t="s">
        <x:v>1531</x:v>
      </x:c>
      <x:c r="N107" s="8" t="s">
        <x:v>151</x:v>
      </x:c>
      <x:c r="O107" s="8" t="s">
        <x:v>1026</x:v>
      </x:c>
      <x:c r="P107" s="8"/>
      <x:c r="Q107" s="8" t="s">
        <x:v>1533</x:v>
      </x:c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</x:row>
    <x:row r="108" ht="75">
      <x:c r="A108" s="8" t="s">
        <x:v>83</x:v>
      </x:c>
      <x:c r="B108" s="8" t="s">
        <x:v>1371</x:v>
      </x:c>
      <x:c r="C108" s="8" t="s">
        <x:v>1530</x:v>
      </x:c>
      <x:c r="D108" s="8" t="s">
        <x:v>1537</x:v>
      </x:c>
      <x:c r="E108" s="8" t="s">
        <x:v>1538</x:v>
      </x:c>
      <x:c r="F108" s="8" t="s">
        <x:v>1021</x:v>
      </x:c>
      <x:c r="G108" s="8" t="s">
        <x:v>1397</x:v>
      </x:c>
      <x:c r="H108" s="8" t="s">
        <x:v>1539</x:v>
      </x:c>
      <x:c r="I108" s="8" t="s">
        <x:v>1539</x:v>
      </x:c>
      <x:c r="J108" s="8" t="s">
        <x:v>1540</x:v>
      </x:c>
      <x:c r="K108" s="8" t="s">
        <x:v>1541</x:v>
      </x:c>
      <x:c r="L108" s="8" t="s">
        <x:v>1542</x:v>
      </x:c>
      <x:c r="M108" s="8" t="s">
        <x:v>1543</x:v>
      </x:c>
      <x:c r="N108" s="8" t="s">
        <x:v>151</x:v>
      </x:c>
      <x:c r="O108" s="8" t="s">
        <x:v>1026</x:v>
      </x:c>
      <x:c r="P108" s="8"/>
      <x:c r="Q108" s="8" t="s">
        <x:v>1533</x:v>
      </x:c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</x:row>
    <x:row r="109" ht="60">
      <x:c r="A109" s="8" t="str">
        <x:f>IF(Master!C758="","",Master!C758)</x:f>
        <x:v>Future monetization status</x:v>
      </x:c>
      <x:c r="B109" s="8" t="str">
        <x:f>IF(Master!D758="","",Master!D758)</x:f>
        <x:v>pqp.gg</x:v>
      </x:c>
      <x:c r="C109" s="8" t="str">
        <x:f>IF(Master!E758="","",Master!E758)</x:f>
        <x:v>Intended / Planned</x:v>
      </x:c>
      <x:c r="D109" s="8" t="str">
        <x:f>IF(Master!F758="","",Master!F758)</x:f>
        <x:v>No additional monetization plan stated</x:v>
      </x:c>
      <x:c r="E109" s="8" t="str">
        <x:f>IF(Master!G758="","",Master!G758)</x:f>
        <x:v>U/K</x:v>
      </x:c>
      <x:c r="F109" s="8" t="str">
        <x:f>IF(Master!H758="","",Master!H758)</x:f>
        <x:v>U/K</x:v>
      </x:c>
      <x:c r="G109" s="8" t="str">
        <x:f>IF(Master!I758="","",Master!I758)</x:f>
        <x:v>U/K</x:v>
      </x:c>
      <x:c r="H109" s="8" t="str">
        <x:f>IF(Master!J758="","",Master!J758)</x:f>
        <x:v>U/K</x:v>
      </x:c>
      <x:c r="I109" s="8" t="str">
        <x:f>IF(Master!K758="","",Master!K758)</x:f>
        <x:v>U/K</x:v>
      </x:c>
      <x:c r="J109" s="8" t="str">
        <x:f>IF(Master!L758="","",Master!L758)</x:f>
        <x:v>U/K</x:v>
      </x:c>
      <x:c r="K109" s="8" t="str">
        <x:f>IF(Master!M758="","",Master!M758)</x:f>
        <x:v>U/K</x:v>
      </x:c>
      <x:c r="L109" s="8" t="str">
        <x:f>IF(Master!N758="","",Master!N758)</x:f>
        <x:v>Not publicly announced</x:v>
      </x:c>
      <x:c r="M109" s="8" t="str">
        <x:f>IF(Master!O758="","",Master!O758)</x:f>
        <x:v>Developer response only confirms current free hosted + donations model</x:v>
      </x:c>
      <x:c r="N109" s="8" t="str">
        <x:f>IF(Master!P758="","",Master!P758)</x:f>
        <x:v>https://pqp.gg/apoie</x:v>
      </x:c>
      <x:c r="O109" s="8" t="str">
        <x:f>IF(Master!Q758="","",Master!Q758)</x:f>
        <x:v>2026-09-16</x:v>
      </x:c>
      <x:c r="P109" s="8" t="str">
        <x:f>IF(Master!R758="","",Master!R758)</x:f>
        <x:v>Not VC-backed; no future paid roadmap stated.</x:v>
      </x:c>
      <x:c r="Q109" s="8" t="str">
        <x:f>IF(Master!S758="","",Master!S758)</x:f>
        <x:v>Primary / developer-provided response</x:v>
      </x:c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</x:row>
    <x:row r="110" ht="45">
      <x:c r="A110" s="8" t="s">
        <x:v>90</x:v>
      </x:c>
      <x:c r="B110" s="8" t="s">
        <x:v>1371</x:v>
      </x:c>
      <x:c r="C110" s="8" t="s">
        <x:v>1530</x:v>
      </x:c>
      <x:c r="D110" s="8" t="s">
        <x:v>1531</x:v>
      </x:c>
      <x:c r="E110" s="8" t="s">
        <x:v>151</x:v>
      </x:c>
      <x:c r="F110" s="8" t="s">
        <x:v>151</x:v>
      </x:c>
      <x:c r="G110" s="8" t="s">
        <x:v>151</x:v>
      </x:c>
      <x:c r="H110" s="8" t="s">
        <x:v>151</x:v>
      </x:c>
      <x:c r="I110" s="8" t="s">
        <x:v>151</x:v>
      </x:c>
      <x:c r="J110" s="8" t="s">
        <x:v>151</x:v>
      </x:c>
      <x:c r="K110" s="8" t="s">
        <x:v>151</x:v>
      </x:c>
      <x:c r="L110" s="8" t="s">
        <x:v>1532</x:v>
      </x:c>
      <x:c r="M110" s="8" t="s">
        <x:v>1531</x:v>
      </x:c>
      <x:c r="N110" s="8" t="s">
        <x:v>151</x:v>
      </x:c>
      <x:c r="O110" s="8" t="s">
        <x:v>1026</x:v>
      </x:c>
      <x:c r="P110" s="8"/>
      <x:c r="Q110" s="8" t="s">
        <x:v>1533</x:v>
      </x:c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</x:row>
    <x:row r="111" ht="45">
      <x:c r="A111" s="8" t="s">
        <x:v>92</x:v>
      </x:c>
      <x:c r="B111" s="8" t="s">
        <x:v>1371</x:v>
      </x:c>
      <x:c r="C111" s="8" t="s">
        <x:v>1530</x:v>
      </x:c>
      <x:c r="D111" s="8" t="s">
        <x:v>1531</x:v>
      </x:c>
      <x:c r="E111" s="8" t="s">
        <x:v>151</x:v>
      </x:c>
      <x:c r="F111" s="8" t="s">
        <x:v>151</x:v>
      </x:c>
      <x:c r="G111" s="8" t="s">
        <x:v>151</x:v>
      </x:c>
      <x:c r="H111" s="8" t="s">
        <x:v>151</x:v>
      </x:c>
      <x:c r="I111" s="8" t="s">
        <x:v>151</x:v>
      </x:c>
      <x:c r="J111" s="8" t="s">
        <x:v>151</x:v>
      </x:c>
      <x:c r="K111" s="8" t="s">
        <x:v>151</x:v>
      </x:c>
      <x:c r="L111" s="8" t="s">
        <x:v>1532</x:v>
      </x:c>
      <x:c r="M111" s="8" t="s">
        <x:v>1531</x:v>
      </x:c>
      <x:c r="N111" s="8" t="s">
        <x:v>151</x:v>
      </x:c>
      <x:c r="O111" s="8" t="s">
        <x:v>1026</x:v>
      </x:c>
      <x:c r="P111" s="8"/>
      <x:c r="Q111" s="8" t="s">
        <x:v>1533</x:v>
      </x:c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22" customWidth="1"/>
    <x:col min="2" max="3" width="36" customWidth="1"/>
    <x:col min="4" max="4" width="22" customWidth="1"/>
    <x:col min="5" max="6" width="18" customWidth="1"/>
    <x:col min="7" max="8" width="22" customWidth="1"/>
    <x:col min="9" max="11" width="18" customWidth="1"/>
    <x:col min="12" max="12" width="36" customWidth="1"/>
    <x:col min="13" max="13" width="22" customWidth="1"/>
    <x:col min="14" max="14" width="36" customWidth="1"/>
    <x:col min="15" max="16" width="18" customWidth="1"/>
    <x:col min="17" max="17" width="36" customWidth="1"/>
    <x:col min="18" max="19" width="18" customWidth="1"/>
    <x:col min="20" max="23" width="36" customWidth="1"/>
    <x:col min="24" max="24" width="15" customWidth="1"/>
    <x:col min="25" max="25" width="22" customWidth="1"/>
    <x:col min="26" max="32" width="20" customWidth="1"/>
  </x:cols>
  <x:sheetData>
    <x:row r="1" ht="27.950000762939453" customHeight="1">
      <x:c r="A1" s="24" t="str">
        <x:f>IFERROR(HYPERLINK("#'Sheet Directory'!A1","Terms &amp; Privacy: general policy comparison, with hosted vs self-host scope called out"),"Terms &amp; Privacy: general policy comparison, with hosted vs self-host scope called out")</x:f>
        <x:v>Terms &amp; Privacy: general policy comparison, with hosted vs self-host scope called out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1544</x:v>
      </x:c>
      <x:c r="C2" s="11" t="s">
        <x:v>139</x:v>
      </x:c>
      <x:c r="D2" s="11" t="s">
        <x:v>1545</x:v>
      </x:c>
      <x:c r="E2" s="11" t="s">
        <x:v>684</x:v>
      </x:c>
      <x:c r="F2" s="11" t="s">
        <x:v>1546</x:v>
      </x:c>
      <x:c r="G2" s="11" t="s">
        <x:v>1547</x:v>
      </x:c>
      <x:c r="H2" s="11" t="s">
        <x:v>1548</x:v>
      </x:c>
      <x:c r="I2" s="11" t="s">
        <x:v>1549</x:v>
      </x:c>
      <x:c r="J2" s="11" t="s">
        <x:v>1550</x:v>
      </x:c>
      <x:c r="K2" s="11" t="s">
        <x:v>1551</x:v>
      </x:c>
      <x:c r="L2" s="11" t="s">
        <x:v>140</x:v>
      </x:c>
      <x:c r="M2" s="11" t="s">
        <x:v>1552</x:v>
      </x:c>
      <x:c r="N2" s="11" t="str">
        <x:v>Data Collected: General</x:v>
      </x:c>
      <x:c r="O2" s="11" t="s">
        <x:v>1553</x:v>
      </x:c>
      <x:c r="P2" s="11" t="s">
        <x:v>1554</x:v>
      </x:c>
      <x:c r="Q2" s="11" t="s">
        <x:v>1555</x:v>
      </x:c>
      <x:c r="R2" s="11" t="s">
        <x:v>1556</x:v>
      </x:c>
      <x:c r="S2" s="11" t="s">
        <x:v>1557</x:v>
      </x:c>
      <x:c r="T2" s="11" t="s">
        <x:v>1558</x:v>
      </x:c>
      <x:c r="U2" s="11" t="s">
        <x:v>1559</x:v>
      </x:c>
      <x:c r="V2" s="11" t="s">
        <x:v>1560</x:v>
      </x:c>
      <x:c r="W2" s="11" t="s">
        <x:v>1561</x:v>
      </x:c>
      <x:c r="X2" s="11" t="s">
        <x:v>1013</x:v>
      </x:c>
      <x:c r="Y2" s="11" t="s">
        <x:v>1015</x:v>
      </x:c>
      <x:c r="Z2" s="2"/>
      <x:c r="AA2" s="2"/>
      <x:c r="AB2" s="2"/>
      <x:c r="AC2" s="2"/>
      <x:c r="AD2" s="2"/>
      <x:c r="AE2" s="2"/>
      <x:c r="AF2" s="2"/>
    </x:row>
    <x:row r="3" ht="75">
      <x:c r="A3" s="8" t="s">
        <x:v>64</x:v>
      </x:c>
      <x:c r="B3" s="8" t="s">
        <x:v>1562</x:v>
      </x:c>
      <x:c r="C3" s="8" t="s">
        <x:v>1563</x:v>
      </x:c>
      <x:c r="D3" s="8" t="s">
        <x:v>1564</x:v>
      </x:c>
      <x:c r="E3" s="8" t="s">
        <x:v>1565</x:v>
      </x:c>
      <x:c r="F3" s="8" t="s">
        <x:v>156</x:v>
      </x:c>
      <x:c r="G3" s="8" t="s">
        <x:v>1566</x:v>
      </x:c>
      <x:c r="H3" s="8" t="s">
        <x:v>156</x:v>
      </x:c>
      <x:c r="I3" s="8" t="s">
        <x:v>1567</x:v>
      </x:c>
      <x:c r="J3" s="8" t="s">
        <x:v>151</x:v>
      </x:c>
      <x:c r="K3" s="8" t="s">
        <x:v>1568</x:v>
      </x:c>
      <x:c r="L3" s="8" t="s">
        <x:v>1420</x:v>
      </x:c>
      <x:c r="M3" s="8" t="s">
        <x:v>1569</x:v>
      </x:c>
      <x:c r="N3" s="8" t="s">
        <x:v>1570</x:v>
      </x:c>
      <x:c r="O3" s="8" t="s">
        <x:v>159</x:v>
      </x:c>
      <x:c r="P3" s="8" t="s">
        <x:v>1571</x:v>
      </x:c>
      <x:c r="Q3" s="8" t="str">
        <x:v>May use content in larger spaces to improve services including ML; Discord says AI companies may not train on user messages</x:v>
      </x:c>
      <x:c r="R3" s="8" t="s">
        <x:v>1572</x:v>
      </x:c>
      <x:c r="S3" s="8" t="s">
        <x:v>1573</x:v>
      </x:c>
      <x:c r="T3" s="8" t="s">
        <x:v>1574</x:v>
      </x:c>
      <x:c r="U3" s="8" t="s">
        <x:v>1575</x:v>
      </x:c>
      <x:c r="V3" s="8" t="str">
        <x:v>N/A: no official self-hosting</x:v>
      </x:c>
      <x:c r="W3" s="8" t="s">
        <x:v>1576</x:v>
      </x:c>
      <x:c r="X3" s="8" t="s">
        <x:v>1026</x:v>
      </x:c>
      <x:c r="Y3" s="8" t="s">
        <x:v>1577</x:v>
      </x:c>
      <x:c r="Z3" s="1"/>
      <x:c r="AA3" s="1"/>
      <x:c r="AB3" s="1"/>
      <x:c r="AC3" s="1"/>
      <x:c r="AD3" s="1"/>
      <x:c r="AE3" s="1"/>
      <x:c r="AF3" s="1"/>
    </x:row>
    <x:row r="4" ht="75">
      <x:c r="A4" s="8" t="s">
        <x:v>88</x:v>
      </x:c>
      <x:c r="B4" s="8" t="s">
        <x:v>1578</x:v>
      </x:c>
      <x:c r="C4" s="8" t="s">
        <x:v>1579</x:v>
      </x:c>
      <x:c r="D4" s="8" t="s">
        <x:v>1580</x:v>
      </x:c>
      <x:c r="E4" s="8" t="s">
        <x:v>1581</x:v>
      </x:c>
      <x:c r="F4" s="8" t="s">
        <x:v>156</x:v>
      </x:c>
      <x:c r="G4" s="8" t="s">
        <x:v>1582</x:v>
      </x:c>
      <x:c r="H4" s="8" t="s">
        <x:v>156</x:v>
      </x:c>
      <x:c r="I4" s="8" t="s">
        <x:v>151</x:v>
      </x:c>
      <x:c r="J4" s="8" t="s">
        <x:v>1583</x:v>
      </x:c>
      <x:c r="K4" s="8" t="s">
        <x:v>1584</x:v>
      </x:c>
      <x:c r="L4" s="8" t="s">
        <x:v>1585</x:v>
      </x:c>
      <x:c r="M4" s="8" t="s">
        <x:v>1586</x:v>
      </x:c>
      <x:c r="N4" s="8" t="s">
        <x:v>1587</x:v>
      </x:c>
      <x:c r="O4" s="8" t="s">
        <x:v>159</x:v>
      </x:c>
      <x:c r="P4" s="8" t="s">
        <x:v>1588</x:v>
      </x:c>
      <x:c r="Q4" s="8" t="s">
        <x:v>151</x:v>
      </x:c>
      <x:c r="R4" s="8" t="s">
        <x:v>1589</x:v>
      </x:c>
      <x:c r="S4" s="8" t="s">
        <x:v>151</x:v>
      </x:c>
      <x:c r="T4" s="8" t="s">
        <x:v>1590</x:v>
      </x:c>
      <x:c r="U4" s="8" t="s">
        <x:v>1591</x:v>
      </x:c>
      <x:c r="V4" s="8" t="s">
        <x:v>1592</x:v>
      </x:c>
      <x:c r="W4" s="8" t="s">
        <x:v>1593</x:v>
      </x:c>
      <x:c r="X4" s="8" t="s">
        <x:v>1026</x:v>
      </x:c>
      <x:c r="Y4" s="8" t="s">
        <x:v>1577</x:v>
      </x:c>
      <x:c r="Z4" s="1"/>
      <x:c r="AA4" s="1"/>
      <x:c r="AB4" s="1"/>
      <x:c r="AC4" s="1"/>
      <x:c r="AD4" s="1"/>
      <x:c r="AE4" s="1"/>
      <x:c r="AF4" s="1"/>
    </x:row>
    <x:row r="5" ht="45">
      <x:c r="A5" s="8" t="s">
        <x:v>68</x:v>
      </x:c>
      <x:c r="B5" s="8" t="s">
        <x:v>1594</x:v>
      </x:c>
      <x:c r="C5" s="8" t="s">
        <x:v>1595</x:v>
      </x:c>
      <x:c r="D5" s="8" t="s">
        <x:v>1596</x:v>
      </x:c>
      <x:c r="E5" s="8" t="s">
        <x:v>1597</x:v>
      </x:c>
      <x:c r="F5" s="8" t="s">
        <x:v>151</x:v>
      </x:c>
      <x:c r="G5" s="8" t="s">
        <x:v>151</x:v>
      </x:c>
      <x:c r="H5" s="8" t="s">
        <x:v>1598</x:v>
      </x:c>
      <x:c r="I5" s="8" t="s">
        <x:v>151</x:v>
      </x:c>
      <x:c r="J5" s="8" t="s">
        <x:v>151</x:v>
      </x:c>
      <x:c r="K5" s="8" t="s">
        <x:v>1599</x:v>
      </x:c>
      <x:c r="L5" s="8" t="s">
        <x:v>1600</x:v>
      </x:c>
      <x:c r="M5" s="8" t="s">
        <x:v>1601</x:v>
      </x:c>
      <x:c r="N5" s="8" t="s">
        <x:v>1602</x:v>
      </x:c>
      <x:c r="O5" s="8" t="s">
        <x:v>159</x:v>
      </x:c>
      <x:c r="P5" s="8" t="s">
        <x:v>1603</x:v>
      </x:c>
      <x:c r="Q5" s="8" t="s">
        <x:v>151</x:v>
      </x:c>
      <x:c r="R5" s="8" t="s">
        <x:v>151</x:v>
      </x:c>
      <x:c r="S5" s="8" t="s">
        <x:v>1604</x:v>
      </x:c>
      <x:c r="T5" s="8" t="s">
        <x:v>1605</x:v>
      </x:c>
      <x:c r="U5" s="8" t="s">
        <x:v>1606</x:v>
      </x:c>
      <x:c r="V5" s="8" t="s">
        <x:v>1607</x:v>
      </x:c>
      <x:c r="W5" s="8" t="s">
        <x:v>1608</x:v>
      </x:c>
      <x:c r="X5" s="8" t="s">
        <x:v>1026</x:v>
      </x:c>
      <x:c r="Y5" s="8" t="s">
        <x:v>1577</x:v>
      </x:c>
      <x:c r="Z5" s="1"/>
      <x:c r="AA5" s="1"/>
      <x:c r="AB5" s="1"/>
      <x:c r="AC5" s="1"/>
      <x:c r="AD5" s="1"/>
      <x:c r="AE5" s="1"/>
      <x:c r="AF5" s="1"/>
    </x:row>
    <x:row r="6" ht="90">
      <x:c r="A6" s="8" t="s">
        <x:v>69</x:v>
      </x:c>
      <x:c r="B6" s="8" t="s">
        <x:v>1609</x:v>
      </x:c>
      <x:c r="C6" s="8" t="s">
        <x:v>1610</x:v>
      </x:c>
      <x:c r="D6" s="8" t="s">
        <x:v>1611</x:v>
      </x:c>
      <x:c r="E6" s="8" t="s">
        <x:v>1612</x:v>
      </x:c>
      <x:c r="F6" s="8" t="s">
        <x:v>156</x:v>
      </x:c>
      <x:c r="G6" s="8" t="s">
        <x:v>1613</x:v>
      </x:c>
      <x:c r="H6" s="8" t="s">
        <x:v>156</x:v>
      </x:c>
      <x:c r="I6" s="8" t="s">
        <x:v>151</x:v>
      </x:c>
      <x:c r="J6" s="8" t="s">
        <x:v>1614</x:v>
      </x:c>
      <x:c r="K6" s="8" t="s">
        <x:v>1615</x:v>
      </x:c>
      <x:c r="L6" s="8" t="s">
        <x:v>1616</x:v>
      </x:c>
      <x:c r="M6" s="8" t="s">
        <x:v>1611</x:v>
      </x:c>
      <x:c r="N6" s="8" t="s">
        <x:v>1617</x:v>
      </x:c>
      <x:c r="O6" s="8" t="s">
        <x:v>159</x:v>
      </x:c>
      <x:c r="P6" s="8" t="s">
        <x:v>1618</x:v>
      </x:c>
      <x:c r="Q6" s="8" t="s">
        <x:v>1619</x:v>
      </x:c>
      <x:c r="R6" s="8" t="str">
        <x:v>Yes: nothing on Fluxer is E2EE yet</x:v>
      </x:c>
      <x:c r="S6" s="8" t="s">
        <x:v>151</x:v>
      </x:c>
      <x:c r="T6" s="8" t="s">
        <x:v>1620</x:v>
      </x:c>
      <x:c r="U6" s="8" t="s">
        <x:v>1621</x:v>
      </x:c>
      <x:c r="V6" s="8" t="s">
        <x:v>1622</x:v>
      </x:c>
      <x:c r="W6" s="8" t="s">
        <x:v>1623</x:v>
      </x:c>
      <x:c r="X6" s="8" t="s">
        <x:v>1026</x:v>
      </x:c>
      <x:c r="Y6" s="8" t="s">
        <x:v>1577</x:v>
      </x:c>
      <x:c r="Z6" s="1"/>
      <x:c r="AA6" s="1"/>
      <x:c r="AB6" s="1"/>
      <x:c r="AC6" s="1"/>
      <x:c r="AD6" s="1"/>
      <x:c r="AE6" s="1"/>
      <x:c r="AF6" s="1"/>
    </x:row>
    <x:row r="7" ht="60">
      <x:c r="A7" s="8" t="s">
        <x:v>86</x:v>
      </x:c>
      <x:c r="B7" s="8" t="s">
        <x:v>1624</x:v>
      </x:c>
      <x:c r="C7" s="8" t="s">
        <x:v>1625</x:v>
      </x:c>
      <x:c r="D7" s="8" t="s">
        <x:v>1626</x:v>
      </x:c>
      <x:c r="E7" s="8" t="s">
        <x:v>151</x:v>
      </x:c>
      <x:c r="F7" s="8" t="s">
        <x:v>1627</x:v>
      </x:c>
      <x:c r="G7" s="8" t="s">
        <x:v>151</x:v>
      </x:c>
      <x:c r="H7" s="8" t="s">
        <x:v>156</x:v>
      </x:c>
      <x:c r="I7" s="8" t="s">
        <x:v>151</x:v>
      </x:c>
      <x:c r="J7" s="8" t="s">
        <x:v>1628</x:v>
      </x:c>
      <x:c r="K7" s="8" t="s">
        <x:v>1629</x:v>
      </x:c>
      <x:c r="L7" s="8" t="s">
        <x:v>1630</x:v>
      </x:c>
      <x:c r="M7" s="8" t="s">
        <x:v>1626</x:v>
      </x:c>
      <x:c r="N7" s="8" t="s">
        <x:v>1631</x:v>
      </x:c>
      <x:c r="O7" s="8" t="s">
        <x:v>159</x:v>
      </x:c>
      <x:c r="P7" s="8" t="s">
        <x:v>151</x:v>
      </x:c>
      <x:c r="Q7" s="8" t="s">
        <x:v>1632</x:v>
      </x:c>
      <x:c r="R7" s="8" t="s">
        <x:v>1633</x:v>
      </x:c>
      <x:c r="S7" s="8" t="s">
        <x:v>1634</x:v>
      </x:c>
      <x:c r="T7" s="8" t="s">
        <x:v>151</x:v>
      </x:c>
      <x:c r="U7" s="8" t="s">
        <x:v>1635</x:v>
      </x:c>
      <x:c r="V7" s="8" t="str">
        <x:v>N/A: no self-hosting</x:v>
      </x:c>
      <x:c r="W7" s="8" t="s">
        <x:v>1636</x:v>
      </x:c>
      <x:c r="X7" s="8" t="s">
        <x:v>1026</x:v>
      </x:c>
      <x:c r="Y7" s="8" t="s">
        <x:v>1577</x:v>
      </x:c>
      <x:c r="Z7" s="1"/>
      <x:c r="AA7" s="1"/>
      <x:c r="AB7" s="1"/>
      <x:c r="AC7" s="1"/>
      <x:c r="AD7" s="1"/>
      <x:c r="AE7" s="1"/>
      <x:c r="AF7" s="1"/>
    </x:row>
    <x:row r="8" ht="75">
      <x:c r="A8" s="8" t="s">
        <x:v>76</x:v>
      </x:c>
      <x:c r="B8" s="8" t="s">
        <x:v>1637</x:v>
      </x:c>
      <x:c r="C8" s="8" t="s">
        <x:v>1638</x:v>
      </x:c>
      <x:c r="D8" s="8" t="s">
        <x:v>1639</x:v>
      </x:c>
      <x:c r="E8" s="8" t="s">
        <x:v>151</x:v>
      </x:c>
      <x:c r="F8" s="8" t="s">
        <x:v>1640</x:v>
      </x:c>
      <x:c r="G8" s="8" t="s">
        <x:v>1641</x:v>
      </x:c>
      <x:c r="H8" s="8" t="s">
        <x:v>1642</x:v>
      </x:c>
      <x:c r="I8" s="8" t="s">
        <x:v>151</x:v>
      </x:c>
      <x:c r="J8" s="8" t="s">
        <x:v>1643</x:v>
      </x:c>
      <x:c r="K8" s="8" t="s">
        <x:v>1644</x:v>
      </x:c>
      <x:c r="L8" s="8" t="s">
        <x:v>1645</x:v>
      </x:c>
      <x:c r="M8" s="8" t="s">
        <x:v>1646</x:v>
      </x:c>
      <x:c r="N8" s="8" t="s">
        <x:v>1647</x:v>
      </x:c>
      <x:c r="O8" s="8" t="s">
        <x:v>151</x:v>
      </x:c>
      <x:c r="P8" s="8" t="s">
        <x:v>1079</x:v>
      </x:c>
      <x:c r="Q8" s="8" t="s">
        <x:v>1648</x:v>
      </x:c>
      <x:c r="R8" s="8" t="s">
        <x:v>1649</x:v>
      </x:c>
      <x:c r="S8" s="8" t="s">
        <x:v>1650</x:v>
      </x:c>
      <x:c r="T8" s="8" t="s">
        <x:v>1651</x:v>
      </x:c>
      <x:c r="U8" s="8" t="s">
        <x:v>1652</x:v>
      </x:c>
      <x:c r="V8" s="8" t="s">
        <x:v>1653</x:v>
      </x:c>
      <x:c r="W8" s="8" t="s">
        <x:v>1654</x:v>
      </x:c>
      <x:c r="X8" s="8" t="s">
        <x:v>1026</x:v>
      </x:c>
      <x:c r="Y8" s="8" t="s">
        <x:v>1577</x:v>
      </x:c>
      <x:c r="Z8" s="1"/>
      <x:c r="AA8" s="1"/>
      <x:c r="AB8" s="1"/>
      <x:c r="AC8" s="1"/>
      <x:c r="AD8" s="1"/>
      <x:c r="AE8" s="1"/>
      <x:c r="AF8" s="1"/>
    </x:row>
    <x:row r="9" ht="60">
      <x:c r="A9" s="8" t="s">
        <x:v>87</x:v>
      </x:c>
      <x:c r="B9" s="8" t="s">
        <x:v>1655</x:v>
      </x:c>
      <x:c r="C9" s="8" t="s">
        <x:v>1089</x:v>
      </x:c>
      <x:c r="D9" s="8" t="str">
        <x:v>Software/project or provider/operator specific; standalone service terms unknown.</x:v>
      </x:c>
      <x:c r="E9" s="8" t="s">
        <x:v>151</x:v>
      </x:c>
      <x:c r="F9" s="8" t="s">
        <x:v>151</x:v>
      </x:c>
      <x:c r="G9" s="8" t="s">
        <x:v>151</x:v>
      </x:c>
      <x:c r="H9" s="8" t="s">
        <x:v>151</x:v>
      </x:c>
      <x:c r="I9" s="8" t="s">
        <x:v>151</x:v>
      </x:c>
      <x:c r="J9" s="8" t="s">
        <x:v>151</x:v>
      </x:c>
      <x:c r="K9" s="8" t="s">
        <x:v>151</x:v>
      </x:c>
      <x:c r="L9" s="8" t="s">
        <x:v>151</x:v>
      </x:c>
      <x:c r="M9" s="8" t="s">
        <x:v>1656</x:v>
      </x:c>
      <x:c r="N9" s="8" t="s">
        <x:v>151</x:v>
      </x:c>
      <x:c r="O9" s="8" t="s">
        <x:v>151</x:v>
      </x:c>
      <x:c r="P9" s="8" t="s">
        <x:v>151</x:v>
      </x:c>
      <x:c r="Q9" s="8" t="s">
        <x:v>151</x:v>
      </x:c>
      <x:c r="R9" s="8" t="s">
        <x:v>151</x:v>
      </x:c>
      <x:c r="S9" s="8" t="s">
        <x:v>151</x:v>
      </x:c>
      <x:c r="T9" s="8" t="s">
        <x:v>151</x:v>
      </x:c>
      <x:c r="U9" s="8" t="s">
        <x:v>151</x:v>
      </x:c>
      <x:c r="V9" s="8" t="s">
        <x:v>1657</x:v>
      </x:c>
      <x:c r="W9" s="8" t="s">
        <x:v>1658</x:v>
      </x:c>
      <x:c r="X9" s="8" t="s">
        <x:v>1026</x:v>
      </x:c>
      <x:c r="Y9" s="8" t="s">
        <x:v>1577</x:v>
      </x:c>
      <x:c r="Z9" s="1"/>
      <x:c r="AA9" s="1"/>
      <x:c r="AB9" s="1"/>
      <x:c r="AC9" s="1"/>
      <x:c r="AD9" s="1"/>
      <x:c r="AE9" s="1"/>
      <x:c r="AF9" s="1"/>
    </x:row>
    <x:row r="10" ht="60">
      <x:c r="A10" s="8" t="s">
        <x:v>79</x:v>
      </x:c>
      <x:c r="B10" s="8" t="s">
        <x:v>1659</x:v>
      </x:c>
      <x:c r="C10" s="8" t="s">
        <x:v>1095</x:v>
      </x:c>
      <x:c r="D10" s="8" t="str">
        <x:v>Software/project or provider/operator specific; standalone service terms unknown.</x:v>
      </x:c>
      <x:c r="E10" s="8" t="s">
        <x:v>151</x:v>
      </x:c>
      <x:c r="F10" s="8" t="s">
        <x:v>151</x:v>
      </x:c>
      <x:c r="G10" s="8" t="s">
        <x:v>151</x:v>
      </x:c>
      <x:c r="H10" s="8" t="s">
        <x:v>151</x:v>
      </x:c>
      <x:c r="I10" s="8" t="s">
        <x:v>151</x:v>
      </x:c>
      <x:c r="J10" s="8" t="s">
        <x:v>151</x:v>
      </x:c>
      <x:c r="K10" s="8" t="s">
        <x:v>151</x:v>
      </x:c>
      <x:c r="L10" s="8" t="s">
        <x:v>151</x:v>
      </x:c>
      <x:c r="M10" s="8" t="s">
        <x:v>1656</x:v>
      </x:c>
      <x:c r="N10" s="8" t="s">
        <x:v>151</x:v>
      </x:c>
      <x:c r="O10" s="8" t="s">
        <x:v>151</x:v>
      </x:c>
      <x:c r="P10" s="8" t="s">
        <x:v>151</x:v>
      </x:c>
      <x:c r="Q10" s="8" t="s">
        <x:v>151</x:v>
      </x:c>
      <x:c r="R10" s="8" t="s">
        <x:v>151</x:v>
      </x:c>
      <x:c r="S10" s="8" t="s">
        <x:v>151</x:v>
      </x:c>
      <x:c r="T10" s="8" t="s">
        <x:v>151</x:v>
      </x:c>
      <x:c r="U10" s="8" t="s">
        <x:v>151</x:v>
      </x:c>
      <x:c r="V10" s="8" t="s">
        <x:v>1657</x:v>
      </x:c>
      <x:c r="W10" s="8" t="s">
        <x:v>1660</x:v>
      </x:c>
      <x:c r="X10" s="8" t="s">
        <x:v>1026</x:v>
      </x:c>
      <x:c r="Y10" s="8" t="s">
        <x:v>1577</x:v>
      </x:c>
      <x:c r="Z10" s="1"/>
      <x:c r="AA10" s="1"/>
      <x:c r="AB10" s="1"/>
      <x:c r="AC10" s="1"/>
      <x:c r="AD10" s="1"/>
      <x:c r="AE10" s="1"/>
      <x:c r="AF10" s="1"/>
    </x:row>
    <x:row r="11" ht="75">
      <x:c r="A11" s="8" t="s">
        <x:v>89</x:v>
      </x:c>
      <x:c r="B11" s="8" t="s">
        <x:v>1661</x:v>
      </x:c>
      <x:c r="C11" s="8" t="s">
        <x:v>1662</x:v>
      </x:c>
      <x:c r="D11" s="8" t="s">
        <x:v>1663</x:v>
      </x:c>
      <x:c r="E11" s="8" t="s">
        <x:v>151</x:v>
      </x:c>
      <x:c r="F11" s="8" t="s">
        <x:v>151</x:v>
      </x:c>
      <x:c r="G11" s="8" t="s">
        <x:v>151</x:v>
      </x:c>
      <x:c r="H11" s="8" t="s">
        <x:v>151</x:v>
      </x:c>
      <x:c r="I11" s="8" t="s">
        <x:v>151</x:v>
      </x:c>
      <x:c r="J11" s="8" t="s">
        <x:v>1664</x:v>
      </x:c>
      <x:c r="K11" s="8" t="s">
        <x:v>1665</x:v>
      </x:c>
      <x:c r="L11" s="8" t="s">
        <x:v>1666</x:v>
      </x:c>
      <x:c r="M11" s="8" t="s">
        <x:v>1663</x:v>
      </x:c>
      <x:c r="N11" s="8" t="s">
        <x:v>1667</x:v>
      </x:c>
      <x:c r="O11" s="8" t="s">
        <x:v>151</x:v>
      </x:c>
      <x:c r="P11" s="8" t="s">
        <x:v>151</x:v>
      </x:c>
      <x:c r="Q11" s="8" t="s">
        <x:v>151</x:v>
      </x:c>
      <x:c r="R11" s="8" t="s">
        <x:v>1668</x:v>
      </x:c>
      <x:c r="S11" s="8" t="s">
        <x:v>151</x:v>
      </x:c>
      <x:c r="T11" s="8" t="s">
        <x:v>151</x:v>
      </x:c>
      <x:c r="U11" s="8" t="s">
        <x:v>151</x:v>
      </x:c>
      <x:c r="V11" s="8" t="s">
        <x:v>1669</x:v>
      </x:c>
      <x:c r="W11" s="8" t="s">
        <x:v>1670</x:v>
      </x:c>
      <x:c r="X11" s="8" t="s">
        <x:v>1026</x:v>
      </x:c>
      <x:c r="Y11" s="8" t="s">
        <x:v>1577</x:v>
      </x:c>
      <x:c r="Z11" s="1"/>
      <x:c r="AA11" s="1"/>
      <x:c r="AB11" s="1"/>
      <x:c r="AC11" s="1"/>
      <x:c r="AD11" s="1"/>
      <x:c r="AE11" s="1"/>
      <x:c r="AF11" s="1"/>
    </x:row>
    <x:row r="12" ht="75">
      <x:c r="A12" s="8" t="s">
        <x:v>94</x:v>
      </x:c>
      <x:c r="B12" s="8" t="s">
        <x:v>1671</x:v>
      </x:c>
      <x:c r="C12" s="8" t="s">
        <x:v>1672</x:v>
      </x:c>
      <x:c r="D12" s="8" t="s">
        <x:v>1673</x:v>
      </x:c>
      <x:c r="E12" s="8" t="s">
        <x:v>1674</x:v>
      </x:c>
      <x:c r="F12" s="8" t="s">
        <x:v>156</x:v>
      </x:c>
      <x:c r="G12" s="8" t="s">
        <x:v>151</x:v>
      </x:c>
      <x:c r="H12" s="8" t="s">
        <x:v>156</x:v>
      </x:c>
      <x:c r="I12" s="8" t="s">
        <x:v>151</x:v>
      </x:c>
      <x:c r="J12" s="8" t="s">
        <x:v>1675</x:v>
      </x:c>
      <x:c r="K12" s="8" t="s">
        <x:v>1676</x:v>
      </x:c>
      <x:c r="L12" s="8" t="s">
        <x:v>1677</x:v>
      </x:c>
      <x:c r="M12" s="8" t="s">
        <x:v>1678</x:v>
      </x:c>
      <x:c r="N12" s="8" t="s">
        <x:v>1679</x:v>
      </x:c>
      <x:c r="O12" s="8" t="s">
        <x:v>159</x:v>
      </x:c>
      <x:c r="P12" s="8" t="s">
        <x:v>1680</x:v>
      </x:c>
      <x:c r="Q12" s="8" t="s">
        <x:v>151</x:v>
      </x:c>
      <x:c r="R12" s="8" t="s">
        <x:v>1681</x:v>
      </x:c>
      <x:c r="S12" s="8" t="s">
        <x:v>151</x:v>
      </x:c>
      <x:c r="T12" s="8" t="s">
        <x:v>1682</x:v>
      </x:c>
      <x:c r="U12" s="8" t="s">
        <x:v>151</x:v>
      </x:c>
      <x:c r="V12" s="8" t="s">
        <x:v>1683</x:v>
      </x:c>
      <x:c r="W12" s="8" t="s">
        <x:v>1684</x:v>
      </x:c>
      <x:c r="X12" s="8" t="s">
        <x:v>1026</x:v>
      </x:c>
      <x:c r="Y12" s="8" t="s">
        <x:v>1577</x:v>
      </x:c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77</x:v>
      </x:c>
      <x:c r="B13" s="8" t="s">
        <x:v>1685</x:v>
      </x:c>
      <x:c r="C13" s="8" t="s">
        <x:v>1686</x:v>
      </x:c>
      <x:c r="D13" s="8" t="s">
        <x:v>1687</x:v>
      </x:c>
      <x:c r="E13" s="8" t="s">
        <x:v>151</x:v>
      </x:c>
      <x:c r="F13" s="8" t="s">
        <x:v>1688</x:v>
      </x:c>
      <x:c r="G13" s="8" t="s">
        <x:v>151</x:v>
      </x:c>
      <x:c r="H13" s="8" t="s">
        <x:v>1689</x:v>
      </x:c>
      <x:c r="I13" s="8" t="s">
        <x:v>151</x:v>
      </x:c>
      <x:c r="J13" s="8" t="s">
        <x:v>151</x:v>
      </x:c>
      <x:c r="K13" s="8" t="s">
        <x:v>1690</x:v>
      </x:c>
      <x:c r="L13" s="8" t="s">
        <x:v>1691</x:v>
      </x:c>
      <x:c r="M13" s="8" t="s">
        <x:v>1692</x:v>
      </x:c>
      <x:c r="N13" s="8" t="s">
        <x:v>1693</x:v>
      </x:c>
      <x:c r="O13" s="8" t="s">
        <x:v>151</x:v>
      </x:c>
      <x:c r="P13" s="8" t="s">
        <x:v>1694</x:v>
      </x:c>
      <x:c r="Q13" s="8" t="s">
        <x:v>1695</x:v>
      </x:c>
      <x:c r="R13" s="8" t="s">
        <x:v>1696</x:v>
      </x:c>
      <x:c r="S13" s="8" t="s">
        <x:v>151</x:v>
      </x:c>
      <x:c r="T13" s="8" t="s">
        <x:v>151</x:v>
      </x:c>
      <x:c r="U13" s="8" t="s">
        <x:v>1697</x:v>
      </x:c>
      <x:c r="V13" s="8" t="s">
        <x:v>1698</x:v>
      </x:c>
      <x:c r="W13" s="8" t="s">
        <x:v>1699</x:v>
      </x:c>
      <x:c r="X13" s="8" t="s">
        <x:v>1026</x:v>
      </x:c>
      <x:c r="Y13" s="8" t="s">
        <x:v>1577</x:v>
      </x:c>
      <x:c r="Z13" s="1"/>
      <x:c r="AA13" s="1"/>
      <x:c r="AB13" s="1"/>
      <x:c r="AC13" s="1"/>
      <x:c r="AD13" s="1"/>
      <x:c r="AE13" s="1"/>
      <x:c r="AF13" s="1"/>
    </x:row>
    <x:row r="14" ht="60">
      <x:c r="A14" s="8" t="s">
        <x:v>84</x:v>
      </x:c>
      <x:c r="B14" s="8" t="s">
        <x:v>1700</x:v>
      </x:c>
      <x:c r="C14" s="8" t="s">
        <x:v>1701</x:v>
      </x:c>
      <x:c r="D14" s="8" t="s">
        <x:v>1702</x:v>
      </x:c>
      <x:c r="E14" s="8" t="s">
        <x:v>151</x:v>
      </x:c>
      <x:c r="F14" s="8" t="s">
        <x:v>151</x:v>
      </x:c>
      <x:c r="G14" s="8" t="s">
        <x:v>151</x:v>
      </x:c>
      <x:c r="H14" s="8" t="s">
        <x:v>151</x:v>
      </x:c>
      <x:c r="I14" s="8" t="s">
        <x:v>151</x:v>
      </x:c>
      <x:c r="J14" s="8" t="s">
        <x:v>151</x:v>
      </x:c>
      <x:c r="K14" s="8" t="s">
        <x:v>1703</x:v>
      </x:c>
      <x:c r="L14" s="8" t="s">
        <x:v>1704</x:v>
      </x:c>
      <x:c r="M14" s="8" t="s">
        <x:v>1705</x:v>
      </x:c>
      <x:c r="N14" s="8" t="s">
        <x:v>1706</x:v>
      </x:c>
      <x:c r="O14" s="8" t="s">
        <x:v>151</x:v>
      </x:c>
      <x:c r="P14" s="8" t="s">
        <x:v>1707</x:v>
      </x:c>
      <x:c r="Q14" s="8" t="s">
        <x:v>1708</x:v>
      </x:c>
      <x:c r="R14" s="8" t="s">
        <x:v>1709</x:v>
      </x:c>
      <x:c r="S14" s="8" t="s">
        <x:v>151</x:v>
      </x:c>
      <x:c r="T14" s="8" t="s">
        <x:v>151</x:v>
      </x:c>
      <x:c r="U14" s="8" t="s">
        <x:v>151</x:v>
      </x:c>
      <x:c r="V14" s="8" t="s">
        <x:v>1710</x:v>
      </x:c>
      <x:c r="W14" s="8" t="s">
        <x:v>1711</x:v>
      </x:c>
      <x:c r="X14" s="8" t="s">
        <x:v>1026</x:v>
      </x:c>
      <x:c r="Y14" s="8" t="s">
        <x:v>1577</x:v>
      </x:c>
      <x:c r="Z14" s="1"/>
      <x:c r="AA14" s="1"/>
      <x:c r="AB14" s="1"/>
      <x:c r="AC14" s="1"/>
      <x:c r="AD14" s="1"/>
      <x:c r="AE14" s="1"/>
      <x:c r="AF14" s="1"/>
    </x:row>
    <x:row r="15" ht="60">
      <x:c r="A15" s="8" t="s">
        <x:v>70</x:v>
      </x:c>
      <x:c r="B15" s="8" t="s">
        <x:v>1712</x:v>
      </x:c>
      <x:c r="C15" s="8" t="s">
        <x:v>1713</x:v>
      </x:c>
      <x:c r="D15" s="8" t="s">
        <x:v>1714</x:v>
      </x:c>
      <x:c r="E15" s="8" t="s">
        <x:v>1715</x:v>
      </x:c>
      <x:c r="F15" s="8" t="s">
        <x:v>156</x:v>
      </x:c>
      <x:c r="G15" s="8" t="s">
        <x:v>151</x:v>
      </x:c>
      <x:c r="H15" s="8" t="s">
        <x:v>156</x:v>
      </x:c>
      <x:c r="I15" s="8" t="s">
        <x:v>151</x:v>
      </x:c>
      <x:c r="J15" s="8" t="s">
        <x:v>151</x:v>
      </x:c>
      <x:c r="K15" s="8" t="s">
        <x:v>1716</x:v>
      </x:c>
      <x:c r="L15" s="8" t="s">
        <x:v>1717</x:v>
      </x:c>
      <x:c r="M15" s="8" t="s">
        <x:v>1718</x:v>
      </x:c>
      <x:c r="N15" s="8" t="s">
        <x:v>1719</x:v>
      </x:c>
      <x:c r="O15" s="8" t="s">
        <x:v>159</x:v>
      </x:c>
      <x:c r="P15" s="8" t="s">
        <x:v>1720</x:v>
      </x:c>
      <x:c r="Q15" s="8" t="s">
        <x:v>151</x:v>
      </x:c>
      <x:c r="R15" s="8" t="s">
        <x:v>1721</x:v>
      </x:c>
      <x:c r="S15" s="8" t="s">
        <x:v>151</x:v>
      </x:c>
      <x:c r="T15" s="8" t="s">
        <x:v>151</x:v>
      </x:c>
      <x:c r="U15" s="8" t="s">
        <x:v>1722</x:v>
      </x:c>
      <x:c r="V15" s="8" t="s">
        <x:v>1723</x:v>
      </x:c>
      <x:c r="W15" s="8" t="s">
        <x:v>1724</x:v>
      </x:c>
      <x:c r="X15" s="8" t="s">
        <x:v>1026</x:v>
      </x:c>
      <x:c r="Y15" s="8" t="s">
        <x:v>1577</x:v>
      </x:c>
      <x:c r="Z15" s="1"/>
      <x:c r="AA15" s="1"/>
      <x:c r="AB15" s="1"/>
      <x:c r="AC15" s="1"/>
      <x:c r="AD15" s="1"/>
      <x:c r="AE15" s="1"/>
      <x:c r="AF15" s="1"/>
    </x:row>
    <x:row r="16" ht="60">
      <x:c r="A16" s="8" t="s">
        <x:v>80</x:v>
      </x:c>
      <x:c r="B16" s="8" t="s">
        <x:v>1725</x:v>
      </x:c>
      <x:c r="C16" s="8" t="s">
        <x:v>1228</x:v>
      </x:c>
      <x:c r="D16" s="8" t="str">
        <x:v>Software/project or provider/operator specific; standalone service terms unknown.</x:v>
      </x:c>
      <x:c r="E16" s="8" t="s">
        <x:v>151</x:v>
      </x:c>
      <x:c r="F16" s="8" t="s">
        <x:v>151</x:v>
      </x:c>
      <x:c r="G16" s="8" t="s">
        <x:v>151</x:v>
      </x:c>
      <x:c r="H16" s="8" t="s">
        <x:v>151</x:v>
      </x:c>
      <x:c r="I16" s="8" t="s">
        <x:v>151</x:v>
      </x:c>
      <x:c r="J16" s="8" t="s">
        <x:v>151</x:v>
      </x:c>
      <x:c r="K16" s="8" t="s">
        <x:v>151</x:v>
      </x:c>
      <x:c r="L16" s="8" t="s">
        <x:v>1228</x:v>
      </x:c>
      <x:c r="M16" s="8" t="s">
        <x:v>1656</x:v>
      </x:c>
      <x:c r="N16" s="8" t="s">
        <x:v>151</x:v>
      </x:c>
      <x:c r="O16" s="8" t="s">
        <x:v>151</x:v>
      </x:c>
      <x:c r="P16" s="8" t="s">
        <x:v>151</x:v>
      </x:c>
      <x:c r="Q16" s="8" t="s">
        <x:v>151</x:v>
      </x:c>
      <x:c r="R16" s="8" t="s">
        <x:v>151</x:v>
      </x:c>
      <x:c r="S16" s="8" t="s">
        <x:v>151</x:v>
      </x:c>
      <x:c r="T16" s="8" t="s">
        <x:v>151</x:v>
      </x:c>
      <x:c r="U16" s="8" t="s">
        <x:v>151</x:v>
      </x:c>
      <x:c r="V16" s="8" t="s">
        <x:v>1657</x:v>
      </x:c>
      <x:c r="W16" s="8" t="s">
        <x:v>1726</x:v>
      </x:c>
      <x:c r="X16" s="8" t="s">
        <x:v>1026</x:v>
      </x:c>
      <x:c r="Y16" s="8" t="s">
        <x:v>1577</x:v>
      </x:c>
      <x:c r="Z16" s="1"/>
      <x:c r="AA16" s="1"/>
      <x:c r="AB16" s="1"/>
      <x:c r="AC16" s="1"/>
      <x:c r="AD16" s="1"/>
      <x:c r="AE16" s="1"/>
      <x:c r="AF16" s="1"/>
    </x:row>
    <x:row r="17" ht="60">
      <x:c r="A17" s="8" t="s">
        <x:v>81</x:v>
      </x:c>
      <x:c r="B17" s="8" t="s">
        <x:v>1727</x:v>
      </x:c>
      <x:c r="C17" s="8" t="s">
        <x:v>1728</x:v>
      </x:c>
      <x:c r="D17" s="8" t="s">
        <x:v>1729</x:v>
      </x:c>
      <x:c r="E17" s="8" t="s">
        <x:v>1730</x:v>
      </x:c>
      <x:c r="F17" s="8" t="s">
        <x:v>156</x:v>
      </x:c>
      <x:c r="G17" s="8" t="s">
        <x:v>151</x:v>
      </x:c>
      <x:c r="H17" s="8" t="s">
        <x:v>156</x:v>
      </x:c>
      <x:c r="I17" s="8" t="s">
        <x:v>151</x:v>
      </x:c>
      <x:c r="J17" s="8" t="s">
        <x:v>151</x:v>
      </x:c>
      <x:c r="K17" s="8" t="s">
        <x:v>151</x:v>
      </x:c>
      <x:c r="L17" s="8" t="s">
        <x:v>1731</x:v>
      </x:c>
      <x:c r="M17" s="8" t="s">
        <x:v>1729</x:v>
      </x:c>
      <x:c r="N17" s="8" t="s">
        <x:v>1732</x:v>
      </x:c>
      <x:c r="O17" s="8" t="s">
        <x:v>151</x:v>
      </x:c>
      <x:c r="P17" s="8" t="s">
        <x:v>151</x:v>
      </x:c>
      <x:c r="Q17" s="8" t="s">
        <x:v>151</x:v>
      </x:c>
      <x:c r="R17" s="8" t="s">
        <x:v>1733</x:v>
      </x:c>
      <x:c r="S17" s="8" t="s">
        <x:v>151</x:v>
      </x:c>
      <x:c r="T17" s="8" t="s">
        <x:v>151</x:v>
      </x:c>
      <x:c r="U17" s="8" t="s">
        <x:v>151</x:v>
      </x:c>
      <x:c r="V17" s="8" t="str">
        <x:v>N/A: no self-hosting verified</x:v>
      </x:c>
      <x:c r="W17" s="8" t="s">
        <x:v>1734</x:v>
      </x:c>
      <x:c r="X17" s="8" t="s">
        <x:v>1026</x:v>
      </x:c>
      <x:c r="Y17" s="8" t="s">
        <x:v>1577</x:v>
      </x:c>
      <x:c r="Z17" s="1"/>
      <x:c r="AA17" s="1"/>
      <x:c r="AB17" s="1"/>
      <x:c r="AC17" s="1"/>
      <x:c r="AD17" s="1"/>
      <x:c r="AE17" s="1"/>
      <x:c r="AF17" s="1"/>
    </x:row>
    <x:row r="18" ht="60">
      <x:c r="A18" s="8" t="s">
        <x:v>75</x:v>
      </x:c>
      <x:c r="B18" s="8" t="s">
        <x:v>1735</x:v>
      </x:c>
      <x:c r="C18" s="8" t="s">
        <x:v>1736</x:v>
      </x:c>
      <x:c r="D18" s="8" t="s">
        <x:v>1729</x:v>
      </x:c>
      <x:c r="E18" s="8" t="s">
        <x:v>1737</x:v>
      </x:c>
      <x:c r="F18" s="8" t="s">
        <x:v>156</x:v>
      </x:c>
      <x:c r="G18" s="8" t="s">
        <x:v>1738</x:v>
      </x:c>
      <x:c r="H18" s="8" t="s">
        <x:v>156</x:v>
      </x:c>
      <x:c r="I18" s="8" t="str">
        <x:v>Yes: AAA binding arbitration and class-action waiver</x:v>
      </x:c>
      <x:c r="J18" s="8" t="s">
        <x:v>1739</x:v>
      </x:c>
      <x:c r="K18" s="8" t="s">
        <x:v>1740</x:v>
      </x:c>
      <x:c r="L18" s="8" t="s">
        <x:v>1515</x:v>
      </x:c>
      <x:c r="M18" s="8" t="s">
        <x:v>1741</x:v>
      </x:c>
      <x:c r="N18" s="8" t="s">
        <x:v>1742</x:v>
      </x:c>
      <x:c r="O18" s="8" t="s">
        <x:v>159</x:v>
      </x:c>
      <x:c r="P18" s="8" t="s">
        <x:v>1743</x:v>
      </x:c>
      <x:c r="Q18" s="8" t="s">
        <x:v>151</x:v>
      </x:c>
      <x:c r="R18" s="8" t="s">
        <x:v>1744</x:v>
      </x:c>
      <x:c r="S18" s="8" t="s">
        <x:v>1745</x:v>
      </x:c>
      <x:c r="T18" s="8" t="s">
        <x:v>1746</x:v>
      </x:c>
      <x:c r="U18" s="8" t="s">
        <x:v>151</x:v>
      </x:c>
      <x:c r="V18" s="8" t="s">
        <x:v>1747</x:v>
      </x:c>
      <x:c r="W18" s="8" t="s">
        <x:v>1748</x:v>
      </x:c>
      <x:c r="X18" s="8" t="s">
        <x:v>1026</x:v>
      </x:c>
      <x:c r="Y18" s="8" t="s">
        <x:v>1577</x:v>
      </x:c>
      <x:c r="Z18" s="1"/>
      <x:c r="AA18" s="1"/>
      <x:c r="AB18" s="1"/>
      <x:c r="AC18" s="1"/>
      <x:c r="AD18" s="1"/>
      <x:c r="AE18" s="1"/>
      <x:c r="AF18" s="1"/>
    </x:row>
    <x:row r="19" ht="60">
      <x:c r="A19" s="8" t="s">
        <x:v>91</x:v>
      </x:c>
      <x:c r="B19" s="8" t="s">
        <x:v>1749</x:v>
      </x:c>
      <x:c r="C19" s="8" t="s">
        <x:v>151</x:v>
      </x:c>
      <x:c r="D19" s="8" t="str">
        <x:v>Software/project or provider/operator specific; standalone service terms unknown.</x:v>
      </x:c>
      <x:c r="E19" s="8" t="s">
        <x:v>151</x:v>
      </x:c>
      <x:c r="F19" s="8" t="s">
        <x:v>151</x:v>
      </x:c>
      <x:c r="G19" s="8" t="s">
        <x:v>151</x:v>
      </x:c>
      <x:c r="H19" s="8" t="s">
        <x:v>151</x:v>
      </x:c>
      <x:c r="I19" s="8" t="s">
        <x:v>151</x:v>
      </x:c>
      <x:c r="J19" s="8" t="s">
        <x:v>151</x:v>
      </x:c>
      <x:c r="K19" s="8" t="s">
        <x:v>151</x:v>
      </x:c>
      <x:c r="L19" s="8" t="s">
        <x:v>151</x:v>
      </x:c>
      <x:c r="M19" s="8" t="s">
        <x:v>1656</x:v>
      </x:c>
      <x:c r="N19" s="8" t="s">
        <x:v>151</x:v>
      </x:c>
      <x:c r="O19" s="8" t="s">
        <x:v>151</x:v>
      </x:c>
      <x:c r="P19" s="8" t="s">
        <x:v>151</x:v>
      </x:c>
      <x:c r="Q19" s="8" t="s">
        <x:v>151</x:v>
      </x:c>
      <x:c r="R19" s="8" t="s">
        <x:v>151</x:v>
      </x:c>
      <x:c r="S19" s="8" t="s">
        <x:v>151</x:v>
      </x:c>
      <x:c r="T19" s="8" t="s">
        <x:v>151</x:v>
      </x:c>
      <x:c r="U19" s="8" t="s">
        <x:v>151</x:v>
      </x:c>
      <x:c r="V19" s="8" t="s">
        <x:v>1657</x:v>
      </x:c>
      <x:c r="W19" s="8" t="s">
        <x:v>1750</x:v>
      </x:c>
      <x:c r="X19" s="8" t="s">
        <x:v>1026</x:v>
      </x:c>
      <x:c r="Y19" s="8" t="s">
        <x:v>1751</x:v>
      </x:c>
      <x:c r="Z19" s="1"/>
      <x:c r="AA19" s="1"/>
      <x:c r="AB19" s="1"/>
      <x:c r="AC19" s="1"/>
      <x:c r="AD19" s="1"/>
      <x:c r="AE19" s="1"/>
      <x:c r="AF19" s="1"/>
    </x:row>
    <x:row r="20" ht="60">
      <x:c r="A20" s="8" t="s">
        <x:v>78</x:v>
      </x:c>
      <x:c r="B20" s="8" t="s">
        <x:v>1752</x:v>
      </x:c>
      <x:c r="C20" s="8" t="s">
        <x:v>1753</x:v>
      </x:c>
      <x:c r="D20" s="8" t="str">
        <x:v>Software/project or provider/operator specific; standalone service terms unknown.</x:v>
      </x:c>
      <x:c r="E20" s="8" t="s">
        <x:v>151</x:v>
      </x:c>
      <x:c r="F20" s="8" t="s">
        <x:v>151</x:v>
      </x:c>
      <x:c r="G20" s="8" t="s">
        <x:v>151</x:v>
      </x:c>
      <x:c r="H20" s="8" t="s">
        <x:v>151</x:v>
      </x:c>
      <x:c r="I20" s="8" t="s">
        <x:v>151</x:v>
      </x:c>
      <x:c r="J20" s="8" t="s">
        <x:v>151</x:v>
      </x:c>
      <x:c r="K20" s="8" t="s">
        <x:v>151</x:v>
      </x:c>
      <x:c r="L20" s="8" t="s">
        <x:v>1753</x:v>
      </x:c>
      <x:c r="M20" s="8" t="s">
        <x:v>1656</x:v>
      </x:c>
      <x:c r="N20" s="8" t="s">
        <x:v>151</x:v>
      </x:c>
      <x:c r="O20" s="8" t="s">
        <x:v>151</x:v>
      </x:c>
      <x:c r="P20" s="8" t="s">
        <x:v>151</x:v>
      </x:c>
      <x:c r="Q20" s="8" t="s">
        <x:v>151</x:v>
      </x:c>
      <x:c r="R20" s="8" t="s">
        <x:v>151</x:v>
      </x:c>
      <x:c r="S20" s="8" t="s">
        <x:v>151</x:v>
      </x:c>
      <x:c r="T20" s="8" t="s">
        <x:v>151</x:v>
      </x:c>
      <x:c r="U20" s="8" t="s">
        <x:v>151</x:v>
      </x:c>
      <x:c r="V20" s="8" t="s">
        <x:v>1657</x:v>
      </x:c>
      <x:c r="W20" s="8" t="s">
        <x:v>1754</x:v>
      </x:c>
      <x:c r="X20" s="8" t="s">
        <x:v>1026</x:v>
      </x:c>
      <x:c r="Y20" s="8" t="s">
        <x:v>1577</x:v>
      </x:c>
      <x:c r="Z20" s="1"/>
      <x:c r="AA20" s="1"/>
      <x:c r="AB20" s="1"/>
      <x:c r="AC20" s="1"/>
      <x:c r="AD20" s="1"/>
      <x:c r="AE20" s="1"/>
      <x:c r="AF20" s="1"/>
    </x:row>
    <x:row r="21" ht="75">
      <x:c r="A21" s="8" t="s">
        <x:v>74</x:v>
      </x:c>
      <x:c r="B21" s="8" t="s">
        <x:v>1755</x:v>
      </x:c>
      <x:c r="C21" s="8" t="s">
        <x:v>1756</x:v>
      </x:c>
      <x:c r="D21" s="8" t="s">
        <x:v>1757</x:v>
      </x:c>
      <x:c r="E21" s="8" t="s">
        <x:v>151</x:v>
      </x:c>
      <x:c r="F21" s="8" t="s">
        <x:v>156</x:v>
      </x:c>
      <x:c r="G21" s="8" t="s">
        <x:v>151</x:v>
      </x:c>
      <x:c r="H21" s="8" t="s">
        <x:v>156</x:v>
      </x:c>
      <x:c r="I21" s="8" t="s">
        <x:v>151</x:v>
      </x:c>
      <x:c r="J21" s="8" t="s">
        <x:v>151</x:v>
      </x:c>
      <x:c r="K21" s="8" t="s">
        <x:v>1758</x:v>
      </x:c>
      <x:c r="L21" s="8" t="s">
        <x:v>1759</x:v>
      </x:c>
      <x:c r="M21" s="8" t="s">
        <x:v>1760</x:v>
      </x:c>
      <x:c r="N21" s="8" t="s">
        <x:v>151</x:v>
      </x:c>
      <x:c r="O21" s="8" t="s">
        <x:v>1761</x:v>
      </x:c>
      <x:c r="P21" s="8" t="s">
        <x:v>1762</x:v>
      </x:c>
      <x:c r="Q21" s="8" t="s">
        <x:v>151</x:v>
      </x:c>
      <x:c r="R21" s="8" t="s">
        <x:v>1763</x:v>
      </x:c>
      <x:c r="S21" s="8" t="s">
        <x:v>151</x:v>
      </x:c>
      <x:c r="T21" s="8" t="s">
        <x:v>151</x:v>
      </x:c>
      <x:c r="U21" s="8" t="s">
        <x:v>151</x:v>
      </x:c>
      <x:c r="V21" s="8" t="str">
        <x:v>N/A: no self-hosting verified</x:v>
      </x:c>
      <x:c r="W21" s="8" t="s">
        <x:v>1764</x:v>
      </x:c>
      <x:c r="X21" s="8" t="s">
        <x:v>1026</x:v>
      </x:c>
      <x:c r="Y21" s="8" t="s">
        <x:v>1577</x:v>
      </x:c>
      <x:c r="Z21" s="1"/>
      <x:c r="AA21" s="1"/>
      <x:c r="AB21" s="1"/>
      <x:c r="AC21" s="1"/>
      <x:c r="AD21" s="1"/>
      <x:c r="AE21" s="1"/>
      <x:c r="AF21" s="1"/>
    </x:row>
    <x:row r="22" ht="75">
      <x:c r="A22" s="8" t="s">
        <x:v>93</x:v>
      </x:c>
      <x:c r="B22" s="8" t="s">
        <x:v>1765</x:v>
      </x:c>
      <x:c r="C22" s="8" t="s">
        <x:v>151</x:v>
      </x:c>
      <x:c r="D22" s="8" t="s">
        <x:v>1766</x:v>
      </x:c>
      <x:c r="E22" s="8" t="s">
        <x:v>151</x:v>
      </x:c>
      <x:c r="F22" s="8" t="s">
        <x:v>1767</x:v>
      </x:c>
      <x:c r="G22" s="8" t="s">
        <x:v>151</x:v>
      </x:c>
      <x:c r="H22" s="8" t="s">
        <x:v>151</x:v>
      </x:c>
      <x:c r="I22" s="8" t="s">
        <x:v>151</x:v>
      </x:c>
      <x:c r="J22" s="8" t="s">
        <x:v>151</x:v>
      </x:c>
      <x:c r="K22" s="8" t="s">
        <x:v>1768</x:v>
      </x:c>
      <x:c r="L22" s="8" t="s">
        <x:v>1769</x:v>
      </x:c>
      <x:c r="M22" s="8" t="s">
        <x:v>1770</x:v>
      </x:c>
      <x:c r="N22" s="8" t="s">
        <x:v>1771</x:v>
      </x:c>
      <x:c r="O22" s="8" t="s">
        <x:v>159</x:v>
      </x:c>
      <x:c r="P22" s="8" t="s">
        <x:v>1772</x:v>
      </x:c>
      <x:c r="Q22" s="8" t="s">
        <x:v>1773</x:v>
      </x:c>
      <x:c r="R22" s="8" t="s">
        <x:v>1774</x:v>
      </x:c>
      <x:c r="S22" s="8" t="s">
        <x:v>151</x:v>
      </x:c>
      <x:c r="T22" s="8" t="s">
        <x:v>151</x:v>
      </x:c>
      <x:c r="U22" s="8" t="s">
        <x:v>1775</x:v>
      </x:c>
      <x:c r="V22" s="8" t="s">
        <x:v>1776</x:v>
      </x:c>
      <x:c r="W22" s="8" t="s">
        <x:v>1777</x:v>
      </x:c>
      <x:c r="X22" s="8" t="s">
        <x:v>1026</x:v>
      </x:c>
      <x:c r="Y22" s="8" t="s">
        <x:v>1577</x:v>
      </x:c>
      <x:c r="Z22" s="1"/>
      <x:c r="AA22" s="1"/>
      <x:c r="AB22" s="1"/>
      <x:c r="AC22" s="1"/>
      <x:c r="AD22" s="1"/>
      <x:c r="AE22" s="1"/>
      <x:c r="AF22" s="1"/>
    </x:row>
    <x:row r="23" ht="60">
      <x:c r="A23" s="8" t="s">
        <x:v>71</x:v>
      </x:c>
      <x:c r="B23" s="8" t="s">
        <x:v>1778</x:v>
      </x:c>
      <x:c r="C23" s="8" t="s">
        <x:v>151</x:v>
      </x:c>
      <x:c r="D23" s="8" t="str">
        <x:v>Software/project or provider/operator specific; standalone service terms unknown.</x:v>
      </x:c>
      <x:c r="E23" s="8" t="s">
        <x:v>151</x:v>
      </x:c>
      <x:c r="F23" s="8" t="s">
        <x:v>151</x:v>
      </x:c>
      <x:c r="G23" s="8" t="s">
        <x:v>151</x:v>
      </x:c>
      <x:c r="H23" s="8" t="s">
        <x:v>151</x:v>
      </x:c>
      <x:c r="I23" s="8" t="s">
        <x:v>151</x:v>
      </x:c>
      <x:c r="J23" s="8" t="s">
        <x:v>151</x:v>
      </x:c>
      <x:c r="K23" s="8" t="s">
        <x:v>151</x:v>
      </x:c>
      <x:c r="L23" s="8" t="s">
        <x:v>151</x:v>
      </x:c>
      <x:c r="M23" s="8" t="s">
        <x:v>1656</x:v>
      </x:c>
      <x:c r="N23" s="8" t="s">
        <x:v>151</x:v>
      </x:c>
      <x:c r="O23" s="8" t="s">
        <x:v>151</x:v>
      </x:c>
      <x:c r="P23" s="8" t="s">
        <x:v>151</x:v>
      </x:c>
      <x:c r="Q23" s="8" t="s">
        <x:v>151</x:v>
      </x:c>
      <x:c r="R23" s="8" t="s">
        <x:v>151</x:v>
      </x:c>
      <x:c r="S23" s="8" t="s">
        <x:v>151</x:v>
      </x:c>
      <x:c r="T23" s="8" t="s">
        <x:v>151</x:v>
      </x:c>
      <x:c r="U23" s="8" t="s">
        <x:v>151</x:v>
      </x:c>
      <x:c r="V23" s="8" t="s">
        <x:v>1657</x:v>
      </x:c>
      <x:c r="W23" s="8" t="s">
        <x:v>1779</x:v>
      </x:c>
      <x:c r="X23" s="8" t="s">
        <x:v>1026</x:v>
      </x:c>
      <x:c r="Y23" s="8" t="s">
        <x:v>1751</x:v>
      </x:c>
      <x:c r="Z23" s="1"/>
      <x:c r="AA23" s="1"/>
      <x:c r="AB23" s="1"/>
      <x:c r="AC23" s="1"/>
      <x:c r="AD23" s="1"/>
      <x:c r="AE23" s="1"/>
      <x:c r="AF23" s="1"/>
    </x:row>
    <x:row r="24" ht="60">
      <x:c r="A24" s="8" t="s">
        <x:v>85</x:v>
      </x:c>
      <x:c r="B24" s="8" t="s">
        <x:v>1780</x:v>
      </x:c>
      <x:c r="C24" s="8" t="s">
        <x:v>151</x:v>
      </x:c>
      <x:c r="D24" s="8" t="str">
        <x:v>Software/project or provider/operator specific; standalone service terms unknown.</x:v>
      </x:c>
      <x:c r="E24" s="8" t="s">
        <x:v>151</x:v>
      </x:c>
      <x:c r="F24" s="8" t="s">
        <x:v>151</x:v>
      </x:c>
      <x:c r="G24" s="8" t="s">
        <x:v>151</x:v>
      </x:c>
      <x:c r="H24" s="8" t="s">
        <x:v>151</x:v>
      </x:c>
      <x:c r="I24" s="8" t="s">
        <x:v>151</x:v>
      </x:c>
      <x:c r="J24" s="8" t="s">
        <x:v>151</x:v>
      </x:c>
      <x:c r="K24" s="8" t="s">
        <x:v>151</x:v>
      </x:c>
      <x:c r="L24" s="8" t="s">
        <x:v>151</x:v>
      </x:c>
      <x:c r="M24" s="8" t="s">
        <x:v>1656</x:v>
      </x:c>
      <x:c r="N24" s="8" t="s">
        <x:v>151</x:v>
      </x:c>
      <x:c r="O24" s="8" t="s">
        <x:v>151</x:v>
      </x:c>
      <x:c r="P24" s="8" t="s">
        <x:v>151</x:v>
      </x:c>
      <x:c r="Q24" s="8" t="s">
        <x:v>151</x:v>
      </x:c>
      <x:c r="R24" s="8" t="s">
        <x:v>151</x:v>
      </x:c>
      <x:c r="S24" s="8" t="s">
        <x:v>151</x:v>
      </x:c>
      <x:c r="T24" s="8" t="s">
        <x:v>151</x:v>
      </x:c>
      <x:c r="U24" s="8" t="s">
        <x:v>151</x:v>
      </x:c>
      <x:c r="V24" s="8" t="s">
        <x:v>1657</x:v>
      </x:c>
      <x:c r="W24" s="8" t="s">
        <x:v>1781</x:v>
      </x:c>
      <x:c r="X24" s="8" t="s">
        <x:v>1026</x:v>
      </x:c>
      <x:c r="Y24" s="8" t="s">
        <x:v>1751</x:v>
      </x:c>
      <x:c r="Z24" s="1"/>
      <x:c r="AA24" s="1"/>
      <x:c r="AB24" s="1"/>
      <x:c r="AC24" s="1"/>
      <x:c r="AD24" s="1"/>
      <x:c r="AE24" s="1"/>
      <x:c r="AF24" s="1"/>
    </x:row>
    <x:row r="25" ht="60">
      <x:c r="A25" s="8" t="s">
        <x:v>65</x:v>
      </x:c>
      <x:c r="B25" s="8" t="s">
        <x:v>1782</x:v>
      </x:c>
      <x:c r="C25" s="8" t="s">
        <x:v>1268</x:v>
      </x:c>
      <x:c r="D25" s="8" t="str">
        <x:v>Software/project or provider/operator specific; standalone service terms unknown.</x:v>
      </x:c>
      <x:c r="E25" s="8" t="s">
        <x:v>151</x:v>
      </x:c>
      <x:c r="F25" s="8" t="s">
        <x:v>151</x:v>
      </x:c>
      <x:c r="G25" s="8" t="s">
        <x:v>151</x:v>
      </x:c>
      <x:c r="H25" s="8" t="s">
        <x:v>151</x:v>
      </x:c>
      <x:c r="I25" s="8" t="s">
        <x:v>151</x:v>
      </x:c>
      <x:c r="J25" s="8" t="s">
        <x:v>151</x:v>
      </x:c>
      <x:c r="K25" s="8" t="s">
        <x:v>151</x:v>
      </x:c>
      <x:c r="L25" s="8" t="s">
        <x:v>1268</x:v>
      </x:c>
      <x:c r="M25" s="8" t="s">
        <x:v>1656</x:v>
      </x:c>
      <x:c r="N25" s="8" t="s">
        <x:v>151</x:v>
      </x:c>
      <x:c r="O25" s="8" t="s">
        <x:v>151</x:v>
      </x:c>
      <x:c r="P25" s="8" t="s">
        <x:v>151</x:v>
      </x:c>
      <x:c r="Q25" s="8" t="s">
        <x:v>151</x:v>
      </x:c>
      <x:c r="R25" s="8" t="s">
        <x:v>151</x:v>
      </x:c>
      <x:c r="S25" s="8" t="s">
        <x:v>151</x:v>
      </x:c>
      <x:c r="T25" s="8" t="s">
        <x:v>151</x:v>
      </x:c>
      <x:c r="U25" s="8" t="s">
        <x:v>151</x:v>
      </x:c>
      <x:c r="V25" s="8" t="s">
        <x:v>1657</x:v>
      </x:c>
      <x:c r="W25" s="8" t="s">
        <x:v>1783</x:v>
      </x:c>
      <x:c r="X25" s="8" t="s">
        <x:v>1026</x:v>
      </x:c>
      <x:c r="Y25" s="8" t="s">
        <x:v>1577</x:v>
      </x:c>
      <x:c r="Z25" s="1"/>
      <x:c r="AA25" s="1"/>
      <x:c r="AB25" s="1"/>
      <x:c r="AC25" s="1"/>
      <x:c r="AD25" s="1"/>
      <x:c r="AE25" s="1"/>
      <x:c r="AF25" s="1"/>
    </x:row>
    <x:row r="26" ht="60">
      <x:c r="A26" s="8" t="s">
        <x:v>72</x:v>
      </x:c>
      <x:c r="B26" s="8" t="s">
        <x:v>1784</x:v>
      </x:c>
      <x:c r="C26" s="8" t="s">
        <x:v>1272</x:v>
      </x:c>
      <x:c r="D26" s="8" t="str">
        <x:v>Software/project or provider/operator specific; standalone service terms unknown.</x:v>
      </x:c>
      <x:c r="E26" s="8" t="s">
        <x:v>151</x:v>
      </x:c>
      <x:c r="F26" s="8" t="s">
        <x:v>151</x:v>
      </x:c>
      <x:c r="G26" s="8" t="s">
        <x:v>151</x:v>
      </x:c>
      <x:c r="H26" s="8" t="s">
        <x:v>151</x:v>
      </x:c>
      <x:c r="I26" s="8" t="s">
        <x:v>151</x:v>
      </x:c>
      <x:c r="J26" s="8" t="s">
        <x:v>151</x:v>
      </x:c>
      <x:c r="K26" s="8" t="s">
        <x:v>151</x:v>
      </x:c>
      <x:c r="L26" s="8" t="s">
        <x:v>1272</x:v>
      </x:c>
      <x:c r="M26" s="8" t="s">
        <x:v>1656</x:v>
      </x:c>
      <x:c r="N26" s="8" t="s">
        <x:v>151</x:v>
      </x:c>
      <x:c r="O26" s="8" t="s">
        <x:v>151</x:v>
      </x:c>
      <x:c r="P26" s="8" t="s">
        <x:v>151</x:v>
      </x:c>
      <x:c r="Q26" s="8" t="s">
        <x:v>151</x:v>
      </x:c>
      <x:c r="R26" s="8" t="s">
        <x:v>151</x:v>
      </x:c>
      <x:c r="S26" s="8" t="s">
        <x:v>151</x:v>
      </x:c>
      <x:c r="T26" s="8" t="s">
        <x:v>151</x:v>
      </x:c>
      <x:c r="U26" s="8" t="s">
        <x:v>151</x:v>
      </x:c>
      <x:c r="V26" s="8" t="s">
        <x:v>1657</x:v>
      </x:c>
      <x:c r="W26" s="8" t="str">
        <x:v>Repository contains Terms/Privacy documentation; exact file URLs not normalized here.</x:v>
      </x:c>
      <x:c r="X26" s="8" t="s">
        <x:v>1026</x:v>
      </x:c>
      <x:c r="Y26" s="8" t="s">
        <x:v>1577</x:v>
      </x:c>
      <x:c r="Z26" s="1"/>
      <x:c r="AA26" s="1"/>
      <x:c r="AB26" s="1"/>
      <x:c r="AC26" s="1"/>
      <x:c r="AD26" s="1"/>
      <x:c r="AE26" s="1"/>
      <x:c r="AF26" s="1"/>
    </x:row>
    <x:row r="27" ht="60">
      <x:c r="A27" s="8" t="s">
        <x:v>66</x:v>
      </x:c>
      <x:c r="B27" s="8" t="s">
        <x:v>1785</x:v>
      </x:c>
      <x:c r="C27" s="8" t="s">
        <x:v>151</x:v>
      </x:c>
      <x:c r="D27" s="8" t="str">
        <x:v>Software/project or provider/operator specific; standalone service terms unknown.</x:v>
      </x:c>
      <x:c r="E27" s="8" t="s">
        <x:v>151</x:v>
      </x:c>
      <x:c r="F27" s="8" t="s">
        <x:v>151</x:v>
      </x:c>
      <x:c r="G27" s="8" t="s">
        <x:v>151</x:v>
      </x:c>
      <x:c r="H27" s="8" t="s">
        <x:v>151</x:v>
      </x:c>
      <x:c r="I27" s="8" t="s">
        <x:v>151</x:v>
      </x:c>
      <x:c r="J27" s="8" t="s">
        <x:v>151</x:v>
      </x:c>
      <x:c r="K27" s="8" t="s">
        <x:v>151</x:v>
      </x:c>
      <x:c r="L27" s="8" t="s">
        <x:v>151</x:v>
      </x:c>
      <x:c r="M27" s="8" t="s">
        <x:v>1656</x:v>
      </x:c>
      <x:c r="N27" s="8" t="s">
        <x:v>151</x:v>
      </x:c>
      <x:c r="O27" s="8" t="s">
        <x:v>151</x:v>
      </x:c>
      <x:c r="P27" s="8" t="s">
        <x:v>151</x:v>
      </x:c>
      <x:c r="Q27" s="8" t="s">
        <x:v>151</x:v>
      </x:c>
      <x:c r="R27" s="8" t="s">
        <x:v>151</x:v>
      </x:c>
      <x:c r="S27" s="8" t="s">
        <x:v>151</x:v>
      </x:c>
      <x:c r="T27" s="8" t="s">
        <x:v>151</x:v>
      </x:c>
      <x:c r="U27" s="8" t="s">
        <x:v>151</x:v>
      </x:c>
      <x:c r="V27" s="8" t="s">
        <x:v>1657</x:v>
      </x:c>
      <x:c r="W27" s="8" t="s">
        <x:v>1786</x:v>
      </x:c>
      <x:c r="X27" s="8" t="s">
        <x:v>1026</x:v>
      </x:c>
      <x:c r="Y27" s="8" t="s">
        <x:v>1751</x:v>
      </x:c>
      <x:c r="Z27" s="1"/>
      <x:c r="AA27" s="1"/>
      <x:c r="AB27" s="1"/>
      <x:c r="AC27" s="1"/>
      <x:c r="AD27" s="1"/>
      <x:c r="AE27" s="1"/>
      <x:c r="AF27" s="1"/>
    </x:row>
    <x:row r="28" ht="75">
      <x:c r="A28" s="8" t="s">
        <x:v>83</x:v>
      </x:c>
      <x:c r="B28" s="8" t="s">
        <x:v>1787</x:v>
      </x:c>
      <x:c r="C28" s="8" t="s">
        <x:v>1788</x:v>
      </x:c>
      <x:c r="D28" s="8" t="s">
        <x:v>1789</x:v>
      </x:c>
      <x:c r="E28" s="8" t="s">
        <x:v>1790</x:v>
      </x:c>
      <x:c r="F28" s="8" t="s">
        <x:v>156</x:v>
      </x:c>
      <x:c r="G28" s="8" t="s">
        <x:v>151</x:v>
      </x:c>
      <x:c r="H28" s="8" t="s">
        <x:v>156</x:v>
      </x:c>
      <x:c r="I28" s="8" t="s">
        <x:v>151</x:v>
      </x:c>
      <x:c r="J28" s="8" t="s">
        <x:v>151</x:v>
      </x:c>
      <x:c r="K28" s="8" t="s">
        <x:v>1791</x:v>
      </x:c>
      <x:c r="L28" s="8" t="s">
        <x:v>1792</x:v>
      </x:c>
      <x:c r="M28" s="8" t="s">
        <x:v>1789</x:v>
      </x:c>
      <x:c r="N28" s="8" t="s">
        <x:v>1793</x:v>
      </x:c>
      <x:c r="O28" s="8" t="s">
        <x:v>159</x:v>
      </x:c>
      <x:c r="P28" s="8" t="s">
        <x:v>1794</x:v>
      </x:c>
      <x:c r="Q28" s="8" t="s">
        <x:v>1795</x:v>
      </x:c>
      <x:c r="R28" s="8" t="s">
        <x:v>1796</x:v>
      </x:c>
      <x:c r="S28" s="8" t="s">
        <x:v>1797</x:v>
      </x:c>
      <x:c r="T28" s="8" t="s">
        <x:v>1798</x:v>
      </x:c>
      <x:c r="U28" s="8" t="s">
        <x:v>1799</x:v>
      </x:c>
      <x:c r="V28" s="8" t="str">
        <x:v>N/A: no self-hosting</x:v>
      </x:c>
      <x:c r="W28" s="8" t="s">
        <x:v>1800</x:v>
      </x:c>
      <x:c r="X28" s="8" t="s">
        <x:v>1026</x:v>
      </x:c>
      <x:c r="Y28" s="8" t="s">
        <x:v>1577</x:v>
      </x:c>
      <x:c r="Z28" s="1"/>
      <x:c r="AA28" s="1"/>
      <x:c r="AB28" s="1"/>
      <x:c r="AC28" s="1"/>
      <x:c r="AD28" s="1"/>
      <x:c r="AE28" s="1"/>
      <x:c r="AF28" s="1"/>
    </x:row>
    <x:row r="29">
      <x:c r="A29" s="8" t="str">
        <x:f>IF(Master!C977="","",Master!C977)</x:f>
      </x:c>
      <x:c r="B29" s="8" t="str">
        <x:f>IF(Master!D977="","",Master!D977)</x:f>
      </x:c>
      <x:c r="C29" s="8" t="str">
        <x:f>IF(Master!E977="","",Master!E977)</x:f>
      </x:c>
      <x:c r="D29" s="8" t="str">
        <x:f>IF(Master!F977="","",Master!F977)</x:f>
      </x:c>
      <x:c r="E29" s="8" t="str">
        <x:f>IF(Master!G977="","",Master!G977)</x:f>
      </x:c>
      <x:c r="F29" s="8" t="str">
        <x:f>IF(Master!H977="","",Master!H977)</x:f>
      </x:c>
      <x:c r="G29" s="8" t="str">
        <x:f>IF(Master!I977="","",Master!I977)</x:f>
      </x:c>
      <x:c r="H29" s="8" t="str">
        <x:f>IF(Master!J977="","",Master!J977)</x:f>
      </x:c>
      <x:c r="I29" s="8" t="str">
        <x:f>IF(Master!K977="","",Master!K977)</x:f>
      </x:c>
      <x:c r="J29" s="8" t="str">
        <x:f>IF(Master!L977="","",Master!L977)</x:f>
      </x:c>
      <x:c r="K29" s="8" t="str">
        <x:f>IF(Master!M977="","",Master!M977)</x:f>
      </x:c>
      <x:c r="L29" s="8" t="str">
        <x:f>IF(Master!N977="","",Master!N977)</x:f>
      </x:c>
      <x:c r="M29" s="8" t="str">
        <x:f>IF(Master!O977="","",Master!O977)</x:f>
      </x:c>
      <x:c r="N29" s="8" t="str">
        <x:f>IF(Master!P977="","",Master!P977)</x:f>
      </x:c>
      <x:c r="O29" s="8" t="str">
        <x:f>IF(Master!Q977="","",Master!Q977)</x:f>
      </x:c>
      <x:c r="P29" s="8" t="str">
        <x:f>IF(Master!R977="","",Master!R977)</x:f>
      </x:c>
      <x:c r="Q29" s="8" t="str">
        <x:f>IF(Master!S977="","",Master!S977)</x:f>
      </x:c>
      <x:c r="R29" s="8" t="str">
        <x:f>IF(Master!T977="","",Master!T977)</x:f>
      </x:c>
      <x:c r="S29" s="8" t="str">
        <x:f>IF(Master!U977="","",Master!U977)</x:f>
      </x:c>
      <x:c r="T29" s="8" t="str">
        <x:f>IF(Master!V977="","",Master!V977)</x:f>
      </x:c>
      <x:c r="U29" s="8" t="str">
        <x:f>IF(Master!W977="","",Master!W977)</x:f>
      </x:c>
      <x:c r="V29" s="8" t="str">
        <x:f>IF(Master!X977="","",Master!X977)</x:f>
      </x:c>
      <x:c r="W29" s="8" t="str">
        <x:f>IF(Master!Y977="","",Master!Y977)</x:f>
      </x:c>
      <x:c r="X29" s="8" t="str">
        <x:f>IF(Master!Z977="","",Master!Z977)</x:f>
      </x:c>
      <x:c r="Y29" s="8" t="str">
        <x:f>IF(Master!AA977="","",Master!AA977)</x:f>
      </x:c>
      <x:c r="Z29" s="1"/>
      <x:c r="AA29" s="1"/>
      <x:c r="AB29" s="1"/>
      <x:c r="AC29" s="1"/>
      <x:c r="AD29" s="1"/>
      <x:c r="AE29" s="1"/>
      <x:c r="AF29" s="1"/>
    </x:row>
    <x:row r="30" ht="60">
      <x:c r="A30" s="8" t="s">
        <x:v>67</x:v>
      </x:c>
      <x:c r="B30" s="8" t="s">
        <x:v>1801</x:v>
      </x:c>
      <x:c r="C30" s="8" t="s">
        <x:v>151</x:v>
      </x:c>
      <x:c r="D30" s="8" t="s">
        <x:v>1766</x:v>
      </x:c>
      <x:c r="E30" s="8" t="s">
        <x:v>1802</x:v>
      </x:c>
      <x:c r="F30" s="8" t="s">
        <x:v>151</x:v>
      </x:c>
      <x:c r="G30" s="8" t="s">
        <x:v>151</x:v>
      </x:c>
      <x:c r="H30" s="8" t="s">
        <x:v>151</x:v>
      </x:c>
      <x:c r="I30" s="8" t="s">
        <x:v>151</x:v>
      </x:c>
      <x:c r="J30" s="8" t="s">
        <x:v>1803</x:v>
      </x:c>
      <x:c r="K30" s="8" t="s">
        <x:v>1804</x:v>
      </x:c>
      <x:c r="L30" s="8" t="s">
        <x:v>1508</x:v>
      </x:c>
      <x:c r="M30" s="8" t="s">
        <x:v>1805</x:v>
      </x:c>
      <x:c r="N30" s="8" t="s">
        <x:v>1806</x:v>
      </x:c>
      <x:c r="O30" s="8" t="s">
        <x:v>159</x:v>
      </x:c>
      <x:c r="P30" s="8" t="s">
        <x:v>1807</x:v>
      </x:c>
      <x:c r="Q30" s="8" t="s">
        <x:v>1808</x:v>
      </x:c>
      <x:c r="R30" s="8" t="s">
        <x:v>1809</x:v>
      </x:c>
      <x:c r="S30" s="8" t="s">
        <x:v>1810</x:v>
      </x:c>
      <x:c r="T30" s="8" t="s">
        <x:v>151</x:v>
      </x:c>
      <x:c r="U30" s="8" t="s">
        <x:v>1811</x:v>
      </x:c>
      <x:c r="V30" s="8" t="str">
        <x:v>N/A: no self-hosting verified</x:v>
      </x:c>
      <x:c r="W30" s="8" t="s">
        <x:v>1812</x:v>
      </x:c>
      <x:c r="X30" s="8" t="s">
        <x:v>1026</x:v>
      </x:c>
      <x:c r="Y30" s="8" t="s">
        <x:v>1577</x:v>
      </x:c>
      <x:c r="Z30" s="1"/>
      <x:c r="AA30" s="1"/>
      <x:c r="AB30" s="1"/>
      <x:c r="AC30" s="1"/>
      <x:c r="AD30" s="1"/>
      <x:c r="AE30" s="1"/>
      <x:c r="AF30" s="1"/>
    </x:row>
    <x:row r="31" ht="75">
      <x:c r="A31" s="8" t="s">
        <x:v>90</x:v>
      </x:c>
      <x:c r="B31" s="8" t="s">
        <x:v>1813</x:v>
      </x:c>
      <x:c r="C31" s="8" t="s">
        <x:v>151</x:v>
      </x:c>
      <x:c r="D31" s="8" t="s">
        <x:v>1814</x:v>
      </x:c>
      <x:c r="E31" s="8" t="s">
        <x:v>151</x:v>
      </x:c>
      <x:c r="F31" s="8" t="s">
        <x:v>151</x:v>
      </x:c>
      <x:c r="G31" s="8" t="s">
        <x:v>151</x:v>
      </x:c>
      <x:c r="H31" s="8" t="s">
        <x:v>151</x:v>
      </x:c>
      <x:c r="I31" s="8" t="s">
        <x:v>151</x:v>
      </x:c>
      <x:c r="J31" s="8" t="s">
        <x:v>151</x:v>
      </x:c>
      <x:c r="K31" s="8" t="s">
        <x:v>1815</x:v>
      </x:c>
      <x:c r="L31" s="8" t="s">
        <x:v>151</x:v>
      </x:c>
      <x:c r="M31" s="8" t="s">
        <x:v>1816</x:v>
      </x:c>
      <x:c r="N31" s="8" t="s">
        <x:v>1817</x:v>
      </x:c>
      <x:c r="O31" s="8" t="s">
        <x:v>159</x:v>
      </x:c>
      <x:c r="P31" s="8" t="s">
        <x:v>1762</x:v>
      </x:c>
      <x:c r="Q31" s="8" t="s">
        <x:v>151</x:v>
      </x:c>
      <x:c r="R31" s="8" t="s">
        <x:v>1818</x:v>
      </x:c>
      <x:c r="S31" s="8" t="s">
        <x:v>151</x:v>
      </x:c>
      <x:c r="T31" s="8" t="s">
        <x:v>151</x:v>
      </x:c>
      <x:c r="U31" s="8" t="s">
        <x:v>151</x:v>
      </x:c>
      <x:c r="V31" s="8" t="s">
        <x:v>1819</x:v>
      </x:c>
      <x:c r="W31" s="8" t="s">
        <x:v>1820</x:v>
      </x:c>
      <x:c r="X31" s="8" t="s">
        <x:v>1026</x:v>
      </x:c>
      <x:c r="Y31" s="8" t="s">
        <x:v>1751</x:v>
      </x:c>
      <x:c r="Z31" s="1"/>
      <x:c r="AA31" s="1"/>
      <x:c r="AB31" s="1"/>
      <x:c r="AC31" s="1"/>
      <x:c r="AD31" s="1"/>
      <x:c r="AE31" s="1"/>
      <x:c r="AF31" s="1"/>
    </x:row>
    <x:row r="32" ht="75">
      <x:c r="A32" s="8" t="s">
        <x:v>92</x:v>
      </x:c>
      <x:c r="B32" s="8" t="s">
        <x:v>1821</x:v>
      </x:c>
      <x:c r="C32" s="8" t="s">
        <x:v>151</x:v>
      </x:c>
      <x:c r="D32" s="8" t="s">
        <x:v>1822</x:v>
      </x:c>
      <x:c r="E32" s="8" t="s">
        <x:v>151</x:v>
      </x:c>
      <x:c r="F32" s="8" t="s">
        <x:v>151</x:v>
      </x:c>
      <x:c r="G32" s="8" t="s">
        <x:v>151</x:v>
      </x:c>
      <x:c r="H32" s="8" t="s">
        <x:v>151</x:v>
      </x:c>
      <x:c r="I32" s="8" t="s">
        <x:v>151</x:v>
      </x:c>
      <x:c r="J32" s="8" t="s">
        <x:v>1823</x:v>
      </x:c>
      <x:c r="K32" s="8" t="s">
        <x:v>1824</x:v>
      </x:c>
      <x:c r="L32" s="8" t="s">
        <x:v>151</x:v>
      </x:c>
      <x:c r="M32" s="8" t="s">
        <x:v>1825</x:v>
      </x:c>
      <x:c r="N32" s="8" t="s">
        <x:v>1826</x:v>
      </x:c>
      <x:c r="O32" s="8" t="s">
        <x:v>151</x:v>
      </x:c>
      <x:c r="P32" s="8" t="s">
        <x:v>151</x:v>
      </x:c>
      <x:c r="Q32" s="8" t="s">
        <x:v>151</x:v>
      </x:c>
      <x:c r="R32" s="8" t="s">
        <x:v>1827</x:v>
      </x:c>
      <x:c r="S32" s="8" t="s">
        <x:v>151</x:v>
      </x:c>
      <x:c r="T32" s="8" t="s">
        <x:v>1828</x:v>
      </x:c>
      <x:c r="U32" s="8" t="s">
        <x:v>1829</x:v>
      </x:c>
      <x:c r="V32" s="8" t="str">
        <x:v>N/A: no self-host product described</x:v>
      </x:c>
      <x:c r="W32" s="8" t="s">
        <x:v>1830</x:v>
      </x:c>
      <x:c r="X32" s="8" t="s">
        <x:v>1026</x:v>
      </x:c>
      <x:c r="Y32" s="8" t="s">
        <x:v>1751</x:v>
      </x:c>
      <x:c r="Z32" s="1"/>
      <x:c r="AA32" s="1"/>
      <x:c r="AB32" s="1"/>
      <x:c r="AC32" s="1"/>
      <x:c r="AD32" s="1"/>
      <x:c r="AE32" s="1"/>
      <x:c r="AF32" s="1"/>
    </x:row>
  </x:sheetData>
  <x:mergeCells>
    <x:mergeCell ref="A1:Y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8" customWidth="1"/>
    <x:col min="2" max="2" width="36" customWidth="1"/>
    <x:col min="3" max="3" width="18" customWidth="1"/>
    <x:col min="4" max="4" width="36" customWidth="1"/>
    <x:col min="5" max="5" width="22" customWidth="1"/>
    <x:col min="6" max="6" width="15" customWidth="1"/>
    <x:col min="7" max="7" width="22" customWidth="1"/>
    <x:col min="8" max="9" width="18" customWidth="1"/>
  </x:cols>
  <x:sheetData>
    <x:row r="1" ht="27.950000762939453" customHeight="1">
      <x:c r="A1" s="24" t="str">
        <x:f>IFERROR(HYPERLINK("#'Sheet Directory'!A1","Discord Sources: researched as of 2026-09-15"),"Discord Sources: researched as of 2026-09-15")</x:f>
        <x:v>Discord Sources: researched as of 2026-09-15</x:v>
      </x:c>
      <x:c r="B1" s="24" t="s">
        <x:v>1831</x:v>
      </x:c>
      <x:c r="C1" s="24"/>
      <x:c r="D1" s="24"/>
      <x:c r="E1" s="24"/>
      <x:c r="F1" s="24"/>
      <x:c r="G1" s="24"/>
      <x:c r="H1" s="24"/>
      <x:c r="I1" s="24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1832</x:v>
      </x:c>
      <x:c r="B2" s="11" t="s">
        <x:v>1012</x:v>
      </x:c>
      <x:c r="C2" s="11" t="s">
        <x:v>1833</x:v>
      </x:c>
      <x:c r="D2" s="11" t="s">
        <x:v>1014</x:v>
      </x:c>
      <x:c r="E2" s="11" t="s">
        <x:v>1834</x:v>
      </x:c>
      <x:c r="F2" s="11" t="s">
        <x:v>1013</x:v>
      </x:c>
      <x:c r="G2" s="11" t="s">
        <x:v>1835</x:v>
      </x:c>
      <x:c r="H2" s="11" t="s">
        <x:v>1836</x:v>
      </x:c>
      <x:c r="I2" s="11" t="s">
        <x:v>1837</x:v>
      </x:c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60">
      <x:c r="A3" s="8" t="s">
        <x:v>1838</x:v>
      </x:c>
      <x:c r="B3" s="8" t="s">
        <x:v>1839</x:v>
      </x:c>
      <x:c r="C3" s="8" t="s">
        <x:v>1840</x:v>
      </x:c>
      <x:c r="D3" s="8" t="str">
        <x:v>U/K = unknown or not publicly verifiable with enough confidence to state.</x:v>
      </x:c>
      <x:c r="E3" s="8" t="s">
        <x:v>1841</x:v>
      </x:c>
      <x:c r="F3" s="8" t="s">
        <x:v>1026</x:v>
      </x:c>
      <x:c r="G3" s="8" t="s">
        <x:v>1842</x:v>
      </x:c>
      <x:c r="H3" s="8" t="s">
        <x:v>1435</x:v>
      </x:c>
      <x:c r="I3" s="8" t="s">
        <x:v>1843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60">
      <x:c r="A4" s="8" t="s">
        <x:v>1844</x:v>
      </x:c>
      <x:c r="B4" s="8" t="s">
        <x:v>1845</x:v>
      </x:c>
      <x:c r="C4" s="8" t="s">
        <x:v>1846</x:v>
      </x:c>
      <x:c r="D4" s="8" t="str">
        <x:v>U/K = unknown or not publicly verifiable with enough confidence to state.</x:v>
      </x:c>
      <x:c r="E4" s="8" t="s">
        <x:v>1841</x:v>
      </x:c>
      <x:c r="F4" s="8" t="s">
        <x:v>1026</x:v>
      </x:c>
      <x:c r="G4" s="8" t="s">
        <x:v>1842</x:v>
      </x:c>
      <x:c r="H4" s="8" t="s">
        <x:v>1435</x:v>
      </x:c>
      <x:c r="I4" s="8" t="s">
        <x:v>1843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75">
      <x:c r="A5" s="8" t="s">
        <x:v>1847</x:v>
      </x:c>
      <x:c r="B5" s="8" t="s">
        <x:v>1848</x:v>
      </x:c>
      <x:c r="C5" s="8" t="str">
        <x:v>Public company-size range: 501 to 1,000 employees; engineering subset remains U/K.</x:v>
      </x:c>
      <x:c r="D5" s="8" t="str">
        <x:v>U/K = unknown or not publicly verifiable with enough confidence to state.</x:v>
      </x:c>
      <x:c r="E5" s="8" t="s">
        <x:v>1841</x:v>
      </x:c>
      <x:c r="F5" s="8" t="s">
        <x:v>1026</x:v>
      </x:c>
      <x:c r="G5" s="8" t="s">
        <x:v>1842</x:v>
      </x:c>
      <x:c r="H5" s="8" t="s">
        <x:v>1435</x:v>
      </x:c>
      <x:c r="I5" s="8" t="s">
        <x:v>1843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75">
      <x:c r="A6" s="8" t="s">
        <x:v>1849</x:v>
      </x:c>
      <x:c r="B6" s="8" t="s">
        <x:v>1420</x:v>
      </x:c>
      <x:c r="C6" s="8" t="s">
        <x:v>1850</x:v>
      </x:c>
      <x:c r="D6" s="8" t="str">
        <x:v>U/K = unknown or not publicly verifiable with enough confidence to state.</x:v>
      </x:c>
      <x:c r="E6" s="8" t="s">
        <x:v>1841</x:v>
      </x:c>
      <x:c r="F6" s="8" t="s">
        <x:v>1026</x:v>
      </x:c>
      <x:c r="G6" s="8" t="s">
        <x:v>1842</x:v>
      </x:c>
      <x:c r="H6" s="8" t="s">
        <x:v>1435</x:v>
      </x:c>
      <x:c r="I6" s="8" t="s">
        <x:v>1843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60">
      <x:c r="A7" s="8" t="s">
        <x:v>1851</x:v>
      </x:c>
      <x:c r="B7" s="8" t="s">
        <x:v>1852</x:v>
      </x:c>
      <x:c r="C7" s="8" t="s">
        <x:v>1853</x:v>
      </x:c>
      <x:c r="D7" s="8" t="str">
        <x:v>U/K = unknown or not publicly verifiable with enough confidence to state.</x:v>
      </x:c>
      <x:c r="E7" s="8" t="s">
        <x:v>1841</x:v>
      </x:c>
      <x:c r="F7" s="8" t="s">
        <x:v>1026</x:v>
      </x:c>
      <x:c r="G7" s="8" t="s">
        <x:v>1842</x:v>
      </x:c>
      <x:c r="H7" s="8" t="s">
        <x:v>1435</x:v>
      </x:c>
      <x:c r="I7" s="8" t="s">
        <x:v>1843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60">
      <x:c r="A8" s="8" t="s">
        <x:v>1854</x:v>
      </x:c>
      <x:c r="B8" s="8" t="s">
        <x:v>1855</x:v>
      </x:c>
      <x:c r="C8" s="8" t="s">
        <x:v>1856</x:v>
      </x:c>
      <x:c r="D8" s="8" t="str">
        <x:v>U/K = unknown or not publicly verifiable with enough confidence to state.</x:v>
      </x:c>
      <x:c r="E8" s="8" t="s">
        <x:v>1841</x:v>
      </x:c>
      <x:c r="F8" s="8" t="s">
        <x:v>1026</x:v>
      </x:c>
      <x:c r="G8" s="8" t="s">
        <x:v>1842</x:v>
      </x:c>
      <x:c r="H8" s="8" t="s">
        <x:v>1435</x:v>
      </x:c>
      <x:c r="I8" s="8" t="s">
        <x:v>1843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">
        <x:v>1857</x:v>
      </x:c>
      <x:c r="B9" s="8" t="s">
        <x:v>1858</x:v>
      </x:c>
      <x:c r="C9" s="8" t="s">
        <x:v>1859</x:v>
      </x:c>
      <x:c r="D9" s="8" t="str">
        <x:v>U/K = unknown or not publicly verifiable with enough confidence to state.</x:v>
      </x:c>
      <x:c r="E9" s="8" t="s">
        <x:v>1841</x:v>
      </x:c>
      <x:c r="F9" s="8" t="s">
        <x:v>1026</x:v>
      </x:c>
      <x:c r="G9" s="8" t="s">
        <x:v>1842</x:v>
      </x:c>
      <x:c r="H9" s="8" t="s">
        <x:v>1435</x:v>
      </x:c>
      <x:c r="I9" s="8" t="s">
        <x:v>1843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45">
      <x:c r="A10" s="8" t="s">
        <x:v>1860</x:v>
      </x:c>
      <x:c r="B10" s="8" t="s">
        <x:v>1861</x:v>
      </x:c>
      <x:c r="C10" s="8" t="s">
        <x:v>1862</x:v>
      </x:c>
      <x:c r="D10" s="8" t="str">
        <x:v>U/K = unknown or not publicly verifiable with enough confidence to state.</x:v>
      </x:c>
      <x:c r="E10" s="8" t="s">
        <x:v>1841</x:v>
      </x:c>
      <x:c r="F10" s="8" t="s">
        <x:v>1026</x:v>
      </x:c>
      <x:c r="G10" s="8" t="s">
        <x:v>1842</x:v>
      </x:c>
      <x:c r="H10" s="8" t="s">
        <x:v>1435</x:v>
      </x:c>
      <x:c r="I10" s="8" t="s">
        <x:v>1843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60">
      <x:c r="A11" s="8" t="s">
        <x:v>1863</x:v>
      </x:c>
      <x:c r="B11" s="8" t="s">
        <x:v>1864</x:v>
      </x:c>
      <x:c r="C11" s="8" t="s">
        <x:v>1865</x:v>
      </x:c>
      <x:c r="D11" s="8" t="str">
        <x:v>U/K = unknown or not publicly verifiable with enough confidence to state.</x:v>
      </x:c>
      <x:c r="E11" s="8" t="s">
        <x:v>1841</x:v>
      </x:c>
      <x:c r="F11" s="8" t="s">
        <x:v>1026</x:v>
      </x:c>
      <x:c r="G11" s="8" t="s">
        <x:v>1842</x:v>
      </x:c>
      <x:c r="H11" s="8" t="s">
        <x:v>1435</x:v>
      </x:c>
      <x:c r="I11" s="8" t="s">
        <x:v>1843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60">
      <x:c r="A12" s="8" t="s">
        <x:v>1866</x:v>
      </x:c>
      <x:c r="B12" s="8" t="s">
        <x:v>1867</x:v>
      </x:c>
      <x:c r="C12" s="8" t="s">
        <x:v>1868</x:v>
      </x:c>
      <x:c r="D12" s="8" t="str">
        <x:v>U/K = unknown or not publicly verifiable with enough confidence to state.</x:v>
      </x:c>
      <x:c r="E12" s="8" t="s">
        <x:v>1841</x:v>
      </x:c>
      <x:c r="F12" s="8" t="s">
        <x:v>1026</x:v>
      </x:c>
      <x:c r="G12" s="8" t="s">
        <x:v>1842</x:v>
      </x:c>
      <x:c r="H12" s="8" t="s">
        <x:v>1435</x:v>
      </x:c>
      <x:c r="I12" s="8" t="s">
        <x:v>1843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1869</x:v>
      </x:c>
      <x:c r="B13" s="8" t="s">
        <x:v>1870</x:v>
      </x:c>
      <x:c r="C13" s="8" t="s">
        <x:v>1871</x:v>
      </x:c>
      <x:c r="D13" s="8" t="str">
        <x:v>U/K = unknown or not publicly verifiable with enough confidence to state.</x:v>
      </x:c>
      <x:c r="E13" s="8" t="s">
        <x:v>1841</x:v>
      </x:c>
      <x:c r="F13" s="8" t="s">
        <x:v>1026</x:v>
      </x:c>
      <x:c r="G13" s="8" t="s">
        <x:v>1842</x:v>
      </x:c>
      <x:c r="H13" s="8" t="s">
        <x:v>1435</x:v>
      </x:c>
      <x:c r="I13" s="8" t="s">
        <x:v>1843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1872</x:v>
      </x:c>
      <x:c r="B14" s="8" t="s">
        <x:v>1873</x:v>
      </x:c>
      <x:c r="C14" s="8" t="s">
        <x:v>1874</x:v>
      </x:c>
      <x:c r="D14" s="8" t="str">
        <x:v>U/K = unknown or not publicly verifiable with enough confidence to state.</x:v>
      </x:c>
      <x:c r="E14" s="8" t="s">
        <x:v>1841</x:v>
      </x:c>
      <x:c r="F14" s="8" t="s">
        <x:v>1026</x:v>
      </x:c>
      <x:c r="G14" s="8" t="s">
        <x:v>1842</x:v>
      </x:c>
      <x:c r="H14" s="8" t="s">
        <x:v>1435</x:v>
      </x:c>
      <x:c r="I14" s="8" t="s">
        <x:v>1843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60">
      <x:c r="A15" s="8" t="s">
        <x:v>1875</x:v>
      </x:c>
      <x:c r="B15" s="8" t="s">
        <x:v>1876</x:v>
      </x:c>
      <x:c r="C15" s="8" t="s">
        <x:v>1877</x:v>
      </x:c>
      <x:c r="D15" s="8" t="str">
        <x:v>U/K = unknown or not publicly verifiable with enough confidence to state.</x:v>
      </x:c>
      <x:c r="E15" s="8" t="s">
        <x:v>1841</x:v>
      </x:c>
      <x:c r="F15" s="8" t="s">
        <x:v>1026</x:v>
      </x:c>
      <x:c r="G15" s="8" t="s">
        <x:v>1842</x:v>
      </x:c>
      <x:c r="H15" s="8" t="s">
        <x:v>1435</x:v>
      </x:c>
      <x:c r="I15" s="8" t="s">
        <x:v>1843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1878</x:v>
      </x:c>
      <x:c r="B16" s="8" t="s">
        <x:v>1879</x:v>
      </x:c>
      <x:c r="C16" s="8" t="s">
        <x:v>1880</x:v>
      </x:c>
      <x:c r="D16" s="8" t="str">
        <x:v>U/K = unknown or not publicly verifiable with enough confidence to state.</x:v>
      </x:c>
      <x:c r="E16" s="8" t="s">
        <x:v>1841</x:v>
      </x:c>
      <x:c r="F16" s="8" t="s">
        <x:v>1026</x:v>
      </x:c>
      <x:c r="G16" s="8" t="s">
        <x:v>1842</x:v>
      </x:c>
      <x:c r="H16" s="8" t="s">
        <x:v>1435</x:v>
      </x:c>
      <x:c r="I16" s="8" t="s">
        <x:v>1843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1881</x:v>
      </x:c>
      <x:c r="B17" s="8" t="s">
        <x:v>1882</x:v>
      </x:c>
      <x:c r="C17" s="8" t="s">
        <x:v>1883</x:v>
      </x:c>
      <x:c r="D17" s="8" t="str">
        <x:v>U/K = unknown or not publicly verifiable with enough confidence to state.</x:v>
      </x:c>
      <x:c r="E17" s="8" t="s">
        <x:v>1841</x:v>
      </x:c>
      <x:c r="F17" s="8" t="s">
        <x:v>1026</x:v>
      </x:c>
      <x:c r="G17" s="8" t="s">
        <x:v>1842</x:v>
      </x:c>
      <x:c r="H17" s="8" t="s">
        <x:v>1435</x:v>
      </x:c>
      <x:c r="I17" s="8" t="s">
        <x:v>1843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1884</x:v>
      </x:c>
      <x:c r="B18" s="8" t="s">
        <x:v>1885</x:v>
      </x:c>
      <x:c r="C18" s="8" t="s">
        <x:v>1886</x:v>
      </x:c>
      <x:c r="D18" s="8" t="str">
        <x:v>U/K = unknown or not publicly verifiable with enough confidence to state.</x:v>
      </x:c>
      <x:c r="E18" s="8" t="s">
        <x:v>1841</x:v>
      </x:c>
      <x:c r="F18" s="8" t="s">
        <x:v>1026</x:v>
      </x:c>
      <x:c r="G18" s="8" t="s">
        <x:v>1842</x:v>
      </x:c>
      <x:c r="H18" s="8" t="s">
        <x:v>1435</x:v>
      </x:c>
      <x:c r="I18" s="8" t="s">
        <x:v>1843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1887</x:v>
      </x:c>
      <x:c r="B19" s="8" t="s">
        <x:v>1888</x:v>
      </x:c>
      <x:c r="C19" s="8" t="s">
        <x:v>1889</x:v>
      </x:c>
      <x:c r="D19" s="8" t="str">
        <x:v>U/K = unknown or not publicly verifiable with enough confidence to state.</x:v>
      </x:c>
      <x:c r="E19" s="8" t="s">
        <x:v>1841</x:v>
      </x:c>
      <x:c r="F19" s="8" t="s">
        <x:v>1026</x:v>
      </x:c>
      <x:c r="G19" s="8" t="s">
        <x:v>1842</x:v>
      </x:c>
      <x:c r="H19" s="8" t="s">
        <x:v>1435</x:v>
      </x:c>
      <x:c r="I19" s="8" t="s">
        <x:v>1843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60">
      <x:c r="A20" s="8" t="s">
        <x:v>1890</x:v>
      </x:c>
      <x:c r="B20" s="8" t="s">
        <x:v>1891</x:v>
      </x:c>
      <x:c r="C20" s="8" t="s">
        <x:v>1892</x:v>
      </x:c>
      <x:c r="D20" s="8" t="str">
        <x:v>U/K = unknown or not publicly verifiable with enough confidence to state.</x:v>
      </x:c>
      <x:c r="E20" s="8" t="s">
        <x:v>1841</x:v>
      </x:c>
      <x:c r="F20" s="8" t="s">
        <x:v>1026</x:v>
      </x:c>
      <x:c r="G20" s="8" t="s">
        <x:v>1842</x:v>
      </x:c>
      <x:c r="H20" s="8" t="s">
        <x:v>1435</x:v>
      </x:c>
      <x:c r="I20" s="8" t="s">
        <x:v>1843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1893</x:v>
      </x:c>
      <x:c r="B21" s="8" t="s">
        <x:v>1894</x:v>
      </x:c>
      <x:c r="C21" s="8" t="s">
        <x:v>1895</x:v>
      </x:c>
      <x:c r="D21" s="8" t="str">
        <x:v>U/K = unknown or not publicly verifiable with enough confidence to state.</x:v>
      </x:c>
      <x:c r="E21" s="8" t="s">
        <x:v>1841</x:v>
      </x:c>
      <x:c r="F21" s="8" t="s">
        <x:v>1026</x:v>
      </x:c>
      <x:c r="G21" s="8" t="s">
        <x:v>1842</x:v>
      </x:c>
      <x:c r="H21" s="8" t="s">
        <x:v>1435</x:v>
      </x:c>
      <x:c r="I21" s="8" t="s">
        <x:v>1843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1896</x:v>
      </x:c>
      <x:c r="B22" s="8" t="s">
        <x:v>1897</x:v>
      </x:c>
      <x:c r="C22" s="8" t="s">
        <x:v>1898</x:v>
      </x:c>
      <x:c r="D22" s="8" t="str">
        <x:v>U/K = unknown or not publicly verifiable with enough confidence to state.</x:v>
      </x:c>
      <x:c r="E22" s="8" t="s">
        <x:v>1841</x:v>
      </x:c>
      <x:c r="F22" s="8" t="s">
        <x:v>1026</x:v>
      </x:c>
      <x:c r="G22" s="8" t="s">
        <x:v>1842</x:v>
      </x:c>
      <x:c r="H22" s="8" t="s">
        <x:v>1435</x:v>
      </x:c>
      <x:c r="I22" s="8" t="s">
        <x:v>1843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30">
      <x:c r="A23" s="8" t="s">
        <x:v>1899</x:v>
      </x:c>
      <x:c r="B23" s="8" t="s">
        <x:v>1900</x:v>
      </x:c>
      <x:c r="C23" s="8" t="s">
        <x:v>1901</x:v>
      </x:c>
      <x:c r="D23" s="8" t="str">
        <x:v>U/K = unknown or not publicly verifiable with enough confidence to state.</x:v>
      </x:c>
      <x:c r="E23" s="8" t="s">
        <x:v>1841</x:v>
      </x:c>
      <x:c r="F23" s="8" t="s">
        <x:v>1026</x:v>
      </x:c>
      <x:c r="G23" s="8" t="s">
        <x:v>1842</x:v>
      </x:c>
      <x:c r="H23" s="8" t="s">
        <x:v>1435</x:v>
      </x:c>
      <x:c r="I23" s="8" t="s">
        <x:v>1843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60">
      <x:c r="A24" s="8" t="s">
        <x:v>1902</x:v>
      </x:c>
      <x:c r="B24" s="8" t="s">
        <x:v>1903</x:v>
      </x:c>
      <x:c r="C24" s="8" t="s">
        <x:v>1904</x:v>
      </x:c>
      <x:c r="D24" s="8" t="str">
        <x:v>U/K = unknown or not publicly verifiable with enough confidence to state.</x:v>
      </x:c>
      <x:c r="E24" s="8" t="s">
        <x:v>1841</x:v>
      </x:c>
      <x:c r="F24" s="8" t="s">
        <x:v>1026</x:v>
      </x:c>
      <x:c r="G24" s="8" t="s">
        <x:v>1842</x:v>
      </x:c>
      <x:c r="H24" s="8" t="s">
        <x:v>1435</x:v>
      </x:c>
      <x:c r="I24" s="8" t="s">
        <x:v>1843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1905</x:v>
      </x:c>
      <x:c r="B25" s="8" t="s">
        <x:v>1906</x:v>
      </x:c>
      <x:c r="C25" s="8" t="s">
        <x:v>1907</x:v>
      </x:c>
      <x:c r="D25" s="8" t="str">
        <x:v>U/K = unknown or not publicly verifiable with enough confidence to state.</x:v>
      </x:c>
      <x:c r="E25" s="8" t="s">
        <x:v>1841</x:v>
      </x:c>
      <x:c r="F25" s="8" t="s">
        <x:v>1026</x:v>
      </x:c>
      <x:c r="G25" s="8" t="s">
        <x:v>1842</x:v>
      </x:c>
      <x:c r="H25" s="8" t="s">
        <x:v>1435</x:v>
      </x:c>
      <x:c r="I25" s="8" t="s">
        <x:v>1843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60">
      <x:c r="A26" s="8" t="s">
        <x:v>1908</x:v>
      </x:c>
      <x:c r="B26" s="8" t="s">
        <x:v>1909</x:v>
      </x:c>
      <x:c r="C26" s="8" t="s">
        <x:v>1910</x:v>
      </x:c>
      <x:c r="D26" s="8" t="str">
        <x:v>U/K = unknown or not publicly verifiable with enough confidence to state.</x:v>
      </x:c>
      <x:c r="E26" s="8" t="s">
        <x:v>1841</x:v>
      </x:c>
      <x:c r="F26" s="8" t="s">
        <x:v>1026</x:v>
      </x:c>
      <x:c r="G26" s="8" t="s">
        <x:v>1842</x:v>
      </x:c>
      <x:c r="H26" s="8" t="s">
        <x:v>1435</x:v>
      </x:c>
      <x:c r="I26" s="8" t="s">
        <x:v>1843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60">
      <x:c r="A27" s="8" t="s">
        <x:v>1911</x:v>
      </x:c>
      <x:c r="B27" s="8" t="s">
        <x:v>1912</x:v>
      </x:c>
      <x:c r="C27" s="8" t="s">
        <x:v>1913</x:v>
      </x:c>
      <x:c r="D27" s="8" t="str">
        <x:v>U/K = unknown or not publicly verifiable with enough confidence to state.</x:v>
      </x:c>
      <x:c r="E27" s="8" t="s">
        <x:v>1841</x:v>
      </x:c>
      <x:c r="F27" s="8" t="s">
        <x:v>1026</x:v>
      </x:c>
      <x:c r="G27" s="8" t="s">
        <x:v>1842</x:v>
      </x:c>
      <x:c r="H27" s="8" t="s">
        <x:v>1435</x:v>
      </x:c>
      <x:c r="I27" s="8" t="s">
        <x:v>1843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45">
      <x:c r="A28" s="8" t="s">
        <x:v>1914</x:v>
      </x:c>
      <x:c r="B28" s="8" t="s">
        <x:v>1915</x:v>
      </x:c>
      <x:c r="C28" s="8" t="s">
        <x:v>1916</x:v>
      </x:c>
      <x:c r="D28" s="8" t="str">
        <x:v>U/K = unknown or not publicly verifiable with enough confidence to state.</x:v>
      </x:c>
      <x:c r="E28" s="8" t="s">
        <x:v>1841</x:v>
      </x:c>
      <x:c r="F28" s="8" t="s">
        <x:v>1026</x:v>
      </x:c>
      <x:c r="G28" s="8" t="s">
        <x:v>1842</x:v>
      </x:c>
      <x:c r="H28" s="8" t="s">
        <x:v>1435</x:v>
      </x:c>
      <x:c r="I28" s="8" t="s">
        <x:v>1843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">
        <x:v>1917</x:v>
      </x:c>
      <x:c r="B29" s="8" t="s">
        <x:v>1918</x:v>
      </x:c>
      <x:c r="C29" s="8" t="s">
        <x:v>1919</x:v>
      </x:c>
      <x:c r="D29" s="8" t="str">
        <x:v>U/K = unknown or not publicly verifiable with enough confidence to state.</x:v>
      </x:c>
      <x:c r="E29" s="8" t="s">
        <x:v>1841</x:v>
      </x:c>
      <x:c r="F29" s="8" t="s">
        <x:v>1026</x:v>
      </x:c>
      <x:c r="G29" s="8" t="s">
        <x:v>1842</x:v>
      </x:c>
      <x:c r="H29" s="8" t="s">
        <x:v>1435</x:v>
      </x:c>
      <x:c r="I29" s="8" t="s">
        <x:v>1843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60">
      <x:c r="A30" s="8" t="s">
        <x:v>1920</x:v>
      </x:c>
      <x:c r="B30" s="8" t="s">
        <x:v>1921</x:v>
      </x:c>
      <x:c r="C30" s="8" t="s">
        <x:v>1922</x:v>
      </x:c>
      <x:c r="D30" s="8" t="str">
        <x:v>U/K = unknown or not publicly verifiable with enough confidence to state.</x:v>
      </x:c>
      <x:c r="E30" s="8" t="s">
        <x:v>1841</x:v>
      </x:c>
      <x:c r="F30" s="8" t="s">
        <x:v>1026</x:v>
      </x:c>
      <x:c r="G30" s="8" t="s">
        <x:v>1842</x:v>
      </x:c>
      <x:c r="H30" s="8" t="s">
        <x:v>1435</x:v>
      </x:c>
      <x:c r="I30" s="8" t="s">
        <x:v>1843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1923</x:v>
      </x:c>
      <x:c r="B31" s="8" t="s">
        <x:v>1924</x:v>
      </x:c>
      <x:c r="C31" s="8" t="s">
        <x:v>1925</x:v>
      </x:c>
      <x:c r="D31" s="8" t="str">
        <x:v>U/K = unknown or not publicly verifiable with enough confidence to state.</x:v>
      </x:c>
      <x:c r="E31" s="8" t="s">
        <x:v>1841</x:v>
      </x:c>
      <x:c r="F31" s="8" t="s">
        <x:v>1026</x:v>
      </x:c>
      <x:c r="G31" s="8" t="s">
        <x:v>1842</x:v>
      </x:c>
      <x:c r="H31" s="8" t="s">
        <x:v>1435</x:v>
      </x:c>
      <x:c r="I31" s="8" t="s">
        <x:v>1843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60">
      <x:c r="A32" s="8" t="s">
        <x:v>1926</x:v>
      </x:c>
      <x:c r="B32" s="8" t="s">
        <x:v>1927</x:v>
      </x:c>
      <x:c r="C32" s="8" t="s">
        <x:v>1928</x:v>
      </x:c>
      <x:c r="D32" s="8" t="str">
        <x:v>U/K = unknown or not publicly verifiable with enough confidence to state.</x:v>
      </x:c>
      <x:c r="E32" s="8" t="s">
        <x:v>1841</x:v>
      </x:c>
      <x:c r="F32" s="8" t="s">
        <x:v>1026</x:v>
      </x:c>
      <x:c r="G32" s="8" t="s">
        <x:v>1842</x:v>
      </x:c>
      <x:c r="H32" s="8" t="s">
        <x:v>1435</x:v>
      </x:c>
      <x:c r="I32" s="8" t="s">
        <x:v>1843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">
        <x:v>328</x:v>
      </x:c>
      <x:c r="B33" s="8" t="s">
        <x:v>1929</x:v>
      </x:c>
      <x:c r="C33" s="8" t="s">
        <x:v>1930</x:v>
      </x:c>
      <x:c r="D33" s="8" t="str">
        <x:v>U/K = unknown or not publicly verifiable with enough confidence to state.</x:v>
      </x:c>
      <x:c r="E33" s="8" t="s">
        <x:v>1841</x:v>
      </x:c>
      <x:c r="F33" s="8" t="s">
        <x:v>1026</x:v>
      </x:c>
      <x:c r="G33" s="8" t="s">
        <x:v>1842</x:v>
      </x:c>
      <x:c r="H33" s="8" t="s">
        <x:v>1435</x:v>
      </x:c>
      <x:c r="I33" s="8" t="s">
        <x:v>1843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60">
      <x:c r="A34" s="8" t="s">
        <x:v>1931</x:v>
      </x:c>
      <x:c r="B34" s="8" t="s">
        <x:v>1932</x:v>
      </x:c>
      <x:c r="C34" s="8" t="s">
        <x:v>1933</x:v>
      </x:c>
      <x:c r="D34" s="8" t="str">
        <x:v>U/K = unknown or not publicly verifiable with enough confidence to state.</x:v>
      </x:c>
      <x:c r="E34" s="8" t="s">
        <x:v>1841</x:v>
      </x:c>
      <x:c r="F34" s="8" t="s">
        <x:v>1026</x:v>
      </x:c>
      <x:c r="G34" s="8" t="s">
        <x:v>1842</x:v>
      </x:c>
      <x:c r="H34" s="8" t="s">
        <x:v>1435</x:v>
      </x:c>
      <x:c r="I34" s="8" t="s">
        <x:v>1843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60">
      <x:c r="A35" s="8" t="s">
        <x:v>1934</x:v>
      </x:c>
      <x:c r="B35" s="8" t="s">
        <x:v>1935</x:v>
      </x:c>
      <x:c r="C35" s="8" t="s">
        <x:v>1936</x:v>
      </x:c>
      <x:c r="D35" s="8" t="str">
        <x:v>U/K = unknown or not publicly verifiable with enough confidence to state.</x:v>
      </x:c>
      <x:c r="E35" s="8" t="s">
        <x:v>1841</x:v>
      </x:c>
      <x:c r="F35" s="8" t="s">
        <x:v>1026</x:v>
      </x:c>
      <x:c r="G35" s="8" t="s">
        <x:v>1842</x:v>
      </x:c>
      <x:c r="H35" s="8" t="s">
        <x:v>1435</x:v>
      </x:c>
      <x:c r="I35" s="8" t="s">
        <x:v>1843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60">
      <x:c r="A36" s="8" t="s">
        <x:v>1937</x:v>
      </x:c>
      <x:c r="B36" s="8" t="s">
        <x:v>1938</x:v>
      </x:c>
      <x:c r="C36" s="8" t="s">
        <x:v>1939</x:v>
      </x:c>
      <x:c r="D36" s="8" t="str">
        <x:v>U/K = unknown or not publicly verifiable with enough confidence to state.</x:v>
      </x:c>
      <x:c r="E36" s="8" t="s">
        <x:v>1841</x:v>
      </x:c>
      <x:c r="F36" s="8" t="s">
        <x:v>1026</x:v>
      </x:c>
      <x:c r="G36" s="8" t="s">
        <x:v>1842</x:v>
      </x:c>
      <x:c r="H36" s="8" t="s">
        <x:v>1435</x:v>
      </x:c>
      <x:c r="I36" s="8" t="s">
        <x:v>1843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75">
      <x:c r="A37" s="8" t="s">
        <x:v>1940</x:v>
      </x:c>
      <x:c r="B37" s="8" t="s">
        <x:v>1941</x:v>
      </x:c>
      <x:c r="C37" s="8" t="s">
        <x:v>1942</x:v>
      </x:c>
      <x:c r="D37" s="8" t="str">
        <x:v>U/K = unknown or not publicly verifiable with enough confidence to state.</x:v>
      </x:c>
      <x:c r="E37" s="8" t="s">
        <x:v>1841</x:v>
      </x:c>
      <x:c r="F37" s="8" t="s">
        <x:v>1026</x:v>
      </x:c>
      <x:c r="G37" s="8" t="s">
        <x:v>1842</x:v>
      </x:c>
      <x:c r="H37" s="8" t="s">
        <x:v>1435</x:v>
      </x:c>
      <x:c r="I37" s="8" t="s">
        <x:v>1843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60">
      <x:c r="A38" s="8" t="s">
        <x:v>1943</x:v>
      </x:c>
      <x:c r="B38" s="8" t="s">
        <x:v>1944</x:v>
      </x:c>
      <x:c r="C38" s="8" t="s">
        <x:v>1945</x:v>
      </x:c>
      <x:c r="D38" s="8" t="str">
        <x:v>U/K = unknown or not publicly verifiable with enough confidence to state.</x:v>
      </x:c>
      <x:c r="E38" s="8" t="s">
        <x:v>1841</x:v>
      </x:c>
      <x:c r="F38" s="8" t="s">
        <x:v>1026</x:v>
      </x:c>
      <x:c r="G38" s="8" t="s">
        <x:v>1842</x:v>
      </x:c>
      <x:c r="H38" s="8" t="s">
        <x:v>1435</x:v>
      </x:c>
      <x:c r="I38" s="8" t="s">
        <x:v>1843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45">
      <x:c r="A39" s="8" t="s">
        <x:v>1946</x:v>
      </x:c>
      <x:c r="B39" s="8" t="s">
        <x:v>1947</x:v>
      </x:c>
      <x:c r="C39" s="8" t="s">
        <x:v>1948</x:v>
      </x:c>
      <x:c r="D39" s="8" t="str">
        <x:v>U/K = unknown or not publicly verifiable with enough confidence to state.</x:v>
      </x:c>
      <x:c r="E39" s="8" t="s">
        <x:v>1841</x:v>
      </x:c>
      <x:c r="F39" s="8" t="s">
        <x:v>1026</x:v>
      </x:c>
      <x:c r="G39" s="8" t="s">
        <x:v>1842</x:v>
      </x:c>
      <x:c r="H39" s="8" t="s">
        <x:v>1435</x:v>
      </x:c>
      <x:c r="I39" s="8" t="s">
        <x:v>1843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105">
      <x:c r="A40" s="8" t="s">
        <x:v>1949</x:v>
      </x:c>
      <x:c r="B40" s="8" t="s">
        <x:v>1932</x:v>
      </x:c>
      <x:c r="C40" s="8" t="s">
        <x:v>1950</x:v>
      </x:c>
      <x:c r="D40" s="8" t="s">
        <x:v>1951</x:v>
      </x:c>
      <x:c r="E40" s="8" t="s">
        <x:v>1841</x:v>
      </x:c>
      <x:c r="F40" s="8" t="s">
        <x:v>1026</x:v>
      </x:c>
      <x:c r="G40" s="8" t="s">
        <x:v>1842</x:v>
      </x:c>
      <x:c r="H40" s="8" t="s">
        <x:v>1952</x:v>
      </x:c>
      <x:c r="I40" s="8" t="s">
        <x:v>1843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105">
      <x:c r="A41" s="8" t="s">
        <x:v>1934</x:v>
      </x:c>
      <x:c r="B41" s="8" t="s">
        <x:v>1935</x:v>
      </x:c>
      <x:c r="C41" s="8" t="s">
        <x:v>1953</x:v>
      </x:c>
      <x:c r="D41" s="8" t="s">
        <x:v>1954</x:v>
      </x:c>
      <x:c r="E41" s="8" t="s">
        <x:v>1841</x:v>
      </x:c>
      <x:c r="F41" s="8" t="s">
        <x:v>1026</x:v>
      </x:c>
      <x:c r="G41" s="8" t="s">
        <x:v>1842</x:v>
      </x:c>
      <x:c r="H41" s="8" t="s">
        <x:v>1952</x:v>
      </x:c>
      <x:c r="I41" s="8" t="s">
        <x:v>1843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60">
      <x:c r="A42" s="8" t="s">
        <x:v>1955</x:v>
      </x:c>
      <x:c r="B42" s="8" t="s">
        <x:v>1956</x:v>
      </x:c>
      <x:c r="C42" s="8" t="s">
        <x:v>1957</x:v>
      </x:c>
      <x:c r="D42" s="8" t="s">
        <x:v>1958</x:v>
      </x:c>
      <x:c r="E42" s="8" t="s">
        <x:v>1841</x:v>
      </x:c>
      <x:c r="F42" s="8" t="s">
        <x:v>1026</x:v>
      </x:c>
      <x:c r="G42" s="8" t="s">
        <x:v>1842</x:v>
      </x:c>
      <x:c r="H42" s="8" t="s">
        <x:v>1959</x:v>
      </x:c>
      <x:c r="I42" s="8" t="s">
        <x:v>1843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</x:sheetData>
  <x:mergeCells>
    <x:mergeCell ref="A1:I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3" width="36" customWidth="1"/>
    <x:col min="4" max="4" width="18" customWidth="1"/>
    <x:col min="5" max="5" width="15" customWidth="1"/>
    <x:col min="6" max="7" width="22" customWidth="1"/>
    <x:col min="8" max="9" width="18" customWidth="1"/>
  </x:cols>
  <x:sheetData>
    <x:row r="1" ht="27.950000762939453" customHeight="1">
      <x:c r="A1" s="24" t="str">
        <x:v>Research Sources: alternatives re-verified from first-party sources as of 2026-09-16</x:v>
      </x:c>
      <x:c r="B1" s="24"/>
      <x:c r="C1" s="24"/>
      <x:c r="D1" s="24"/>
      <x:c r="E1" s="24"/>
      <x:c r="F1" s="24"/>
      <x:c r="G1" s="24"/>
      <x:c r="H1" s="24"/>
      <x:c r="I1" s="24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tr">
        <x:v>Platform</x:v>
      </x:c>
      <x:c r="B2" s="11" t="str">
        <x:v>Area</x:v>
      </x:c>
      <x:c r="C2" s="11" t="str">
        <x:v>URL</x:v>
      </x:c>
      <x:c r="D2" s="11" t="str">
        <x:v>What it supports</x:v>
      </x:c>
      <x:c r="E2" s="11" t="str">
        <x:v>Checked</x:v>
      </x:c>
      <x:c r="F2" s="11" t="str">
        <x:v>Source Type</x:v>
      </x:c>
      <x:c r="G2" s="11" t="str">
        <x:v>Evidence Level</x:v>
      </x:c>
      <x:c r="H2" s="11" t="str">
        <x:v>Applies To</x:v>
      </x:c>
      <x:c r="I2" s="11" t="str">
        <x:v>Language</x:v>
      </x:c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75">
      <x:c r="A3" s="8" t="str">
        <x:v>Stoat</x:v>
      </x:c>
      <x:c r="B3" s="8" t="str">
        <x:v>Self-hosting</x:v>
      </x:c>
      <x:c r="C3" s="8" t="str">
        <x:v>https://github.com/stoatchat/self-hosted</x:v>
      </x:c>
      <x:c r="D3" s="8" t="str">
        <x:v>Official Docker self-host stack; notes that most official clients do not yet support custom instances well.</x:v>
      </x:c>
      <x:c r="E3" s="8" t="str">
        <x:v>2026-09-15</x:v>
      </x:c>
      <x:c r="F3" s="8" t="str">
        <x:v>First-party / official or project repository</x:v>
      </x:c>
      <x:c r="G3" s="8" t="str">
        <x:v>Primary</x:v>
      </x:c>
      <x:c r="H3" s="8" t="str">
        <x:v>Multiple</x:v>
      </x:c>
      <x:c r="I3" s="8" t="str">
        <x:v>English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75">
      <x:c r="A4" s="8" t="str">
        <x:v>Stoat</x:v>
      </x:c>
      <x:c r="B4" s="8" t="str">
        <x:v>Backend / licensing</x:v>
      </x:c>
      <x:c r="C4" s="8" t="str">
        <x:v>https://github.com/stoatchat/stoatchat</x:v>
      </x:c>
      <x:c r="D4" s="8" t="str">
        <x:v>Rust backend, AGPL-3.0, MongoDB/Redis/RabbitMQ/MinIO, LiveKit config.</x:v>
      </x:c>
      <x:c r="E4" s="8" t="str">
        <x:v>2026-09-15</x:v>
      </x:c>
      <x:c r="F4" s="8" t="str">
        <x:v>First-party / official or project repository</x:v>
      </x:c>
      <x:c r="G4" s="8" t="str">
        <x:v>Primary</x:v>
      </x:c>
      <x:c r="H4" s="8" t="str">
        <x:v>Multiple</x:v>
      </x:c>
      <x:c r="I4" s="8" t="str">
        <x:v>English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60">
      <x:c r="A5" s="8" t="str">
        <x:v>Stoat</x:v>
      </x:c>
      <x:c r="B5" s="8" t="str">
        <x:v>Client ecosystem</x:v>
      </x:c>
      <x:c r="C5" s="8" t="str">
        <x:v>https://github.com/stoatchat/</x:v>
      </x:c>
      <x:c r="D5" s="8" t="str">
        <x:v>Web PWA, Electron desktop, Android, iOS project and community clients.</x:v>
      </x:c>
      <x:c r="E5" s="8" t="str">
        <x:v>2026-09-15</x:v>
      </x:c>
      <x:c r="F5" s="8" t="str">
        <x:v>First-party / official or project repository</x:v>
      </x:c>
      <x:c r="G5" s="8" t="str">
        <x:v>Primary</x:v>
      </x:c>
      <x:c r="H5" s="8" t="str">
        <x:v>Multiple</x:v>
      </x:c>
      <x:c r="I5" s="8" t="str">
        <x:v>English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75">
      <x:c r="A6" s="8" t="str">
        <x:v>Stoat</x:v>
      </x:c>
      <x:c r="B6" s="8" t="str">
        <x:v>Current product scope</x:v>
      </x:c>
      <x:c r="C6" s="8" t="str">
        <x:v>https://stoat.chat/legal/terms-stoat-supplement</x:v>
      </x:c>
      <x:c r="D6" s="8" t="str">
        <x:v>Stoat is chat with messaging, voice/video and recognizes self-hosted instances.</x:v>
      </x:c>
      <x:c r="E6" s="8" t="str">
        <x:v>2026-09-15</x:v>
      </x:c>
      <x:c r="F6" s="8" t="str">
        <x:v>First-party / official or project repository</x:v>
      </x:c>
      <x:c r="G6" s="8" t="str">
        <x:v>Primary</x:v>
      </x:c>
      <x:c r="H6" s="8" t="str">
        <x:v>Multiple</x:v>
      </x:c>
      <x:c r="I6" s="8" t="str">
        <x:v>English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60">
      <x:c r="A7" s="8" t="str">
        <x:v>Fenrid</x:v>
      </x:c>
      <x:c r="B7" s="8" t="str">
        <x:v>Current status/features</x:v>
      </x:c>
      <x:c r="C7" s="8" t="str">
        <x:v>https://fenrid.com/</x:v>
      </x:c>
      <x:c r="D7" s="8" t="str">
        <x:v>Alpha; channels, roles, voice/video/screen share, E2EE direct messages.</x:v>
      </x:c>
      <x:c r="E7" s="8" t="str">
        <x:v>2026-09-15</x:v>
      </x:c>
      <x:c r="F7" s="8" t="str">
        <x:v>First-party / official or project repository</x:v>
      </x:c>
      <x:c r="G7" s="8" t="str">
        <x:v>Primary</x:v>
      </x:c>
      <x:c r="H7" s="8" t="str">
        <x:v>Multiple</x:v>
      </x:c>
      <x:c r="I7" s="8" t="str">
        <x:v>English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75">
      <x:c r="A8" s="8" t="str">
        <x:v>Fenrid</x:v>
      </x:c>
      <x:c r="B8" s="8" t="str">
        <x:v>Architecture / E2EE disclosure</x:v>
      </x:c>
      <x:c r="C8" s="8" t="str">
        <x:v>https://blog.fenrid.com/fenrids-story</x:v>
      </x:c>
      <x:c r="D8" s="8" t="str">
        <x:v>Founder details centralized hosted architecture, E2EE boundaries, tech stack and open-source plan.</x:v>
      </x:c>
      <x:c r="E8" s="8" t="str">
        <x:v>2026-09-15</x:v>
      </x:c>
      <x:c r="F8" s="8" t="str">
        <x:v>First-party / official or project repository</x:v>
      </x:c>
      <x:c r="G8" s="8" t="str">
        <x:v>Primary</x:v>
      </x:c>
      <x:c r="H8" s="8" t="str">
        <x:v>Multiple</x:v>
      </x:c>
      <x:c r="I8" s="8" t="str">
        <x:v>English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tr">
        <x:v>Fenrid</x:v>
      </x:c>
      <x:c r="B9" s="8" t="str">
        <x:v>E2EE / roadmap</x:v>
      </x:c>
      <x:c r="C9" s="8" t="str">
        <x:v>https://fenrid.com/waitlist</x:v>
      </x:c>
      <x:c r="D9" s="8" t="str">
        <x:v>Published DM encryption flow and planned launch features.</x:v>
      </x:c>
      <x:c r="E9" s="8" t="str">
        <x:v>2026-09-15</x:v>
      </x:c>
      <x:c r="F9" s="8" t="str">
        <x:v>First-party / official or project repository</x:v>
      </x:c>
      <x:c r="G9" s="8" t="str">
        <x:v>Primary</x:v>
      </x:c>
      <x:c r="H9" s="8" t="str">
        <x:v>Multiple</x:v>
      </x:c>
      <x:c r="I9" s="8" t="str">
        <x:v>English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60">
      <x:c r="A10" s="8" t="str">
        <x:v>Fluxer</x:v>
      </x:c>
      <x:c r="B10" s="8" t="str">
        <x:v>Privacy / E2EE / AI</x:v>
      </x:c>
      <x:c r="C10" s="8" t="str">
        <x:v>https://fluxer.app/privacy</x:v>
      </x:c>
      <x:c r="D10" s="8" t="str">
        <x:v>No AI training; no E2EE yet; hosting jurisdiction/data practices.</x:v>
      </x:c>
      <x:c r="E10" s="8" t="str">
        <x:v>2026-09-15</x:v>
      </x:c>
      <x:c r="F10" s="8" t="str">
        <x:v>First-party / official or project repository</x:v>
      </x:c>
      <x:c r="G10" s="8" t="str">
        <x:v>Primary</x:v>
      </x:c>
      <x:c r="H10" s="8" t="str">
        <x:v>Multiple</x:v>
      </x:c>
      <x:c r="I10" s="8" t="str">
        <x:v>English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60">
      <x:c r="A11" s="8" t="str">
        <x:v>Fluxer</x:v>
      </x:c>
      <x:c r="B11" s="8" t="str">
        <x:v>Client distribution</x:v>
      </x:c>
      <x:c r="C11" s="8" t="str">
        <x:v>https://fluxer.app/download</x:v>
      </x:c>
      <x:c r="D11" s="8" t="str">
        <x:v>Web/desktop, Linux packages, Android/iOS beta status.</x:v>
      </x:c>
      <x:c r="E11" s="8" t="str">
        <x:v>2026-09-15</x:v>
      </x:c>
      <x:c r="F11" s="8" t="str">
        <x:v>First-party / official or project repository</x:v>
      </x:c>
      <x:c r="G11" s="8" t="str">
        <x:v>Primary</x:v>
      </x:c>
      <x:c r="H11" s="8" t="str">
        <x:v>Multiple</x:v>
      </x:c>
      <x:c r="I11" s="8" t="str">
        <x:v>English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60">
      <x:c r="A12" s="8" t="str">
        <x:v>Fluxer</x:v>
      </x:c>
      <x:c r="B12" s="8" t="str">
        <x:v>Roadmap / self-host/federation</x:v>
      </x:c>
      <x:c r="C12" s="8" t="str">
        <x:v>https://fluxer.app/blog/roadmap-2026</x:v>
      </x:c>
      <x:c r="D12" s="8" t="str">
        <x:v>Public beta, self-host architecture, mobile, voice/video E2EE and federation roadmap.</x:v>
      </x:c>
      <x:c r="E12" s="8" t="str">
        <x:v>2026-09-15</x:v>
      </x:c>
      <x:c r="F12" s="8" t="str">
        <x:v>First-party / official or project repository</x:v>
      </x:c>
      <x:c r="G12" s="8" t="str">
        <x:v>Primary</x:v>
      </x:c>
      <x:c r="H12" s="8" t="str">
        <x:v>Multiple</x:v>
      </x:c>
      <x:c r="I12" s="8" t="str">
        <x:v>English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75">
      <x:c r="A13" s="8" t="str">
        <x:v>Root</x:v>
      </x:c>
      <x:c r="B13" s="8" t="str">
        <x:v>Privacy / AI</x:v>
      </x:c>
      <x:c r="C13" s="8" t="str">
        <x:v>https://www.rootapp.com/privacy-policy</x:v>
      </x:c>
      <x:c r="D13" s="8" t="str">
        <x:v>Closed centralized service; stored message/file data, real-time calls, no AI training, IP collection.</x:v>
      </x:c>
      <x:c r="E13" s="8" t="str">
        <x:v>2026-09-15</x:v>
      </x:c>
      <x:c r="F13" s="8" t="str">
        <x:v>First-party / official or project repository</x:v>
      </x:c>
      <x:c r="G13" s="8" t="str">
        <x:v>Primary</x:v>
      </x:c>
      <x:c r="H13" s="8" t="str">
        <x:v>Multiple</x:v>
      </x:c>
      <x:c r="I13" s="8" t="str">
        <x:v>English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45">
      <x:c r="A14" s="8" t="str">
        <x:v>Root</x:v>
      </x:c>
      <x:c r="B14" s="8" t="str">
        <x:v>Discord import</x:v>
      </x:c>
      <x:c r="C14" s="8" t="str">
        <x:v>https://support.rootapp.com/docs/leader/community/import-discord-template/</x:v>
      </x:c>
      <x:c r="D14" s="8" t="str">
        <x:v>Exactly what Discord template import does and does not migrate.</x:v>
      </x:c>
      <x:c r="E14" s="8" t="str">
        <x:v>2026-09-15</x:v>
      </x:c>
      <x:c r="F14" s="8" t="str">
        <x:v>First-party / official or project repository</x:v>
      </x:c>
      <x:c r="G14" s="8" t="str">
        <x:v>Primary</x:v>
      </x:c>
      <x:c r="H14" s="8" t="str">
        <x:v>Multiple</x:v>
      </x:c>
      <x:c r="I14" s="8" t="str">
        <x:v>English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60">
      <x:c r="A15" s="8" t="str">
        <x:v>Root</x:v>
      </x:c>
      <x:c r="B15" s="8" t="str">
        <x:v>Screen share</x:v>
      </x:c>
      <x:c r="C15" s="8" t="str">
        <x:v>https://support.rootapp.com/docs/member/voice-video/share-screen/</x:v>
      </x:c>
      <x:c r="D15" s="8" t="str">
        <x:v>720p30 game mode, Source@5fps, audio capture, no mobile sharing.</x:v>
      </x:c>
      <x:c r="E15" s="8" t="str">
        <x:v>2026-09-15</x:v>
      </x:c>
      <x:c r="F15" s="8" t="str">
        <x:v>First-party / official or project repository</x:v>
      </x:c>
      <x:c r="G15" s="8" t="str">
        <x:v>Primary</x:v>
      </x:c>
      <x:c r="H15" s="8" t="str">
        <x:v>Multiple</x:v>
      </x:c>
      <x:c r="I15" s="8" t="str">
        <x:v>English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60">
      <x:c r="A16" s="8" t="str">
        <x:v>Root</x:v>
      </x:c>
      <x:c r="B16" s="8" t="str">
        <x:v>Apps/Bots</x:v>
      </x:c>
      <x:c r="C16" s="8" t="str">
        <x:v>https://docs.rootapp.com/docs/overview/choose-app-or-bot/</x:v>
      </x:c>
      <x:c r="D16" s="8" t="str">
        <x:v>Hosted Root Apps with GUIs vs Bots, API access and hosted runtime model.</x:v>
      </x:c>
      <x:c r="E16" s="8" t="str">
        <x:v>2026-09-15</x:v>
      </x:c>
      <x:c r="F16" s="8" t="str">
        <x:v>First-party / official or project repository</x:v>
      </x:c>
      <x:c r="G16" s="8" t="str">
        <x:v>Primary</x:v>
      </x:c>
      <x:c r="H16" s="8" t="str">
        <x:v>Multiple</x:v>
      </x:c>
      <x:c r="I16" s="8" t="str">
        <x:v>English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30">
      <x:c r="A17" s="8" t="str">
        <x:v>Root</x:v>
      </x:c>
      <x:c r="B17" s="8" t="str">
        <x:v>File limits</x:v>
      </x:c>
      <x:c r="C17" s="8" t="str">
        <x:v>https://support.rootapp.com/docs/leader/channel-files/overview/</x:v>
      </x:c>
      <x:c r="D17" s="8" t="str">
        <x:v>25 MB max file and 10 files/upload.</x:v>
      </x:c>
      <x:c r="E17" s="8" t="str">
        <x:v>2026-09-15</x:v>
      </x:c>
      <x:c r="F17" s="8" t="str">
        <x:v>First-party / official or project repository</x:v>
      </x:c>
      <x:c r="G17" s="8" t="str">
        <x:v>Primary</x:v>
      </x:c>
      <x:c r="H17" s="8" t="str">
        <x:v>Multiple</x:v>
      </x:c>
      <x:c r="I17" s="8" t="str">
        <x:v>English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60">
      <x:c r="A18" s="8" t="str">
        <x:v>Matrix</x:v>
      </x:c>
      <x:c r="B18" s="8" t="str">
        <x:v>Platform model</x:v>
      </x:c>
      <x:c r="C18" s="8" t="str">
        <x:v>https://matrix.org/docs/matrix-concepts/elements-of-matrix/</x:v>
      </x:c>
      <x:c r="D18" s="8" t="str">
        <x:v>Separates homeservers, clients and federation; Matrix is not Element.</x:v>
      </x:c>
      <x:c r="E18" s="8" t="str">
        <x:v>2026-09-15</x:v>
      </x:c>
      <x:c r="F18" s="8" t="str">
        <x:v>First-party / official or project repository</x:v>
      </x:c>
      <x:c r="G18" s="8" t="str">
        <x:v>Primary</x:v>
      </x:c>
      <x:c r="H18" s="8" t="str">
        <x:v>Multiple</x:v>
      </x:c>
      <x:c r="I18" s="8" t="str">
        <x:v>English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60">
      <x:c r="A19" s="8" t="str">
        <x:v>Matrix</x:v>
      </x:c>
      <x:c r="B19" s="8" t="str">
        <x:v>Specification</x:v>
      </x:c>
      <x:c r="C19" s="8" t="str">
        <x:v>https://spec.matrix.org/unstable/</x:v>
      </x:c>
      <x:c r="D19" s="8" t="str">
        <x:v>Open client-server/server-server architecture and federation.</x:v>
      </x:c>
      <x:c r="E19" s="8" t="str">
        <x:v>2026-09-15</x:v>
      </x:c>
      <x:c r="F19" s="8" t="str">
        <x:v>First-party / official or project repository</x:v>
      </x:c>
      <x:c r="G19" s="8" t="str">
        <x:v>Primary</x:v>
      </x:c>
      <x:c r="H19" s="8" t="str">
        <x:v>Multiple</x:v>
      </x:c>
      <x:c r="I19" s="8" t="str">
        <x:v>English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60">
      <x:c r="A20" s="8" t="str">
        <x:v>Matrix</x:v>
      </x:c>
      <x:c r="B20" s="8" t="str">
        <x:v>Homeserver network</x:v>
      </x:c>
      <x:c r="C20" s="8" t="str">
        <x:v>https://matrix.org/homeserver/about/</x:v>
      </x:c>
      <x:c r="D20" s="8" t="str">
        <x:v>matrix.org is one homeserver in the federated network, not Matrix itself.</x:v>
      </x:c>
      <x:c r="E20" s="8" t="str">
        <x:v>2026-09-15</x:v>
      </x:c>
      <x:c r="F20" s="8" t="str">
        <x:v>First-party / official or project repository</x:v>
      </x:c>
      <x:c r="G20" s="8" t="str">
        <x:v>Primary</x:v>
      </x:c>
      <x:c r="H20" s="8" t="str">
        <x:v>Multiple</x:v>
      </x:c>
      <x:c r="I20" s="8" t="str">
        <x:v>English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60">
      <x:c r="A21" s="8" t="str">
        <x:v>Spacebar</x:v>
      </x:c>
      <x:c r="B21" s="8" t="str">
        <x:v>Project definition</x:v>
      </x:c>
      <x:c r="C21" s="8" t="str">
        <x:v>https://docs.spacebar.chat/</x:v>
      </x:c>
      <x:c r="D21" s="8" t="str">
        <x:v>FOSS Discord API reimplementation; self-hosted, separate from Discord.</x:v>
      </x:c>
      <x:c r="E21" s="8" t="str">
        <x:v>2026-09-15</x:v>
      </x:c>
      <x:c r="F21" s="8" t="str">
        <x:v>First-party / official or project repository</x:v>
      </x:c>
      <x:c r="G21" s="8" t="str">
        <x:v>Primary</x:v>
      </x:c>
      <x:c r="H21" s="8" t="str">
        <x:v>Multiple</x:v>
      </x:c>
      <x:c r="I21" s="8" t="str">
        <x:v>English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30">
      <x:c r="A22" s="8" t="str">
        <x:v>Spacebar</x:v>
      </x:c>
      <x:c r="B22" s="8" t="str">
        <x:v>Server model</x:v>
      </x:c>
      <x:c r="C22" s="8" t="str">
        <x:v>https://docs.spacebar.chat/setup/server/</x:v>
      </x:c>
      <x:c r="D22" s="8" t="str">
        <x:v>API, Gateway and CDN service layout.</x:v>
      </x:c>
      <x:c r="E22" s="8" t="str">
        <x:v>2026-09-15</x:v>
      </x:c>
      <x:c r="F22" s="8" t="str">
        <x:v>First-party / official or project repository</x:v>
      </x:c>
      <x:c r="G22" s="8" t="str">
        <x:v>Primary</x:v>
      </x:c>
      <x:c r="H22" s="8" t="str">
        <x:v>Multiple</x:v>
      </x:c>
      <x:c r="I22" s="8" t="str">
        <x:v>English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75">
      <x:c r="A23" s="8" t="str">
        <x:v>Spacebar</x:v>
      </x:c>
      <x:c r="B23" s="8" t="str">
        <x:v>Voice</x:v>
      </x:c>
      <x:c r="C23" s="8" t="str">
        <x:v>https://docs.spacebar.chat/setup/server/installation/generic/voice/</x:v>
      </x:c>
      <x:c r="D23" s="8" t="str">
        <x:v>Optional WebRTC media implementations, audio/video/Go Live capability.</x:v>
      </x:c>
      <x:c r="E23" s="8" t="str">
        <x:v>2026-09-15</x:v>
      </x:c>
      <x:c r="F23" s="8" t="str">
        <x:v>First-party / official or project repository</x:v>
      </x:c>
      <x:c r="G23" s="8" t="str">
        <x:v>Primary</x:v>
      </x:c>
      <x:c r="H23" s="8" t="str">
        <x:v>Multiple</x:v>
      </x:c>
      <x:c r="I23" s="8" t="str">
        <x:v>English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60">
      <x:c r="A24" s="8" t="str">
        <x:v>Mumble</x:v>
      </x:c>
      <x:c r="B24" s="8" t="str">
        <x:v>Core project</x:v>
      </x:c>
      <x:c r="C24" s="8" t="str">
        <x:v>https://github.com/mumble-voip/mumble</x:v>
      </x:c>
      <x:c r="D24" s="8" t="str">
        <x:v>Open-source voice client/server, active development and BSD-style license.</x:v>
      </x:c>
      <x:c r="E24" s="8" t="str">
        <x:v>2026-09-15</x:v>
      </x:c>
      <x:c r="F24" s="8" t="str">
        <x:v>First-party / official or project repository</x:v>
      </x:c>
      <x:c r="G24" s="8" t="str">
        <x:v>Primary</x:v>
      </x:c>
      <x:c r="H24" s="8" t="str">
        <x:v>Multiple</x:v>
      </x:c>
      <x:c r="I24" s="8" t="str">
        <x:v>English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75">
      <x:c r="A25" s="8" t="str">
        <x:v>TeamSpeak</x:v>
      </x:c>
      <x:c r="B25" s="8" t="str">
        <x:v>Official site</x:v>
      </x:c>
      <x:c r="C25" s="8" t="str">
        <x:v>https://www.teamspeak.com/</x:v>
      </x:c>
      <x:c r="D25" s="8" t="str">
        <x:v>Commercial TeamSpeak client/server ecosystem; TS6 generation.</x:v>
      </x:c>
      <x:c r="E25" s="8" t="str">
        <x:v>2026-09-15</x:v>
      </x:c>
      <x:c r="F25" s="8" t="str">
        <x:v>First-party / official or project repository</x:v>
      </x:c>
      <x:c r="G25" s="8" t="str">
        <x:v>Primary</x:v>
      </x:c>
      <x:c r="H25" s="8" t="str">
        <x:v>Multiple</x:v>
      </x:c>
      <x:c r="I25" s="8" t="str">
        <x:v>English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60">
      <x:c r="A26" s="8" t="str">
        <x:v>Zulip</x:v>
      </x:c>
      <x:c r="B26" s="8" t="str">
        <x:v>Core project / license</x:v>
      </x:c>
      <x:c r="C26" s="8" t="str">
        <x:v>https://github.com/zulip/zulip</x:v>
      </x:c>
      <x:c r="D26" s="8" t="str">
        <x:v>Apache-2.0 open-source server/web app and active project.</x:v>
      </x:c>
      <x:c r="E26" s="8" t="str">
        <x:v>2026-09-15</x:v>
      </x:c>
      <x:c r="F26" s="8" t="str">
        <x:v>First-party / official or project repository</x:v>
      </x:c>
      <x:c r="G26" s="8" t="str">
        <x:v>Primary</x:v>
      </x:c>
      <x:c r="H26" s="8" t="str">
        <x:v>Multiple</x:v>
      </x:c>
      <x:c r="I26" s="8" t="str">
        <x:v>English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60">
      <x:c r="A27" s="8" t="str">
        <x:v>Mattermost</x:v>
      </x:c>
      <x:c r="B27" s="8" t="str">
        <x:v>Licensing</x:v>
      </x:c>
      <x:c r="C27" s="8" t="str">
        <x:v>https://docs.mattermost.com/product-overview/faq-license</x:v>
      </x:c>
      <x:c r="D27" s="8" t="str">
        <x:v>Team Edition/open-source and commercial licensing model.</x:v>
      </x:c>
      <x:c r="E27" s="8" t="str">
        <x:v>2026-09-15</x:v>
      </x:c>
      <x:c r="F27" s="8" t="str">
        <x:v>First-party / official or project repository</x:v>
      </x:c>
      <x:c r="G27" s="8" t="str">
        <x:v>Primary</x:v>
      </x:c>
      <x:c r="H27" s="8" t="str">
        <x:v>Multiple</x:v>
      </x:c>
      <x:c r="I27" s="8" t="str">
        <x:v>English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60">
      <x:c r="A28" s="8" t="str">
        <x:v>Mattermost</x:v>
      </x:c>
      <x:c r="B28" s="8" t="str">
        <x:v>Core project</x:v>
      </x:c>
      <x:c r="C28" s="8" t="str">
        <x:v>https://github.com/mattermost/mattermost</x:v>
      </x:c>
      <x:c r="D28" s="8" t="str">
        <x:v>Go/React self-host platform, monthly release model and deployment model.</x:v>
      </x:c>
      <x:c r="E28" s="8" t="str">
        <x:v>2026-09-15</x:v>
      </x:c>
      <x:c r="F28" s="8" t="str">
        <x:v>First-party / official or project repository</x:v>
      </x:c>
      <x:c r="G28" s="8" t="str">
        <x:v>Primary</x:v>
      </x:c>
      <x:c r="H28" s="8" t="str">
        <x:v>Multiple</x:v>
      </x:c>
      <x:c r="I28" s="8" t="str">
        <x:v>English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tr">
        <x:v>Rocket.Chat</x:v>
      </x:c>
      <x:c r="B29" s="8" t="str">
        <x:v>Core project</x:v>
      </x:c>
      <x:c r="C29" s="8" t="str">
        <x:v>https://github.com/RocketChat/Rocket.Chat</x:v>
      </x:c>
      <x:c r="D29" s="8" t="str">
        <x:v>Open-source core, active releases, self-host/cloud platform.</x:v>
      </x:c>
      <x:c r="E29" s="8" t="str">
        <x:v>2026-09-15</x:v>
      </x:c>
      <x:c r="F29" s="8" t="str">
        <x:v>First-party / official or project repository</x:v>
      </x:c>
      <x:c r="G29" s="8" t="str">
        <x:v>Primary</x:v>
      </x:c>
      <x:c r="H29" s="8" t="str">
        <x:v>Multiple</x:v>
      </x:c>
      <x:c r="I29" s="8" t="str">
        <x:v>English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75">
      <x:c r="A30" s="8" t="str">
        <x:v>Rocket.Chat</x:v>
      </x:c>
      <x:c r="B30" s="8" t="str">
        <x:v>Federation</x:v>
      </x:c>
      <x:c r="C30" s="8" t="str">
        <x:v>https://docs.rocket.chat/docs/federation-architecture-and-capabilities</x:v>
      </x:c>
      <x:c r="D30" s="8" t="str">
        <x:v>Federation support and explicit limitations, including no E2EE or calls in federated rooms.</x:v>
      </x:c>
      <x:c r="E30" s="8" t="str">
        <x:v>2026-09-15</x:v>
      </x:c>
      <x:c r="F30" s="8" t="str">
        <x:v>First-party / official or project repository</x:v>
      </x:c>
      <x:c r="G30" s="8" t="str">
        <x:v>Primary</x:v>
      </x:c>
      <x:c r="H30" s="8" t="str">
        <x:v>Multiple</x:v>
      </x:c>
      <x:c r="I30" s="8" t="str">
        <x:v>English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60">
      <x:c r="A31" s="8" t="str">
        <x:v>GameVox</x:v>
      </x:c>
      <x:c r="B31" s="8" t="str">
        <x:v>Product / importer</x:v>
      </x:c>
      <x:c r="C31" s="8" t="str">
        <x:v>https://gamevox.com/</x:v>
      </x:c>
      <x:c r="D31" s="8" t="str">
        <x:v>Voice/text/screen, self-hosting, Discord importer, 1080p30 free, 500 MB uploads</x:v>
      </x:c>
      <x:c r="E31" s="8" t="str">
        <x:v>2026-09-15</x:v>
      </x:c>
      <x:c r="F31" s="8" t="str">
        <x:v>First-party / official or project repository</x:v>
      </x:c>
      <x:c r="G31" s="8" t="str">
        <x:v>Primary</x:v>
      </x:c>
      <x:c r="H31" s="8" t="str">
        <x:v>Multiple</x:v>
      </x:c>
      <x:c r="I31" s="8" t="str">
        <x:v>English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45">
      <x:c r="A32" s="8" t="str">
        <x:v>GameVox</x:v>
      </x:c>
      <x:c r="B32" s="8" t="str">
        <x:v>Press / stack</x:v>
      </x:c>
      <x:c r="C32" s="8" t="str">
        <x:v>https://www.gamevox.com/press/</x:v>
      </x:c>
      <x:c r="D32" s="8" t="str">
        <x:v>2026 launch, Wails v3 native apps, self-funded</x:v>
      </x:c>
      <x:c r="E32" s="8" t="str">
        <x:v>2026-09-15</x:v>
      </x:c>
      <x:c r="F32" s="8" t="str">
        <x:v>First-party / official or project repository</x:v>
      </x:c>
      <x:c r="G32" s="8" t="str">
        <x:v>Primary</x:v>
      </x:c>
      <x:c r="H32" s="8" t="str">
        <x:v>Multiple</x:v>
      </x:c>
      <x:c r="I32" s="8" t="str">
        <x:v>English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tr">
        <x:v>Nerimity</x:v>
      </x:c>
      <x:c r="B33" s="8" t="str">
        <x:v>Product</x:v>
      </x:c>
      <x:c r="C33" s="8" t="str">
        <x:v>https://nerimity.com/</x:v>
      </x:c>
      <x:c r="D33" s="8" t="str">
        <x:v>Platforms, open source, community chat</x:v>
      </x:c>
      <x:c r="E33" s="8" t="str">
        <x:v>2026-09-15</x:v>
      </x:c>
      <x:c r="F33" s="8" t="str">
        <x:v>First-party / official or project repository</x:v>
      </x:c>
      <x:c r="G33" s="8" t="str">
        <x:v>Primary</x:v>
      </x:c>
      <x:c r="H33" s="8" t="str">
        <x:v>Multiple</x:v>
      </x:c>
      <x:c r="I33" s="8" t="str">
        <x:v>English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45">
      <x:c r="A34" s="8" t="str">
        <x:v>Nerimity</x:v>
      </x:c>
      <x:c r="B34" s="8" t="str">
        <x:v>Source</x:v>
      </x:c>
      <x:c r="C34" s="8" t="str">
        <x:v>https://github.com/Nerimity</x:v>
      </x:c>
      <x:c r="D34" s="8" t="str">
        <x:v>GPL server/web, Electron desktop, Android, API library</x:v>
      </x:c>
      <x:c r="E34" s="8" t="str">
        <x:v>2026-09-15</x:v>
      </x:c>
      <x:c r="F34" s="8" t="str">
        <x:v>First-party / official or project repository</x:v>
      </x:c>
      <x:c r="G34" s="8" t="str">
        <x:v>Primary</x:v>
      </x:c>
      <x:c r="H34" s="8" t="str">
        <x:v>Multiple</x:v>
      </x:c>
      <x:c r="I34" s="8" t="str">
        <x:v>English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75">
      <x:c r="A35" s="8" t="str">
        <x:v>Osmium</x:v>
      </x:c>
      <x:c r="B35" s="8" t="str">
        <x:v>Product</x:v>
      </x:c>
      <x:c r="C35" s="8" t="str">
        <x:v>https://osmium.chat/</x:v>
      </x:c>
      <x:c r="D35" s="8" t="str">
        <x:v>Public community platform, regional/global infrastructure, voice/video</x:v>
      </x:c>
      <x:c r="E35" s="8" t="str">
        <x:v>2026-09-15</x:v>
      </x:c>
      <x:c r="F35" s="8" t="str">
        <x:v>First-party / official or project repository</x:v>
      </x:c>
      <x:c r="G35" s="8" t="str">
        <x:v>Primary</x:v>
      </x:c>
      <x:c r="H35" s="8" t="str">
        <x:v>Multiple</x:v>
      </x:c>
      <x:c r="I35" s="8" t="str">
        <x:v>English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45">
      <x:c r="A36" s="8" t="str">
        <x:v>Osmium</x:v>
      </x:c>
      <x:c r="B36" s="8" t="str">
        <x:v>Privacy</x:v>
      </x:c>
      <x:c r="C36" s="8" t="str">
        <x:v>https://osmium.chat/privacy/</x:v>
      </x:c>
      <x:c r="D36" s="8" t="str">
        <x:v>Stored content, encrypted real-time calls, account data</x:v>
      </x:c>
      <x:c r="E36" s="8" t="str">
        <x:v>2026-09-15</x:v>
      </x:c>
      <x:c r="F36" s="8" t="str">
        <x:v>First-party / official or project repository</x:v>
      </x:c>
      <x:c r="G36" s="8" t="str">
        <x:v>Primary</x:v>
      </x:c>
      <x:c r="H36" s="8" t="str">
        <x:v>Multiple</x:v>
      </x:c>
      <x:c r="I36" s="8" t="str">
        <x:v>English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60">
      <x:c r="A37" s="8" t="str">
        <x:v>Loqa</x:v>
      </x:c>
      <x:c r="B37" s="8" t="str">
        <x:v>Product</x:v>
      </x:c>
      <x:c r="C37" s="8" t="str">
        <x:v>https://loqa.chat/</x:v>
      </x:c>
      <x:c r="D37" s="8" t="str">
        <x:v>Open beta features, LiveKit voice/video, importer, Discord API compatibility</x:v>
      </x:c>
      <x:c r="E37" s="8" t="str">
        <x:v>2026-09-15</x:v>
      </x:c>
      <x:c r="F37" s="8" t="str">
        <x:v>First-party / official or project repository</x:v>
      </x:c>
      <x:c r="G37" s="8" t="str">
        <x:v>Primary</x:v>
      </x:c>
      <x:c r="H37" s="8" t="str">
        <x:v>Multiple</x:v>
      </x:c>
      <x:c r="I37" s="8" t="str">
        <x:v>English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75">
      <x:c r="A38" s="8" t="str">
        <x:v>Venta</x:v>
      </x:c>
      <x:c r="B38" s="8" t="str">
        <x:v>Developer announcement</x:v>
      </x:c>
      <x:c r="C38" s="8" t="str">
        <x:v>https://www.reddit.com/r/DiscordAlternatives/comments/1thyt1p/change_of_direction_for_our_discord_alternative/</x:v>
      </x:c>
      <x:c r="D38" s="8" t="str">
        <x:v>Open-source backend, self-host/federation direction, E2EE default status</x:v>
      </x:c>
      <x:c r="E38" s="8" t="str">
        <x:v>2026-09-15</x:v>
      </x:c>
      <x:c r="F38" s="8" t="str">
        <x:v>First-party / official or project repository</x:v>
      </x:c>
      <x:c r="G38" s="8" t="str">
        <x:v>Primary</x:v>
      </x:c>
      <x:c r="H38" s="8" t="str">
        <x:v>Multiple</x:v>
      </x:c>
      <x:c r="I38" s="8" t="str">
        <x:v>English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60">
      <x:c r="A39" s="8" t="str">
        <x:v>Mezon</x:v>
      </x:c>
      <x:c r="B39" s="8" t="str">
        <x:v>Documentation</x:v>
      </x:c>
      <x:c r="C39" s="8" t="str">
        <x:v>https://mezon.ai/docs/user/resources/FAQ/</x:v>
      </x:c>
      <x:c r="D39" s="8" t="str">
        <x:v>Free voice/video/screen share and community feature claims</x:v>
      </x:c>
      <x:c r="E39" s="8" t="str">
        <x:v>2026-09-15</x:v>
      </x:c>
      <x:c r="F39" s="8" t="str">
        <x:v>First-party / official or project repository</x:v>
      </x:c>
      <x:c r="G39" s="8" t="str">
        <x:v>Primary</x:v>
      </x:c>
      <x:c r="H39" s="8" t="str">
        <x:v>Multiple</x:v>
      </x:c>
      <x:c r="I39" s="8" t="str">
        <x:v>English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60">
      <x:c r="A40" s="8" t="str">
        <x:v>Mezon</x:v>
      </x:c>
      <x:c r="B40" s="8" t="str">
        <x:v>Source</x:v>
      </x:c>
      <x:c r="C40" s="8" t="str">
        <x:v>https://github.com/mezonai/mezon</x:v>
      </x:c>
      <x:c r="D40" s="8" t="str">
        <x:v>Native Rust desktop, native mobile, C media/backend stack, AI features</x:v>
      </x:c>
      <x:c r="E40" s="8" t="str">
        <x:v>2026-09-15</x:v>
      </x:c>
      <x:c r="F40" s="8" t="str">
        <x:v>First-party / official or project repository</x:v>
      </x:c>
      <x:c r="G40" s="8" t="str">
        <x:v>Primary</x:v>
      </x:c>
      <x:c r="H40" s="8" t="str">
        <x:v>Multiple</x:v>
      </x:c>
      <x:c r="I40" s="8" t="str">
        <x:v>English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tr">
        <x:v>Kloak</x:v>
      </x:c>
      <x:c r="B41" s="8" t="str">
        <x:v>Product</x:v>
      </x:c>
      <x:c r="C41" s="8" t="str">
        <x:v>https://kloak.app/</x:v>
      </x:c>
      <x:c r="D41" s="8" t="str">
        <x:v>No email/phone, voice/forums/tasks/media/calendars</x:v>
      </x:c>
      <x:c r="E41" s="8" t="str">
        <x:v>2026-09-15</x:v>
      </x:c>
      <x:c r="F41" s="8" t="str">
        <x:v>First-party / official or project repository</x:v>
      </x:c>
      <x:c r="G41" s="8" t="str">
        <x:v>Primary</x:v>
      </x:c>
      <x:c r="H41" s="8" t="str">
        <x:v>Multiple</x:v>
      </x:c>
      <x:c r="I41" s="8" t="str">
        <x:v>English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tr">
        <x:v>Kloak</x:v>
      </x:c>
      <x:c r="B42" s="8" t="str">
        <x:v>Privacy</x:v>
      </x:c>
      <x:c r="C42" s="8" t="str">
        <x:v>https://kloak.app/privacy</x:v>
      </x:c>
      <x:c r="D42" s="8" t="str">
        <x:v>Minimal-data privacy policy</x:v>
      </x:c>
      <x:c r="E42" s="8" t="str">
        <x:v>2026-09-15</x:v>
      </x:c>
      <x:c r="F42" s="8" t="str">
        <x:v>First-party / official or project repository</x:v>
      </x:c>
      <x:c r="G42" s="8" t="str">
        <x:v>Primary</x:v>
      </x:c>
      <x:c r="H42" s="8" t="str">
        <x:v>Multiple</x:v>
      </x:c>
      <x:c r="I42" s="8" t="str">
        <x:v>English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45">
      <x:c r="A43" s="8" t="str">
        <x:v>Yapper</x:v>
      </x:c>
      <x:c r="B43" s="8" t="str">
        <x:v>Product</x:v>
      </x:c>
      <x:c r="C43" s="8" t="str">
        <x:v>https://yapper.gg/</x:v>
      </x:c>
      <x:c r="D43" s="8" t="str">
        <x:v>Self-hosted voice/chat/screen/file/spatial audio</x:v>
      </x:c>
      <x:c r="E43" s="8" t="str">
        <x:v>2026-09-15</x:v>
      </x:c>
      <x:c r="F43" s="8" t="str">
        <x:v>First-party / official or project repository</x:v>
      </x:c>
      <x:c r="G43" s="8" t="str">
        <x:v>Primary</x:v>
      </x:c>
      <x:c r="H43" s="8" t="str">
        <x:v>Multiple</x:v>
      </x:c>
      <x:c r="I43" s="8" t="str">
        <x:v>English</x:v>
      </x:c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45">
      <x:c r="A44" s="8" t="str">
        <x:v>Yapper</x:v>
      </x:c>
      <x:c r="B44" s="8" t="str">
        <x:v>Privacy</x:v>
      </x:c>
      <x:c r="C44" s="8" t="str">
        <x:v>https://yapper.gg/privacy-policy</x:v>
      </x:c>
      <x:c r="D44" s="8" t="str">
        <x:v>Self-host content remains on operator server</x:v>
      </x:c>
      <x:c r="E44" s="8" t="str">
        <x:v>2026-09-15</x:v>
      </x:c>
      <x:c r="F44" s="8" t="str">
        <x:v>First-party / official or project repository</x:v>
      </x:c>
      <x:c r="G44" s="8" t="str">
        <x:v>Primary</x:v>
      </x:c>
      <x:c r="H44" s="8" t="str">
        <x:v>Multiple</x:v>
      </x:c>
      <x:c r="I44" s="8" t="str">
        <x:v>English</x:v>
      </x:c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60">
      <x:c r="A45" s="8" t="str">
        <x:v>Harmony/Fermi</x:v>
      </x:c>
      <x:c r="B45" s="8" t="str">
        <x:v>Client source</x:v>
      </x:c>
      <x:c r="C45" s="8" t="str">
        <x:v>https://github.com/MathMan05/Fermi</x:v>
      </x:c>
      <x:c r="D45" s="8" t="str">
        <x:v>Fermi is a Harmony client, AGPL, instance selector, no AI-generated code policy</x:v>
      </x:c>
      <x:c r="E45" s="8" t="str">
        <x:v>2026-09-15</x:v>
      </x:c>
      <x:c r="F45" s="8" t="str">
        <x:v>First-party / official or project repository</x:v>
      </x:c>
      <x:c r="G45" s="8" t="str">
        <x:v>Primary</x:v>
      </x:c>
      <x:c r="H45" s="8" t="str">
        <x:v>Multiple</x:v>
      </x:c>
      <x:c r="I45" s="8" t="str">
        <x:v>English</x:v>
      </x:c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tr">
        <x:v>Roomy</x:v>
      </x:c>
      <x:c r="B46" s="8" t="str">
        <x:v>Source</x:v>
      </x:c>
      <x:c r="C46" s="8" t="str">
        <x:v>https://github.com/muni-town/roomy</x:v>
      </x:c>
      <x:c r="D46" s="8" t="str">
        <x:v>ATProto group chat, Discord bridge, MPL-2.0</x:v>
      </x:c>
      <x:c r="E46" s="8" t="str">
        <x:v>2026-09-15</x:v>
      </x:c>
      <x:c r="F46" s="8" t="str">
        <x:v>First-party / official or project repository</x:v>
      </x:c>
      <x:c r="G46" s="8" t="str">
        <x:v>Primary</x:v>
      </x:c>
      <x:c r="H46" s="8" t="str">
        <x:v>Multiple</x:v>
      </x:c>
      <x:c r="I46" s="8" t="str">
        <x:v>English</x:v>
      </x:c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45">
      <x:c r="A47" s="8" t="str">
        <x:v>Armada</x:v>
      </x:c>
      <x:c r="B47" s="8" t="str">
        <x:v>Source</x:v>
      </x:c>
      <x:c r="C47" s="8" t="str">
        <x:v>https://github.com/soapbox-pub/armada</x:v>
      </x:c>
      <x:c r="D47" s="8" t="str">
        <x:v>Nostr/Concord serverless E2EE communities</x:v>
      </x:c>
      <x:c r="E47" s="8" t="str">
        <x:v>2026-09-15</x:v>
      </x:c>
      <x:c r="F47" s="8" t="str">
        <x:v>First-party / official or project repository</x:v>
      </x:c>
      <x:c r="G47" s="8" t="str">
        <x:v>Primary</x:v>
      </x:c>
      <x:c r="H47" s="8" t="str">
        <x:v>Multiple</x:v>
      </x:c>
      <x:c r="I47" s="8" t="str">
        <x:v>English</x:v>
      </x:c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30">
      <x:c r="A48" s="8" t="str">
        <x:v>Hollow</x:v>
      </x:c>
      <x:c r="B48" s="8" t="str">
        <x:v>Source</x:v>
      </x:c>
      <x:c r="C48" s="8" t="str">
        <x:v>https://github.com/VitalikPro13/HOLLOW</x:v>
      </x:c>
      <x:c r="D48" s="8" t="str">
        <x:v>Local-first distributed encrypted messenger</x:v>
      </x:c>
      <x:c r="E48" s="8" t="str">
        <x:v>2026-09-15</x:v>
      </x:c>
      <x:c r="F48" s="8" t="str">
        <x:v>First-party / official or project repository</x:v>
      </x:c>
      <x:c r="G48" s="8" t="str">
        <x:v>Primary</x:v>
      </x:c>
      <x:c r="H48" s="8" t="str">
        <x:v>Multiple</x:v>
      </x:c>
      <x:c r="I48" s="8" t="str">
        <x:v>English</x:v>
      </x:c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45">
      <x:c r="A49" s="8" t="str">
        <x:v>Hollow</x:v>
      </x:c>
      <x:c r="B49" s="8" t="str">
        <x:v>Developer update</x:v>
      </x:c>
      <x:c r="C49" s="8" t="str">
        <x:v>https://www.reddit.com/r/DiscordAlternatives/comments/1uaztpl/hollow_opensource_selfhostable_signed_winmac/</x:v>
      </x:c>
      <x:c r="D49" s="8" t="str">
        <x:v>Flutter/Rust, multi-device, local storage, relay model</x:v>
      </x:c>
      <x:c r="E49" s="8" t="str">
        <x:v>2026-09-15</x:v>
      </x:c>
      <x:c r="F49" s="8" t="str">
        <x:v>First-party / official or project repository</x:v>
      </x:c>
      <x:c r="G49" s="8" t="str">
        <x:v>Primary</x:v>
      </x:c>
      <x:c r="H49" s="8" t="str">
        <x:v>Multiple</x:v>
      </x:c>
      <x:c r="I49" s="8" t="str">
        <x:v>English</x:v>
      </x:c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45">
      <x:c r="A50" s="8" t="str">
        <x:v>DCTS</x:v>
      </x:c>
      <x:c r="B50" s="8" t="str">
        <x:v>Features</x:v>
      </x:c>
      <x:c r="C50" s="8" t="str">
        <x:v>https://dcts.community/features.html</x:v>
      </x:c>
      <x:c r="D50" s="8" t="str">
        <x:v>Self-hosting, E2EE messenger, voice/screen, apps</x:v>
      </x:c>
      <x:c r="E50" s="8" t="str">
        <x:v>2026-09-15</x:v>
      </x:c>
      <x:c r="F50" s="8" t="str">
        <x:v>First-party / official or project repository</x:v>
      </x:c>
      <x:c r="G50" s="8" t="str">
        <x:v>Primary</x:v>
      </x:c>
      <x:c r="H50" s="8" t="str">
        <x:v>Multiple</x:v>
      </x:c>
      <x:c r="I50" s="8" t="str">
        <x:v>English</x:v>
      </x:c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45">
      <x:c r="A51" s="8" t="str">
        <x:v>DCTS</x:v>
      </x:c>
      <x:c r="B51" s="8" t="str">
        <x:v>Messenger documentation</x:v>
      </x:c>
      <x:c r="C51" s="8" t="str">
        <x:v>https://docs.dcts.community/Messenger/Introduction</x:v>
      </x:c>
      <x:c r="D51" s="8" t="str">
        <x:v>Key-based E2EE cross-home-server messenger</x:v>
      </x:c>
      <x:c r="E51" s="8" t="str">
        <x:v>2026-09-15</x:v>
      </x:c>
      <x:c r="F51" s="8" t="str">
        <x:v>First-party / official or project repository</x:v>
      </x:c>
      <x:c r="G51" s="8" t="str">
        <x:v>Primary</x:v>
      </x:c>
      <x:c r="H51" s="8" t="str">
        <x:v>Multiple</x:v>
      </x:c>
      <x:c r="I51" s="8" t="str">
        <x:v>English</x:v>
      </x:c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60">
      <x:c r="A52" s="8" t="str">
        <x:v>Rift</x:v>
      </x:c>
      <x:c r="B52" s="8" t="str">
        <x:v>Product</x:v>
      </x:c>
      <x:c r="C52" s="8" t="str">
        <x:v>https://therift.chat/</x:v>
      </x:c>
      <x:c r="D52" s="8" t="str">
        <x:v>No email/phone/ID, EXIF stripping, at-rest encryption, no AI training</x:v>
      </x:c>
      <x:c r="E52" s="8" t="str">
        <x:v>2026-09-15</x:v>
      </x:c>
      <x:c r="F52" s="8" t="str">
        <x:v>First-party / official or project repository</x:v>
      </x:c>
      <x:c r="G52" s="8" t="str">
        <x:v>Primary</x:v>
      </x:c>
      <x:c r="H52" s="8" t="str">
        <x:v>Multiple</x:v>
      </x:c>
      <x:c r="I52" s="8" t="str">
        <x:v>English</x:v>
      </x:c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180">
      <x:c r="A53" s="8" t="str">
        <x:v>pqp.gg</x:v>
      </x:c>
      <x:c r="B53" s="8" t="str">
        <x:v>Product</x:v>
      </x:c>
      <x:c r="C53" s="8" t="str">
        <x:v>https://pqp.gg/</x:v>
      </x:c>
      <x:c r="D53" s="8" t="str">
        <x:v>Developer summary: free hosted service plus AGPL self-hosting; 360p-1080p browser screen share with tab audio; P2P/LiveKit voice; layout-only Discord template import; data export; no public bot API.</x:v>
      </x:c>
      <x:c r="E53" s="8" t="str">
        <x:v>2026-09-16</x:v>
      </x:c>
      <x:c r="F53" s="8" t="str">
        <x:v>First-party / developer-provided</x:v>
      </x:c>
      <x:c r="G53" s="8" t="str">
        <x:v>Primary</x:v>
      </x:c>
      <x:c r="H53" s="8" t="str">
        <x:v>Multiple</x:v>
      </x:c>
      <x:c r="I53" s="8" t="str">
        <x:v>English</x:v>
      </x:c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60">
      <x:c r="A54" s="8" t="str">
        <x:v>Echon</x:v>
      </x:c>
      <x:c r="B54" s="8" t="str">
        <x:v>Product</x:v>
      </x:c>
      <x:c r="C54" s="8" t="str">
        <x:v>https://echon-voice.com/</x:v>
      </x:c>
      <x:c r="D54" s="8" t="str">
        <x:v>LiveKit voice, channels/roles/DMs, screen share, cross-platform clients</x:v>
      </x:c>
      <x:c r="E54" s="8" t="str">
        <x:v>2026-09-15</x:v>
      </x:c>
      <x:c r="F54" s="8" t="str">
        <x:v>First-party / official or project repository</x:v>
      </x:c>
      <x:c r="G54" s="8" t="str">
        <x:v>Primary</x:v>
      </x:c>
      <x:c r="H54" s="8" t="str">
        <x:v>Multiple</x:v>
      </x:c>
      <x:c r="I54" s="8" t="str">
        <x:v>English</x:v>
      </x:c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60">
      <x:c r="A55" s="8" t="str">
        <x:v>Valour</x:v>
      </x:c>
      <x:c r="B55" s="8" t="str">
        <x:v>FAQ</x:v>
      </x:c>
      <x:c r="C55" s="8" t="str">
        <x:v>https://valour.gg/FAQ</x:v>
      </x:c>
      <x:c r="D55" s="8" t="str">
        <x:v>Open source, self-host, Discord importer, email-only signup</x:v>
      </x:c>
      <x:c r="E55" s="8" t="str">
        <x:v>2026-09-15</x:v>
      </x:c>
      <x:c r="F55" s="8" t="str">
        <x:v>First-party / official or project repository</x:v>
      </x:c>
      <x:c r="G55" s="8" t="str">
        <x:v>Primary</x:v>
      </x:c>
      <x:c r="H55" s="8" t="str">
        <x:v>Multiple</x:v>
      </x:c>
      <x:c r="I55" s="8" t="str">
        <x:v>English</x:v>
      </x:c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60">
      <x:c r="A56" s="8" t="str">
        <x:v>Valour</x:v>
      </x:c>
      <x:c r="B56" s="8" t="str">
        <x:v>Source</x:v>
      </x:c>
      <x:c r="C56" s="8" t="str">
        <x:v>https://github.com/Valour-Software/Valour</x:v>
      </x:c>
      <x:c r="D56" s="8" t="str">
        <x:v>AGPL client/server, Blazor, LiveKit, bots/themes/automod</x:v>
      </x:c>
      <x:c r="E56" s="8" t="str">
        <x:v>2026-09-15</x:v>
      </x:c>
      <x:c r="F56" s="8" t="str">
        <x:v>First-party / official or project repository</x:v>
      </x:c>
      <x:c r="G56" s="8" t="str">
        <x:v>Primary</x:v>
      </x:c>
      <x:c r="H56" s="8" t="str">
        <x:v>Multiple</x:v>
      </x:c>
      <x:c r="I56" s="8" t="str">
        <x:v>English</x:v>
      </x:c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60">
      <x:c r="A57" s="8" t="str">
        <x:v>Weered</x:v>
      </x:c>
      <x:c r="B57" s="8" t="str">
        <x:v>Product</x:v>
      </x:c>
      <x:c r="C57" s="8" t="str">
        <x:v>https://weered.ca/alternatives/discord</x:v>
      </x:c>
      <x:c r="D57" s="8" t="str">
        <x:v>Lobby-first platform, LiveKit voice, Tauri desktop, free/paid model</x:v>
      </x:c>
      <x:c r="E57" s="8" t="str">
        <x:v>2026-09-15</x:v>
      </x:c>
      <x:c r="F57" s="8" t="str">
        <x:v>First-party / official or project repository</x:v>
      </x:c>
      <x:c r="G57" s="8" t="str">
        <x:v>Primary</x:v>
      </x:c>
      <x:c r="H57" s="8" t="str">
        <x:v>Multiple</x:v>
      </x:c>
      <x:c r="I57" s="8" t="str">
        <x:v>English</x:v>
      </x:c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tr">
        <x:v>Weered</x:v>
      </x:c>
      <x:c r="B58" s="8" t="str">
        <x:v>Source</x:v>
      </x:c>
      <x:c r="C58" s="8" t="str">
        <x:v>https://github.com/Weeredjs/Weered</x:v>
      </x:c>
      <x:c r="D58" s="8" t="str">
        <x:v>Public beta/source-available status</x:v>
      </x:c>
      <x:c r="E58" s="8" t="str">
        <x:v>2026-09-15</x:v>
      </x:c>
      <x:c r="F58" s="8" t="str">
        <x:v>First-party / official or project repository</x:v>
      </x:c>
      <x:c r="G58" s="8" t="str">
        <x:v>Primary</x:v>
      </x:c>
      <x:c r="H58" s="8" t="str">
        <x:v>Multiple</x:v>
      </x:c>
      <x:c r="I58" s="8" t="str">
        <x:v>English</x:v>
      </x:c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90">
      <x:c r="A59" s="8" t="str">
        <x:v>Discord</x:v>
      </x:c>
      <x:c r="B59" s="8" t="str">
        <x:v>Current Nitro pricing</x:v>
      </x:c>
      <x:c r="C59" s="8" t="str">
        <x:v>https://support.discord.com/hc/en-us/articles/4407269525911-Nitro-Localized-Pricing-FAQ</x:v>
      </x:c>
      <x:c r="D59" s="8" t="str">
        <x:v>Nitro $9.99/mo or $99.99/yr; Nitro Basic $2.99/mo or $29.99/yr; Server Boost $4.99/mo or $49.99/yr.</x:v>
      </x:c>
      <x:c r="E59" s="8" t="str">
        <x:v>2026-09-15</x:v>
      </x:c>
      <x:c r="F59" s="8" t="str">
        <x:v>First-party / official or project repository</x:v>
      </x:c>
      <x:c r="G59" s="8" t="str">
        <x:v>Primary</x:v>
      </x:c>
      <x:c r="H59" s="8" t="str">
        <x:v>Multiple</x:v>
      </x:c>
      <x:c r="I59" s="8" t="str">
        <x:v>English</x:v>
      </x:c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45">
      <x:c r="A60" s="8" t="str">
        <x:v>Discord</x:v>
      </x:c>
      <x:c r="B60" s="8" t="str">
        <x:v>Current Nitro product</x:v>
      </x:c>
      <x:c r="C60" s="8" t="str">
        <x:v>https://support.discord.com/hc/en-us/articles/115000435108-What-are-Nitro-Nitro-Basic</x:v>
      </x:c>
      <x:c r="D60" s="8" t="str">
        <x:v>Current Nitro/Nitro Basic availability and benefits.</x:v>
      </x:c>
      <x:c r="E60" s="8" t="str">
        <x:v>2026-09-15</x:v>
      </x:c>
      <x:c r="F60" s="8" t="str">
        <x:v>First-party / official or project repository</x:v>
      </x:c>
      <x:c r="G60" s="8" t="str">
        <x:v>Primary</x:v>
      </x:c>
      <x:c r="H60" s="8" t="str">
        <x:v>Multiple</x:v>
      </x:c>
      <x:c r="I60" s="8" t="str">
        <x:v>English</x:v>
      </x:c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60">
      <x:c r="A61" s="8" t="str">
        <x:v>Fenrid</x:v>
      </x:c>
      <x:c r="B61" s="8" t="str">
        <x:v>Planned paid tiers</x:v>
      </x:c>
      <x:c r="C61" s="8" t="str">
        <x:v>https://fenrid.com/waitlist</x:v>
      </x:c>
      <x:c r="D61" s="8" t="str">
        <x:v>Free; Surge $4.99/mo; Flare $9.99/mo; Prime $24.99/mo.</x:v>
      </x:c>
      <x:c r="E61" s="8" t="str">
        <x:v>2026-09-15</x:v>
      </x:c>
      <x:c r="F61" s="8" t="str">
        <x:v>First-party / official or project repository</x:v>
      </x:c>
      <x:c r="G61" s="8" t="str">
        <x:v>Primary</x:v>
      </x:c>
      <x:c r="H61" s="8" t="str">
        <x:v>Multiple</x:v>
      </x:c>
      <x:c r="I61" s="8" t="str">
        <x:v>English</x:v>
      </x:c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75">
      <x:c r="A62" s="8" t="str">
        <x:v>Fluxer</x:v>
      </x:c>
      <x:c r="B62" s="8" t="str">
        <x:v>Plutonium pricing / limits</x:v>
      </x:c>
      <x:c r="C62" s="8" t="str">
        <x:v>https://fluxer.app/plutonium</x:v>
      </x:c>
      <x:c r="D62" s="8" t="str">
        <x:v>$4.99/mo, $49.99/yr; 500 MB uploads; up to 4K60; higher community/message limits.</x:v>
      </x:c>
      <x:c r="E62" s="8" t="str">
        <x:v>2026-09-15</x:v>
      </x:c>
      <x:c r="F62" s="8" t="str">
        <x:v>First-party / official or project repository</x:v>
      </x:c>
      <x:c r="G62" s="8" t="str">
        <x:v>Primary</x:v>
      </x:c>
      <x:c r="H62" s="8" t="str">
        <x:v>Multiple</x:v>
      </x:c>
      <x:c r="I62" s="8" t="str">
        <x:v>English</x:v>
      </x:c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75">
      <x:c r="A63" s="8" t="str">
        <x:v>Root</x:v>
      </x:c>
      <x:c r="B63" s="8" t="str">
        <x:v>Sudo billing / streaming</x:v>
      </x:c>
      <x:c r="C63" s="8" t="str">
        <x:v>https://support.rootapp.com/docs/sudo/get-started/sudo-faqs/</x:v>
      </x:c>
      <x:c r="D63" s="8" t="str">
        <x:v>Monthly/yearly Sudo billing, up to 1440p60; price is shown in-app rather than public help page.</x:v>
      </x:c>
      <x:c r="E63" s="8" t="str">
        <x:v>2026-09-15</x:v>
      </x:c>
      <x:c r="F63" s="8" t="str">
        <x:v>First-party / official or project repository</x:v>
      </x:c>
      <x:c r="G63" s="8" t="str">
        <x:v>Primary</x:v>
      </x:c>
      <x:c r="H63" s="8" t="str">
        <x:v>Multiple</x:v>
      </x:c>
      <x:c r="I63" s="8" t="str">
        <x:v>English</x:v>
      </x:c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75">
      <x:c r="A64" s="8" t="str">
        <x:v>TeamSpeak</x:v>
      </x:c>
      <x:c r="B64" s="8" t="str">
        <x:v>Hosted Community pricing</x:v>
      </x:c>
      <x:c r="C64" s="8" t="str">
        <x:v>https://support.teamspeak.com/hc/en-us/articles/26033099878045-Current-Community-Options</x:v>
      </x:c>
      <x:c r="D64" s="8" t="str">
        <x:v>Crew $4.99/mo, Team $8.99/mo, Faction $17.99/mo with annual pricing and slot counts.</x:v>
      </x:c>
      <x:c r="E64" s="8" t="str">
        <x:v>2026-09-15</x:v>
      </x:c>
      <x:c r="F64" s="8" t="str">
        <x:v>First-party / official or project repository</x:v>
      </x:c>
      <x:c r="G64" s="8" t="str">
        <x:v>Primary</x:v>
      </x:c>
      <x:c r="H64" s="8" t="str">
        <x:v>Multiple</x:v>
      </x:c>
      <x:c r="I64" s="8" t="str">
        <x:v>English</x:v>
      </x:c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  <x:row r="65" ht="60">
      <x:c r="A65" s="8" t="str">
        <x:v>TeamSpeak</x:v>
      </x:c>
      <x:c r="B65" s="8" t="str">
        <x:v>Self-host licensing</x:v>
      </x:c>
      <x:c r="C65" s="8" t="str">
        <x:v>https://support.teamspeak.com/hc/en-us/articles/26269724033181-Current-License-Options</x:v>
      </x:c>
      <x:c r="D65" s="8" t="str">
        <x:v>Paid self-host gamer/server slot licensing through 1024 slots.</x:v>
      </x:c>
      <x:c r="E65" s="8" t="str">
        <x:v>2026-09-15</x:v>
      </x:c>
      <x:c r="F65" s="8" t="str">
        <x:v>First-party / official or project repository</x:v>
      </x:c>
      <x:c r="G65" s="8" t="str">
        <x:v>Primary</x:v>
      </x:c>
      <x:c r="H65" s="8" t="str">
        <x:v>Multiple</x:v>
      </x:c>
      <x:c r="I65" s="8" t="str">
        <x:v>English</x:v>
      </x:c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</x:row>
    <x:row r="66" ht="105">
      <x:c r="A66" s="8" t="str">
        <x:v>Zulip</x:v>
      </x:c>
      <x:c r="B66" s="8" t="str">
        <x:v>Cloud / self-host pricing</x:v>
      </x:c>
      <x:c r="C66" s="8" t="str">
        <x:v>https://zulip.com/plans/</x:v>
      </x:c>
      <x:c r="D66" s="8" t="str">
        <x:v>Cloud Free/Standard/Plus and self-host Free/Basic/Business/Enterprise pricing and storage/history entitlements.</x:v>
      </x:c>
      <x:c r="E66" s="8" t="str">
        <x:v>2026-09-15</x:v>
      </x:c>
      <x:c r="F66" s="8" t="str">
        <x:v>First-party / official or project repository</x:v>
      </x:c>
      <x:c r="G66" s="8" t="str">
        <x:v>Primary</x:v>
      </x:c>
      <x:c r="H66" s="8" t="str">
        <x:v>Multiple</x:v>
      </x:c>
      <x:c r="I66" s="8" t="str">
        <x:v>English</x:v>
      </x:c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</x:row>
    <x:row r="67" ht="75">
      <x:c r="A67" s="8" t="str">
        <x:v>Mattermost</x:v>
      </x:c>
      <x:c r="B67" s="8" t="str">
        <x:v>Current pricing tiers</x:v>
      </x:c>
      <x:c r="C67" s="8" t="str">
        <x:v>https://mattermost.com/pricing/</x:v>
      </x:c>
      <x:c r="D67" s="8" t="str">
        <x:v>Professional, Enterprise, Enterprise Advanced are contact-sales; limited Entry evaluation exists.</x:v>
      </x:c>
      <x:c r="E67" s="8" t="str">
        <x:v>2026-09-15</x:v>
      </x:c>
      <x:c r="F67" s="8" t="str">
        <x:v>First-party / official or project repository</x:v>
      </x:c>
      <x:c r="G67" s="8" t="str">
        <x:v>Primary</x:v>
      </x:c>
      <x:c r="H67" s="8" t="str">
        <x:v>Multiple</x:v>
      </x:c>
      <x:c r="I67" s="8" t="str">
        <x:v>English</x:v>
      </x:c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</x:row>
    <x:row r="68" ht="90">
      <x:c r="A68" s="8" t="str">
        <x:v>Rocket.Chat</x:v>
      </x:c>
      <x:c r="B68" s="8" t="str">
        <x:v>Current plans</x:v>
      </x:c>
      <x:c r="C68" s="8" t="str">
        <x:v>https://docs.rocket.chat/our-plans</x:v>
      </x:c>
      <x:c r="D68" s="8" t="str">
        <x:v>Starter and Community free entry plans; Commercial/Government/Defense sales-led paid plans.</x:v>
      </x:c>
      <x:c r="E68" s="8" t="str">
        <x:v>2026-09-15</x:v>
      </x:c>
      <x:c r="F68" s="8" t="str">
        <x:v>First-party / official or project repository</x:v>
      </x:c>
      <x:c r="G68" s="8" t="str">
        <x:v>Primary</x:v>
      </x:c>
      <x:c r="H68" s="8" t="str">
        <x:v>Multiple</x:v>
      </x:c>
      <x:c r="I68" s="8" t="str">
        <x:v>English</x:v>
      </x:c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</x:row>
    <x:row r="69" ht="75">
      <x:c r="A69" s="8" t="str">
        <x:v>GameVox</x:v>
      </x:c>
      <x:c r="B69" s="8" t="str">
        <x:v>Server tier pricing</x:v>
      </x:c>
      <x:c r="C69" s="8" t="str">
        <x:v>https://gamevox.com/blog/gamevox-vs-discord/</x:v>
      </x:c>
      <x:c r="D69" s="8" t="str">
        <x:v>Standard free; Silver $4.99, Gold $9.99, Diamond $19.99; member/channel/upload/media limits.</x:v>
      </x:c>
      <x:c r="E69" s="8" t="str">
        <x:v>2026-09-15</x:v>
      </x:c>
      <x:c r="F69" s="8" t="str">
        <x:v>First-party / official or project repository</x:v>
      </x:c>
      <x:c r="G69" s="8" t="str">
        <x:v>Primary</x:v>
      </x:c>
      <x:c r="H69" s="8" t="str">
        <x:v>Multiple</x:v>
      </x:c>
      <x:c r="I69" s="8" t="str">
        <x:v>English</x:v>
      </x:c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</x:row>
    <x:row r="70" ht="60">
      <x:c r="A70" s="8" t="str">
        <x:v>GameVox</x:v>
      </x:c>
      <x:c r="B70" s="8" t="str">
        <x:v>Self-host price</x:v>
      </x:c>
      <x:c r="C70" s="8" t="str">
        <x:v>https://gamevox.com/self-host/</x:v>
      </x:c>
      <x:c r="D70" s="8" t="str">
        <x:v>Self-host license $2/month or $15/year after July 1, 2026.</x:v>
      </x:c>
      <x:c r="E70" s="8" t="str">
        <x:v>2026-09-15</x:v>
      </x:c>
      <x:c r="F70" s="8" t="str">
        <x:v>First-party / official or project repository</x:v>
      </x:c>
      <x:c r="G70" s="8" t="str">
        <x:v>Primary</x:v>
      </x:c>
      <x:c r="H70" s="8" t="str">
        <x:v>Multiple</x:v>
      </x:c>
      <x:c r="I70" s="8" t="str">
        <x:v>English</x:v>
      </x:c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</x:row>
    <x:row r="71" ht="75">
      <x:c r="A71" s="8" t="str">
        <x:v>Mezon</x:v>
      </x:c>
      <x:c r="B71" s="8" t="str">
        <x:v>No-premium policy / file limits</x:v>
      </x:c>
      <x:c r="C71" s="8" t="str">
        <x:v>https://mezon.ai/docs/user/resources/FAQ/</x:v>
      </x:c>
      <x:c r="D71" s="8" t="str">
        <x:v>All communication features free; no premium plan; images 50 MB, video/other files 100 MB.</x:v>
      </x:c>
      <x:c r="E71" s="8" t="str">
        <x:v>2026-09-15</x:v>
      </x:c>
      <x:c r="F71" s="8" t="str">
        <x:v>First-party / official or project repository</x:v>
      </x:c>
      <x:c r="G71" s="8" t="str">
        <x:v>Primary</x:v>
      </x:c>
      <x:c r="H71" s="8" t="str">
        <x:v>Multiple</x:v>
      </x:c>
      <x:c r="I71" s="8" t="str">
        <x:v>English</x:v>
      </x:c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</x:row>
    <x:row r="72" ht="105">
      <x:c r="A72" s="8" t="str">
        <x:v>Rift</x:v>
      </x:c>
      <x:c r="B72" s="8" t="str">
        <x:v>Current plans / limits</x:v>
      </x:c>
      <x:c r="C72" s="8" t="str">
        <x:v>https://therift.chat/plans/</x:v>
      </x:c>
      <x:c r="D72" s="8" t="str">
        <x:v>Rift+ $7/mo or $70/yr; Ember $10/mo; Forge $25/mo; upload, bitrate, streaming, emoji, soundboard and webhook limits.</x:v>
      </x:c>
      <x:c r="E72" s="8" t="str">
        <x:v>2026-09-15</x:v>
      </x:c>
      <x:c r="F72" s="8" t="str">
        <x:v>First-party / official or project repository</x:v>
      </x:c>
      <x:c r="G72" s="8" t="str">
        <x:v>Primary</x:v>
      </x:c>
      <x:c r="H72" s="8" t="str">
        <x:v>Multiple</x:v>
      </x:c>
      <x:c r="I72" s="8" t="str">
        <x:v>English</x:v>
      </x:c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</x:row>
    <x:row r="73" ht="60">
      <x:c r="A73" s="8" t="str">
        <x:v>Rift</x:v>
      </x:c>
      <x:c r="B73" s="8" t="str">
        <x:v>Company funding</x:v>
      </x:c>
      <x:c r="C73" s="8" t="str">
        <x:v>https://therift.chat/about/</x:v>
      </x:c>
      <x:c r="D73" s="8" t="str">
        <x:v>Three-person team, no investors, subscriptions fund operations.</x:v>
      </x:c>
      <x:c r="E73" s="8" t="str">
        <x:v>2026-09-15</x:v>
      </x:c>
      <x:c r="F73" s="8" t="str">
        <x:v>First-party / official or project repository</x:v>
      </x:c>
      <x:c r="G73" s="8" t="str">
        <x:v>Primary</x:v>
      </x:c>
      <x:c r="H73" s="8" t="str">
        <x:v>Multiple</x:v>
      </x:c>
      <x:c r="I73" s="8" t="str">
        <x:v>English</x:v>
      </x:c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</x:row>
    <x:row r="74" ht="75">
      <x:c r="A74" s="8" t="str">
        <x:v>Weered</x:v>
      </x:c>
      <x:c r="B74" s="8" t="str">
        <x:v>Current pricing</x:v>
      </x:c>
      <x:c r="C74" s="8" t="str">
        <x:v>https://weered.ca/pricing</x:v>
      </x:c>
      <x:c r="D74" s="8" t="str">
        <x:v>Use public lobbies free; run own lobby $6/month; custom community builds quoted.</x:v>
      </x:c>
      <x:c r="E74" s="8" t="str">
        <x:v>2026-09-15</x:v>
      </x:c>
      <x:c r="F74" s="8" t="str">
        <x:v>First-party / official or project repository</x:v>
      </x:c>
      <x:c r="G74" s="8" t="str">
        <x:v>Primary</x:v>
      </x:c>
      <x:c r="H74" s="8" t="str">
        <x:v>Multiple</x:v>
      </x:c>
      <x:c r="I74" s="8" t="str">
        <x:v>English</x:v>
      </x:c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</x:row>
    <x:row r="75" ht="105">
      <x:c r="A75" s="8" t="str">
        <x:v>Rift</x:v>
      </x:c>
      <x:c r="B75" s="8" t="str">
        <x:v>E2EE / privacy</x:v>
      </x:c>
      <x:c r="C75" s="8" t="str">
        <x:v>https://therift.chat/privacy/</x:v>
      </x:c>
      <x:c r="D75" s="8" t="str">
        <x:v>DM text is client-side E2EE using Signal-style X3DH/Double Ratchet; Shard messages are encrypted at rest but not E2EE.</x:v>
      </x:c>
      <x:c r="E75" s="8" t="str">
        <x:v>2026-09-15</x:v>
      </x:c>
      <x:c r="F75" s="8" t="str">
        <x:v>First-party / official or project repository</x:v>
      </x:c>
      <x:c r="G75" s="8" t="str">
        <x:v>Primary</x:v>
      </x:c>
      <x:c r="H75" s="8" t="str">
        <x:v>Multiple</x:v>
      </x:c>
      <x:c r="I75" s="8" t="str">
        <x:v>English</x:v>
      </x:c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</x:row>
    <x:row r="76" ht="105">
      <x:c r="A76" s="8" t="str">
        <x:v>Rift</x:v>
      </x:c>
      <x:c r="B76" s="8" t="str">
        <x:v>Features / encrypted calls</x:v>
      </x:c>
      <x:c r="C76" s="8" t="str">
        <x:v>https://therift.chat/features/</x:v>
      </x:c>
      <x:c r="D76" s="8" t="str">
        <x:v>Encrypted DMs, E2EE direct voice/video/screen calls, Rift Key, and distinction from Splinters/Shard messages.</x:v>
      </x:c>
      <x:c r="E76" s="8" t="str">
        <x:v>2026-09-15</x:v>
      </x:c>
      <x:c r="F76" s="8" t="str">
        <x:v>First-party / official or project repository</x:v>
      </x:c>
      <x:c r="G76" s="8" t="str">
        <x:v>Primary</x:v>
      </x:c>
      <x:c r="H76" s="8" t="str">
        <x:v>Multiple</x:v>
      </x:c>
      <x:c r="I76" s="8" t="str">
        <x:v>English</x:v>
      </x:c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</x:row>
    <x:row r="77" ht="75">
      <x:c r="A77" s="8" t="str">
        <x:v>Rift</x:v>
      </x:c>
      <x:c r="B77" s="8" t="str">
        <x:v>FAQ / AI development</x:v>
      </x:c>
      <x:c r="C77" s="8" t="str">
        <x:v>https://therift.chat/faq/</x:v>
      </x:c>
      <x:c r="D77" s="8" t="str">
        <x:v>Three-person team; AI used for parts of code with developer review; security audits planned.</x:v>
      </x:c>
      <x:c r="E77" s="8" t="str">
        <x:v>2026-09-15</x:v>
      </x:c>
      <x:c r="F77" s="8" t="str">
        <x:v>First-party / official or project repository</x:v>
      </x:c>
      <x:c r="G77" s="8" t="str">
        <x:v>Primary</x:v>
      </x:c>
      <x:c r="H77" s="8" t="str">
        <x:v>Multiple</x:v>
      </x:c>
      <x:c r="I77" s="8" t="str">
        <x:v>English</x:v>
      </x:c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</x:row>
    <x:row r="78" ht="150">
      <x:c r="A78" s="8" t="str">
        <x:v>Rift</x:v>
      </x:c>
      <x:c r="B78" s="8" t="str">
        <x:v>Features / channel types / Portals</x:v>
      </x:c>
      <x:c r="C78" s="8" t="str">
        <x:v>https://therift.chat/features/</x:v>
      </x:c>
      <x:c r="D78" s="8" t="str">
        <x:v>Current first-party coverage includes channel types, Portals, voice launchers, moderation, giveaways, webhooks, Discord import, Studio, Arcade, and Tabletop.</x:v>
      </x:c>
      <x:c r="E78" s="8" t="str">
        <x:v>2026-09-15</x:v>
      </x:c>
      <x:c r="F78" s="8" t="str">
        <x:v>First-party / official</x:v>
      </x:c>
      <x:c r="G78" s="8" t="str">
        <x:v>Primary</x:v>
      </x:c>
      <x:c r="H78" s="8" t="str">
        <x:v>Channel Types; Extra Features; Embedded Apps; Moderation; Interop</x:v>
      </x:c>
      <x:c r="I78" s="8" t="str">
        <x:v>English</x:v>
      </x:c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</x:row>
    <x:row r="79" ht="60">
      <x:c r="A79" s="8" t="str">
        <x:v>Rift</x:v>
      </x:c>
      <x:c r="B79" s="8" t="str">
        <x:v>FAQ / product model</x:v>
      </x:c>
      <x:c r="C79" s="8" t="str">
        <x:v>https://therift.chat/faq/</x:v>
      </x:c>
      <x:c r="D79" s="8" t="str">
        <x:v>Defines Shards and Portals and current privacy/product positioning.</x:v>
      </x:c>
      <x:c r="E79" s="8" t="str">
        <x:v>2026-09-15</x:v>
      </x:c>
      <x:c r="F79" s="8" t="str">
        <x:v>First-party / official</x:v>
      </x:c>
      <x:c r="G79" s="8" t="str">
        <x:v>Primary</x:v>
      </x:c>
      <x:c r="H79" s="8" t="str">
        <x:v>At a Glance; Embedded Apps</x:v>
      </x:c>
      <x:c r="I79" s="8" t="str">
        <x:v>English</x:v>
      </x:c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</x:row>
    <x:row r="80" ht="90">
      <x:c r="A80" s="8" t="str">
        <x:v>Mattermost</x:v>
      </x:c>
      <x:c r="B80" s="8" t="str">
        <x:v>Web app plugins</x:v>
      </x:c>
      <x:c r="C80" s="8" t="str">
        <x:v>https://developers.mattermost.com/integrate/plugins/components/webapp/</x:v>
      </x:c>
      <x:c r="D80" s="8" t="str">
        <x:v>Plugins can add React components, root components and custom post types inside the web/desktop client.</x:v>
      </x:c>
      <x:c r="E80" s="8" t="str">
        <x:v>2026-09-15</x:v>
      </x:c>
      <x:c r="F80" s="8" t="str">
        <x:v>First-party developer documentation</x:v>
      </x:c>
      <x:c r="G80" s="8" t="str">
        <x:v>Primary</x:v>
      </x:c>
      <x:c r="H80" s="8" t="str">
        <x:v>Embedded Apps; Developer API Detail</x:v>
      </x:c>
      <x:c r="I80" s="8" t="str">
        <x:v>English</x:v>
      </x:c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</x:row>
    <x:row r="81" ht="75">
      <x:c r="A81" s="8" t="str">
        <x:v>Rocket.Chat</x:v>
      </x:c>
      <x:c r="B81" s="8" t="str">
        <x:v>Apps framework / Marketplace</x:v>
      </x:c>
      <x:c r="C81" s="8" t="str">
        <x:v>https://docs.rocket.chat/docs/rocketchat-apps-faq</x:v>
      </x:c>
      <x:c r="D81" s="8" t="str">
        <x:v>Apps-Engine, marketplace and private app model; apps install directly into a workspace.</x:v>
      </x:c>
      <x:c r="E81" s="8" t="str">
        <x:v>2026-09-15</x:v>
      </x:c>
      <x:c r="F81" s="8" t="str">
        <x:v>First-party developer documentation</x:v>
      </x:c>
      <x:c r="G81" s="8" t="str">
        <x:v>Primary</x:v>
      </x:c>
      <x:c r="H81" s="8" t="str">
        <x:v>Embedded Apps; Developer API Detail</x:v>
      </x:c>
      <x:c r="I81" s="8" t="str">
        <x:v>English</x:v>
      </x:c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</x:row>
    <x:row r="82" ht="105">
      <x:c r="A82" s="8" t="str">
        <x:v>Zulip</x:v>
      </x:c>
      <x:c r="B82" s="8" t="str">
        <x:v>Integrations overview</x:v>
      </x:c>
      <x:c r="C82" s="8" t="str">
        <x:v>https://zulip.com/help/integrations-overview</x:v>
      </x:c>
      <x:c r="D82" s="8" t="str">
        <x:v>120+ native integrations plus bots/webhooks; strong integration ecosystem but not an embedded-app workspace.</x:v>
      </x:c>
      <x:c r="E82" s="8" t="str">
        <x:v>2026-09-15</x:v>
      </x:c>
      <x:c r="F82" s="8" t="str">
        <x:v>First-party help/documentation</x:v>
      </x:c>
      <x:c r="G82" s="8" t="str">
        <x:v>Primary</x:v>
      </x:c>
      <x:c r="H82" s="8" t="str">
        <x:v>Embedded Apps; Developer Extensibility</x:v>
      </x:c>
      <x:c r="I82" s="8" t="str">
        <x:v>English</x:v>
      </x:c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</x:row>
    <x:row r="83" ht="105">
      <x:c r="A83" s="8" t="str">
        <x:v>Matrix / Element</x:v>
      </x:c>
      <x:c r="B83" s="8" t="str">
        <x:v>Custom widgets / integration manager</x:v>
      </x:c>
      <x:c r="C83" s="8" t="str">
        <x:v>https://docs.element.io/latest/element-server-suite-classic/installation-of-core-components/integrator-section/</x:v>
      </x:c>
      <x:c r="D83" s="8" t="str">
        <x:v>Element deployments can enable custom widgets that embed web pages; treated as client-dependent rather than Matrix-wide.</x:v>
      </x:c>
      <x:c r="E83" s="8" t="str">
        <x:v>2026-09-15</x:v>
      </x:c>
      <x:c r="F83" s="8" t="str">
        <x:v>First-party Element documentation</x:v>
      </x:c>
      <x:c r="G83" s="8" t="str">
        <x:v>Primary</x:v>
      </x:c>
      <x:c r="H83" s="8" t="str">
        <x:v>Embedded Apps</x:v>
      </x:c>
      <x:c r="I83" s="8" t="str">
        <x:v>English</x:v>
      </x:c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</x:row>
    <x:row r="84" ht="75">
      <x:c r="A84" s="8" t="str">
        <x:v>Discord</x:v>
      </x:c>
      <x:c r="B84" s="8" t="str">
        <x:v>Current free upload</x:v>
      </x:c>
      <x:c r="C84" s="8" t="str">
        <x:v>https://support.discord.com/hc/en-us/articles/25444343291031-File-Attachments-FAQ</x:v>
      </x:c>
      <x:c r="D84" s="8" t="str">
        <x:v>Non-Nitro baseline currently 20 MB; Discord notes experiments may vary.</x:v>
      </x:c>
      <x:c r="E84" s="8" t="str">
        <x:v>2026-09-15</x:v>
      </x:c>
      <x:c r="F84" s="8" t="str">
        <x:v>First-party official</x:v>
      </x:c>
      <x:c r="G84" s="8" t="str">
        <x:v>Primary</x:v>
      </x:c>
      <x:c r="H84" s="8" t="str">
        <x:v>Files &amp; Storage; At a Glance</x:v>
      </x:c>
      <x:c r="I84" s="8" t="str">
        <x:v>English</x:v>
      </x:c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</x:row>
    <x:row r="85" ht="75">
      <x:c r="A85" s="8" t="str">
        <x:v>Stoat</x:v>
      </x:c>
      <x:c r="B85" s="8" t="str">
        <x:v>Product/features</x:v>
      </x:c>
      <x:c r="C85" s="8" t="str">
        <x:v>https://stoat.chat/</x:v>
      </x:c>
      <x:c r="D85" s="8" t="str">
        <x:v>Free/open source; self-host; 20 MB uploads; custom emoji; free server profiles; desktop/mobile/web.</x:v>
      </x:c>
      <x:c r="E85" s="8" t="str">
        <x:v>2026-09-15</x:v>
      </x:c>
      <x:c r="F85" s="8" t="str">
        <x:v>First-party official</x:v>
      </x:c>
      <x:c r="G85" s="8" t="str">
        <x:v>Primary</x:v>
      </x:c>
      <x:c r="H85" s="8" t="str">
        <x:v>Multiple</x:v>
      </x:c>
      <x:c r="I85" s="8" t="str">
        <x:v>English</x:v>
      </x:c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</x:row>
    <x:row r="86" ht="90">
      <x:c r="A86" s="8" t="str">
        <x:v>Fenrid</x:v>
      </x:c>
      <x:c r="B86" s="8" t="str">
        <x:v>Product/features</x:v>
      </x:c>
      <x:c r="C86" s="8" t="str">
        <x:v>https://fenrid.com/</x:v>
      </x:c>
      <x:c r="D86" s="8" t="str">
        <x:v>Alpha; channels, voice/video/screen share, roles/permissions/events/giveaways and E2EE DMs.</x:v>
      </x:c>
      <x:c r="E86" s="8" t="str">
        <x:v>2026-09-15</x:v>
      </x:c>
      <x:c r="F86" s="8" t="str">
        <x:v>First-party official</x:v>
      </x:c>
      <x:c r="G86" s="8" t="str">
        <x:v>Primary</x:v>
      </x:c>
      <x:c r="H86" s="8" t="str">
        <x:v>Multiple</x:v>
      </x:c>
      <x:c r="I86" s="8" t="str">
        <x:v>English</x:v>
      </x:c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</x:row>
    <x:row r="87" ht="60">
      <x:c r="A87" s="8" t="str">
        <x:v>Fluxer</x:v>
      </x:c>
      <x:c r="B87" s="8" t="str">
        <x:v>Privacy/AI/E2EE</x:v>
      </x:c>
      <x:c r="C87" s="8" t="str">
        <x:v>https://fluxer.app/privacy</x:v>
      </x:c>
      <x:c r="D87" s="8" t="str">
        <x:v>No ads/data sale; no AI/LLM training; no E2EE yet; transit/at-rest encryption.</x:v>
      </x:c>
      <x:c r="E87" s="8" t="str">
        <x:v>2026-09-15</x:v>
      </x:c>
      <x:c r="F87" s="8" t="str">
        <x:v>First-party official</x:v>
      </x:c>
      <x:c r="G87" s="8" t="str">
        <x:v>Primary</x:v>
      </x:c>
      <x:c r="H87" s="8" t="str">
        <x:v>Security; AI; Business</x:v>
      </x:c>
      <x:c r="I87" s="8" t="str">
        <x:v>English</x:v>
      </x:c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</x:row>
    <x:row r="88" ht="75">
      <x:c r="A88" s="8" t="str">
        <x:v>Matrix</x:v>
      </x:c>
      <x:c r="B88" s="8" t="str">
        <x:v>Element capabilities</x:v>
      </x:c>
      <x:c r="C88" s="8" t="str">
        <x:v>https://matrix.org/ecosystem/clients/element/</x:v>
      </x:c>
      <x:c r="D88" s="8" t="str">
        <x:v>Element stable: E2EE, Spaces, threads, 1:1 calls, Jitsi, multi-account, emoji/image packs.</x:v>
      </x:c>
      <x:c r="E88" s="8" t="str">
        <x:v>2026-09-15</x:v>
      </x:c>
      <x:c r="F88" s="8" t="str">
        <x:v>First-party ecosystem</x:v>
      </x:c>
      <x:c r="G88" s="8" t="str">
        <x:v>Primary</x:v>
      </x:c>
      <x:c r="H88" s="8" t="str">
        <x:v>Multiple</x:v>
      </x:c>
      <x:c r="I88" s="8" t="str">
        <x:v>English</x:v>
      </x:c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</x:row>
    <x:row r="89" ht="90">
      <x:c r="A89" s="8" t="str">
        <x:v>Zulip</x:v>
      </x:c>
      <x:c r="B89" s="8" t="str">
        <x:v>Features/plans</x:v>
      </x:c>
      <x:c r="C89" s="8" t="str">
        <x:v>https://zulip.com/plans/</x:v>
      </x:c>
      <x:c r="D89" s="8" t="str">
        <x:v>Channels, topic threading, file storage, call providers, integrations, clients and cloud/self-host plans.</x:v>
      </x:c>
      <x:c r="E89" s="8" t="str">
        <x:v>2026-09-15</x:v>
      </x:c>
      <x:c r="F89" s="8" t="str">
        <x:v>First-party official</x:v>
      </x:c>
      <x:c r="G89" s="8" t="str">
        <x:v>Primary</x:v>
      </x:c>
      <x:c r="H89" s="8" t="str">
        <x:v>Multiple</x:v>
      </x:c>
      <x:c r="I89" s="8" t="str">
        <x:v>English</x:v>
      </x:c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</x:row>
    <x:row r="90" ht="90">
      <x:c r="A90" s="8" t="str">
        <x:v>Mattermost</x:v>
      </x:c>
      <x:c r="B90" s="8" t="str">
        <x:v>Plans/features</x:v>
      </x:c>
      <x:c r="C90" s="8" t="str">
        <x:v>https://docs.mattermost.com/product-overview/plans</x:v>
      </x:c>
      <x:c r="D90" s="8" t="str">
        <x:v>Channels/DMs/files, 1:1 audio+screen share, threads, search, custom emoji and cross-platform clients.</x:v>
      </x:c>
      <x:c r="E90" s="8" t="str">
        <x:v>2026-09-15</x:v>
      </x:c>
      <x:c r="F90" s="8" t="str">
        <x:v>First-party documentation</x:v>
      </x:c>
      <x:c r="G90" s="8" t="str">
        <x:v>Primary</x:v>
      </x:c>
      <x:c r="H90" s="8" t="str">
        <x:v>Multiple</x:v>
      </x:c>
      <x:c r="I90" s="8" t="str">
        <x:v>English</x:v>
      </x:c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</x:row>
    <x:row r="91" ht="75">
      <x:c r="A91" s="8" t="str">
        <x:v>Rocket.Chat</x:v>
      </x:c>
      <x:c r="B91" s="8" t="str">
        <x:v>Current plans/features</x:v>
      </x:c>
      <x:c r="C91" s="8" t="str">
        <x:v>https://docs.rocket.chat/our-plans</x:v>
      </x:c>
      <x:c r="D91" s="8" t="str">
        <x:v>Starter/Community/premium plans; messaging, E2EE, Marketplace and federation scope.</x:v>
      </x:c>
      <x:c r="E91" s="8" t="str">
        <x:v>2026-09-15</x:v>
      </x:c>
      <x:c r="F91" s="8" t="str">
        <x:v>First-party documentation</x:v>
      </x:c>
      <x:c r="G91" s="8" t="str">
        <x:v>Primary</x:v>
      </x:c>
      <x:c r="H91" s="8" t="str">
        <x:v>Multiple</x:v>
      </x:c>
      <x:c r="I91" s="8" t="str">
        <x:v>English</x:v>
      </x:c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</x:row>
    <x:row r="92" ht="90">
      <x:c r="A92" s="8" t="str">
        <x:v>GameVox</x:v>
      </x:c>
      <x:c r="B92" s="8" t="str">
        <x:v>Self-hosting</x:v>
      </x:c>
      <x:c r="C92" s="8" t="str">
        <x:v>https://gamevox.com/self-hosted/</x:v>
      </x:c>
      <x:c r="D92" s="8" t="str">
        <x:v>Self-host voice/video/screen/chat/files; local media traffic; self-host pricing and desktop platforms.</x:v>
      </x:c>
      <x:c r="E92" s="8" t="str">
        <x:v>2026-09-15</x:v>
      </x:c>
      <x:c r="F92" s="8" t="str">
        <x:v>First-party official</x:v>
      </x:c>
      <x:c r="G92" s="8" t="str">
        <x:v>Primary</x:v>
      </x:c>
      <x:c r="H92" s="8" t="str">
        <x:v>Architecture; Media; Pricing</x:v>
      </x:c>
      <x:c r="I92" s="8" t="str">
        <x:v>English</x:v>
      </x:c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</x:row>
    <x:row r="93" ht="90">
      <x:c r="A93" s="8" t="str">
        <x:v>Nerimity</x:v>
      </x:c>
      <x:c r="B93" s="8" t="str">
        <x:v>Feature checklist</x:v>
      </x:c>
      <x:c r="C93" s="8" t="str">
        <x:v>https://github.com/Nerimity/nerimity-web/blob/main/README.md</x:v>
      </x:c>
      <x:c r="D93" s="8" t="str">
        <x:v>DM/server channels, notifications, presence, edit, Markdown, emoji/custom emoji and kick/ban.</x:v>
      </x:c>
      <x:c r="E93" s="8" t="str">
        <x:v>2026-09-15</x:v>
      </x:c>
      <x:c r="F93" s="8" t="str">
        <x:v>Verified project repository</x:v>
      </x:c>
      <x:c r="G93" s="8" t="str">
        <x:v>Primary</x:v>
      </x:c>
      <x:c r="H93" s="8" t="str">
        <x:v>Core; Basic; Moderation</x:v>
      </x:c>
      <x:c r="I93" s="8" t="str">
        <x:v>English</x:v>
      </x:c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</x:row>
    <x:row r="94" ht="90">
      <x:c r="A94" s="8" t="str">
        <x:v>Osmium</x:v>
      </x:c>
      <x:c r="B94" s="8" t="str">
        <x:v>Product/API</x:v>
      </x:c>
      <x:c r="C94" s="8" t="str">
        <x:v>https://osmium.chat/</x:v>
      </x:c>
      <x:c r="D94" s="8" t="str">
        <x:v>Custom emoji/stickers, voice infrastructure, zero ads/no third-party sharing and public API.</x:v>
      </x:c>
      <x:c r="E94" s="8" t="str">
        <x:v>2026-09-15</x:v>
      </x:c>
      <x:c r="F94" s="8" t="str">
        <x:v>First-party official</x:v>
      </x:c>
      <x:c r="G94" s="8" t="str">
        <x:v>Primary</x:v>
      </x:c>
      <x:c r="H94" s="8" t="str">
        <x:v>Multiple</x:v>
      </x:c>
      <x:c r="I94" s="8" t="str">
        <x:v>English</x:v>
      </x:c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</x:row>
    <x:row r="95" ht="105">
      <x:c r="A95" s="8" t="str">
        <x:v>Loqa</x:v>
      </x:c>
      <x:c r="B95" s="8" t="str">
        <x:v>Product/features</x:v>
      </x:c>
      <x:c r="C95" s="8" t="str">
        <x:v>https://loqa.chat/</x:v>
      </x:c>
      <x:c r="D95" s="8" t="str">
        <x:v>Open beta: text/voice/video/screen, DMs, reactions, threads/forums, polls/events, search/pins, self-host/federation.</x:v>
      </x:c>
      <x:c r="E95" s="8" t="str">
        <x:v>2026-09-15</x:v>
      </x:c>
      <x:c r="F95" s="8" t="str">
        <x:v>First-party official</x:v>
      </x:c>
      <x:c r="G95" s="8" t="str">
        <x:v>Primary</x:v>
      </x:c>
      <x:c r="H95" s="8" t="str">
        <x:v>Multiple</x:v>
      </x:c>
      <x:c r="I95" s="8" t="str">
        <x:v>English</x:v>
      </x:c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</x:row>
    <x:row r="96" ht="90">
      <x:c r="A96" s="8" t="str">
        <x:v>Kloak</x:v>
      </x:c>
      <x:c r="B96" s="8" t="str">
        <x:v>Product/features</x:v>
      </x:c>
      <x:c r="C96" s="8" t="str">
        <x:v>https://kloak.app/</x:v>
      </x:c>
      <x:c r="D96" s="8" t="str">
        <x:v>Voice/screen, forums/threads, announcements, tasks, media channels, calendars; no email/phone/tracking.</x:v>
      </x:c>
      <x:c r="E96" s="8" t="str">
        <x:v>2026-09-15</x:v>
      </x:c>
      <x:c r="F96" s="8" t="str">
        <x:v>First-party official</x:v>
      </x:c>
      <x:c r="G96" s="8" t="str">
        <x:v>Primary</x:v>
      </x:c>
      <x:c r="H96" s="8" t="str">
        <x:v>Multiple</x:v>
      </x:c>
      <x:c r="I96" s="8" t="str">
        <x:v>English</x:v>
      </x:c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</x:row>
    <x:row r="97" ht="90">
      <x:c r="A97" s="8" t="str">
        <x:v>Armada</x:v>
      </x:c>
      <x:c r="B97" s="8" t="str">
        <x:v>Product/features</x:v>
      </x:c>
      <x:c r="C97" s="8" t="str">
        <x:v>https://soapbox.pub/armada</x:v>
      </x:c>
      <x:c r="D97" s="8" t="str">
        <x:v>E2EE Nostr/Concord communities, self-host client/relay/voice, chat/threads/voice/video; free AGPL.</x:v>
      </x:c>
      <x:c r="E97" s="8" t="str">
        <x:v>2026-09-15</x:v>
      </x:c>
      <x:c r="F97" s="8" t="str">
        <x:v>First-party official</x:v>
      </x:c>
      <x:c r="G97" s="8" t="str">
        <x:v>Primary</x:v>
      </x:c>
      <x:c r="H97" s="8" t="str">
        <x:v>Multiple</x:v>
      </x:c>
      <x:c r="I97" s="8" t="str">
        <x:v>English</x:v>
      </x:c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</x:row>
    <x:row r="98" ht="90">
      <x:c r="A98" s="8" t="str">
        <x:v>Hollow</x:v>
      </x:c>
      <x:c r="B98" s="8" t="str">
        <x:v>Project/features</x:v>
      </x:c>
      <x:c r="C98" s="8" t="str">
        <x:v>https://github.com/VitalikPro13/HOLLOW</x:v>
      </x:c>
      <x:c r="D98" s="8" t="str">
        <x:v>E2EE DM/server media, P2P voice/video/screen, roles/permissions, files, self-host relay and native clients.</x:v>
      </x:c>
      <x:c r="E98" s="8" t="str">
        <x:v>2026-09-15</x:v>
      </x:c>
      <x:c r="F98" s="8" t="str">
        <x:v>Project repository</x:v>
      </x:c>
      <x:c r="G98" s="8" t="str">
        <x:v>Primary</x:v>
      </x:c>
      <x:c r="H98" s="8" t="str">
        <x:v>Multiple</x:v>
      </x:c>
      <x:c r="I98" s="8" t="str">
        <x:v>English</x:v>
      </x:c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</x:row>
    <x:row r="99" ht="90">
      <x:c r="A99" s="8" t="str">
        <x:v>DCTS</x:v>
      </x:c>
      <x:c r="B99" s="8" t="str">
        <x:v>Features</x:v>
      </x:c>
      <x:c r="C99" s="8" t="str">
        <x:v>https://dcts.community/features.html</x:v>
      </x:c>
      <x:c r="D99" s="8" t="str">
        <x:v>Open-source/free, self-hosted/decentralized, voice and screen share up to theoretical 4K60.</x:v>
      </x:c>
      <x:c r="E99" s="8" t="str">
        <x:v>2026-09-15</x:v>
      </x:c>
      <x:c r="F99" s="8" t="str">
        <x:v>First-party official</x:v>
      </x:c>
      <x:c r="G99" s="8" t="str">
        <x:v>Primary</x:v>
      </x:c>
      <x:c r="H99" s="8" t="str">
        <x:v>Multiple</x:v>
      </x:c>
      <x:c r="I99" s="8" t="str">
        <x:v>English</x:v>
      </x:c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</x:row>
    <x:row r="100" ht="75">
      <x:c r="A100" s="8" t="str">
        <x:v>Rift</x:v>
      </x:c>
      <x:c r="B100" s="8" t="str">
        <x:v>Plans/limits</x:v>
      </x:c>
      <x:c r="C100" s="8" t="str">
        <x:v>https://therift.chat/plans/</x:v>
      </x:c>
      <x:c r="D100" s="8" t="str">
        <x:v>English canonical plans page for upload, streaming, bitrate, saved-layout and pricing limits.</x:v>
      </x:c>
      <x:c r="E100" s="8" t="str">
        <x:v>2026-09-15</x:v>
      </x:c>
      <x:c r="F100" s="8" t="str">
        <x:v>First-party official</x:v>
      </x:c>
      <x:c r="G100" s="8" t="str">
        <x:v>Primary</x:v>
      </x:c>
      <x:c r="H100" s="8" t="str">
        <x:v>Pricing; Limits; Media</x:v>
      </x:c>
      <x:c r="I100" s="8" t="str">
        <x:v>English</x:v>
      </x:c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</x:row>
    <x:row r="101" ht="75">
      <x:c r="A101" s="8" t="str">
        <x:v>Rift</x:v>
      </x:c>
      <x:c r="B101" s="8" t="str">
        <x:v>Features</x:v>
      </x:c>
      <x:c r="C101" s="8" t="str">
        <x:v>https://therift.chat/features/</x:v>
      </x:c>
      <x:c r="D101" s="8" t="str">
        <x:v>Channel types, Portals, voice, moderation, identity/privacy and community tools.</x:v>
      </x:c>
      <x:c r="E101" s="8" t="str">
        <x:v>2026-09-15</x:v>
      </x:c>
      <x:c r="F101" s="8" t="str">
        <x:v>First-party official</x:v>
      </x:c>
      <x:c r="G101" s="8" t="str">
        <x:v>Primary</x:v>
      </x:c>
      <x:c r="H101" s="8" t="str">
        <x:v>Multiple</x:v>
      </x:c>
      <x:c r="I101" s="8" t="str">
        <x:v>English</x:v>
      </x:c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</x:row>
    <x:row r="102" ht="180">
      <x:c r="A102" s="8" t="str">
        <x:v>pqp.gg</x:v>
      </x:c>
      <x:c r="B102" s="8" t="str">
        <x:v>Product/features</x:v>
      </x:c>
      <x:c r="C102" s="8" t="str">
        <x:v>https://pqp.gg/</x:v>
      </x:c>
      <x:c r="D102" s="8" t="str">
        <x:v>Developer summary: free hosted service plus AGPL self-hosting; 360p-1080p browser screen share with tab audio; P2P/LiveKit voice; layout-only Discord template import; data export; no public bot API.</x:v>
      </x:c>
      <x:c r="E102" s="8" t="str">
        <x:v>2026-09-16</x:v>
      </x:c>
      <x:c r="F102" s="8" t="str">
        <x:v>First-party / developer-provided</x:v>
      </x:c>
      <x:c r="G102" s="8" t="str">
        <x:v>Primary</x:v>
      </x:c>
      <x:c r="H102" s="8" t="str">
        <x:v>Multiple</x:v>
      </x:c>
      <x:c r="I102" s="8" t="str">
        <x:v>English</x:v>
      </x:c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</x:row>
    <x:row r="103" ht="105">
      <x:c r="A103" s="8" t="str">
        <x:v>Valour</x:v>
      </x:c>
      <x:c r="B103" s="8" t="str">
        <x:v>FAQ</x:v>
      </x:c>
      <x:c r="C103" s="8" t="str">
        <x:v>https://github.com/Valour-Software/Valour/blob/main/FAQ.md</x:v>
      </x:c>
      <x:c r="D103" s="8" t="str">
        <x:v>Planets with chat/thread feed/wiki/voice/roles; importer; self-host/federation; bots/API; no ads/data sale.</x:v>
      </x:c>
      <x:c r="E103" s="8" t="str">
        <x:v>2026-09-15</x:v>
      </x:c>
      <x:c r="F103" s="8" t="str">
        <x:v>Project repository</x:v>
      </x:c>
      <x:c r="G103" s="8" t="str">
        <x:v>Primary</x:v>
      </x:c>
      <x:c r="H103" s="8" t="str">
        <x:v>Multiple</x:v>
      </x:c>
      <x:c r="I103" s="8" t="str">
        <x:v>English</x:v>
      </x:c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</x:row>
    <x:row r="104" ht="90">
      <x:c r="A104" s="8" t="str">
        <x:v>Weered</x:v>
      </x:c>
      <x:c r="B104" s="8" t="str">
        <x:v>Project/features</x:v>
      </x:c>
      <x:c r="C104" s="8" t="str">
        <x:v>https://github.com/Weeredjs/Weered</x:v>
      </x:c>
      <x:c r="D104" s="8" t="str">
        <x:v>Lobbies/crews/forums/events, messaging, LiveKit voice, camera/screen share, automod/audit and clients.</x:v>
      </x:c>
      <x:c r="E104" s="8" t="str">
        <x:v>2026-09-15</x:v>
      </x:c>
      <x:c r="F104" s="8" t="str">
        <x:v>Project repository</x:v>
      </x:c>
      <x:c r="G104" s="8" t="str">
        <x:v>Primary</x:v>
      </x:c>
      <x:c r="H104" s="8" t="str">
        <x:v>Multiple</x:v>
      </x:c>
      <x:c r="I104" s="8" t="str">
        <x:v>English</x:v>
      </x:c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</x:row>
    <x:row r="105" ht="30">
      <x:c r="A105" s="8" t="str">
        <x:v>Kaede Chat</x:v>
      </x:c>
      <x:c r="B105" s="8" t="str">
        <x:v>Homepage</x:v>
      </x:c>
      <x:c r="C105" s="8" t="str">
        <x:v>https://kaede.chat/</x:v>
      </x:c>
      <x:c r="D105" s="8" t="str">
        <x:v>Official Kaede website / hosted instance.</x:v>
      </x:c>
      <x:c r="E105" s="8" t="str">
        <x:v>2026-09-15</x:v>
      </x:c>
      <x:c r="F105" s="8" t="str">
        <x:v>First-party official</x:v>
      </x:c>
      <x:c r="G105" s="8" t="str">
        <x:v>Primary</x:v>
      </x:c>
      <x:c r="H105" s="8" t="str">
        <x:v>At a Glance; Website Links</x:v>
      </x:c>
      <x:c r="I105" s="8" t="str">
        <x:v>English</x:v>
      </x:c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</x:row>
    <x:row r="106" ht="120">
      <x:c r="A106" s="8" t="str">
        <x:v>Kaede Chat</x:v>
      </x:c>
      <x:c r="B106" s="8" t="str">
        <x:v>Repository / overview</x:v>
      </x:c>
      <x:c r="C106" s="8" t="str">
        <x:v>https://github.com/CookieNom/KaedeChat</x:v>
      </x:c>
      <x:c r="D106" s="8" t="str">
        <x:v>MIT repository; self-host/federation overview; web/Tauri/Flutter clients; LiveKit; search; app/bot model; setup documentation; current public commit activity.</x:v>
      </x:c>
      <x:c r="E106" s="8" t="str">
        <x:v>2026-09-15</x:v>
      </x:c>
      <x:c r="F106" s="8" t="str">
        <x:v>First-party project repository</x:v>
      </x:c>
      <x:c r="G106" s="8" t="str">
        <x:v>Primary</x:v>
      </x:c>
      <x:c r="H106" s="8" t="str">
        <x:v>Multiple</x:v>
      </x:c>
      <x:c r="I106" s="8" t="str">
        <x:v>English</x:v>
      </x:c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</x:row>
    <x:row r="107" ht="120">
      <x:c r="A107" s="8" t="str">
        <x:v>Kaede Chat</x:v>
      </x:c>
      <x:c r="B107" s="8" t="str">
        <x:v>Architecture</x:v>
      </x:c>
      <x:c r="C107" s="8" t="str">
        <x:v>https://github.com/CookieNom/KaedeChat/blob/main/docs/architecture.md</x:v>
      </x:c>
      <x:c r="D107" s="8" t="str">
        <x:v>FastAPI + WebSocket gateway + PostgreSQL + Dragonfly + S3-compatible media + LiveKit; data ownership/federation/search/metrics details.</x:v>
      </x:c>
      <x:c r="E107" s="8" t="str">
        <x:v>2026-09-15</x:v>
      </x:c>
      <x:c r="F107" s="8" t="str">
        <x:v>First-party project documentation</x:v>
      </x:c>
      <x:c r="G107" s="8" t="str">
        <x:v>Primary</x:v>
      </x:c>
      <x:c r="H107" s="8" t="str">
        <x:v>Architecture; Deployment; Search; Files</x:v>
      </x:c>
      <x:c r="I107" s="8" t="str">
        <x:v>English</x:v>
      </x:c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</x:row>
    <x:row r="108" ht="135">
      <x:c r="A108" s="8" t="str">
        <x:v>Kaede Chat</x:v>
      </x:c>
      <x:c r="B108" s="8" t="str">
        <x:v>E2EE</x:v>
      </x:c>
      <x:c r="C108" s="8" t="str">
        <x:v>https://github.com/CookieNom/KaedeChat/blob/main/docs/e2ee.md</x:v>
      </x:c>
      <x:c r="D108" s="8" t="str">
        <x:v>MLS 1.0 mandatory cipher suite; optional room E2EE for messages, files, voice, video, and screen share; safety-number verification; bounded recovery cache; metadata remains exposed.</x:v>
      </x:c>
      <x:c r="E108" s="8" t="str">
        <x:v>2026-09-15</x:v>
      </x:c>
      <x:c r="F108" s="8" t="str">
        <x:v>First-party project documentation</x:v>
      </x:c>
      <x:c r="G108" s="8" t="str">
        <x:v>Primary</x:v>
      </x:c>
      <x:c r="H108" s="8" t="str">
        <x:v>Security; Encryption</x:v>
      </x:c>
      <x:c r="I108" s="8" t="str">
        <x:v>English</x:v>
      </x:c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</x:row>
    <x:row r="109" ht="135">
      <x:c r="A109" s="8" t="str">
        <x:v>Kaede Chat</x:v>
      </x:c>
      <x:c r="B109" s="8" t="str">
        <x:v>Media quality</x:v>
      </x:c>
      <x:c r="C109" s="8" t="str">
        <x:v>https://github.com/CookieNom/KaedeChat/blob/main/docs/screen-sharing-quality.md</x:v>
      </x:c>
      <x:c r="D109" s="8" t="str">
        <x:v>Documented presets top out at native Source 4K/30 FPS; browser bound is 8K; Opus presets are 24/48/96/128 kbps; screen-audio behavior varies by platform.</x:v>
      </x:c>
      <x:c r="E109" s="8" t="str">
        <x:v>2026-09-15</x:v>
      </x:c>
      <x:c r="F109" s="8" t="str">
        <x:v>First-party project documentation</x:v>
      </x:c>
      <x:c r="G109" s="8" t="str">
        <x:v>Primary</x:v>
      </x:c>
      <x:c r="H109" s="8" t="str">
        <x:v>Voice; Video; Screen Share</x:v>
      </x:c>
      <x:c r="I109" s="8" t="str">
        <x:v>English</x:v>
      </x:c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</x:row>
    <x:row r="110" ht="105">
      <x:c r="A110" s="8" t="str">
        <x:v>Kaede Chat</x:v>
      </x:c>
      <x:c r="B110" s="8" t="str">
        <x:v>Operator/deployment</x:v>
      </x:c>
      <x:c r="C110" s="8" t="str">
        <x:v>https://github.com/CookieNom/KaedeChat/blob/main/docs/operator.md</x:v>
      </x:c>
      <x:c r="D110" s="8" t="str">
        <x:v>Docker setup, optional email, S3/Garage storage, LiveKit ports, backups, updates, metrics, retention/legal/account limitations.</x:v>
      </x:c>
      <x:c r="E110" s="8" t="str">
        <x:v>2026-09-15</x:v>
      </x:c>
      <x:c r="F110" s="8" t="str">
        <x:v>First-party project documentation</x:v>
      </x:c>
      <x:c r="G110" s="8" t="str">
        <x:v>Primary</x:v>
      </x:c>
      <x:c r="H110" s="8" t="str">
        <x:v>Deployment; Accounts; Operations</x:v>
      </x:c>
      <x:c r="I110" s="8" t="str">
        <x:v>English</x:v>
      </x:c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</x:row>
    <x:row r="111" ht="105">
      <x:c r="A111" s="8" t="str">
        <x:v>Kaede Chat</x:v>
      </x:c>
      <x:c r="B111" s="8" t="str">
        <x:v>Developer API / SDK</x:v>
      </x:c>
      <x:c r="C111" s="8" t="str">
        <x:v>https://github.com/CookieNom/KaedeChat/blob/main/docs/bot-api-quickstart.md</x:v>
      </x:c>
      <x:c r="D111" s="8" t="str">
        <x:v>Python kaede-bot SDK, REST/Gateway, buttons/modals, polls, webhooks, scheduled events, soundboard and media APIs.</x:v>
      </x:c>
      <x:c r="E111" s="8" t="str">
        <x:v>2026-09-15</x:v>
      </x:c>
      <x:c r="F111" s="8" t="str">
        <x:v>First-party project documentation</x:v>
      </x:c>
      <x:c r="G111" s="8" t="str">
        <x:v>Primary</x:v>
      </x:c>
      <x:c r="H111" s="8" t="str">
        <x:v>Developer; Apps; Voice</x:v>
      </x:c>
      <x:c r="I111" s="8" t="str">
        <x:v>English</x:v>
      </x:c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</x:row>
    <x:row r="112" ht="105">
      <x:c r="A112" s="8" t="str">
        <x:v>Kaede Chat</x:v>
      </x:c>
      <x:c r="B112" s="8" t="str">
        <x:v>Administration / App Directory</x:v>
      </x:c>
      <x:c r="C112" s="8" t="str">
        <x:v>https://github.com/CookieNom/KaedeChat/blob/main/docs/administration-and-developer-portals.md</x:v>
      </x:c>
      <x:c r="D112" s="8" t="str">
        <x:v>Admin roles, reports/audit, federated application teams, App Directory, scoped installs/worker keys/permissions.</x:v>
      </x:c>
      <x:c r="E112" s="8" t="str">
        <x:v>2026-09-15</x:v>
      </x:c>
      <x:c r="F112" s="8" t="str">
        <x:v>First-party project documentation</x:v>
      </x:c>
      <x:c r="G112" s="8" t="str">
        <x:v>Primary</x:v>
      </x:c>
      <x:c r="H112" s="8" t="str">
        <x:v>Moderation; Developer</x:v>
      </x:c>
      <x:c r="I112" s="8" t="str">
        <x:v>English</x:v>
      </x:c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</x:row>
    <x:row r="113" ht="60">
      <x:c r="A113" s="8" t="str">
        <x:v>Kaede Chat</x:v>
      </x:c>
      <x:c r="B113" s="8" t="str">
        <x:v>Discord bridge</x:v>
      </x:c>
      <x:c r="C113" s="8" t="str">
        <x:v>https://github.com/CookieNom/KaedeChat/tree/main/official-bots/discord-bridge</x:v>
      </x:c>
      <x:c r="D113" s="8" t="str">
        <x:v>Official live-message bridge between paired Discord and Kaede plaintext channels.</x:v>
      </x:c>
      <x:c r="E113" s="8" t="str">
        <x:v>2026-09-15</x:v>
      </x:c>
      <x:c r="F113" s="8" t="str">
        <x:v>First-party project documentation</x:v>
      </x:c>
      <x:c r="G113" s="8" t="str">
        <x:v>Primary</x:v>
      </x:c>
      <x:c r="H113" s="8" t="str">
        <x:v>Portability &amp; Bridging</x:v>
      </x:c>
      <x:c r="I113" s="8" t="str">
        <x:v>English</x:v>
      </x:c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</x:row>
    <x:row r="114" ht="285">
      <x:c r="A114" s="8" t="str">
        <x:v>Kaede Chat</x:v>
      </x:c>
      <x:c r="B114" s="8" t="str">
        <x:v>Developer questionnaire</x:v>
      </x:c>
      <x:c r="C114" s="8" t="str">
        <x:v>https://kaede.chat/</x:v>
      </x:c>
      <x:c r="D114" s="8" t="str">
        <x:v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documentation conflict, workbook uses the public documentation for current behavior and notes the developer claim.</x:v>
      </x:c>
      <x:c r="E114" s="8" t="str">
        <x:v>2026-09-15</x:v>
      </x:c>
      <x:c r="F114" s="8" t="str">
        <x:v>Developer-provided first-party statement</x:v>
      </x:c>
      <x:c r="G114" s="8" t="str">
        <x:v>Primary</x:v>
      </x:c>
      <x:c r="H114" s="8" t="str">
        <x:v>Multiple</x:v>
      </x:c>
      <x:c r="I114" s="8" t="str">
        <x:v>English</x:v>
      </x:c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</x:row>
    <x:row r="115" ht="150">
      <x:c r="A115" s="8" t="str">
        <x:v>pqp.gg</x:v>
      </x:c>
      <x:c r="B115" s="8" t="str">
        <x:v>Repository</x:v>
      </x:c>
      <x:c r="C115" s="8" t="str">
        <x:v>https://github.com/rafaelcg/pqp</x:v>
      </x:c>
      <x:c r="D115" s="8" t="str">
        <x:v>AGPL-3.0 source and self-host documentation. The README states the project is built by two brothers, links Terms/Privacy, and documents current Android/mobile limits.</x:v>
      </x:c>
      <x:c r="E115" s="8" t="str">
        <x:v>2026-09-16</x:v>
      </x:c>
      <x:c r="F115" s="8" t="str">
        <x:v>First-party project repository</x:v>
      </x:c>
      <x:c r="G115" s="8" t="str">
        <x:v>Primary</x:v>
      </x:c>
      <x:c r="H115" s="8" t="str">
        <x:v>Multiple</x:v>
      </x:c>
      <x:c r="I115" s="8" t="str">
        <x:v>English</x:v>
      </x:c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</x:row>
    <x:row r="116" ht="90">
      <x:c r="A116" s="8" t="str">
        <x:v>pqp.gg</x:v>
      </x:c>
      <x:c r="B116" s="8" t="str">
        <x:v>Privacy</x:v>
      </x:c>
      <x:c r="C116" s="8" t="str">
        <x:v>https://pqp.gg/privacy</x:v>
      </x:c>
      <x:c r="D116" s="8" t="str">
        <x:v>Published privacy policy; developer response notes cookie-less Umami analytics plus signup conversion tag.</x:v>
      </x:c>
      <x:c r="E116" s="8" t="str">
        <x:v>2026-09-16</x:v>
      </x:c>
      <x:c r="F116" s="8" t="str">
        <x:v>First-party official</x:v>
      </x:c>
      <x:c r="G116" s="8" t="str">
        <x:v>Primary</x:v>
      </x:c>
      <x:c r="H116" s="8" t="str">
        <x:v>Hosted service</x:v>
      </x:c>
      <x:c r="I116" s="8" t="str">
        <x:v>English</x:v>
      </x:c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</x:row>
    <x:row r="117" ht="60">
      <x:c r="A117" s="8" t="str">
        <x:v>pqp.gg</x:v>
      </x:c>
      <x:c r="B117" s="8" t="str">
        <x:v>Security contact</x:v>
      </x:c>
      <x:c r="C117" s="8" t="str">
        <x:v>https://pqp.gg/.well-known/security.txt</x:v>
      </x:c>
      <x:c r="D117" s="8" t="str">
        <x:v>Published security contact; no independent audit published yet.</x:v>
      </x:c>
      <x:c r="E117" s="8" t="str">
        <x:v>2026-09-16</x:v>
      </x:c>
      <x:c r="F117" s="8" t="str">
        <x:v>First-party official</x:v>
      </x:c>
      <x:c r="G117" s="8" t="str">
        <x:v>Primary</x:v>
      </x:c>
      <x:c r="H117" s="8" t="str">
        <x:v>Hosted service</x:v>
      </x:c>
      <x:c r="I117" s="8" t="str">
        <x:v>English</x:v>
      </x:c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</x:row>
    <x:row r="118" ht="30">
      <x:c r="A118" s="8" t="str">
        <x:v>pqp.gg</x:v>
      </x:c>
      <x:c r="B118" s="8" t="str">
        <x:v>Release notes</x:v>
      </x:c>
      <x:c r="C118" s="8" t="str">
        <x:v>https://pqp.gg/blog</x:v>
      </x:c>
      <x:c r="D118" s="8" t="str">
        <x:v>Official release notes / product updates.</x:v>
      </x:c>
      <x:c r="E118" s="8" t="str">
        <x:v>2026-09-16</x:v>
      </x:c>
      <x:c r="F118" s="8" t="str">
        <x:v>First-party official</x:v>
      </x:c>
      <x:c r="G118" s="8" t="str">
        <x:v>Primary</x:v>
      </x:c>
      <x:c r="H118" s="8" t="str">
        <x:v>Hosted service</x:v>
      </x:c>
      <x:c r="I118" s="8" t="str">
        <x:v>English</x:v>
      </x:c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</x:row>
    <x:row r="119" ht="30">
      <x:c r="A119" s="8" t="str">
        <x:v>pqp.gg</x:v>
      </x:c>
      <x:c r="B119" s="8" t="str">
        <x:v>Desktop</x:v>
      </x:c>
      <x:c r="C119" s="8" t="str">
        <x:v>https://pqp.gg/download</x:v>
      </x:c>
      <x:c r="D119" s="8" t="str">
        <x:v>Official Electron desktop download.</x:v>
      </x:c>
      <x:c r="E119" s="8" t="str">
        <x:v>2026-09-16</x:v>
      </x:c>
      <x:c r="F119" s="8" t="str">
        <x:v>First-party official</x:v>
      </x:c>
      <x:c r="G119" s="8" t="str">
        <x:v>Primary</x:v>
      </x:c>
      <x:c r="H119" s="8" t="str">
        <x:v>Client</x:v>
      </x:c>
      <x:c r="I119" s="8" t="str">
        <x:v>English</x:v>
      </x:c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</x:row>
    <x:row r="120" ht="30">
      <x:c r="A120" s="8" t="str">
        <x:v>pqp.gg</x:v>
      </x:c>
      <x:c r="B120" s="8" t="str">
        <x:v>iOS beta</x:v>
      </x:c>
      <x:c r="C120" s="8" t="str">
        <x:v>https://pqp.gg/beta</x:v>
      </x:c>
      <x:c r="D120" s="8" t="str">
        <x:v>Native iOS TestFlight beta.</x:v>
      </x:c>
      <x:c r="E120" s="8" t="str">
        <x:v>2026-09-16</x:v>
      </x:c>
      <x:c r="F120" s="8" t="str">
        <x:v>First-party official</x:v>
      </x:c>
      <x:c r="G120" s="8" t="str">
        <x:v>Primary</x:v>
      </x:c>
      <x:c r="H120" s="8" t="str">
        <x:v>Client</x:v>
      </x:c>
      <x:c r="I120" s="8" t="str">
        <x:v>English</x:v>
      </x:c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</x:row>
    <x:row r="121" ht="30">
      <x:c r="A121" s="8" t="str">
        <x:v>pqp.gg</x:v>
      </x:c>
      <x:c r="B121" s="8" t="str">
        <x:v>Android beta</x:v>
      </x:c>
      <x:c r="C121" s="8" t="str">
        <x:v>https://pqp.gg/android</x:v>
      </x:c>
      <x:c r="D121" s="8" t="str">
        <x:v>Native Android APK beta.</x:v>
      </x:c>
      <x:c r="E121" s="8" t="str">
        <x:v>2026-09-16</x:v>
      </x:c>
      <x:c r="F121" s="8" t="str">
        <x:v>First-party official</x:v>
      </x:c>
      <x:c r="G121" s="8" t="str">
        <x:v>Primary</x:v>
      </x:c>
      <x:c r="H121" s="8" t="str">
        <x:v>Client</x:v>
      </x:c>
      <x:c r="I121" s="8" t="str">
        <x:v>English</x:v>
      </x:c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</x:row>
    <x:row r="122" ht="45">
      <x:c r="A122" s="8" t="str">
        <x:v>pqp.gg</x:v>
      </x:c>
      <x:c r="B122" s="8" t="str">
        <x:v>Donations</x:v>
      </x:c>
      <x:c r="C122" s="8" t="str">
        <x:v>https://pqp.gg/apoie</x:v>
      </x:c>
      <x:c r="D122" s="8" t="str">
        <x:v>Optional donations; donations unlock nothing.</x:v>
      </x:c>
      <x:c r="E122" s="8" t="str">
        <x:v>2026-09-16</x:v>
      </x:c>
      <x:c r="F122" s="8" t="str">
        <x:v>First-party official</x:v>
      </x:c>
      <x:c r="G122" s="8" t="str">
        <x:v>Primary</x:v>
      </x:c>
      <x:c r="H122" s="8" t="str">
        <x:v>Funding</x:v>
      </x:c>
      <x:c r="I122" s="8" t="str">
        <x:v>Portuguese</x:v>
      </x:c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</x:row>
    <x:row r="123" ht="150">
      <x:c r="A123" s="8" t="str">
        <x:v>Stoat</x:v>
      </x:c>
      <x:c r="B123" s="8" t="str">
        <x:v>Video / screen share</x:v>
      </x:c>
      <x:c r="C123" s="8" t="str">
        <x:v>https://stoat.chat/release-notes/93eb1f4ec77444ca9fb13617e0e6c0b1</x:v>
      </x:c>
      <x:c r="D123" s="8" t="str">
        <x:v>17 Jul 2026 release: video and screen share in voice, DM, and GDM; 720p30; screen/window audio; desktop, browser, and mobile support; no stated simultaneous screen/camera limit.</x:v>
      </x:c>
      <x:c r="E123" s="8" t="str">
        <x:v>2026-09-16</x:v>
      </x:c>
      <x:c r="F123" s="8" t="str">
        <x:v>First-party official</x:v>
      </x:c>
      <x:c r="G123" s="8" t="str">
        <x:v>Primary</x:v>
      </x:c>
      <x:c r="H123" s="8" t="str">
        <x:v>Video &amp; Screen Sharing</x:v>
      </x:c>
      <x:c r="I123" s="8" t="str">
        <x:v>English</x:v>
      </x:c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</x:row>
    <x:row r="124" ht="150">
      <x:c r="A124" s="8" t="str">
        <x:v>Harmony</x:v>
      </x:c>
      <x:c r="B124" s="8" t="str">
        <x:v>Current product / security / pricing</x:v>
      </x:c>
      <x:c r="C124" s="8" t="str">
        <x:v>https://joinharmony.app/</x:v>
      </x:c>
      <x:c r="D124" s="8" t="str">
        <x:v>Current Harmony: AGPL-3.0; hosted and self-hosted; Tauri desktop (~80 MB vendor claim); vodozemac E2EE DMs; LiveKit voice; hosted free tier with 8 MB/file; mobile and bot API still upcoming.</x:v>
      </x:c>
      <x:c r="E124" s="8" t="str">
        <x:v>2026-09-16</x:v>
      </x:c>
      <x:c r="F124" s="8" t="str">
        <x:v>First-party official</x:v>
      </x:c>
      <x:c r="G124" s="8" t="str">
        <x:v>Primary</x:v>
      </x:c>
      <x:c r="H124" s="8" t="str">
        <x:v>Multiple</x:v>
      </x:c>
      <x:c r="I124" s="8" t="str">
        <x:v>English</x:v>
      </x:c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</x:row>
    <x:row r="125" ht="135">
      <x:c r="A125" s="8" t="str">
        <x:v>Armada</x:v>
      </x:c>
      <x:c r="B125" s="8" t="str">
        <x:v>Discord migration</x:v>
      </x:c>
      <x:c r="C125" s="8" t="str">
        <x:v>https://soapbox.pub/blog/migrate-discord-server-to-armada</x:v>
      </x:c>
      <x:c r="D125" s="8" t="str">
        <x:v>Built-in Discord import: channels, roles, custom emoji, mapped permissions, up to 10,000 messages/channel for eligible servers, plus optional two-way bridge.</x:v>
      </x:c>
      <x:c r="E125" s="8" t="str">
        <x:v>2026-09-16</x:v>
      </x:c>
      <x:c r="F125" s="8" t="str">
        <x:v>First-party official</x:v>
      </x:c>
      <x:c r="G125" s="8" t="str">
        <x:v>Primary</x:v>
      </x:c>
      <x:c r="H125" s="8" t="str">
        <x:v>Portability / Bridging</x:v>
      </x:c>
      <x:c r="I125" s="8" t="str">
        <x:v>English</x:v>
      </x:c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</x:row>
    <x:row r="126" ht="75">
      <x:c r="A126" s="8" t="str">
        <x:v>Discord</x:v>
      </x:c>
      <x:c r="B126" s="8" t="str">
        <x:v>File uploads</x:v>
      </x:c>
      <x:c r="C126" s="8" t="str">
        <x:v>https://support.discord.com/hc/en-us/articles/25444343291031-File-Attachments-FAQ</x:v>
      </x:c>
      <x:c r="D126" s="8" t="str">
        <x:v>As of Aug 2026: free attachment limit 20 MB; Nitro Basic 50 MB; Nitro up to 500 MB.</x:v>
      </x:c>
      <x:c r="E126" s="8" t="str">
        <x:v>2026-09-16</x:v>
      </x:c>
      <x:c r="F126" s="8" t="str">
        <x:v>First-party official</x:v>
      </x:c>
      <x:c r="G126" s="8" t="str">
        <x:v>Primary</x:v>
      </x:c>
      <x:c r="H126" s="8" t="str">
        <x:v>Files &amp; Storage</x:v>
      </x:c>
      <x:c r="I126" s="8" t="str">
        <x:v>English</x:v>
      </x:c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</x:row>
    <x:row r="127" ht="60">
      <x:c r="A127" s="8" t="str">
        <x:v>TeamSpeak</x:v>
      </x:c>
      <x:c r="B127" s="8" t="str">
        <x:v>File transfers</x:v>
      </x:c>
      <x:c r="C127" s="8" t="str">
        <x:v>https://support.teamspeak.com/hc/en-us/articles/360002746378-Is-there-a-size-limit-to-the-files-I-can-send-transfer</x:v>
      </x:c>
      <x:c r="D127" s="8" t="str">
        <x:v>TeamSpeak support states a 10 MB per-file transfer limit as of Apr 2026.</x:v>
      </x:c>
      <x:c r="E127" s="8" t="str">
        <x:v>2026-09-16</x:v>
      </x:c>
      <x:c r="F127" s="8" t="str">
        <x:v>First-party official</x:v>
      </x:c>
      <x:c r="G127" s="8" t="str">
        <x:v>Primary</x:v>
      </x:c>
      <x:c r="H127" s="8" t="str">
        <x:v>Files &amp; Storage</x:v>
      </x:c>
      <x:c r="I127" s="8" t="str">
        <x:v>English</x:v>
      </x:c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</x:row>
    <x:row r="128" ht="90">
      <x:c r="A128" s="8" t="str">
        <x:v>Mattermost</x:v>
      </x:c>
      <x:c r="B128" s="8" t="str">
        <x:v>Product limits</x:v>
      </x:c>
      <x:c r="C128" s="8" t="str">
        <x:v>https://docs.mattermost.com/administration-guide/manage/product-limits</x:v>
      </x:c>
      <x:c r="D128" s="8" t="str">
        <x:v>Mattermost documents a 100 MB hard limit for attachment files, configurable by administrators.</x:v>
      </x:c>
      <x:c r="E128" s="8" t="str">
        <x:v>2026-09-16</x:v>
      </x:c>
      <x:c r="F128" s="8" t="str">
        <x:v>First-party official</x:v>
      </x:c>
      <x:c r="G128" s="8" t="str">
        <x:v>Primary</x:v>
      </x:c>
      <x:c r="H128" s="8" t="str">
        <x:v>Files &amp; Storage</x:v>
      </x:c>
      <x:c r="I128" s="8" t="str">
        <x:v>English</x:v>
      </x:c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</x:row>
    <x:row r="129" ht="120">
      <x:c r="A129" s="8" t="str">
        <x:v>Rocket.Chat</x:v>
      </x:c>
      <x:c r="B129" s="8" t="str">
        <x:v>File uploads</x:v>
      </x:c>
      <x:c r="C129" s="8" t="str">
        <x:v>https://docs.rocket.chat/docs/file-upload</x:v>
      </x:c>
      <x:c r="D129" s="8" t="str">
        <x:v>Self-managed workspaces configure maximum file upload size; -1 removes the Rocket.Chat application-level limit, subject to proxy/storage limits.</x:v>
      </x:c>
      <x:c r="E129" s="8" t="str">
        <x:v>2026-09-16</x:v>
      </x:c>
      <x:c r="F129" s="8" t="str">
        <x:v>First-party official</x:v>
      </x:c>
      <x:c r="G129" s="8" t="str">
        <x:v>Primary</x:v>
      </x:c>
      <x:c r="H129" s="8" t="str">
        <x:v>Files &amp; Storage</x:v>
      </x:c>
      <x:c r="I129" s="8" t="str">
        <x:v>English</x:v>
      </x:c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</x:row>
    <x:row r="130">
      <x:c r="A130" t="str">
        <x:v>Discord</x:v>
      </x:c>
      <x:c r="B130" t="str">
        <x:v>Language support</x:v>
      </x:c>
      <x:c r="C130" t="str">
        <x:v>https://support.discord.com/hc/en-us/articles/216406447-How-can-I-change-Discord-s-Language</x:v>
      </x:c>
      <x:c r="D130" t="str">
        <x:v>Current official language preference support plus current localized support surfaces were used to verify shipped UI locales.</x:v>
      </x:c>
      <x:c r="E130" t="str">
        <x:v>2026-09-16</x:v>
      </x:c>
      <x:c r="F130" t="str">
        <x:v>First-party / official or project source</x:v>
      </x:c>
      <x:c r="G130" t="str">
        <x:v>Primary</x:v>
      </x:c>
      <x:c r="H130" t="str">
        <x:v>Language Support</x:v>
      </x:c>
      <x:c r="I130" t="str">
        <x:v>English</x:v>
      </x:c>
    </x:row>
    <x:row r="131">
      <x:c r="A131" t="str">
        <x:v>Armada</x:v>
      </x:c>
      <x:c r="B131" t="str">
        <x:v>Language support</x:v>
      </x:c>
      <x:c r="C131" t="str">
        <x:v>https://github.com/soapbox-pub/armada</x:v>
      </x:c>
      <x:c r="D131" t="str">
        <x:v>English product access is verified. No additional major product UI locales were verified from current first-party or project sources in this pass.</x:v>
      </x:c>
      <x:c r="E131" t="str">
        <x:v>2026-09-16</x:v>
      </x:c>
      <x:c r="F131" t="str">
        <x:v>First-party / official or project source</x:v>
      </x:c>
      <x:c r="G131" t="str">
        <x:v>Primary</x:v>
      </x:c>
      <x:c r="H131" t="str">
        <x:v>Language Support</x:v>
      </x:c>
      <x:c r="I131" t="str">
        <x:v>English</x:v>
      </x:c>
    </x:row>
    <x:row r="132">
      <x:c r="A132" t="str">
        <x:v>DCTS</x:v>
      </x:c>
      <x:c r="B132" t="str">
        <x:v>Language support</x:v>
      </x:c>
      <x:c r="C132" t="str">
        <x:v>https://dcts.community/features.html</x:v>
      </x:c>
      <x:c r="D132" t="str">
        <x:v>English product access is verified. No additional major product UI locales were verified from current first-party or project sources in this pass.</x:v>
      </x:c>
      <x:c r="E132" t="str">
        <x:v>2026-09-16</x:v>
      </x:c>
      <x:c r="F132" t="str">
        <x:v>First-party / official or project source</x:v>
      </x:c>
      <x:c r="G132" t="str">
        <x:v>Primary</x:v>
      </x:c>
      <x:c r="H132" t="str">
        <x:v>Language Support</x:v>
      </x:c>
      <x:c r="I132" t="str">
        <x:v>English</x:v>
      </x:c>
    </x:row>
    <x:row r="133">
      <x:c r="A133" t="str">
        <x:v>Echon</x:v>
      </x:c>
      <x:c r="B133" t="str">
        <x:v>Language support</x:v>
      </x:c>
      <x:c r="C133" t="str">
        <x:v>https://echon-voice.com/</x:v>
      </x:c>
      <x:c r="D133" t="str">
        <x:v>English product access is verified. No additional major product UI locales were verified from current first-party or project sources in this pass.</x:v>
      </x:c>
      <x:c r="E133" t="str">
        <x:v>2026-09-16</x:v>
      </x:c>
      <x:c r="F133" t="str">
        <x:v>First-party / official or project source</x:v>
      </x:c>
      <x:c r="G133" t="str">
        <x:v>Primary</x:v>
      </x:c>
      <x:c r="H133" t="str">
        <x:v>Language Support</x:v>
      </x:c>
      <x:c r="I133" t="str">
        <x:v>English</x:v>
      </x:c>
    </x:row>
    <x:row r="134">
      <x:c r="A134" t="str">
        <x:v>Fenrid</x:v>
      </x:c>
      <x:c r="B134" t="str">
        <x:v>Language support</x:v>
      </x:c>
      <x:c r="C134" t="str">
        <x:v>https://fenrid.com/</x:v>
      </x:c>
      <x:c r="D134" t="str">
        <x:v>English product access is verified. No additional major product UI locales were verified from current first-party or project sources in this pass.</x:v>
      </x:c>
      <x:c r="E134" t="str">
        <x:v>2026-09-16</x:v>
      </x:c>
      <x:c r="F134" t="str">
        <x:v>First-party / official or project source</x:v>
      </x:c>
      <x:c r="G134" t="str">
        <x:v>Primary</x:v>
      </x:c>
      <x:c r="H134" t="str">
        <x:v>Language Support</x:v>
      </x:c>
      <x:c r="I134" t="str">
        <x:v>English</x:v>
      </x:c>
    </x:row>
    <x:row r="135">
      <x:c r="A135" t="str">
        <x:v>Fluxer</x:v>
      </x:c>
      <x:c r="B135" t="str">
        <x:v>Language support</x:v>
      </x:c>
      <x:c r="C135" t="str">
        <x:v>https://fluxer.app/blog/how-i-built-fluxer-a-discord-like-chat-app</x:v>
      </x:c>
      <x:c r="D135" t="str">
        <x:v>Official project post states 34 locales are supported across the app, email and marketing surfaces.</x:v>
      </x:c>
      <x:c r="E135" t="str">
        <x:v>2026-09-16</x:v>
      </x:c>
      <x:c r="F135" t="str">
        <x:v>First-party / official or project source</x:v>
      </x:c>
      <x:c r="G135" t="str">
        <x:v>Primary</x:v>
      </x:c>
      <x:c r="H135" t="str">
        <x:v>Language Support</x:v>
      </x:c>
      <x:c r="I135" t="str">
        <x:v>English</x:v>
      </x:c>
    </x:row>
    <x:row r="136">
      <x:c r="A136" t="str">
        <x:v>GameVox</x:v>
      </x:c>
      <x:c r="B136" t="str">
        <x:v>Language support</x:v>
      </x:c>
      <x:c r="C136" t="str">
        <x:v>https://gamevox.com/</x:v>
      </x:c>
      <x:c r="D136" t="str">
        <x:v>Localized website pages exist, but marketing-page localization is not counted as product UI support.</x:v>
      </x:c>
      <x:c r="E136" t="str">
        <x:v>2026-09-16</x:v>
      </x:c>
      <x:c r="F136" t="str">
        <x:v>First-party / official or project source</x:v>
      </x:c>
      <x:c r="G136" t="str">
        <x:v>Primary</x:v>
      </x:c>
      <x:c r="H136" t="str">
        <x:v>Language Support</x:v>
      </x:c>
      <x:c r="I136" t="str">
        <x:v>English</x:v>
      </x:c>
    </x:row>
    <x:row r="137">
      <x:c r="A137" t="str">
        <x:v>Harmony</x:v>
      </x:c>
      <x:c r="B137" t="str">
        <x:v>Language support</x:v>
      </x:c>
      <x:c r="C137" t="str">
        <x:v>https://joinharmony.app/</x:v>
      </x:c>
      <x:c r="D137" t="str">
        <x:v>English product access is verified. No additional major product UI locales were verified from current first-party or project sources in this pass.</x:v>
      </x:c>
      <x:c r="E137" t="str">
        <x:v>2026-09-16</x:v>
      </x:c>
      <x:c r="F137" t="str">
        <x:v>First-party / official or project source</x:v>
      </x:c>
      <x:c r="G137" t="str">
        <x:v>Primary</x:v>
      </x:c>
      <x:c r="H137" t="str">
        <x:v>Language Support</x:v>
      </x:c>
      <x:c r="I137" t="str">
        <x:v>English</x:v>
      </x:c>
    </x:row>
    <x:row r="138">
      <x:c r="A138" t="str">
        <x:v>Hollow</x:v>
      </x:c>
      <x:c r="B138" t="str">
        <x:v>Language support</x:v>
      </x:c>
      <x:c r="C138" t="str">
        <x:v>https://github.com/VitalikPro13/HOLLOW</x:v>
      </x:c>
      <x:c r="D138" t="str">
        <x:v>English product access is verified. No additional major product UI locales were verified from current first-party or project sources in this pass.</x:v>
      </x:c>
      <x:c r="E138" t="str">
        <x:v>2026-09-16</x:v>
      </x:c>
      <x:c r="F138" t="str">
        <x:v>First-party / official or project source</x:v>
      </x:c>
      <x:c r="G138" t="str">
        <x:v>Primary</x:v>
      </x:c>
      <x:c r="H138" t="str">
        <x:v>Language Support</x:v>
      </x:c>
      <x:c r="I138" t="str">
        <x:v>English</x:v>
      </x:c>
    </x:row>
    <x:row r="139">
      <x:c r="A139" t="str">
        <x:v>Kaede Chat</x:v>
      </x:c>
      <x:c r="B139" t="str">
        <x:v>Language support</x:v>
      </x:c>
      <x:c r="C139" t="str">
        <x:v>https://github.com/CookieNom/KaedeChat</x:v>
      </x:c>
      <x:c r="D139" t="str">
        <x:v>English product access is verified. No additional major product UI locales were verified from current first-party or project sources in this pass.</x:v>
      </x:c>
      <x:c r="E139" t="str">
        <x:v>2026-09-16</x:v>
      </x:c>
      <x:c r="F139" t="str">
        <x:v>First-party / official or project source</x:v>
      </x:c>
      <x:c r="G139" t="str">
        <x:v>Primary</x:v>
      </x:c>
      <x:c r="H139" t="str">
        <x:v>Language Support</x:v>
      </x:c>
      <x:c r="I139" t="str">
        <x:v>English</x:v>
      </x:c>
    </x:row>
    <x:row r="140">
      <x:c r="A140" t="str">
        <x:v>Kloak</x:v>
      </x:c>
      <x:c r="B140" t="str">
        <x:v>Language support</x:v>
      </x:c>
      <x:c r="C140" t="str">
        <x:v>https://kloak.app/</x:v>
      </x:c>
      <x:c r="D140" t="str">
        <x:v>English product access is verified. No additional major product UI locales were verified from current first-party or project sources in this pass.</x:v>
      </x:c>
      <x:c r="E140" t="str">
        <x:v>2026-09-16</x:v>
      </x:c>
      <x:c r="F140" t="str">
        <x:v>First-party / official or project source</x:v>
      </x:c>
      <x:c r="G140" t="str">
        <x:v>Primary</x:v>
      </x:c>
      <x:c r="H140" t="str">
        <x:v>Language Support</x:v>
      </x:c>
      <x:c r="I140" t="str">
        <x:v>English</x:v>
      </x:c>
    </x:row>
    <x:row r="141">
      <x:c r="A141" t="str">
        <x:v>Loqa</x:v>
      </x:c>
      <x:c r="B141" t="str">
        <x:v>Language support</x:v>
      </x:c>
      <x:c r="C141" t="str">
        <x:v>https://loqa.chat/</x:v>
      </x:c>
      <x:c r="D141" t="str">
        <x:v>English product access is verified. No additional major product UI locales were verified from current first-party or project sources in this pass.</x:v>
      </x:c>
      <x:c r="E141" t="str">
        <x:v>2026-09-16</x:v>
      </x:c>
      <x:c r="F141" t="str">
        <x:v>First-party / official or project source</x:v>
      </x:c>
      <x:c r="G141" t="str">
        <x:v>Primary</x:v>
      </x:c>
      <x:c r="H141" t="str">
        <x:v>Language Support</x:v>
      </x:c>
      <x:c r="I141" t="str">
        <x:v>English</x:v>
      </x:c>
    </x:row>
    <x:row r="142">
      <x:c r="A142" t="str">
        <x:v>Matrix</x:v>
      </x:c>
      <x:c r="B142" t="str">
        <x:v>Language support</x:v>
      </x:c>
      <x:c r="C142" t="str">
        <x:v>https://translate.element.io/projects/element-android/element-app/</x:v>
      </x:c>
      <x:c r="D142" t="str">
        <x:v>Element Android translation project used as a representative Matrix client. 100% = Yes; 1 to 99% = Active translation; 0% or absent = No.</x:v>
      </x:c>
      <x:c r="E142" t="str">
        <x:v>2026-09-16</x:v>
      </x:c>
      <x:c r="F142" t="str">
        <x:v>First-party / official or project source</x:v>
      </x:c>
      <x:c r="G142" t="str">
        <x:v>Primary</x:v>
      </x:c>
      <x:c r="H142" t="str">
        <x:v>Language Support</x:v>
      </x:c>
      <x:c r="I142" t="str">
        <x:v>English</x:v>
      </x:c>
    </x:row>
    <x:row r="143">
      <x:c r="A143" t="str">
        <x:v>Mattermost</x:v>
      </x:c>
      <x:c r="B143" t="str">
        <x:v>Language support</x:v>
      </x:c>
      <x:c r="C143" t="str">
        <x:v>https://docs.mattermost.com/end-user-guide/preferences/manage-your-display-options</x:v>
      </x:c>
      <x:c r="D143" t="str">
        <x:v>Current display-language documentation provides the supported product UI language list.</x:v>
      </x:c>
      <x:c r="E143" t="str">
        <x:v>2026-09-16</x:v>
      </x:c>
      <x:c r="F143" t="str">
        <x:v>First-party / official or project source</x:v>
      </x:c>
      <x:c r="G143" t="str">
        <x:v>Primary</x:v>
      </x:c>
      <x:c r="H143" t="str">
        <x:v>Language Support</x:v>
      </x:c>
      <x:c r="I143" t="str">
        <x:v>English</x:v>
      </x:c>
    </x:row>
    <x:row r="144">
      <x:c r="A144" t="str">
        <x:v>Mezon</x:v>
      </x:c>
      <x:c r="B144" t="str">
        <x:v>Language support</x:v>
      </x:c>
      <x:c r="C144" t="str">
        <x:v>https://mezon.ai/docs/user/account-and-personalization/personalization-settings/</x:v>
      </x:c>
      <x:c r="D144" t="str">
        <x:v>Current personalization documentation explicitly states English and Vietnamese support.</x:v>
      </x:c>
      <x:c r="E144" t="str">
        <x:v>2026-09-16</x:v>
      </x:c>
      <x:c r="F144" t="str">
        <x:v>First-party / official or project source</x:v>
      </x:c>
      <x:c r="G144" t="str">
        <x:v>Primary</x:v>
      </x:c>
      <x:c r="H144" t="str">
        <x:v>Language Support</x:v>
      </x:c>
      <x:c r="I144" t="str">
        <x:v>English</x:v>
      </x:c>
    </x:row>
    <x:row r="145">
      <x:c r="A145" t="str">
        <x:v>Mumble</x:v>
      </x:c>
      <x:c r="B145" t="str">
        <x:v>Language support</x:v>
      </x:c>
      <x:c r="C145" t="str">
        <x:v>https://www.mumble.info/documentation/developer/translation/</x:v>
      </x:c>
      <x:c r="D145" t="str">
        <x:v>Current translation documentation and verified locale files support the listed Mumble languages.</x:v>
      </x:c>
      <x:c r="E145" t="str">
        <x:v>2026-09-16</x:v>
      </x:c>
      <x:c r="F145" t="str">
        <x:v>First-party / official or project source</x:v>
      </x:c>
      <x:c r="G145" t="str">
        <x:v>Primary</x:v>
      </x:c>
      <x:c r="H145" t="str">
        <x:v>Language Support</x:v>
      </x:c>
      <x:c r="I145" t="str">
        <x:v>English</x:v>
      </x:c>
    </x:row>
    <x:row r="146">
      <x:c r="A146" t="str">
        <x:v>Nerimity</x:v>
      </x:c>
      <x:c r="B146" t="str">
        <x:v>Language support</x:v>
      </x:c>
      <x:c r="C146" t="str">
        <x:v>https://github.com/Nerimity/nerimity-web</x:v>
      </x:c>
      <x:c r="D146" t="str">
        <x:v>Project confirms Weblate translation infrastructure, but specific major-language statuses were not elevated without current per-language evidence.</x:v>
      </x:c>
      <x:c r="E146" t="str">
        <x:v>2026-09-16</x:v>
      </x:c>
      <x:c r="F146" t="str">
        <x:v>First-party / official or project source</x:v>
      </x:c>
      <x:c r="G146" t="str">
        <x:v>Primary</x:v>
      </x:c>
      <x:c r="H146" t="str">
        <x:v>Language Support</x:v>
      </x:c>
      <x:c r="I146" t="str">
        <x:v>English</x:v>
      </x:c>
    </x:row>
    <x:row r="147">
      <x:c r="A147" t="str">
        <x:v>Osmium</x:v>
      </x:c>
      <x:c r="B147" t="str">
        <x:v>Language support</x:v>
      </x:c>
      <x:c r="C147" t="str">
        <x:v>https://osmium.chat/</x:v>
      </x:c>
      <x:c r="D147" t="str">
        <x:v>English product access is verified. No additional major product UI locales were verified from current first-party or project sources in this pass.</x:v>
      </x:c>
      <x:c r="E147" t="str">
        <x:v>2026-09-16</x:v>
      </x:c>
      <x:c r="F147" t="str">
        <x:v>First-party / official or project source</x:v>
      </x:c>
      <x:c r="G147" t="str">
        <x:v>Primary</x:v>
      </x:c>
      <x:c r="H147" t="str">
        <x:v>Language Support</x:v>
      </x:c>
      <x:c r="I147" t="str">
        <x:v>English</x:v>
      </x:c>
    </x:row>
    <x:row r="148">
      <x:c r="A148" t="str">
        <x:v>pqp.gg</x:v>
      </x:c>
      <x:c r="B148" t="str">
        <x:v>Language support</x:v>
      </x:c>
      <x:c r="C148" t="str">
        <x:v>https://pqp.gg/</x:v>
      </x:c>
      <x:c r="D148" t="str">
        <x:v>Portuguese-first project with English-accessible product experience; Portuguese (Brazil) and English are marked Yes.</x:v>
      </x:c>
      <x:c r="E148" t="str">
        <x:v>2026-09-16</x:v>
      </x:c>
      <x:c r="F148" t="str">
        <x:v>First-party / official or project source</x:v>
      </x:c>
      <x:c r="G148" t="str">
        <x:v>Primary</x:v>
      </x:c>
      <x:c r="H148" t="str">
        <x:v>Language Support</x:v>
      </x:c>
      <x:c r="I148" t="str">
        <x:v>English</x:v>
      </x:c>
    </x:row>
    <x:row r="149">
      <x:c r="A149" t="str">
        <x:v>Rift</x:v>
      </x:c>
      <x:c r="B149" t="str">
        <x:v>Language support</x:v>
      </x:c>
      <x:c r="C149" t="str">
        <x:v>https://therift.chat/</x:v>
      </x:c>
      <x:c r="D149" t="str">
        <x:v>Localized website pages exist, but marketing-page localization is not counted as product UI support.</x:v>
      </x:c>
      <x:c r="E149" t="str">
        <x:v>2026-09-16</x:v>
      </x:c>
      <x:c r="F149" t="str">
        <x:v>First-party / official or project source</x:v>
      </x:c>
      <x:c r="G149" t="str">
        <x:v>Primary</x:v>
      </x:c>
      <x:c r="H149" t="str">
        <x:v>Language Support</x:v>
      </x:c>
      <x:c r="I149" t="str">
        <x:v>English</x:v>
      </x:c>
    </x:row>
    <x:row r="150">
      <x:c r="A150" t="str">
        <x:v>Rocket.Chat</x:v>
      </x:c>
      <x:c r="B150" t="str">
        <x:v>Language support</x:v>
      </x:c>
      <x:c r="C150" t="str">
        <x:v>https://docs.rocket.chat/docs/localization</x:v>
      </x:c>
      <x:c r="D150" t="str">
        <x:v>Current localization documentation provides the supported translation set used for this matrix.</x:v>
      </x:c>
      <x:c r="E150" t="str">
        <x:v>2026-09-16</x:v>
      </x:c>
      <x:c r="F150" t="str">
        <x:v>First-party / official or project source</x:v>
      </x:c>
      <x:c r="G150" t="str">
        <x:v>Primary</x:v>
      </x:c>
      <x:c r="H150" t="str">
        <x:v>Language Support</x:v>
      </x:c>
      <x:c r="I150" t="str">
        <x:v>English</x:v>
      </x:c>
    </x:row>
    <x:row r="151">
      <x:c r="A151" t="str">
        <x:v>Roomy</x:v>
      </x:c>
      <x:c r="B151" t="str">
        <x:v>Language support</x:v>
      </x:c>
      <x:c r="C151" t="str">
        <x:v>https://github.com/muni-town/roomy</x:v>
      </x:c>
      <x:c r="D151" t="str">
        <x:v>English product access is verified. No additional major product UI locales were verified from current first-party or project sources in this pass.</x:v>
      </x:c>
      <x:c r="E151" t="str">
        <x:v>2026-09-16</x:v>
      </x:c>
      <x:c r="F151" t="str">
        <x:v>First-party / official or project source</x:v>
      </x:c>
      <x:c r="G151" t="str">
        <x:v>Primary</x:v>
      </x:c>
      <x:c r="H151" t="str">
        <x:v>Language Support</x:v>
      </x:c>
      <x:c r="I151" t="str">
        <x:v>English</x:v>
      </x:c>
    </x:row>
    <x:row r="152">
      <x:c r="A152" t="str">
        <x:v>Root</x:v>
      </x:c>
      <x:c r="B152" t="str">
        <x:v>Language support</x:v>
      </x:c>
      <x:c r="C152" t="str">
        <x:v>https://www.rootapp.com/</x:v>
      </x:c>
      <x:c r="D152" t="str">
        <x:v>English product access is verified. No additional major product UI locales were verified from current first-party or project sources in this pass.</x:v>
      </x:c>
      <x:c r="E152" t="str">
        <x:v>2026-09-16</x:v>
      </x:c>
      <x:c r="F152" t="str">
        <x:v>First-party / official or project source</x:v>
      </x:c>
      <x:c r="G152" t="str">
        <x:v>Primary</x:v>
      </x:c>
      <x:c r="H152" t="str">
        <x:v>Language Support</x:v>
      </x:c>
      <x:c r="I152" t="str">
        <x:v>English</x:v>
      </x:c>
    </x:row>
    <x:row r="153">
      <x:c r="A153" t="str">
        <x:v>Spacebar</x:v>
      </x:c>
      <x:c r="B153" t="str">
        <x:v>Language support</x:v>
      </x:c>
      <x:c r="C153" t="str">
        <x:v>https://docs.spacebar.chat/</x:v>
      </x:c>
      <x:c r="D153" t="str">
        <x:v>English product access is verified. No additional major product UI locales were verified from current first-party or project sources in this pass.</x:v>
      </x:c>
      <x:c r="E153" t="str">
        <x:v>2026-09-16</x:v>
      </x:c>
      <x:c r="F153" t="str">
        <x:v>First-party / official or project source</x:v>
      </x:c>
      <x:c r="G153" t="str">
        <x:v>Primary</x:v>
      </x:c>
      <x:c r="H153" t="str">
        <x:v>Language Support</x:v>
      </x:c>
      <x:c r="I153" t="str">
        <x:v>English</x:v>
      </x:c>
    </x:row>
    <x:row r="154">
      <x:c r="A154" t="str">
        <x:v>Stoat</x:v>
      </x:c>
      <x:c r="B154" t="str">
        <x:v>Language support</x:v>
      </x:c>
      <x:c r="C154" t="str">
        <x:v>https://github.com/stoatchat</x:v>
      </x:c>
      <x:c r="D154" t="str">
        <x:v>Project maintains translation infrastructure, but specific major-language statuses were not elevated without current per-language evidence.</x:v>
      </x:c>
      <x:c r="E154" t="str">
        <x:v>2026-09-16</x:v>
      </x:c>
      <x:c r="F154" t="str">
        <x:v>First-party / official or project source</x:v>
      </x:c>
      <x:c r="G154" t="str">
        <x:v>Primary</x:v>
      </x:c>
      <x:c r="H154" t="str">
        <x:v>Language Support</x:v>
      </x:c>
      <x:c r="I154" t="str">
        <x:v>English</x:v>
      </x:c>
    </x:row>
    <x:row r="155">
      <x:c r="A155" t="str">
        <x:v>TeamSpeak</x:v>
      </x:c>
      <x:c r="B155" t="str">
        <x:v>Language support</x:v>
      </x:c>
      <x:c r="C155" t="str">
        <x:v>https://www.teamspeak.com/</x:v>
      </x:c>
      <x:c r="D155" t="str">
        <x:v>English product access is verified. No additional major product UI locales were verified from current first-party or project sources in this pass.</x:v>
      </x:c>
      <x:c r="E155" t="str">
        <x:v>2026-09-16</x:v>
      </x:c>
      <x:c r="F155" t="str">
        <x:v>First-party / official or project source</x:v>
      </x:c>
      <x:c r="G155" t="str">
        <x:v>Primary</x:v>
      </x:c>
      <x:c r="H155" t="str">
        <x:v>Language Support</x:v>
      </x:c>
      <x:c r="I155" t="str">
        <x:v>English</x:v>
      </x:c>
    </x:row>
    <x:row r="156">
      <x:c r="A156" t="str">
        <x:v>Valour</x:v>
      </x:c>
      <x:c r="B156" t="str">
        <x:v>Language support</x:v>
      </x:c>
      <x:c r="C156" t="str">
        <x:v>https://valour.gg/</x:v>
      </x:c>
      <x:c r="D156" t="str">
        <x:v>English product access is verified. No additional major product UI locales were verified from current first-party or project sources in this pass.</x:v>
      </x:c>
      <x:c r="E156" t="str">
        <x:v>2026-09-16</x:v>
      </x:c>
      <x:c r="F156" t="str">
        <x:v>First-party / official or project source</x:v>
      </x:c>
      <x:c r="G156" t="str">
        <x:v>Primary</x:v>
      </x:c>
      <x:c r="H156" t="str">
        <x:v>Language Support</x:v>
      </x:c>
      <x:c r="I156" t="str">
        <x:v>English</x:v>
      </x:c>
    </x:row>
    <x:row r="157">
      <x:c r="A157" t="str">
        <x:v>Venta</x:v>
      </x:c>
      <x:c r="B157" t="str">
        <x:v>Language support</x:v>
      </x:c>
      <x:c r="C157" t="str">
        <x:v>https://www.reddit.com/r/DiscordAlternatives/comments/1thyt1p/change_of_direction_for_our_discord_alternative/</x:v>
      </x:c>
      <x:c r="D157" t="str">
        <x:v>English product access is verified. No additional major product UI locales were verified from current first-party or project sources in this pass.</x:v>
      </x:c>
      <x:c r="E157" t="str">
        <x:v>2026-09-16</x:v>
      </x:c>
      <x:c r="F157" t="str">
        <x:v>First-party / official or project source</x:v>
      </x:c>
      <x:c r="G157" t="str">
        <x:v>Primary</x:v>
      </x:c>
      <x:c r="H157" t="str">
        <x:v>Language Support</x:v>
      </x:c>
      <x:c r="I157" t="str">
        <x:v>English</x:v>
      </x:c>
    </x:row>
    <x:row r="158">
      <x:c r="A158" t="str">
        <x:v>Weered</x:v>
      </x:c>
      <x:c r="B158" t="str">
        <x:v>Language support</x:v>
      </x:c>
      <x:c r="C158" t="str">
        <x:v>https://weered.ca/</x:v>
      </x:c>
      <x:c r="D158" t="str">
        <x:v>English product access is verified. No additional major product UI locales were verified from current first-party or project sources in this pass.</x:v>
      </x:c>
      <x:c r="E158" t="str">
        <x:v>2026-09-16</x:v>
      </x:c>
      <x:c r="F158" t="str">
        <x:v>First-party / official or project source</x:v>
      </x:c>
      <x:c r="G158" t="str">
        <x:v>Primary</x:v>
      </x:c>
      <x:c r="H158" t="str">
        <x:v>Language Support</x:v>
      </x:c>
      <x:c r="I158" t="str">
        <x:v>English</x:v>
      </x:c>
    </x:row>
    <x:row r="159">
      <x:c r="A159" t="str">
        <x:v>Yapper</x:v>
      </x:c>
      <x:c r="B159" t="str">
        <x:v>Language support</x:v>
      </x:c>
      <x:c r="C159" t="str">
        <x:v>https://yapper.gg/</x:v>
      </x:c>
      <x:c r="D159" t="str">
        <x:v>English product access is verified. No additional major product UI locales were verified from current first-party or project sources in this pass.</x:v>
      </x:c>
      <x:c r="E159" t="str">
        <x:v>2026-09-16</x:v>
      </x:c>
      <x:c r="F159" t="str">
        <x:v>First-party / official or project source</x:v>
      </x:c>
      <x:c r="G159" t="str">
        <x:v>Primary</x:v>
      </x:c>
      <x:c r="H159" t="str">
        <x:v>Language Support</x:v>
      </x:c>
      <x:c r="I159" t="str">
        <x:v>English</x:v>
      </x:c>
    </x:row>
    <x:row r="160">
      <x:c r="A160" t="str">
        <x:v>Zulip</x:v>
      </x:c>
      <x:c r="B160" t="str">
        <x:v>Language support</x:v>
      </x:c>
      <x:c r="C160" t="str">
        <x:v>https://zulip.com/help/change-your-language</x:v>
      </x:c>
      <x:c r="D160" t="str">
        <x:v>Current documentation confirms translated or partially translated UI. Explicitly named major languages are marked Active translation unless full coverage is established.</x:v>
      </x:c>
      <x:c r="E160" t="str">
        <x:v>2026-09-16</x:v>
      </x:c>
      <x:c r="F160" t="str">
        <x:v>First-party / official or project source</x:v>
      </x:c>
      <x:c r="G160" t="str">
        <x:v>Primary</x:v>
      </x:c>
      <x:c r="H160" t="str">
        <x:v>Language Support</x:v>
      </x:c>
      <x:c r="I160" t="str">
        <x:v>English</x:v>
      </x:c>
    </x:row>
  </x:sheetData>
  <x:mergeCells>
    <x:mergeCell ref="A1:I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3" width="36" customWidth="1"/>
    <x:col min="4" max="4" width="22" customWidth="1"/>
    <x:col min="5" max="5" width="18" customWidth="1"/>
    <x:col min="6" max="6" width="22" customWidth="1"/>
    <x:col min="7" max="7" width="36" customWidth="1"/>
    <x:col min="8" max="8" width="15" customWidth="1"/>
  </x:cols>
  <x:sheetData>
    <x:row r="1" ht="27.950000762939453" customHeight="1">
      <x:c r="A1" s="24" t="str">
        <x:f>IFERROR(HYPERLINK("#'Sheet Directory'!A1","Website Links: categorized by source-page language (English default)"),"Website Links: categorized by source-page language (English default)")</x:f>
        <x:v>Website Links: categorized by source-page language (English default)</x:v>
      </x:c>
      <x:c r="B1" s="24"/>
      <x:c r="C1" s="24"/>
      <x:c r="D1" s="24"/>
      <x:c r="E1" s="24"/>
      <x:c r="F1" s="24"/>
      <x:c r="G1" s="24"/>
      <x:c r="H1" s="24"/>
    </x:row>
    <x:row r="2" ht="32.099998474121094" customHeight="1">
      <x:c r="A2" s="11" t="s">
        <x:v>1000</x:v>
      </x:c>
      <x:c r="B2" s="11" t="s">
        <x:v>1837</x:v>
      </x:c>
      <x:c r="C2" s="11" t="s">
        <x:v>1960</x:v>
      </x:c>
      <x:c r="D2" s="11" t="s">
        <x:v>1961</x:v>
      </x:c>
      <x:c r="E2" s="11" t="s">
        <x:v>1832</x:v>
      </x:c>
      <x:c r="F2" s="11" t="s">
        <x:v>1003</x:v>
      </x:c>
      <x:c r="G2" s="11" t="s">
        <x:v>1014</x:v>
      </x:c>
      <x:c r="H2" s="11" t="s">
        <x:v>1013</x:v>
      </x:c>
    </x:row>
    <x:row r="3" ht="21.950000762939453" customHeight="1">
      <x:c r="A3" s="19" t="s">
        <x:v>1843</x:v>
      </x:c>
      <x:c r="B3" s="19"/>
      <x:c r="C3" s="19"/>
      <x:c r="D3" s="19"/>
      <x:c r="E3" s="19"/>
      <x:c r="F3" s="19"/>
      <x:c r="G3" s="19"/>
      <x:c r="H3" s="19"/>
    </x:row>
    <x:row r="4">
      <x:c r="A4" s="8" t="s">
        <x:v>65</x:v>
      </x:c>
      <x:c r="B4" s="8" t="s">
        <x:v>1843</x:v>
      </x:c>
      <x:c r="C4" s="8" t="s">
        <x:v>1962</x:v>
      </x:c>
      <x:c r="D4" s="8" t="s">
        <x:v>1963</x:v>
      </x:c>
      <x:c r="E4" s="8" t="s">
        <x:v>1964</x:v>
      </x:c>
      <x:c r="F4" s="8" t="s">
        <x:v>1965</x:v>
      </x:c>
      <x:c r="G4" s="8" t="s">
        <x:v>1966</x:v>
      </x:c>
      <x:c r="H4" s="8" t="s">
        <x:v>1967</x:v>
      </x:c>
    </x:row>
    <x:row r="5">
      <x:c r="A5" s="8" t="s">
        <x:v>66</x:v>
      </x:c>
      <x:c r="B5" s="8" t="s">
        <x:v>1843</x:v>
      </x:c>
      <x:c r="C5" s="8" t="s">
        <x:v>1968</x:v>
      </x:c>
      <x:c r="D5" s="8" t="s">
        <x:v>1969</x:v>
      </x:c>
      <x:c r="E5" s="8" t="s">
        <x:v>1964</x:v>
      </x:c>
      <x:c r="F5" s="8" t="s">
        <x:v>1965</x:v>
      </x:c>
      <x:c r="G5" s="8" t="s">
        <x:v>1970</x:v>
      </x:c>
      <x:c r="H5" s="8" t="s">
        <x:v>1967</x:v>
      </x:c>
    </x:row>
    <x:row r="6">
      <x:c r="A6" s="8" t="s">
        <x:v>64</x:v>
      </x:c>
      <x:c r="B6" s="8" t="s">
        <x:v>1843</x:v>
      </x:c>
      <x:c r="C6" s="8" t="s">
        <x:v>1971</x:v>
      </x:c>
      <x:c r="D6" s="8" t="s">
        <x:v>1963</x:v>
      </x:c>
      <x:c r="E6" s="8" t="s">
        <x:v>1964</x:v>
      </x:c>
      <x:c r="F6" s="8" t="s">
        <x:v>1965</x:v>
      </x:c>
      <x:c r="G6" s="8" t="s">
        <x:v>1972</x:v>
      </x:c>
      <x:c r="H6" s="8" t="s">
        <x:v>1967</x:v>
      </x:c>
    </x:row>
    <x:row r="7">
      <x:c r="A7" s="8" t="s">
        <x:v>67</x:v>
      </x:c>
      <x:c r="B7" s="8" t="s">
        <x:v>1843</x:v>
      </x:c>
      <x:c r="C7" s="8" t="s">
        <x:v>1293</x:v>
      </x:c>
      <x:c r="D7" s="8" t="s">
        <x:v>1963</x:v>
      </x:c>
      <x:c r="E7" s="8" t="s">
        <x:v>1964</x:v>
      </x:c>
      <x:c r="F7" s="8" t="s">
        <x:v>1965</x:v>
      </x:c>
      <x:c r="G7" s="8" t="s">
        <x:v>1973</x:v>
      </x:c>
      <x:c r="H7" s="8" t="s">
        <x:v>1967</x:v>
      </x:c>
    </x:row>
    <x:row r="8">
      <x:c r="A8" s="8" t="s">
        <x:v>68</x:v>
      </x:c>
      <x:c r="B8" s="8" t="s">
        <x:v>1843</x:v>
      </x:c>
      <x:c r="C8" s="8" t="s">
        <x:v>1974</x:v>
      </x:c>
      <x:c r="D8" s="8" t="s">
        <x:v>1963</x:v>
      </x:c>
      <x:c r="E8" s="8" t="s">
        <x:v>1964</x:v>
      </x:c>
      <x:c r="F8" s="8" t="s">
        <x:v>1965</x:v>
      </x:c>
      <x:c r="G8" s="8" t="s">
        <x:v>1972</x:v>
      </x:c>
      <x:c r="H8" s="8" t="s">
        <x:v>1967</x:v>
      </x:c>
    </x:row>
    <x:row r="9">
      <x:c r="A9" s="8" t="s">
        <x:v>69</x:v>
      </x:c>
      <x:c r="B9" s="8" t="s">
        <x:v>1843</x:v>
      </x:c>
      <x:c r="C9" s="8" t="s">
        <x:v>1975</x:v>
      </x:c>
      <x:c r="D9" s="8" t="s">
        <x:v>1963</x:v>
      </x:c>
      <x:c r="E9" s="8" t="s">
        <x:v>1964</x:v>
      </x:c>
      <x:c r="F9" s="8" t="s">
        <x:v>1965</x:v>
      </x:c>
      <x:c r="G9" s="8" t="s">
        <x:v>1972</x:v>
      </x:c>
      <x:c r="H9" s="8" t="s">
        <x:v>1967</x:v>
      </x:c>
    </x:row>
    <x:row r="10">
      <x:c r="A10" s="8" t="s">
        <x:v>70</x:v>
      </x:c>
      <x:c r="B10" s="8" t="s">
        <x:v>1843</x:v>
      </x:c>
      <x:c r="C10" s="8" t="s">
        <x:v>1976</x:v>
      </x:c>
      <x:c r="D10" s="8" t="s">
        <x:v>1963</x:v>
      </x:c>
      <x:c r="E10" s="8" t="s">
        <x:v>1964</x:v>
      </x:c>
      <x:c r="F10" s="8" t="s">
        <x:v>1965</x:v>
      </x:c>
      <x:c r="G10" s="8" t="s">
        <x:v>1973</x:v>
      </x:c>
      <x:c r="H10" s="8" t="s">
        <x:v>1967</x:v>
      </x:c>
    </x:row>
    <x:row r="11" ht="45">
      <x:c r="A11" s="8" t="s">
        <x:v>71</x:v>
      </x:c>
      <x:c r="B11" s="8" t="s">
        <x:v>1843</x:v>
      </x:c>
      <x:c r="C11" s="8" t="s">
        <x:v>1977</x:v>
      </x:c>
      <x:c r="D11" s="8" t="s">
        <x:v>1963</x:v>
      </x:c>
      <x:c r="E11" s="8" t="s">
        <x:v>1964</x:v>
      </x:c>
      <x:c r="F11" s="8" t="s">
        <x:v>1965</x:v>
      </x:c>
      <x:c r="G11" s="8" t="s">
        <x:v>1978</x:v>
      </x:c>
      <x:c r="H11" s="8" t="s">
        <x:v>1967</x:v>
      </x:c>
    </x:row>
    <x:row r="12">
      <x:c r="A12" s="8" t="s">
        <x:v>72</x:v>
      </x:c>
      <x:c r="B12" s="8" t="s">
        <x:v>1843</x:v>
      </x:c>
      <x:c r="C12" s="8" t="s">
        <x:v>1272</x:v>
      </x:c>
      <x:c r="D12" s="8" t="s">
        <x:v>1979</x:v>
      </x:c>
      <x:c r="E12" s="8" t="s">
        <x:v>1964</x:v>
      </x:c>
      <x:c r="F12" s="8" t="s">
        <x:v>1980</x:v>
      </x:c>
      <x:c r="G12" s="8" t="s">
        <x:v>1981</x:v>
      </x:c>
      <x:c r="H12" s="8" t="s">
        <x:v>1967</x:v>
      </x:c>
    </x:row>
    <x:row r="13">
      <x:c r="A13" s="8" t="s">
        <x:v>73</x:v>
      </x:c>
      <x:c r="B13" s="8" t="s">
        <x:v>1843</x:v>
      </x:c>
      <x:c r="C13" s="8" t="s">
        <x:v>1982</x:v>
      </x:c>
      <x:c r="D13" s="8" t="s">
        <x:v>1963</x:v>
      </x:c>
      <x:c r="E13" s="8" t="s">
        <x:v>1964</x:v>
      </x:c>
      <x:c r="F13" s="8" t="s">
        <x:v>1965</x:v>
      </x:c>
      <x:c r="G13" s="8" t="s">
        <x:v>1983</x:v>
      </x:c>
      <x:c r="H13" s="8" t="s">
        <x:v>1967</x:v>
      </x:c>
    </x:row>
    <x:row r="14" ht="30">
      <x:c r="A14" s="8" t="s">
        <x:v>73</x:v>
      </x:c>
      <x:c r="B14" s="8" t="s">
        <x:v>1843</x:v>
      </x:c>
      <x:c r="C14" s="8" t="s">
        <x:v>1984</x:v>
      </x:c>
      <x:c r="D14" s="8" t="s">
        <x:v>1979</x:v>
      </x:c>
      <x:c r="E14" s="8" t="s">
        <x:v>1985</x:v>
      </x:c>
      <x:c r="F14" s="8" t="s">
        <x:v>1965</x:v>
      </x:c>
      <x:c r="G14" s="8" t="str">
        <x:v>MIT source, deployment documentation and protocol/API documentation</x:v>
      </x:c>
      <x:c r="H14" s="8" t="s">
        <x:v>1967</x:v>
      </x:c>
    </x:row>
    <x:row r="15">
      <x:c r="A15" s="8" t="s">
        <x:v>74</x:v>
      </x:c>
      <x:c r="B15" s="8" t="s">
        <x:v>1843</x:v>
      </x:c>
      <x:c r="C15" s="8" t="s">
        <x:v>1243</x:v>
      </x:c>
      <x:c r="D15" s="8" t="s">
        <x:v>1963</x:v>
      </x:c>
      <x:c r="E15" s="8" t="s">
        <x:v>1964</x:v>
      </x:c>
      <x:c r="F15" s="8" t="s">
        <x:v>1965</x:v>
      </x:c>
      <x:c r="G15" s="8" t="s">
        <x:v>1973</x:v>
      </x:c>
      <x:c r="H15" s="8" t="s">
        <x:v>1967</x:v>
      </x:c>
    </x:row>
    <x:row r="16">
      <x:c r="A16" s="8" t="s">
        <x:v>75</x:v>
      </x:c>
      <x:c r="B16" s="8" t="s">
        <x:v>1843</x:v>
      </x:c>
      <x:c r="C16" s="8" t="s">
        <x:v>1232</x:v>
      </x:c>
      <x:c r="D16" s="8" t="s">
        <x:v>1963</x:v>
      </x:c>
      <x:c r="E16" s="8" t="s">
        <x:v>1964</x:v>
      </x:c>
      <x:c r="F16" s="8" t="s">
        <x:v>1965</x:v>
      </x:c>
      <x:c r="G16" s="8" t="s">
        <x:v>1973</x:v>
      </x:c>
      <x:c r="H16" s="8" t="s">
        <x:v>1967</x:v>
      </x:c>
    </x:row>
    <x:row r="17" ht="30">
      <x:c r="A17" s="8" t="s">
        <x:v>76</x:v>
      </x:c>
      <x:c r="B17" s="8" t="s">
        <x:v>1843</x:v>
      </x:c>
      <x:c r="C17" s="8" t="s">
        <x:v>1082</x:v>
      </x:c>
      <x:c r="D17" s="8" t="s">
        <x:v>1963</x:v>
      </x:c>
      <x:c r="E17" s="8" t="s">
        <x:v>1986</x:v>
      </x:c>
      <x:c r="F17" s="8" t="s">
        <x:v>1965</x:v>
      </x:c>
      <x:c r="G17" s="8" t="s">
        <x:v>1987</x:v>
      </x:c>
      <x:c r="H17" s="8" t="s">
        <x:v>1967</x:v>
      </x:c>
    </x:row>
    <x:row r="18">
      <x:c r="A18" s="8" t="s">
        <x:v>77</x:v>
      </x:c>
      <x:c r="B18" s="8" t="s">
        <x:v>1843</x:v>
      </x:c>
      <x:c r="C18" s="8" t="s">
        <x:v>1988</x:v>
      </x:c>
      <x:c r="D18" s="8" t="s">
        <x:v>1963</x:v>
      </x:c>
      <x:c r="E18" s="8" t="s">
        <x:v>1964</x:v>
      </x:c>
      <x:c r="F18" s="8" t="s">
        <x:v>1965</x:v>
      </x:c>
      <x:c r="G18" s="8" t="s">
        <x:v>1973</x:v>
      </x:c>
      <x:c r="H18" s="8" t="s">
        <x:v>1967</x:v>
      </x:c>
    </x:row>
    <x:row r="19">
      <x:c r="A19" s="8" t="s">
        <x:v>78</x:v>
      </x:c>
      <x:c r="B19" s="8" t="s">
        <x:v>1843</x:v>
      </x:c>
      <x:c r="C19" s="8" t="s">
        <x:v>1242</x:v>
      </x:c>
      <x:c r="D19" s="8" t="s">
        <x:v>1989</x:v>
      </x:c>
      <x:c r="E19" s="8" t="s">
        <x:v>1964</x:v>
      </x:c>
      <x:c r="F19" s="8" t="s">
        <x:v>1965</x:v>
      </x:c>
      <x:c r="G19" s="8" t="str">
        <x:v>Official FAQ/documentation</x:v>
      </x:c>
      <x:c r="H19" s="8" t="s">
        <x:v>1967</x:v>
      </x:c>
    </x:row>
    <x:row r="20">
      <x:c r="A20" s="8" t="s">
        <x:v>79</x:v>
      </x:c>
      <x:c r="B20" s="8" t="s">
        <x:v>1843</x:v>
      </x:c>
      <x:c r="C20" s="8" t="s">
        <x:v>1095</x:v>
      </x:c>
      <x:c r="D20" s="8" t="s">
        <x:v>1963</x:v>
      </x:c>
      <x:c r="E20" s="8" t="s">
        <x:v>1964</x:v>
      </x:c>
      <x:c r="F20" s="8" t="s">
        <x:v>1965</x:v>
      </x:c>
      <x:c r="G20" s="8" t="s">
        <x:v>1990</x:v>
      </x:c>
      <x:c r="H20" s="8" t="s">
        <x:v>1967</x:v>
      </x:c>
    </x:row>
    <x:row r="21">
      <x:c r="A21" s="8" t="s">
        <x:v>80</x:v>
      </x:c>
      <x:c r="B21" s="8" t="s">
        <x:v>1843</x:v>
      </x:c>
      <x:c r="C21" s="8" t="s">
        <x:v>1228</x:v>
      </x:c>
      <x:c r="D21" s="8" t="s">
        <x:v>1963</x:v>
      </x:c>
      <x:c r="E21" s="8" t="s">
        <x:v>1964</x:v>
      </x:c>
      <x:c r="F21" s="8" t="s">
        <x:v>1965</x:v>
      </x:c>
      <x:c r="G21" s="8" t="s">
        <x:v>1991</x:v>
      </x:c>
      <x:c r="H21" s="8" t="s">
        <x:v>1967</x:v>
      </x:c>
    </x:row>
    <x:row r="22">
      <x:c r="A22" s="8" t="s">
        <x:v>81</x:v>
      </x:c>
      <x:c r="B22" s="8" t="s">
        <x:v>1843</x:v>
      </x:c>
      <x:c r="C22" s="8" t="s">
        <x:v>1229</x:v>
      </x:c>
      <x:c r="D22" s="8" t="s">
        <x:v>1963</x:v>
      </x:c>
      <x:c r="E22" s="8" t="s">
        <x:v>1964</x:v>
      </x:c>
      <x:c r="F22" s="8" t="s">
        <x:v>1965</x:v>
      </x:c>
      <x:c r="G22" s="8" t="s">
        <x:v>1973</x:v>
      </x:c>
      <x:c r="H22" s="8" t="s">
        <x:v>1967</x:v>
      </x:c>
    </x:row>
    <x:row r="23" ht="30">
      <x:c r="A23" s="8" t="s">
        <x:v>82</x:v>
      </x:c>
      <x:c r="B23" s="8" t="s">
        <x:v>1843</x:v>
      </x:c>
      <x:c r="C23" s="8" t="s">
        <x:v>1992</x:v>
      </x:c>
      <x:c r="D23" s="8" t="s">
        <x:v>1963</x:v>
      </x:c>
      <x:c r="E23" s="8" t="s">
        <x:v>1964</x:v>
      </x:c>
      <x:c r="F23" s="8" t="s">
        <x:v>1965</x:v>
      </x:c>
      <x:c r="G23" s="8" t="s">
        <x:v>1993</x:v>
      </x:c>
      <x:c r="H23" s="8" t="s">
        <x:v>1967</x:v>
      </x:c>
    </x:row>
    <x:row r="24">
      <x:c r="A24" s="8" t="s">
        <x:v>83</x:v>
      </x:c>
      <x:c r="B24" s="8" t="s">
        <x:v>1843</x:v>
      </x:c>
      <x:c r="C24" s="8" t="s">
        <x:v>1994</x:v>
      </x:c>
      <x:c r="D24" s="8" t="s">
        <x:v>1963</x:v>
      </x:c>
      <x:c r="E24" s="8" t="s">
        <x:v>1964</x:v>
      </x:c>
      <x:c r="F24" s="8" t="s">
        <x:v>1965</x:v>
      </x:c>
      <x:c r="G24" s="8" t="s">
        <x:v>1995</x:v>
      </x:c>
      <x:c r="H24" s="8" t="s">
        <x:v>1967</x:v>
      </x:c>
    </x:row>
    <x:row r="25">
      <x:c r="A25" s="8" t="s">
        <x:v>84</x:v>
      </x:c>
      <x:c r="B25" s="8" t="s">
        <x:v>1843</x:v>
      </x:c>
      <x:c r="C25" s="8" t="s">
        <x:v>1996</x:v>
      </x:c>
      <x:c r="D25" s="8" t="s">
        <x:v>1963</x:v>
      </x:c>
      <x:c r="E25" s="8" t="s">
        <x:v>1964</x:v>
      </x:c>
      <x:c r="F25" s="8" t="s">
        <x:v>1965</x:v>
      </x:c>
      <x:c r="G25" s="8" t="s">
        <x:v>1973</x:v>
      </x:c>
      <x:c r="H25" s="8" t="s">
        <x:v>1967</x:v>
      </x:c>
    </x:row>
    <x:row r="26">
      <x:c r="A26" s="8" t="s">
        <x:v>85</x:v>
      </x:c>
      <x:c r="B26" s="8" t="s">
        <x:v>1843</x:v>
      </x:c>
      <x:c r="C26" s="8" t="s">
        <x:v>1263</x:v>
      </x:c>
      <x:c r="D26" s="8" t="s">
        <x:v>1979</x:v>
      </x:c>
      <x:c r="E26" s="8" t="s">
        <x:v>1964</x:v>
      </x:c>
      <x:c r="F26" s="8" t="s">
        <x:v>1980</x:v>
      </x:c>
      <x:c r="G26" s="8" t="s">
        <x:v>1997</x:v>
      </x:c>
      <x:c r="H26" s="8" t="s">
        <x:v>1967</x:v>
      </x:c>
    </x:row>
    <x:row r="27">
      <x:c r="A27" s="8" t="s">
        <x:v>86</x:v>
      </x:c>
      <x:c r="B27" s="8" t="s">
        <x:v>1843</x:v>
      </x:c>
      <x:c r="C27" s="8" t="s">
        <x:v>1998</x:v>
      </x:c>
      <x:c r="D27" s="8" t="s">
        <x:v>1963</x:v>
      </x:c>
      <x:c r="E27" s="8" t="s">
        <x:v>1964</x:v>
      </x:c>
      <x:c r="F27" s="8" t="s">
        <x:v>1965</x:v>
      </x:c>
      <x:c r="G27" s="8" t="s">
        <x:v>1972</x:v>
      </x:c>
      <x:c r="H27" s="8" t="s">
        <x:v>1967</x:v>
      </x:c>
    </x:row>
    <x:row r="28">
      <x:c r="A28" s="8" t="s">
        <x:v>87</x:v>
      </x:c>
      <x:c r="B28" s="8" t="s">
        <x:v>1843</x:v>
      </x:c>
      <x:c r="C28" s="8" t="s">
        <x:v>1999</x:v>
      </x:c>
      <x:c r="D28" s="8" t="s">
        <x:v>1989</x:v>
      </x:c>
      <x:c r="E28" s="8" t="s">
        <x:v>1985</x:v>
      </x:c>
      <x:c r="F28" s="8" t="s">
        <x:v>1965</x:v>
      </x:c>
      <x:c r="G28" s="8" t="s">
        <x:v>2000</x:v>
      </x:c>
      <x:c r="H28" s="8" t="s">
        <x:v>1967</x:v>
      </x:c>
    </x:row>
    <x:row r="29">
      <x:c r="A29" s="8" t="s">
        <x:v>88</x:v>
      </x:c>
      <x:c r="B29" s="8" t="s">
        <x:v>1843</x:v>
      </x:c>
      <x:c r="C29" s="8" t="s">
        <x:v>1052</x:v>
      </x:c>
      <x:c r="D29" s="8" t="s">
        <x:v>1963</x:v>
      </x:c>
      <x:c r="E29" s="8" t="s">
        <x:v>1964</x:v>
      </x:c>
      <x:c r="F29" s="8" t="s">
        <x:v>1965</x:v>
      </x:c>
      <x:c r="G29" s="8" t="s">
        <x:v>1972</x:v>
      </x:c>
      <x:c r="H29" s="8" t="s">
        <x:v>1967</x:v>
      </x:c>
    </x:row>
    <x:row r="30">
      <x:c r="A30" s="8" t="s">
        <x:v>89</x:v>
      </x:c>
      <x:c r="B30" s="8" t="s">
        <x:v>1843</x:v>
      </x:c>
      <x:c r="C30" s="8" t="s">
        <x:v>2001</x:v>
      </x:c>
      <x:c r="D30" s="8" t="s">
        <x:v>1963</x:v>
      </x:c>
      <x:c r="E30" s="8" t="s">
        <x:v>1964</x:v>
      </x:c>
      <x:c r="F30" s="8" t="s">
        <x:v>1965</x:v>
      </x:c>
      <x:c r="G30" s="8" t="s">
        <x:v>1973</x:v>
      </x:c>
      <x:c r="H30" s="8" t="s">
        <x:v>1967</x:v>
      </x:c>
    </x:row>
    <x:row r="31">
      <x:c r="A31" s="8" t="s">
        <x:v>90</x:v>
      </x:c>
      <x:c r="B31" s="8" t="s">
        <x:v>1843</x:v>
      </x:c>
      <x:c r="C31" s="8" t="s">
        <x:v>2002</x:v>
      </x:c>
      <x:c r="D31" s="8" t="s">
        <x:v>1963</x:v>
      </x:c>
      <x:c r="E31" s="8" t="s">
        <x:v>1964</x:v>
      </x:c>
      <x:c r="F31" s="8" t="s">
        <x:v>1965</x:v>
      </x:c>
      <x:c r="G31" s="8" t="s">
        <x:v>2003</x:v>
      </x:c>
      <x:c r="H31" s="8" t="s">
        <x:v>1967</x:v>
      </x:c>
    </x:row>
    <x:row r="32" ht="45">
      <x:c r="A32" s="8" t="s">
        <x:v>91</x:v>
      </x:c>
      <x:c r="B32" s="8" t="s">
        <x:v>1843</x:v>
      </x:c>
      <x:c r="C32" s="8" t="s">
        <x:v>2004</x:v>
      </x:c>
      <x:c r="D32" s="8" t="s">
        <x:v>2005</x:v>
      </x:c>
      <x:c r="E32" s="8" t="s">
        <x:v>1985</x:v>
      </x:c>
      <x:c r="F32" s="8" t="s">
        <x:v>2006</x:v>
      </x:c>
      <x:c r="G32" s="8" t="str">
        <x:v>No stable official website/documentation located in this pass</x:v>
      </x:c>
      <x:c r="H32" s="8" t="s">
        <x:v>1967</x:v>
      </x:c>
    </x:row>
    <x:row r="33">
      <x:c r="A33" s="8" t="s">
        <x:v>92</x:v>
      </x:c>
      <x:c r="B33" s="8" t="s">
        <x:v>1843</x:v>
      </x:c>
      <x:c r="C33" s="8" t="s">
        <x:v>2007</x:v>
      </x:c>
      <x:c r="D33" s="8" t="s">
        <x:v>1963</x:v>
      </x:c>
      <x:c r="E33" s="8" t="s">
        <x:v>1964</x:v>
      </x:c>
      <x:c r="F33" s="8" t="s">
        <x:v>1965</x:v>
      </x:c>
      <x:c r="G33" s="8" t="s">
        <x:v>1973</x:v>
      </x:c>
      <x:c r="H33" s="8" t="s">
        <x:v>1967</x:v>
      </x:c>
    </x:row>
    <x:row r="34" ht="23.100000381469727" customHeight="1">
      <x:c r="A34" s="20" t="s">
        <x:v>93</x:v>
      </x:c>
      <x:c r="B34" s="20" t="s">
        <x:v>1843</x:v>
      </x:c>
      <x:c r="C34" s="20" t="s">
        <x:v>2008</x:v>
      </x:c>
      <x:c r="D34" s="20" t="s">
        <x:v>1963</x:v>
      </x:c>
      <x:c r="E34" s="20" t="s">
        <x:v>1964</x:v>
      </x:c>
      <x:c r="F34" s="20" t="s">
        <x:v>1965</x:v>
      </x:c>
      <x:c r="G34" s="20" t="s">
        <x:v>1973</x:v>
      </x:c>
      <x:c r="H34" s="20" t="s">
        <x:v>1967</x:v>
      </x:c>
    </x:row>
    <x:row r="35">
      <x:c r="A35" s="8" t="s">
        <x:v>94</x:v>
      </x:c>
      <x:c r="B35" s="8" t="s">
        <x:v>1843</x:v>
      </x:c>
      <x:c r="C35" s="8" t="s">
        <x:v>2009</x:v>
      </x:c>
      <x:c r="D35" s="8" t="s">
        <x:v>1963</x:v>
      </x:c>
      <x:c r="E35" s="8" t="s">
        <x:v>1964</x:v>
      </x:c>
      <x:c r="F35" s="8" t="s">
        <x:v>1965</x:v>
      </x:c>
      <x:c r="G35" s="8" t="s">
        <x:v>1973</x:v>
      </x:c>
      <x:c r="H35" s="8" t="s">
        <x:v>1967</x:v>
      </x:c>
    </x:row>
    <x:row r="36" ht="21.950000762939453" customHeight="1">
      <x:c r="A36" s="19" t="s">
        <x:v>2010</x:v>
      </x:c>
      <x:c r="B36" s="19"/>
      <x:c r="C36" s="19"/>
      <x:c r="D36" s="19"/>
      <x:c r="E36" s="19"/>
      <x:c r="F36" s="19"/>
      <x:c r="G36" s="19"/>
      <x:c r="H36" s="19"/>
    </x:row>
    <x:row r="37" ht="23.100000381469727" customHeight="1">
      <x:c r="A37" s="20" t="s">
        <x:v>70</x:v>
      </x:c>
      <x:c r="B37" s="20" t="s">
        <x:v>2010</x:v>
      </x:c>
      <x:c r="C37" s="20" t="s">
        <x:v>2011</x:v>
      </x:c>
      <x:c r="D37" s="20" t="s">
        <x:v>2012</x:v>
      </x:c>
      <x:c r="E37" s="20" t="s">
        <x:v>1964</x:v>
      </x:c>
      <x:c r="F37" s="20" t="s">
        <x:v>1965</x:v>
      </x:c>
      <x:c r="G37" s="20" t="s">
        <x:v>2013</x:v>
      </x:c>
      <x:c r="H37" s="20" t="s">
        <x:v>1026</x:v>
      </x:c>
    </x:row>
    <x:row r="38" ht="30">
      <x:c r="A38" s="8" t="s">
        <x:v>83</x:v>
      </x:c>
      <x:c r="B38" s="8" t="s">
        <x:v>2010</x:v>
      </x:c>
      <x:c r="C38" s="8" t="s">
        <x:v>1281</x:v>
      </x:c>
      <x:c r="D38" s="8" t="s">
        <x:v>2014</x:v>
      </x:c>
      <x:c r="E38" s="8" t="s">
        <x:v>2015</x:v>
      </x:c>
      <x:c r="F38" s="8" t="s">
        <x:v>1965</x:v>
      </x:c>
      <x:c r="G38" s="8" t="s">
        <x:v>2016</x:v>
      </x:c>
      <x:c r="H38" s="8" t="s">
        <x:v>1026</x:v>
      </x:c>
    </x:row>
    <x:row r="39" ht="21.950000762939453" customHeight="1">
      <x:c r="A39" s="19" t="s">
        <x:v>2017</x:v>
      </x:c>
      <x:c r="B39" s="19"/>
      <x:c r="C39" s="19"/>
      <x:c r="D39" s="19"/>
      <x:c r="E39" s="19"/>
      <x:c r="F39" s="19"/>
      <x:c r="G39" s="19"/>
      <x:c r="H39" s="19"/>
    </x:row>
    <x:row r="40">
      <x:c r="A40" s="8" t="s">
        <x:v>70</x:v>
      </x:c>
      <x:c r="B40" s="8" t="s">
        <x:v>2017</x:v>
      </x:c>
      <x:c r="C40" s="8" t="s">
        <x:v>2018</x:v>
      </x:c>
      <x:c r="D40" s="8" t="s">
        <x:v>2012</x:v>
      </x:c>
      <x:c r="E40" s="8" t="s">
        <x:v>1964</x:v>
      </x:c>
      <x:c r="F40" s="8" t="s">
        <x:v>1965</x:v>
      </x:c>
      <x:c r="G40" s="8" t="s">
        <x:v>2019</x:v>
      </x:c>
      <x:c r="H40" s="8" t="s">
        <x:v>1026</x:v>
      </x:c>
    </x:row>
    <x:row r="41" ht="21.950000762939453" customHeight="1">
      <x:c r="A41" s="19" t="s">
        <x:v>2020</x:v>
      </x:c>
      <x:c r="B41" s="19"/>
      <x:c r="C41" s="19"/>
      <x:c r="D41" s="19"/>
      <x:c r="E41" s="19"/>
      <x:c r="F41" s="19"/>
      <x:c r="G41" s="19"/>
      <x:c r="H41" s="19"/>
    </x:row>
    <x:row r="42">
      <x:c r="A42" s="8" t="s">
        <x:v>70</x:v>
      </x:c>
      <x:c r="B42" s="8" t="s">
        <x:v>2020</x:v>
      </x:c>
      <x:c r="C42" s="8" t="s">
        <x:v>2021</x:v>
      </x:c>
      <x:c r="D42" s="8" t="s">
        <x:v>2012</x:v>
      </x:c>
      <x:c r="E42" s="8" t="s">
        <x:v>1964</x:v>
      </x:c>
      <x:c r="F42" s="8" t="s">
        <x:v>1965</x:v>
      </x:c>
      <x:c r="G42" s="8" t="s">
        <x:v>2022</x:v>
      </x:c>
      <x:c r="H42" s="8" t="s">
        <x:v>1026</x:v>
      </x:c>
    </x:row>
    <x:row r="43" ht="21.950000762939453" customHeight="1">
      <x:c r="A43" s="19" t="s">
        <x:v>2023</x:v>
      </x:c>
      <x:c r="B43" s="19"/>
      <x:c r="C43" s="19"/>
      <x:c r="D43" s="19"/>
      <x:c r="E43" s="19"/>
      <x:c r="F43" s="19"/>
      <x:c r="G43" s="19"/>
      <x:c r="H43" s="19"/>
    </x:row>
    <x:row r="44">
      <x:c r="A44" s="8" t="s">
        <x:v>70</x:v>
      </x:c>
      <x:c r="B44" s="8" t="s">
        <x:v>2023</x:v>
      </x:c>
      <x:c r="C44" s="8" t="s">
        <x:v>2024</x:v>
      </x:c>
      <x:c r="D44" s="8" t="s">
        <x:v>2012</x:v>
      </x:c>
      <x:c r="E44" s="8" t="s">
        <x:v>1964</x:v>
      </x:c>
      <x:c r="F44" s="8" t="s">
        <x:v>1965</x:v>
      </x:c>
      <x:c r="G44" s="8" t="s">
        <x:v>2025</x:v>
      </x:c>
      <x:c r="H44" s="8" t="s">
        <x:v>1026</x:v>
      </x:c>
    </x:row>
    <x:row r="45">
      <x:c r="A45" s="8" t="s">
        <x:v>83</x:v>
      </x:c>
      <x:c r="B45" s="8" t="s">
        <x:v>2023</x:v>
      </x:c>
      <x:c r="C45" s="8" t="s">
        <x:v>2026</x:v>
      </x:c>
      <x:c r="D45" s="8" t="s">
        <x:v>2012</x:v>
      </x:c>
      <x:c r="E45" s="8" t="s">
        <x:v>1964</x:v>
      </x:c>
      <x:c r="F45" s="8" t="s">
        <x:v>1965</x:v>
      </x:c>
      <x:c r="G45" s="8" t="s">
        <x:v>2027</x:v>
      </x:c>
      <x:c r="H45" s="8" t="s">
        <x:v>1026</x:v>
      </x:c>
    </x:row>
    <x:row r="46">
      <x:c r="A46" s="8" t="s">
        <x:v>82</x:v>
      </x:c>
      <x:c r="B46" s="8" t="s">
        <x:v>1843</x:v>
      </x:c>
      <x:c r="C46" s="8" t="s">
        <x:v>2028</x:v>
      </x:c>
      <x:c r="D46" s="8" t="s">
        <x:v>1979</x:v>
      </x:c>
      <x:c r="E46" s="8" t="s">
        <x:v>1985</x:v>
      </x:c>
      <x:c r="F46" s="8" t="s">
        <x:v>1965</x:v>
      </x:c>
      <x:c r="G46" s="8" t="str">
        <x:v>AGPL-3.0 source and self-host documentation</x:v>
      </x:c>
      <x:c r="H46" s="8" t="s">
        <x:v>1967</x:v>
      </x:c>
    </x:row>
    <x:row r="47">
      <x:c r="A47" s="8" t="s">
        <x:v>82</x:v>
      </x:c>
      <x:c r="B47" s="8" t="s">
        <x:v>1843</x:v>
      </x:c>
      <x:c r="C47" s="8" t="s">
        <x:v>2029</x:v>
      </x:c>
      <x:c r="D47" s="8" t="s">
        <x:v>2030</x:v>
      </x:c>
      <x:c r="E47" s="8" t="s">
        <x:v>2031</x:v>
      </x:c>
      <x:c r="F47" s="8" t="s">
        <x:v>1965</x:v>
      </x:c>
      <x:c r="G47" s="8" t="s">
        <x:v>2032</x:v>
      </x:c>
      <x:c r="H47" s="8" t="s">
        <x:v>1967</x:v>
      </x:c>
    </x:row>
    <x:row r="48">
      <x:c r="A48" s="8" t="s">
        <x:v>82</x:v>
      </x:c>
      <x:c r="B48" s="8" t="s">
        <x:v>1843</x:v>
      </x:c>
      <x:c r="C48" s="8" t="s">
        <x:v>2033</x:v>
      </x:c>
      <x:c r="D48" s="8" t="s">
        <x:v>2034</x:v>
      </x:c>
      <x:c r="E48" s="8" t="s">
        <x:v>2035</x:v>
      </x:c>
      <x:c r="F48" s="8" t="s">
        <x:v>1965</x:v>
      </x:c>
      <x:c r="G48" s="8" t="s">
        <x:v>2036</x:v>
      </x:c>
      <x:c r="H48" s="8" t="s">
        <x:v>1967</x:v>
      </x:c>
    </x:row>
    <x:row r="49">
      <x:c r="A49" s="8" t="s">
        <x:v>82</x:v>
      </x:c>
      <x:c r="B49" s="8" t="s">
        <x:v>1843</x:v>
      </x:c>
      <x:c r="C49" s="8" t="s">
        <x:v>2037</x:v>
      </x:c>
      <x:c r="D49" s="8" t="s">
        <x:v>2038</x:v>
      </x:c>
      <x:c r="E49" s="8" t="s">
        <x:v>2039</x:v>
      </x:c>
      <x:c r="F49" s="8" t="s">
        <x:v>1965</x:v>
      </x:c>
      <x:c r="G49" s="8" t="s">
        <x:v>2040</x:v>
      </x:c>
      <x:c r="H49" s="8" t="s">
        <x:v>1967</x:v>
      </x:c>
    </x:row>
    <x:row r="50">
      <x:c r="A50" s="8" t="s">
        <x:v>82</x:v>
      </x:c>
      <x:c r="B50" s="8" t="s">
        <x:v>1843</x:v>
      </x:c>
      <x:c r="C50" s="8" t="s">
        <x:v>2041</x:v>
      </x:c>
      <x:c r="D50" s="8" t="s">
        <x:v>2042</x:v>
      </x:c>
      <x:c r="E50" s="8" t="s">
        <x:v>2043</x:v>
      </x:c>
      <x:c r="F50" s="8" t="s">
        <x:v>1965</x:v>
      </x:c>
      <x:c r="G50" s="8" t="s">
        <x:v>2044</x:v>
      </x:c>
      <x:c r="H50" s="8" t="s">
        <x:v>1967</x:v>
      </x:c>
    </x:row>
    <x:row r="51">
      <x:c r="A51" s="8" t="s">
        <x:v>82</x:v>
      </x:c>
      <x:c r="B51" s="8" t="s">
        <x:v>1843</x:v>
      </x:c>
      <x:c r="C51" s="8" t="s">
        <x:v>2045</x:v>
      </x:c>
      <x:c r="D51" s="8" t="s">
        <x:v>2046</x:v>
      </x:c>
      <x:c r="E51" s="8" t="s">
        <x:v>2043</x:v>
      </x:c>
      <x:c r="F51" s="8" t="s">
        <x:v>1965</x:v>
      </x:c>
      <x:c r="G51" s="8" t="s">
        <x:v>2047</x:v>
      </x:c>
      <x:c r="H51" s="8" t="s">
        <x:v>1967</x:v>
      </x:c>
    </x:row>
    <x:row r="52">
      <x:c r="A52" s="8" t="s">
        <x:v>82</x:v>
      </x:c>
      <x:c r="B52" s="8" t="s">
        <x:v>1843</x:v>
      </x:c>
      <x:c r="C52" s="8" t="s">
        <x:v>2048</x:v>
      </x:c>
      <x:c r="D52" s="8" t="s">
        <x:v>2049</x:v>
      </x:c>
      <x:c r="E52" s="8" t="s">
        <x:v>2043</x:v>
      </x:c>
      <x:c r="F52" s="8" t="s">
        <x:v>1965</x:v>
      </x:c>
      <x:c r="G52" s="8" t="s">
        <x:v>2050</x:v>
      </x:c>
      <x:c r="H52" s="8" t="s">
        <x:v>1967</x:v>
      </x:c>
    </x:row>
    <x:row r="53">
      <x:c r="A53" s="8" t="s">
        <x:v>82</x:v>
      </x:c>
      <x:c r="B53" s="8" t="s">
        <x:v>2051</x:v>
      </x:c>
      <x:c r="C53" s="8" t="s">
        <x:v>2052</x:v>
      </x:c>
      <x:c r="D53" s="8" t="s">
        <x:v>1432</x:v>
      </x:c>
      <x:c r="E53" s="8" t="s">
        <x:v>2053</x:v>
      </x:c>
      <x:c r="F53" s="8" t="s">
        <x:v>1965</x:v>
      </x:c>
      <x:c r="G53" s="8" t="s">
        <x:v>2054</x:v>
      </x:c>
      <x:c r="H53" s="8" t="s">
        <x:v>1967</x:v>
      </x:c>
    </x:row>
    <x:row r="54" ht="45">
      <x:c r="A54" s="8" t="s">
        <x:v>71</x:v>
      </x:c>
      <x:c r="B54" s="8" t="s">
        <x:v>1843</x:v>
      </x:c>
      <x:c r="C54" s="8" t="s">
        <x:v>2055</x:v>
      </x:c>
      <x:c r="D54" s="8" t="s">
        <x:v>2056</x:v>
      </x:c>
      <x:c r="E54" s="8" t="s">
        <x:v>2057</x:v>
      </x:c>
      <x:c r="F54" s="8" t="s">
        <x:v>1980</x:v>
      </x:c>
      <x:c r="G54" s="8" t="s">
        <x:v>2058</x:v>
      </x:c>
      <x:c r="H54" s="8" t="s">
        <x:v>1967</x:v>
      </x:c>
    </x:row>
  </x:sheetData>
  <x:mergeCells>
    <x:mergeCell ref="A1:H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22" customWidth="1"/>
    <x:col min="2" max="5" width="18" customWidth="1"/>
    <x:col min="6" max="6" width="22" customWidth="1"/>
    <x:col min="7" max="7" width="36" customWidth="1"/>
  </x:cols>
  <x:sheetData>
    <x:row r="1" ht="27.950000762939453" customHeight="1">
      <x:c r="A1" s="24" t="str">
        <x:v>Verification Coverage: platform-by-platform source pass; 2026-09-16</x:v>
      </x:c>
      <x:c r="B1" s="24"/>
      <x:c r="C1" s="24"/>
      <x:c r="D1" s="24"/>
      <x:c r="E1" s="24"/>
      <x:c r="F1" s="24"/>
      <x:c r="G1" s="24"/>
    </x:row>
    <x:row r="2" ht="32.099998474121094" customHeight="1">
      <x:c r="A2" s="11" t="s">
        <x:v>1000</x:v>
      </x:c>
      <x:c r="B2" s="11" t="s">
        <x:v>2059</x:v>
      </x:c>
      <x:c r="C2" s="11" t="s">
        <x:v>2060</x:v>
      </x:c>
      <x:c r="D2" s="11" t="s">
        <x:v>2061</x:v>
      </x:c>
      <x:c r="E2" s="11" t="s">
        <x:v>2062</x:v>
      </x:c>
      <x:c r="F2" s="11" t="s">
        <x:v>2063</x:v>
      </x:c>
      <x:c r="G2" s="11" t="s">
        <x:v>1014</x:v>
      </x:c>
    </x:row>
    <x:row r="3" ht="75">
      <x:c r="A3" s="8" t="s">
        <x:v>64</x:v>
      </x:c>
      <x:c r="B3" s="8">
        <x:v>284</x:v>
      </x:c>
      <x:c r="C3" s="8">
        <x:v>284</x:v>
      </x:c>
      <x:c r="D3" s="8">
        <x:v>0</x:v>
      </x:c>
      <x:c r="E3" s="22" t="n">
        <x:f t="shared" ref="E3:E33" si="0">IF(B3=0,0,D3/B3)</x:f>
        <x:v>0</x:v>
      </x:c>
      <x:c r="F3" s="8" t="str">
        <x:v>Revalidated: official/first-party sources</x:v>
      </x:c>
      <x:c r="G3" s="8" t="str">
        <x:v>Public sources rechecked 2026-09-16. Blank or qualified cells mean no current first-party claim was found, or behavior varies by deployment/client.</x:v>
      </x:c>
    </x:row>
    <x:row r="4" ht="75">
      <x:c r="A4" s="8" t="s">
        <x:v>88</x:v>
      </x:c>
      <x:c r="B4" s="8">
        <x:v>654</x:v>
      </x:c>
      <x:c r="C4" s="8">
        <x:v>623</x:v>
      </x:c>
      <x:c r="D4" s="8">
        <x:v>31</x:v>
      </x:c>
      <x:c r="E4" s="22">
        <x:f t="shared" si="0"/>
        <x:v>4.7400611620795105E-2</x:v>
      </x:c>
      <x:c r="F4" s="8" t="str">
        <x:v>Revalidated: official/first-party sources</x:v>
      </x:c>
      <x:c r="G4" s="8" t="str">
        <x:v>Public sources rechecked 2026-09-16. Blank or qualified cells mean no current first-party claim was found, or behavior varies by deployment/client.</x:v>
      </x:c>
    </x:row>
    <x:row r="5" ht="75">
      <x:c r="A5" s="8" t="s">
        <x:v>68</x:v>
      </x:c>
      <x:c r="B5" s="8">
        <x:v>662</x:v>
      </x:c>
      <x:c r="C5" s="8">
        <x:v>663</x:v>
      </x:c>
      <x:c r="D5" s="8">
        <x:v>-1</x:v>
      </x:c>
      <x:c r="E5" s="22">
        <x:f t="shared" si="0"/>
        <x:v>-1.5105740181268882E-3</x:v>
      </x:c>
      <x:c r="F5" s="8" t="str">
        <x:v>Revalidated: official/first-party sources</x:v>
      </x:c>
      <x:c r="G5" s="8" t="str">
        <x:v>Public sources rechecked 2026-09-16. Blank or qualified cells mean no current first-party claim was found, or behavior varies by deployment/client.</x:v>
      </x:c>
    </x:row>
    <x:row r="6" ht="75">
      <x:c r="A6" s="8" t="s">
        <x:v>69</x:v>
      </x:c>
      <x:c r="B6" s="8">
        <x:v>558</x:v>
      </x:c>
      <x:c r="C6" s="8">
        <x:v>558</x:v>
      </x:c>
      <x:c r="D6" s="8">
        <x:v>0</x:v>
      </x:c>
      <x:c r="E6" s="22">
        <x:f t="shared" si="0"/>
        <x:v>0</x:v>
      </x:c>
      <x:c r="F6" s="8" t="str">
        <x:v>Revalidated: official/first-party sources</x:v>
      </x:c>
      <x:c r="G6" s="8" t="str">
        <x:v>Public sources rechecked 2026-09-16. Blank or qualified cells mean no current first-party claim was found, or behavior varies by deployment/client.</x:v>
      </x:c>
    </x:row>
    <x:row r="7" ht="75">
      <x:c r="A7" s="8" t="s">
        <x:v>86</x:v>
      </x:c>
      <x:c r="B7" s="8">
        <x:v>587</x:v>
      </x:c>
      <x:c r="C7" s="8">
        <x:v>587</x:v>
      </x:c>
      <x:c r="D7" s="8">
        <x:v>0</x:v>
      </x:c>
      <x:c r="E7" s="22">
        <x:f t="shared" si="0"/>
        <x:v>0</x:v>
      </x:c>
      <x:c r="F7" s="8" t="str">
        <x:v>Revalidated: official/first-party sources</x:v>
      </x:c>
      <x:c r="G7" s="8" t="str">
        <x:v>Public sources rechecked 2026-09-16. Blank or qualified cells mean no current first-party claim was found, or behavior varies by deployment/client.</x:v>
      </x:c>
    </x:row>
    <x:row r="8" ht="75">
      <x:c r="A8" s="8" t="s">
        <x:v>76</x:v>
      </x:c>
      <x:c r="B8" s="8">
        <x:v>451</x:v>
      </x:c>
      <x:c r="C8" s="8">
        <x:v>452</x:v>
      </x:c>
      <x:c r="D8" s="8">
        <x:v>-1</x:v>
      </x:c>
      <x:c r="E8" s="22">
        <x:f t="shared" si="0"/>
        <x:v>-2.2172949002217295E-3</x:v>
      </x:c>
      <x:c r="F8" s="8" t="str">
        <x:v>Revalidated: official/first-party sources</x:v>
      </x:c>
      <x:c r="G8" s="8" t="str">
        <x:v>Public sources rechecked 2026-09-16. Blank or qualified cells mean no current first-party claim was found, or behavior varies by deployment/client.</x:v>
      </x:c>
    </x:row>
    <x:row r="9" ht="75">
      <x:c r="A9" s="8" t="s">
        <x:v>87</x:v>
      </x:c>
      <x:c r="B9" s="8">
        <x:v>657</x:v>
      </x:c>
      <x:c r="C9" s="8">
        <x:v>658</x:v>
      </x:c>
      <x:c r="D9" s="8">
        <x:v>-1</x:v>
      </x:c>
      <x:c r="E9" s="22">
        <x:f t="shared" si="0"/>
        <x:v>-1.5220700152207001E-3</x:v>
      </x:c>
      <x:c r="F9" s="8" t="str">
        <x:v>Revalidated: official/first-party sources</x:v>
      </x:c>
      <x:c r="G9" s="8" t="str">
        <x:v>Public sources rechecked 2026-09-16. Blank or qualified cells mean no current first-party claim was found, or behavior varies by deployment/client.</x:v>
      </x:c>
    </x:row>
    <x:row r="10" ht="75">
      <x:c r="A10" s="8" t="s">
        <x:v>79</x:v>
      </x:c>
      <x:c r="B10" s="8">
        <x:v>545</x:v>
      </x:c>
      <x:c r="C10" s="8">
        <x:v>546</x:v>
      </x:c>
      <x:c r="D10" s="8">
        <x:v>-1</x:v>
      </x:c>
      <x:c r="E10" s="22">
        <x:f t="shared" si="0"/>
        <x:v>-1.834862385321101E-3</x:v>
      </x:c>
      <x:c r="F10" s="8" t="str">
        <x:v>Revalidated: official/first-party sources</x:v>
      </x:c>
      <x:c r="G10" s="8" t="str">
        <x:v>Public sources rechecked 2026-09-16. Blank or qualified cells mean no current first-party claim was found, or behavior varies by deployment/client.</x:v>
      </x:c>
    </x:row>
    <x:row r="11" ht="75">
      <x:c r="A11" s="8" t="s">
        <x:v>89</x:v>
      </x:c>
      <x:c r="B11" s="8">
        <x:v>679</x:v>
      </x:c>
      <x:c r="C11" s="8">
        <x:v>676</x:v>
      </x:c>
      <x:c r="D11" s="8">
        <x:v>3</x:v>
      </x:c>
      <x:c r="E11" s="22">
        <x:f t="shared" si="0"/>
        <x:v>4.418262150220913E-3</x:v>
      </x:c>
      <x:c r="F11" s="8" t="str">
        <x:v>Revalidated: official/first-party sources</x:v>
      </x:c>
      <x:c r="G11" s="8" t="str">
        <x:v>Public sources rechecked 2026-09-16. Blank or qualified cells mean no current first-party claim was found, or behavior varies by deployment/client.</x:v>
      </x:c>
    </x:row>
    <x:row r="12" ht="75">
      <x:c r="A12" s="8" t="s">
        <x:v>94</x:v>
      </x:c>
      <x:c r="B12" s="8">
        <x:v>509</x:v>
      </x:c>
      <x:c r="C12" s="8">
        <x:v>510</x:v>
      </x:c>
      <x:c r="D12" s="8">
        <x:v>-1</x:v>
      </x:c>
      <x:c r="E12" s="22">
        <x:f t="shared" si="0"/>
        <x:v>-1.9646365422396855E-3</x:v>
      </x:c>
      <x:c r="F12" s="8" t="str">
        <x:v>Revalidated: official/first-party sources</x:v>
      </x:c>
      <x:c r="G12" s="8" t="str">
        <x:v>Public sources rechecked 2026-09-16. Blank or qualified cells mean no current first-party claim was found, or behavior varies by deployment/client.</x:v>
      </x:c>
    </x:row>
    <x:row r="13" ht="75">
      <x:c r="A13" s="8" t="s">
        <x:v>77</x:v>
      </x:c>
      <x:c r="B13" s="8">
        <x:v>493</x:v>
      </x:c>
      <x:c r="C13" s="8">
        <x:v>492</x:v>
      </x:c>
      <x:c r="D13" s="8">
        <x:v>1</x:v>
      </x:c>
      <x:c r="E13" s="22">
        <x:f t="shared" si="0"/>
        <x:v>2.0283975659229209E-3</x:v>
      </x:c>
      <x:c r="F13" s="8" t="str">
        <x:v>Revalidated: official/first-party sources</x:v>
      </x:c>
      <x:c r="G13" s="8" t="str">
        <x:v>Public sources rechecked 2026-09-16. Blank or qualified cells mean no current first-party claim was found, or behavior varies by deployment/client.</x:v>
      </x:c>
    </x:row>
    <x:row r="14" ht="75">
      <x:c r="A14" s="8" t="s">
        <x:v>84</x:v>
      </x:c>
      <x:c r="B14" s="8">
        <x:v>509</x:v>
      </x:c>
      <x:c r="C14" s="8">
        <x:v>508</x:v>
      </x:c>
      <x:c r="D14" s="8">
        <x:v>1</x:v>
      </x:c>
      <x:c r="E14" s="22">
        <x:f t="shared" si="0"/>
        <x:v>1.9646365422396855E-3</x:v>
      </x:c>
      <x:c r="F14" s="8" t="str">
        <x:v>Revalidated: official/first-party sources</x:v>
      </x:c>
      <x:c r="G14" s="8" t="str">
        <x:v>Public sources rechecked 2026-09-16. Blank or qualified cells mean no current first-party claim was found, or behavior varies by deployment/client.</x:v>
      </x:c>
    </x:row>
    <x:row r="15" ht="75">
      <x:c r="A15" s="8" t="s">
        <x:v>70</x:v>
      </x:c>
      <x:c r="B15" s="8">
        <x:v>596</x:v>
      </x:c>
      <x:c r="C15" s="8">
        <x:v>596</x:v>
      </x:c>
      <x:c r="D15" s="8">
        <x:v>0</x:v>
      </x:c>
      <x:c r="E15" s="22">
        <x:f t="shared" si="0"/>
        <x:v>0</x:v>
      </x:c>
      <x:c r="F15" s="8" t="str">
        <x:v>Revalidated: official/first-party sources</x:v>
      </x:c>
      <x:c r="G15" s="8" t="str">
        <x:v>Public sources rechecked 2026-09-16. Blank or qualified cells mean no current first-party claim was found, or behavior varies by deployment/client.</x:v>
      </x:c>
    </x:row>
    <x:row r="16" ht="60">
      <x:c r="A16" s="8" t="s">
        <x:v>80</x:v>
      </x:c>
      <x:c r="B16" s="8">
        <x:v>706</x:v>
      </x:c>
      <x:c r="C16" s="8">
        <x:v>707</x:v>
      </x:c>
      <x:c r="D16" s="8">
        <x:v>-1</x:v>
      </x:c>
      <x:c r="E16" s="22">
        <x:f t="shared" si="0"/>
        <x:v>-1.4164305949008499E-3</x:v>
      </x:c>
      <x:c r="F16" s="8" t="str">
        <x:v>Revalidated: limited indexable official material</x:v>
      </x:c>
      <x:c r="G16" s="8" t="str">
        <x:v>Official sources were rechecked. Some technical details remain unverified because current first-party material is limited or difficult to index.</x:v>
      </x:c>
    </x:row>
    <x:row r="17" ht="75">
      <x:c r="A17" s="8" t="s">
        <x:v>81</x:v>
      </x:c>
      <x:c r="B17" s="8">
        <x:v>717</x:v>
      </x:c>
      <x:c r="C17" s="8">
        <x:v>717</x:v>
      </x:c>
      <x:c r="D17" s="8">
        <x:v>0</x:v>
      </x:c>
      <x:c r="E17" s="22">
        <x:f t="shared" si="0"/>
        <x:v>0</x:v>
      </x:c>
      <x:c r="F17" s="8" t="str">
        <x:v>Revalidated: official/first-party sources</x:v>
      </x:c>
      <x:c r="G17" s="8" t="str">
        <x:v>Public sources rechecked 2026-09-16. Blank or qualified cells mean no current first-party claim was found, or behavior varies by deployment/client.</x:v>
      </x:c>
    </x:row>
    <x:row r="18" ht="75">
      <x:c r="A18" s="8" t="s">
        <x:v>75</x:v>
      </x:c>
      <x:c r="B18" s="8">
        <x:v>699</x:v>
      </x:c>
      <x:c r="C18" s="8">
        <x:v>700</x:v>
      </x:c>
      <x:c r="D18" s="8">
        <x:v>-1</x:v>
      </x:c>
      <x:c r="E18" s="22">
        <x:f t="shared" si="0"/>
        <x:v>-1.4306151645207439E-3</x:v>
      </x:c>
      <x:c r="F18" s="8" t="str">
        <x:v>Revalidated: official/first-party sources</x:v>
      </x:c>
      <x:c r="G18" s="8" t="str">
        <x:v>Public sources rechecked 2026-09-16. Blank or qualified cells mean no current first-party claim was found, or behavior varies by deployment/client.</x:v>
      </x:c>
    </x:row>
    <x:row r="19" ht="60">
      <x:c r="A19" s="8" t="s">
        <x:v>91</x:v>
      </x:c>
      <x:c r="B19" s="8">
        <x:v>779</x:v>
      </x:c>
      <x:c r="C19" s="8">
        <x:v>779</x:v>
      </x:c>
      <x:c r="D19" s="8">
        <x:v>0</x:v>
      </x:c>
      <x:c r="E19" s="22">
        <x:f t="shared" si="0"/>
        <x:v>0</x:v>
      </x:c>
      <x:c r="F19" s="8" t="str">
        <x:v>Revalidated: sparse developer/first-party coverage</x:v>
      </x:c>
      <x:c r="G19" s="8" t="str">
        <x:v>First-party documentation remains sparse. Qualified or blank values are retained where current claims could not be independently confirmed.</x:v>
      </x:c>
    </x:row>
    <x:row r="20" ht="75">
      <x:c r="A20" s="8" t="s">
        <x:v>78</x:v>
      </x:c>
      <x:c r="B20" s="8">
        <x:v>669</x:v>
      </x:c>
      <x:c r="C20" s="8">
        <x:v>669</x:v>
      </x:c>
      <x:c r="D20" s="8">
        <x:v>0</x:v>
      </x:c>
      <x:c r="E20" s="22">
        <x:f t="shared" si="0"/>
        <x:v>0</x:v>
      </x:c>
      <x:c r="F20" s="8" t="str">
        <x:v>Revalidated: official documentation/repository</x:v>
      </x:c>
      <x:c r="G20" s="8" t="str">
        <x:v>Official documentation and repository claims were checked. Broad performance/security claims remain attributed to the project because they were not independently benchmarked.</x:v>
      </x:c>
    </x:row>
    <x:row r="21" ht="75">
      <x:c r="A21" s="8" t="s">
        <x:v>74</x:v>
      </x:c>
      <x:c r="B21" s="8">
        <x:v>751</x:v>
      </x:c>
      <x:c r="C21" s="8">
        <x:v>751</x:v>
      </x:c>
      <x:c r="D21" s="8">
        <x:v>0</x:v>
      </x:c>
      <x:c r="E21" s="22">
        <x:f t="shared" si="0"/>
        <x:v>0</x:v>
      </x:c>
      <x:c r="F21" s="8" t="str">
        <x:v>Revalidated: official/first-party sources</x:v>
      </x:c>
      <x:c r="G21" s="8" t="str">
        <x:v>Public sources rechecked 2026-09-16. Blank or qualified cells mean no current first-party claim was found, or behavior varies by deployment/client.</x:v>
      </x:c>
    </x:row>
    <x:row r="22" ht="75">
      <x:c r="A22" s="8" t="s">
        <x:v>93</x:v>
      </x:c>
      <x:c r="B22" s="8">
        <x:v>718</x:v>
      </x:c>
      <x:c r="C22" s="8">
        <x:v>717</x:v>
      </x:c>
      <x:c r="D22" s="8">
        <x:v>1</x:v>
      </x:c>
      <x:c r="E22" s="22">
        <x:f t="shared" si="0"/>
        <x:v>1.3927576601671309E-3</x:v>
      </x:c>
      <x:c r="F22" s="8" t="str">
        <x:v>Revalidated: official/first-party sources</x:v>
      </x:c>
      <x:c r="G22" s="8" t="str">
        <x:v>Public sources rechecked 2026-09-16. Blank or qualified cells mean no current first-party claim was found, or behavior varies by deployment/client.</x:v>
      </x:c>
    </x:row>
    <x:row r="23" ht="75">
      <x:c r="A23" s="8" t="s">
        <x:v>71</x:v>
      </x:c>
      <x:c r="B23" s="8">
        <x:v>674</x:v>
      </x:c>
      <x:c r="C23" s="8">
        <x:v>668</x:v>
      </x:c>
      <x:c r="D23" s="8">
        <x:v>6</x:v>
      </x:c>
      <x:c r="E23" s="22">
        <x:f t="shared" si="0"/>
        <x:v>8.9020771513353119E-3</x:v>
      </x:c>
      <x:c r="F23" s="8" t="str">
        <x:v>Revalidated: current official product site</x:v>
      </x:c>
      <x:c r="G23" s="8" t="str">
        <x:v>Updated stale Fermi-era assumptions using the current Harmony site: hosted plus self-hosted, AGPL-3.0, E2EE DMs, LiveKit voice, Tauri desktop, and current pricing/roadmap.</x:v>
      </x:c>
    </x:row>
    <x:row r="24" ht="75">
      <x:c r="A24" s="8" t="s">
        <x:v>85</x:v>
      </x:c>
      <x:c r="B24" s="8">
        <x:v>672</x:v>
      </x:c>
      <x:c r="C24" s="8">
        <x:v>672</x:v>
      </x:c>
      <x:c r="D24" s="8">
        <x:v>0</x:v>
      </x:c>
      <x:c r="E24" s="22">
        <x:f t="shared" si="0"/>
        <x:v>0</x:v>
      </x:c>
      <x:c r="F24" s="8" t="str">
        <x:v>Revalidated: official/first-party sources</x:v>
      </x:c>
      <x:c r="G24" s="8" t="str">
        <x:v>Public sources rechecked 2026-09-16. Blank or qualified cells mean no current first-party claim was found, or behavior varies by deployment/client.</x:v>
      </x:c>
    </x:row>
    <x:row r="25" ht="75">
      <x:c r="A25" s="8" t="s">
        <x:v>65</x:v>
      </x:c>
      <x:c r="B25" s="8">
        <x:v>708</x:v>
      </x:c>
      <x:c r="C25" s="8">
        <x:v>704</x:v>
      </x:c>
      <x:c r="D25" s="8">
        <x:v>4</x:v>
      </x:c>
      <x:c r="E25" s="22">
        <x:f t="shared" si="0"/>
        <x:v>5.6497175141242938E-3</x:v>
      </x:c>
      <x:c r="F25" s="8" t="str">
        <x:v>Revalidated: official/first-party sources</x:v>
      </x:c>
      <x:c r="G25" s="8" t="str">
        <x:v>Public sources rechecked 2026-09-16. Blank or qualified cells mean no current first-party claim was found, or behavior varies by deployment/client.</x:v>
      </x:c>
    </x:row>
    <x:row r="26" ht="75">
      <x:c r="A26" s="8" t="s">
        <x:v>72</x:v>
      </x:c>
      <x:c r="B26" s="8">
        <x:v>658</x:v>
      </x:c>
      <x:c r="C26" s="8">
        <x:v>659</x:v>
      </x:c>
      <x:c r="D26" s="8">
        <x:v>-1</x:v>
      </x:c>
      <x:c r="E26" s="22">
        <x:f t="shared" si="0"/>
        <x:v>-1.5197568389057751E-3</x:v>
      </x:c>
      <x:c r="F26" s="8" t="str">
        <x:v>Revalidated: official/first-party sources</x:v>
      </x:c>
      <x:c r="G26" s="8" t="str">
        <x:v>Public sources rechecked 2026-09-16. Blank or qualified cells mean no current first-party claim was found, or behavior varies by deployment/client.</x:v>
      </x:c>
    </x:row>
    <x:row r="27" ht="75">
      <x:c r="A27" s="8" t="s">
        <x:v>66</x:v>
      </x:c>
      <x:c r="B27" s="8">
        <x:v>641</x:v>
      </x:c>
      <x:c r="C27" s="8">
        <x:v>642</x:v>
      </x:c>
      <x:c r="D27" s="8">
        <x:v>-1</x:v>
      </x:c>
      <x:c r="E27" s="22">
        <x:f t="shared" si="0"/>
        <x:v>-1.5600624024960999E-3</x:v>
      </x:c>
      <x:c r="F27" s="8" t="str">
        <x:v>Revalidated: official/first-party sources</x:v>
      </x:c>
      <x:c r="G27" s="8" t="str">
        <x:v>Public sources rechecked 2026-09-16. Blank or qualified cells mean no current first-party claim was found, or behavior varies by deployment/client.</x:v>
      </x:c>
    </x:row>
    <x:row r="28" ht="75">
      <x:c r="A28" s="8" t="s">
        <x:v>83</x:v>
      </x:c>
      <x:c r="B28" s="8">
        <x:v>286</x:v>
      </x:c>
      <x:c r="C28" s="8">
        <x:v>286</x:v>
      </x:c>
      <x:c r="D28" s="8">
        <x:v>0</x:v>
      </x:c>
      <x:c r="E28" s="22">
        <x:f t="shared" si="0"/>
        <x:v>0</x:v>
      </x:c>
      <x:c r="F28" s="8" t="s">
        <x:v>2064</x:v>
      </x:c>
      <x:c r="G28" s="8" t="str">
        <x:v>Rift answers based on the user's direct access were preserved. Public sources were used only for consistency checks and did not overwrite those answers.</x:v>
      </x:c>
    </x:row>
    <x:row r="29" ht="75">
      <x:c r="A29" s="8" t="s">
        <x:v>82</x:v>
      </x:c>
      <x:c r="B29" s="8">
        <x:v>522</x:v>
      </x:c>
      <x:c r="C29" s="8">
        <x:v>511</x:v>
      </x:c>
      <x:c r="D29" s="8">
        <x:v>11</x:v>
      </x:c>
      <x:c r="E29" s="22">
        <x:f t="shared" si="0"/>
        <x:v>2.1072796934865901E-2</x:v>
      </x:c>
      <x:c r="F29" s="8" t="str">
        <x:v>Revalidated: developer response + official/first-party sources</x:v>
      </x:c>
      <x:c r="G29" s="8" t="str">
        <x:v>PQP is grounded in the supplied developer response and official site/repository/privacy/security/release/client pages; unsupported hard numbers remain explicitly unclaimed.</x:v>
      </x:c>
    </x:row>
    <x:row r="30" ht="75">
      <x:c r="A30" s="8" t="s">
        <x:v>67</x:v>
      </x:c>
      <x:c r="B30" s="8">
        <x:v>695</x:v>
      </x:c>
      <x:c r="C30" s="8">
        <x:v>696</x:v>
      </x:c>
      <x:c r="D30" s="8">
        <x:v>-1</x:v>
      </x:c>
      <x:c r="E30" s="22">
        <x:f t="shared" si="0"/>
        <x:v>-1.4388489208633094E-3</x:v>
      </x:c>
      <x:c r="F30" s="8" t="str">
        <x:v>Revalidated: official/first-party sources</x:v>
      </x:c>
      <x:c r="G30" s="8" t="str">
        <x:v>Public sources rechecked 2026-09-16. Blank or qualified cells mean no current first-party claim was found, or behavior varies by deployment/client.</x:v>
      </x:c>
    </x:row>
    <x:row r="31" ht="75">
      <x:c r="A31" s="8" t="s">
        <x:v>90</x:v>
      </x:c>
      <x:c r="B31" s="8">
        <x:v>687</x:v>
      </x:c>
      <x:c r="C31" s="8">
        <x:v>688</x:v>
      </x:c>
      <x:c r="D31" s="8">
        <x:v>-1</x:v>
      </x:c>
      <x:c r="E31" s="22">
        <x:f t="shared" si="0"/>
        <x:v>-1.455604075691412E-3</x:v>
      </x:c>
      <x:c r="F31" s="8" t="str">
        <x:v>Revalidated: official/first-party sources</x:v>
      </x:c>
      <x:c r="G31" s="8" t="str">
        <x:v>Public sources rechecked 2026-09-16. Blank or qualified cells mean no current first-party claim was found, or behavior varies by deployment/client.</x:v>
      </x:c>
    </x:row>
    <x:row r="32" ht="75">
      <x:c r="A32" s="8" t="s">
        <x:v>92</x:v>
      </x:c>
      <x:c r="B32" s="8">
        <x:v>653</x:v>
      </x:c>
      <x:c r="C32" s="8">
        <x:v>654</x:v>
      </x:c>
      <x:c r="D32" s="8">
        <x:v>-1</x:v>
      </x:c>
      <x:c r="E32" s="22">
        <x:f t="shared" si="0"/>
        <x:v>-1.5313935681470138E-3</x:v>
      </x:c>
      <x:c r="F32" s="8" t="str">
        <x:v>Revalidated: official/first-party sources</x:v>
      </x:c>
      <x:c r="G32" s="8" t="str">
        <x:v>Public sources rechecked 2026-09-16. Blank or qualified cells mean no current first-party claim was found, or behavior varies by deployment/client.</x:v>
      </x:c>
    </x:row>
    <x:row r="33" ht="75">
      <x:c r="A33" s="8" t="s">
        <x:v>73</x:v>
      </x:c>
      <x:c r="B33" s="8">
        <x:v>201</x:v>
      </x:c>
      <x:c r="C33" s="8">
        <x:v>201</x:v>
      </x:c>
      <x:c r="D33" s="8">
        <x:v>0</x:v>
      </x:c>
      <x:c r="E33" s="22">
        <x:f t="shared" si="0"/>
        <x:v>0</x:v>
      </x:c>
      <x:c r="F33" s="8" t="str">
        <x:v>Revalidated: official/first-party sources</x:v>
      </x:c>
      <x:c r="G33" s="8" t="str">
        <x:v>Public sources rechecked 2026-09-16. Blank or qualified cells mean no current first-party claim was found, or behavior varies by deployment/client.</x:v>
      </x:c>
    </x:row>
  </x:sheetData>
  <x:mergeCells>
    <x:mergeCell ref="A1:G1"/>
  </x:mergeCells>
  <x:conditionalFormatting sqref="E3:E32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RowHeight="15"/>
  <x:cols>
    <x:col min="1" max="2" width="18" customWidth="1"/>
    <x:col min="3" max="3" width="22" customWidth="1"/>
    <x:col min="4" max="10" width="18" customWidth="1"/>
  </x:cols>
  <x:sheetData>
    <x:row r="1" ht="27.950000762939453" customHeight="1">
      <x:c r="A1" s="26" t="s">
        <x:v>1000</x:v>
      </x:c>
      <x:c r="B1" s="26" t="s">
        <x:v>2065</x:v>
      </x:c>
      <x:c r="C1" s="26" t="s">
        <x:v>2066</x:v>
      </x:c>
      <x:c r="D1" s="26" t="s">
        <x:v>2067</x:v>
      </x:c>
      <x:c r="E1" s="26" t="s">
        <x:v>2068</x:v>
      </x:c>
      <x:c r="F1" s="26" t="s">
        <x:v>2069</x:v>
      </x:c>
      <x:c r="G1" s="26" t="s">
        <x:v>1013</x:v>
      </x:c>
      <x:c r="H1" s="26" t="s">
        <x:v>2063</x:v>
      </x:c>
      <x:c r="I1" s="26"/>
      <x:c r="J1" s="26" t="str">
        <x:f>IFERROR(HYPERLINK("#'Sheet Directory'!A1","← Directory"),"← Directory")</x:f>
        <x:v>← Directory</x:v>
      </x:c>
    </x:row>
    <x:row r="2" ht="32.099998474121094" customHeight="1">
      <x:c r="A2" s="11" t="s">
        <x:v>70</x:v>
      </x:c>
      <x:c r="B2" s="11" t="s">
        <x:v>156</x:v>
      </x:c>
      <x:c r="C2" s="11" t="s">
        <x:v>2070</x:v>
      </x:c>
      <x:c r="D2" s="11" t="s">
        <x:v>1976</x:v>
      </x:c>
      <x:c r="E2" s="11" t="s">
        <x:v>2071</x:v>
      </x:c>
      <x:c r="F2" s="11" t="s">
        <x:v>2072</x:v>
      </x:c>
      <x:c r="G2" s="11" t="s">
        <x:v>1026</x:v>
      </x:c>
      <x:c r="H2" s="11" t="s">
        <x:v>2073</x:v>
      </x:c>
      <x:c r="I2" s="11"/>
      <x:c r="J2" s="11"/>
    </x:row>
    <x:row r="3" ht="75">
      <x:c r="A3" s="8" t="s">
        <x:v>80</x:v>
      </x:c>
      <x:c r="B3" s="8" t="s">
        <x:v>156</x:v>
      </x:c>
      <x:c r="C3" s="8" t="s">
        <x:v>2074</x:v>
      </x:c>
      <x:c r="D3" s="8" t="s">
        <x:v>1228</x:v>
      </x:c>
      <x:c r="E3" s="8" t="s">
        <x:v>1018</x:v>
      </x:c>
      <x:c r="F3" s="8" t="s">
        <x:v>2075</x:v>
      </x:c>
      <x:c r="G3" s="8" t="s">
        <x:v>1026</x:v>
      </x:c>
      <x:c r="H3" s="8" t="s">
        <x:v>2073</x:v>
      </x:c>
      <x:c r="I3" s="8"/>
      <x:c r="J3" s="8"/>
    </x:row>
    <x:row r="4" ht="75">
      <x:c r="A4" s="8" t="s">
        <x:v>81</x:v>
      </x:c>
      <x:c r="B4" s="8" t="s">
        <x:v>156</x:v>
      </x:c>
      <x:c r="C4" s="8" t="s">
        <x:v>2076</x:v>
      </x:c>
      <x:c r="D4" s="8" t="s">
        <x:v>1229</x:v>
      </x:c>
      <x:c r="E4" s="8" t="s">
        <x:v>2077</x:v>
      </x:c>
      <x:c r="F4" s="8" t="s">
        <x:v>2078</x:v>
      </x:c>
      <x:c r="G4" s="8" t="s">
        <x:v>1026</x:v>
      </x:c>
      <x:c r="H4" s="8" t="s">
        <x:v>2073</x:v>
      </x:c>
      <x:c r="I4" s="8"/>
      <x:c r="J4" s="8"/>
    </x:row>
    <x:row r="5" ht="75">
      <x:c r="A5" s="8" t="s">
        <x:v>75</x:v>
      </x:c>
      <x:c r="B5" s="8" t="s">
        <x:v>156</x:v>
      </x:c>
      <x:c r="C5" s="8" t="s">
        <x:v>2074</x:v>
      </x:c>
      <x:c r="D5" s="8" t="s">
        <x:v>1232</x:v>
      </x:c>
      <x:c r="E5" s="8" t="s">
        <x:v>2071</x:v>
      </x:c>
      <x:c r="F5" s="8" t="s">
        <x:v>2079</x:v>
      </x:c>
      <x:c r="G5" s="8" t="s">
        <x:v>1026</x:v>
      </x:c>
      <x:c r="H5" s="8" t="s">
        <x:v>2073</x:v>
      </x:c>
      <x:c r="I5" s="8"/>
      <x:c r="J5" s="8"/>
    </x:row>
    <x:row r="6" ht="75">
      <x:c r="A6" s="8" t="s">
        <x:v>91</x:v>
      </x:c>
      <x:c r="B6" s="8" t="s">
        <x:v>156</x:v>
      </x:c>
      <x:c r="C6" s="8" t="s">
        <x:v>2004</x:v>
      </x:c>
      <x:c r="D6" s="8" t="s">
        <x:v>1235</x:v>
      </x:c>
      <x:c r="E6" s="8" t="s">
        <x:v>2080</x:v>
      </x:c>
      <x:c r="F6" s="8" t="s">
        <x:v>2081</x:v>
      </x:c>
      <x:c r="G6" s="8" t="s">
        <x:v>1026</x:v>
      </x:c>
      <x:c r="H6" s="8" t="s">
        <x:v>2073</x:v>
      </x:c>
      <x:c r="I6" s="8"/>
      <x:c r="J6" s="8"/>
    </x:row>
    <x:row r="7" ht="75">
      <x:c r="A7" s="8" t="s">
        <x:v>78</x:v>
      </x:c>
      <x:c r="B7" s="8" t="s">
        <x:v>156</x:v>
      </x:c>
      <x:c r="C7" s="8" t="s">
        <x:v>2070</x:v>
      </x:c>
      <x:c r="D7" s="8" t="s">
        <x:v>2082</x:v>
      </x:c>
      <x:c r="E7" s="8" t="s">
        <x:v>1018</x:v>
      </x:c>
      <x:c r="F7" s="8" t="str">
        <x:v>official documentation/GitHub</x:v>
      </x:c>
      <x:c r="G7" s="8" t="s">
        <x:v>1026</x:v>
      </x:c>
      <x:c r="H7" s="8" t="s">
        <x:v>2073</x:v>
      </x:c>
      <x:c r="I7" s="8"/>
      <x:c r="J7" s="8"/>
    </x:row>
    <x:row r="8" ht="75">
      <x:c r="A8" s="8" t="s">
        <x:v>74</x:v>
      </x:c>
      <x:c r="B8" s="8" t="s">
        <x:v>156</x:v>
      </x:c>
      <x:c r="C8" s="8" t="s">
        <x:v>2083</x:v>
      </x:c>
      <x:c r="D8" s="8" t="s">
        <x:v>1243</x:v>
      </x:c>
      <x:c r="E8" s="8" t="s">
        <x:v>2084</x:v>
      </x:c>
      <x:c r="F8" s="8" t="s">
        <x:v>2085</x:v>
      </x:c>
      <x:c r="G8" s="8" t="s">
        <x:v>1026</x:v>
      </x:c>
      <x:c r="H8" s="8" t="s">
        <x:v>2073</x:v>
      </x:c>
      <x:c r="I8" s="8"/>
      <x:c r="J8" s="8"/>
    </x:row>
    <x:row r="9" ht="75">
      <x:c r="A9" s="8" t="s">
        <x:v>93</x:v>
      </x:c>
      <x:c r="B9" s="8" t="s">
        <x:v>156</x:v>
      </x:c>
      <x:c r="C9" s="8" t="s">
        <x:v>2086</x:v>
      </x:c>
      <x:c r="D9" s="8" t="s">
        <x:v>2008</x:v>
      </x:c>
      <x:c r="E9" s="8" t="s">
        <x:v>2087</x:v>
      </x:c>
      <x:c r="F9" s="8" t="s">
        <x:v>2088</x:v>
      </x:c>
      <x:c r="G9" s="8" t="s">
        <x:v>1026</x:v>
      </x:c>
      <x:c r="H9" s="8" t="s">
        <x:v>2073</x:v>
      </x:c>
      <x:c r="I9" s="8"/>
      <x:c r="J9" s="8"/>
    </x:row>
    <x:row r="10" ht="45">
      <x:c r="A10" s="8" t="s">
        <x:v>71</x:v>
      </x:c>
      <x:c r="B10" s="8" t="s">
        <x:v>156</x:v>
      </x:c>
      <x:c r="C10" s="8" t="s">
        <x:v>2089</x:v>
      </x:c>
      <x:c r="D10" s="8" t="s">
        <x:v>1257</x:v>
      </x:c>
      <x:c r="E10" s="8" t="s">
        <x:v>2090</x:v>
      </x:c>
      <x:c r="F10" s="8" t="s">
        <x:v>2091</x:v>
      </x:c>
      <x:c r="G10" s="8" t="s">
        <x:v>1026</x:v>
      </x:c>
      <x:c r="H10" s="8" t="s">
        <x:v>2073</x:v>
      </x:c>
      <x:c r="I10" s="8"/>
      <x:c r="J10" s="8"/>
    </x:row>
    <x:row r="11" ht="75">
      <x:c r="A11" s="8" t="s">
        <x:v>85</x:v>
      </x:c>
      <x:c r="B11" s="8" t="s">
        <x:v>156</x:v>
      </x:c>
      <x:c r="C11" s="8" t="s">
        <x:v>2092</x:v>
      </x:c>
      <x:c r="D11" s="8" t="s">
        <x:v>1263</x:v>
      </x:c>
      <x:c r="E11" s="8" t="s">
        <x:v>209</x:v>
      </x:c>
      <x:c r="F11" s="8" t="s">
        <x:v>2093</x:v>
      </x:c>
      <x:c r="G11" s="8" t="s">
        <x:v>1026</x:v>
      </x:c>
      <x:c r="H11" s="8" t="s">
        <x:v>2073</x:v>
      </x:c>
      <x:c r="I11" s="8"/>
      <x:c r="J11" s="8"/>
    </x:row>
    <x:row r="12" ht="75">
      <x:c r="A12" s="8" t="s">
        <x:v>65</x:v>
      </x:c>
      <x:c r="B12" s="8" t="s">
        <x:v>156</x:v>
      </x:c>
      <x:c r="C12" s="8" t="s">
        <x:v>2094</x:v>
      </x:c>
      <x:c r="D12" s="8" t="s">
        <x:v>1268</x:v>
      </x:c>
      <x:c r="E12" s="8" t="s">
        <x:v>2095</x:v>
      </x:c>
      <x:c r="F12" s="8" t="s">
        <x:v>2096</x:v>
      </x:c>
      <x:c r="G12" s="8" t="s">
        <x:v>1026</x:v>
      </x:c>
      <x:c r="H12" s="8" t="s">
        <x:v>2073</x:v>
      </x:c>
      <x:c r="I12" s="8"/>
      <x:c r="J12" s="8"/>
    </x:row>
    <x:row r="13" ht="75">
      <x:c r="A13" s="8" t="s">
        <x:v>72</x:v>
      </x:c>
      <x:c r="B13" s="8" t="s">
        <x:v>156</x:v>
      </x:c>
      <x:c r="C13" s="8" t="s">
        <x:v>2097</x:v>
      </x:c>
      <x:c r="D13" s="8" t="s">
        <x:v>1272</x:v>
      </x:c>
      <x:c r="E13" s="8" t="s">
        <x:v>2080</x:v>
      </x:c>
      <x:c r="F13" s="8" t="s">
        <x:v>2098</x:v>
      </x:c>
      <x:c r="G13" s="8" t="s">
        <x:v>1026</x:v>
      </x:c>
      <x:c r="H13" s="8" t="s">
        <x:v>2073</x:v>
      </x:c>
      <x:c r="I13" s="8"/>
      <x:c r="J13" s="8"/>
    </x:row>
    <x:row r="14" ht="75">
      <x:c r="A14" s="8" t="s">
        <x:v>66</x:v>
      </x:c>
      <x:c r="B14" s="8" t="s">
        <x:v>156</x:v>
      </x:c>
      <x:c r="C14" s="8" t="s">
        <x:v>2099</x:v>
      </x:c>
      <x:c r="D14" s="8" t="s">
        <x:v>1276</x:v>
      </x:c>
      <x:c r="E14" s="8" t="s">
        <x:v>2095</x:v>
      </x:c>
      <x:c r="F14" s="8" t="str">
        <x:v>official documentation/GitHub</x:v>
      </x:c>
      <x:c r="G14" s="8" t="s">
        <x:v>1026</x:v>
      </x:c>
      <x:c r="H14" s="8" t="s">
        <x:v>2073</x:v>
      </x:c>
      <x:c r="I14" s="8"/>
      <x:c r="J14" s="8"/>
    </x:row>
    <x:row r="15" ht="75">
      <x:c r="A15" s="8" t="s">
        <x:v>83</x:v>
      </x:c>
      <x:c r="B15" s="8" t="s">
        <x:v>156</x:v>
      </x:c>
      <x:c r="C15" s="8" t="s">
        <x:v>2094</x:v>
      </x:c>
      <x:c r="D15" s="8" t="s">
        <x:v>1994</x:v>
      </x:c>
      <x:c r="E15" s="8" t="s">
        <x:v>2100</x:v>
      </x:c>
      <x:c r="F15" s="8" t="s">
        <x:v>2079</x:v>
      </x:c>
      <x:c r="G15" s="8" t="s">
        <x:v>1026</x:v>
      </x:c>
      <x:c r="H15" s="8" t="s">
        <x:v>2073</x:v>
      </x:c>
      <x:c r="I15" s="8"/>
      <x:c r="J15" s="8"/>
    </x:row>
    <x:row r="16" ht="75">
      <x:c r="A16" s="8" t="s">
        <x:v>82</x:v>
      </x:c>
      <x:c r="B16" s="8" t="s">
        <x:v>156</x:v>
      </x:c>
      <x:c r="C16" s="8" t="s">
        <x:v>2094</x:v>
      </x:c>
      <x:c r="D16" s="8" t="s">
        <x:v>1992</x:v>
      </x:c>
      <x:c r="E16" s="8" t="s">
        <x:v>2101</x:v>
      </x:c>
      <x:c r="F16" s="8" t="s">
        <x:v>2075</x:v>
      </x:c>
      <x:c r="G16" s="8" t="s">
        <x:v>1026</x:v>
      </x:c>
      <x:c r="H16" s="8" t="s">
        <x:v>2073</x:v>
      </x:c>
      <x:c r="I16" s="8"/>
      <x:c r="J16" s="8"/>
    </x:row>
    <x:row r="17" ht="75">
      <x:c r="A17" s="8" t="s">
        <x:v>67</x:v>
      </x:c>
      <x:c r="B17" s="8" t="s">
        <x:v>156</x:v>
      </x:c>
      <x:c r="C17" s="8" t="s">
        <x:v>2102</x:v>
      </x:c>
      <x:c r="D17" s="8" t="s">
        <x:v>1293</x:v>
      </x:c>
      <x:c r="E17" s="8" t="s">
        <x:v>2103</x:v>
      </x:c>
      <x:c r="F17" s="8" t="s">
        <x:v>2104</x:v>
      </x:c>
      <x:c r="G17" s="8" t="s">
        <x:v>1026</x:v>
      </x:c>
      <x:c r="H17" s="8" t="s">
        <x:v>2073</x:v>
      </x:c>
      <x:c r="I17" s="8"/>
      <x:c r="J17" s="8"/>
    </x:row>
    <x:row r="18" ht="30">
      <x:c r="A18" s="8" t="s">
        <x:v>90</x:v>
      </x:c>
      <x:c r="B18" s="8" t="s">
        <x:v>156</x:v>
      </x:c>
      <x:c r="C18" s="8" t="s">
        <x:v>2089</x:v>
      </x:c>
      <x:c r="D18" s="8" t="s">
        <x:v>2002</x:v>
      </x:c>
      <x:c r="E18" s="8" t="s">
        <x:v>2084</x:v>
      </x:c>
      <x:c r="F18" s="8" t="s">
        <x:v>2075</x:v>
      </x:c>
      <x:c r="G18" s="8" t="s">
        <x:v>1026</x:v>
      </x:c>
      <x:c r="H18" s="8" t="s">
        <x:v>2073</x:v>
      </x:c>
      <x:c r="I18" s="8"/>
      <x:c r="J18" s="8"/>
    </x:row>
    <x:row r="19" ht="30">
      <x:c r="A19" s="8" t="s">
        <x:v>92</x:v>
      </x:c>
      <x:c r="B19" s="8" t="s">
        <x:v>156</x:v>
      </x:c>
      <x:c r="C19" s="8" t="s">
        <x:v>2089</x:v>
      </x:c>
      <x:c r="D19" s="8" t="s">
        <x:v>2105</x:v>
      </x:c>
      <x:c r="E19" s="8" t="s">
        <x:v>2077</x:v>
      </x:c>
      <x:c r="F19" s="8" t="str">
        <x:v>Official site/source-available repository</x:v>
      </x:c>
      <x:c r="G19" s="8" t="s">
        <x:v>1026</x:v>
      </x:c>
      <x:c r="H19" s="8" t="s">
        <x:v>2073</x:v>
      </x:c>
      <x:c r="I19" s="8"/>
      <x:c r="J19" s="8"/>
    </x:row>
    <x:row r="20" ht="75">
      <x:c r="A20" s="8" t="s">
        <x:v>2106</x:v>
      </x:c>
      <x:c r="B20" s="8" t="s">
        <x:v>2107</x:v>
      </x:c>
      <x:c r="C20" s="8" t="s">
        <x:v>2070</x:v>
      </x:c>
      <x:c r="D20" s="8" t="s">
        <x:v>151</x:v>
      </x:c>
      <x:c r="E20" s="8" t="s">
        <x:v>2090</x:v>
      </x:c>
      <x:c r="F20" s="8" t="s">
        <x:v>2108</x:v>
      </x:c>
      <x:c r="G20" s="8" t="s">
        <x:v>1026</x:v>
      </x:c>
      <x:c r="H20" s="8" t="s">
        <x:v>2109</x:v>
      </x:c>
      <x:c r="I20" s="8"/>
      <x:c r="J20" s="8"/>
    </x:row>
    <x:row r="21" ht="75">
      <x:c r="A21" s="8" t="s">
        <x:v>1109</x:v>
      </x:c>
      <x:c r="B21" s="8" t="s">
        <x:v>2107</x:v>
      </x:c>
      <x:c r="C21" s="8" t="s">
        <x:v>2074</x:v>
      </x:c>
      <x:c r="D21" s="8" t="s">
        <x:v>151</x:v>
      </x:c>
      <x:c r="E21" s="8" t="s">
        <x:v>2110</x:v>
      </x:c>
      <x:c r="F21" s="8" t="s">
        <x:v>2111</x:v>
      </x:c>
      <x:c r="G21" s="8" t="s">
        <x:v>1026</x:v>
      </x:c>
      <x:c r="H21" s="8" t="s">
        <x:v>2109</x:v>
      </x:c>
      <x:c r="I21" s="8"/>
      <x:c r="J21" s="8"/>
    </x:row>
    <x:row r="22" ht="75">
      <x:c r="A22" s="8" t="s">
        <x:v>2112</x:v>
      </x:c>
      <x:c r="B22" s="8" t="s">
        <x:v>2113</x:v>
      </x:c>
      <x:c r="C22" s="8" t="s">
        <x:v>2074</x:v>
      </x:c>
      <x:c r="D22" s="8" t="s">
        <x:v>2114</x:v>
      </x:c>
      <x:c r="E22" s="8" t="s">
        <x:v>2115</x:v>
      </x:c>
      <x:c r="F22" s="8" t="s">
        <x:v>2116</x:v>
      </x:c>
      <x:c r="G22" s="8" t="s">
        <x:v>1026</x:v>
      </x:c>
      <x:c r="H22" s="8" t="s">
        <x:v>2073</x:v>
      </x:c>
      <x:c r="I22" s="8"/>
      <x:c r="J22" s="8"/>
    </x:row>
  </x:sheetData>
  <x:mergeCells>
    <x:mergeCell ref="A1:J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26" customWidth="1"/>
    <x:col min="2" max="2" width="34" customWidth="1"/>
    <x:col min="3" max="33" width="18" customWidth="1"/>
    <x:col min="34" max="34" width="10" customWidth="1"/>
    <x:col min="35" max="35" width="42" customWidth="1"/>
  </x:cols>
  <x:sheetData>
    <x:row r="1" ht="27.950000762939453" customHeight="1">
      <x:c r="A1" s="28" t="str">
        <x:v>Master: canonical platform data | deduplicated &amp; styled | last verified 2026-09-16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  <x:c r="AG1" s="28"/>
      <x:c r="AH1" s="28"/>
      <x:c r="AI1" s="28"/>
    </x:row>
    <x:row r="2" ht="32.099998474121094" customHeight="1">
      <x:c r="A2" s="11" t="str">
        <x:v>Section</x:v>
      </x:c>
      <x:c r="B2" s="11" t="str">
        <x:v>Metric</x:v>
      </x:c>
      <x:c r="C2" s="11" t="str">
        <x:v>Discord</x:v>
      </x:c>
      <x:c r="D2" s="11" t="str">
        <x:v>Armada</x:v>
      </x:c>
      <x:c r="E2" s="11" t="str">
        <x:v>DCTS</x:v>
      </x:c>
      <x:c r="F2" s="11" t="str">
        <x:v>Echon</x:v>
      </x:c>
      <x:c r="G2" s="11" t="str">
        <x:v>Fenrid</x:v>
      </x:c>
      <x:c r="H2" s="11" t="str">
        <x:v>Fluxer</x:v>
      </x:c>
      <x:c r="I2" s="11" t="str">
        <x:v>GameVox</x:v>
      </x:c>
      <x:c r="J2" s="11" t="str">
        <x:v>Harmony</x:v>
      </x:c>
      <x:c r="K2" s="11" t="str">
        <x:v>Hollow</x:v>
      </x:c>
      <x:c r="L2" s="11" t="str">
        <x:v>Kaede Chat</x:v>
      </x:c>
      <x:c r="M2" s="11" t="str">
        <x:v>Kloak</x:v>
      </x:c>
      <x:c r="N2" s="11" t="str">
        <x:v>Loqa</x:v>
      </x:c>
      <x:c r="O2" s="11" t="str">
        <x:v>Matrix</x:v>
      </x:c>
      <x:c r="P2" s="11" t="str">
        <x:v>Mattermost</x:v>
      </x:c>
      <x:c r="Q2" s="11" t="str">
        <x:v>Mezon</x:v>
      </x:c>
      <x:c r="R2" s="11" t="str">
        <x:v>Mumble</x:v>
      </x:c>
      <x:c r="S2" s="11" t="str">
        <x:v>Nerimity</x:v>
      </x:c>
      <x:c r="T2" s="11" t="str">
        <x:v>Osmium</x:v>
      </x:c>
      <x:c r="U2" s="11" t="str">
        <x:v>pqp.gg</x:v>
      </x:c>
      <x:c r="V2" s="11" t="str">
        <x:v>Rift</x:v>
      </x:c>
      <x:c r="W2" s="11" t="str">
        <x:v>Rocket.Chat</x:v>
      </x:c>
      <x:c r="X2" s="11" t="str">
        <x:v>Roomy</x:v>
      </x:c>
      <x:c r="Y2" s="11" t="str">
        <x:v>Root</x:v>
      </x:c>
      <x:c r="Z2" s="11" t="str">
        <x:v>Spacebar</x:v>
      </x:c>
      <x:c r="AA2" s="11" t="str">
        <x:v>Stoat</x:v>
      </x:c>
      <x:c r="AB2" s="11" t="str">
        <x:v>TeamSpeak</x:v>
      </x:c>
      <x:c r="AC2" s="11" t="str">
        <x:v>Valour</x:v>
      </x:c>
      <x:c r="AD2" s="11" t="str">
        <x:v>Venta</x:v>
      </x:c>
      <x:c r="AE2" s="11" t="str">
        <x:v>Weered</x:v>
      </x:c>
      <x:c r="AF2" s="11" t="str">
        <x:v>Yapper</x:v>
      </x:c>
      <x:c r="AG2" s="11" t="str">
        <x:v>Zulip</x:v>
      </x:c>
      <x:c r="AH2" s="11" t="str">
        <x:v>Source Row</x:v>
      </x:c>
      <x:c r="AI2" s="11" t="str">
        <x:v>Notes</x:v>
      </x:c>
    </x:row>
    <x:row r="3" ht="120">
      <x:c r="A3" s="12" t="str">
        <x:v>At a Glance</x:v>
      </x:c>
      <x:c r="B3" s="13" t="str">
        <x:v>Executive Summary</x:v>
      </x:c>
      <x:c r="C3" s="8"/>
      <x:c r="D3" s="8"/>
      <x:c r="E3" s="8"/>
      <x:c r="F3" s="8"/>
      <x:c r="G3" s="8"/>
      <x:c r="H3" s="8"/>
      <x:c r="I3" s="8"/>
      <x:c r="J3" s="8"/>
      <x:c r="K3" s="8"/>
      <x:c r="L3" s="8" t="str">
        <x:v>Core Discord-style messaging is implemented; public documentation adds federation-aware search, private media storage and moderation/audit behavior</x:v>
      </x:c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  <x:c r="Z3" s="8"/>
      <x:c r="AA3" s="8"/>
      <x:c r="AB3" s="8"/>
      <x:c r="AC3" s="9"/>
      <x:c r="AD3" s="8"/>
      <x:c r="AE3" s="8"/>
      <x:c r="AF3" s="8"/>
      <x:c r="AG3" s="8"/>
      <x:c r="AH3" s="14" t="n">
        <x:v>3</x:v>
      </x:c>
      <x:c r="AI3" s="15" t="str">
        <x:v>Canonical source for At a Glance!3</x:v>
      </x:c>
    </x:row>
    <x:row r="4" ht="105">
      <x:c r="A4" s="12" t="str">
        <x:v>At a Glance</x:v>
      </x:c>
      <x:c r="B4" s="13" t="str">
        <x:v>Client / Server License</x:v>
      </x:c>
      <x:c r="C4" s="8" t="str">
        <x:v>Proprietary / Proprietary</x:v>
      </x:c>
      <x:c r="D4" s="8" t="str">
        <x:v>FOSS (AGPL-3.0) / FOSS (AGPL-3.0 components)</x:v>
      </x:c>
      <x:c r="E4" s="8" t="str">
        <x:v>FOSS AGPL-3.0 / FOSS AGPL-3.0</x:v>
      </x:c>
      <x:c r="F4" s="8" t="str">
        <x:v>Proprietary / Proprietary Rust backend</x:v>
      </x:c>
      <x:c r="G4" s="8" t="str">
        <x:v>Proprietary during alpha; open-source release planned / Proprietary during alpha; open-source release planned</x:v>
      </x:c>
      <x:c r="H4" s="8" t="str">
        <x:v>FOSS (AGPL-3.0) / FOSS (AGPL-3.0)</x:v>
      </x:c>
      <x:c r="I4" s="8" t="str">
        <x:v>Proprietary / Proprietary</x:v>
      </x:c>
      <x:c r="J4" s="8" t="str">
        <x:v>FOSS (AGPL-3.0) / FOSS (AGPL-3.0)</x:v>
      </x:c>
      <x:c r="K4" s="8" t="str">
        <x:v>Open source / Open source relay/server</x:v>
      </x:c>
      <x:c r="L4" s="8" t="str">
        <x:v>MIT</x:v>
      </x:c>
      <x:c r="M4" s="8" t="str">
        <x:v>Proprietary / Proprietary</x:v>
      </x:c>
      <x:c r="N4" s="8"/>
      <x:c r="O4" s="8" t="str">
        <x:v>Varies by client; many FOSS (e.g., Element, Element X, Cinny) / Varies by homeserver; Synapse is AGPLv3/commercial dual model</x:v>
      </x:c>
      <x:c r="P4" s="8" t="str">
        <x:v>FOSS/open-source clients; exact repository license varies / Open source Team Edition / AGPL-source plus commercial Enterprise editions</x:v>
      </x:c>
      <x:c r="Q4" s="8" t="str">
        <x:v>Open-source client code / Open-source server stack/components</x:v>
      </x:c>
      <x:c r="R4" s="8" t="str">
        <x:v>FOSS (BSD-style / BSD-3-Clause) / FOSS (BSD-style / BSD-3-Clause)</x:v>
      </x:c>
      <x:c r="S4" s="8" t="str">
        <x:v>FOSS GPL-family components / FOSS GPL-3.0 server/web components</x:v>
      </x:c>
      <x:c r="T4" s="8"/>
      <x:c r="U4" s="8" t="str">
        <x:v>AGPL-3.0 / AGPL-3.0</x:v>
      </x:c>
      <x:c r="V4" s="8" t="str">
        <x:v>Proprietary / Proprietary</x:v>
      </x:c>
      <x:c r="W4" s="8" t="str">
        <x:v>FOSS core client; MIT components / enterprise extensions / FOSS core (MIT) + enterprise-licensed portions</x:v>
      </x:c>
      <x:c r="X4" s="8" t="str">
        <x:v>MPL-2.0 project / MPL-2.0 project/server components</x:v>
      </x:c>
      <x:c r="Y4" s="8" t="str">
        <x:v>Proprietary / Proprietary</x:v>
      </x:c>
      <x:c r="Z4" s="8" t="str">
        <x:v>FOSS (AGPL-3.0 project components) / FOSS (AGPL-3.0)</x:v>
      </x:c>
      <x:c r="AA4" s="8" t="str">
        <x:v>FOSS (web client AGPL-3.0; clients vary) / FOSS (backend generally AGPL-3.0)</x:v>
      </x:c>
      <x:c r="AB4" s="8" t="str">
        <x:v>Proprietary / Proprietary</x:v>
      </x:c>
      <x:c r="AC4" s="9" t="str">
        <x:v>AGPL-3.0 / AGPL-3.0</x:v>
      </x:c>
      <x:c r="AD4" s="8" t="str">
        <x:v>Client source planned; not yet fully public / Backend source public</x:v>
      </x:c>
      <x:c r="AE4" s="8" t="str">
        <x:v>Source-available (Elastic 2.0); self-host allowed subject to license</x:v>
      </x:c>
      <x:c r="AF4" s="8"/>
      <x:c r="AG4" s="8" t="str">
        <x:v>FOSS (Apache-2.0) / FOSS (Apache-2.0 server/web app)</x:v>
      </x:c>
      <x:c r="AH4" s="14" t="n">
        <x:v>7</x:v>
      </x:c>
      <x:c r="AI4" s="15" t="str">
        <x:v>Canonical source for At a Glance!7</x:v>
      </x:c>
    </x:row>
    <x:row r="5" ht="75">
      <x:c r="A5" s="12" t="str">
        <x:v>At a Glance</x:v>
      </x:c>
      <x:c r="B5" s="13" t="str">
        <x:v>Default E2EE (DMs)</x:v>
      </x:c>
      <x:c r="C5" s="8" t="str">
        <x:v>No for text DMs; DM voice/video calls are E2EE</x:v>
      </x:c>
      <x:c r="D5" s="8" t="str">
        <x:v>Yes: E2EE community/DM design</x:v>
      </x:c>
      <x:c r="E5" s="8" t="str">
        <x:v>Yes: desktop server DMs can be E2EE; decentralized messenger always E2EE</x:v>
      </x:c>
      <x:c r="F5" s="8" t="str">
        <x:v>No E2EE text claim</x:v>
      </x:c>
      <x:c r="G5" s="8" t="str">
        <x:v>Yes: DM text E2EE by default</x:v>
      </x:c>
      <x:c r="H5" s="8" t="str">
        <x:v>No: latest 2026 privacy policy says nothing is E2EE yet</x:v>
      </x:c>
      <x:c r="I5" s="8" t="str">
        <x:v>No text E2EE claim</x:v>
      </x:c>
      <x:c r="J5" s="8" t="str">
        <x:v>Yes: direct-message E2EE live (vodozemac)</x:v>
      </x:c>
      <x:c r="K5" s="8" t="str">
        <x:v>Yes</x:v>
      </x:c>
      <x:c r="L5" s="8" t="str">
        <x:v>Optional MLS 1.0; not default</x:v>
      </x:c>
      <x:c r="M5" s="8" t="str">
        <x:v>E2EE not yet verified/currently WIP</x:v>
      </x:c>
      <x:c r="N5" s="8" t="str">
        <x:v>Eligible content only: app displays E2EE status</x:v>
      </x:c>
      <x:c r="O5" s="8" t="str">
        <x:v>Supported by Matrix E2EE; default behavior is client-dependent</x:v>
      </x:c>
      <x:c r="P5" s="8" t="str">
        <x:v>No native E2EE for server-stored messages</x:v>
      </x:c>
      <x:c r="Q5" s="8" t="str">
        <x:v>E2EE claimed</x:v>
      </x:c>
      <x:c r="R5" s="8" t="str">
        <x:v>N/A: not a Discord-style persistent DM platform</x:v>
      </x:c>
      <x:c r="S5" s="8" t="str">
        <x:v>No public default E2EE verified</x:v>
      </x:c>
      <x:c r="T5" s="8" t="str">
        <x:v>No E2EE text claim</x:v>
      </x:c>
      <x:c r="U5" s="8" t="str">
        <x:v>No: not marketed as an E2EE product feature</x:v>
      </x:c>
      <x:c r="V5" s="8" t="str">
        <x:v>Yes: DM text E2EE (Signal-style X3DH/Double Ratchet)</x:v>
      </x:c>
      <x:c r="W5" s="8" t="str">
        <x:v>E2EE available for certain conversations but deployment/client constraints apply</x:v>
      </x:c>
      <x:c r="X5" s="8" t="str">
        <x:v>No E2EE chat claim verified</x:v>
      </x:c>
      <x:c r="Y5" s="8" t="str">
        <x:v>No text E2EE disclosed</x:v>
      </x:c>
      <x:c r="Z5" s="8" t="str">
        <x:v>No documented default text E2EE</x:v>
      </x:c>
      <x:c r="AA5" s="8" t="str">
        <x:v>No default text E2EE verified</x:v>
      </x:c>
      <x:c r="AB5" s="8"/>
      <x:c r="AC5" s="9" t="str">
        <x:v>No default E2EE claim</x:v>
      </x:c>
      <x:c r="AD5" s="8" t="str">
        <x:v>Default unencrypted; per-conversation E2EE planned/opt-in</x:v>
      </x:c>
      <x:c r="AE5" s="8" t="str">
        <x:v>No E2EE text claim</x:v>
      </x:c>
      <x:c r="AF5" s="8" t="str">
        <x:v>Server/operator controlled; E2EE not claimed</x:v>
      </x:c>
      <x:c r="AG5" s="8" t="str">
        <x:v>No native E2EE for server-stored chat</x:v>
      </x:c>
      <x:c r="AH5" s="14" t="n">
        <x:v>8</x:v>
      </x:c>
      <x:c r="AI5" s="15" t="str">
        <x:v>Canonical source for At a Glance!8</x:v>
      </x:c>
    </x:row>
    <x:row r="6" ht="90">
      <x:c r="A6" s="12" t="str">
        <x:v>At a Glance</x:v>
      </x:c>
      <x:c r="B6" s="13" t="str">
        <x:v>Default E2EE (Channels)</x:v>
      </x:c>
      <x:c r="C6" s="8" t="str">
        <x:v>No for text channels/rooms; voice/video channels are E2EE except Stage</x:v>
      </x:c>
      <x:c r="D6" s="8" t="str">
        <x:v>Yes: encrypted communities</x:v>
      </x:c>
      <x:c r="E6" s="8" t="str">
        <x:v>Server channels generally not E2EE</x:v>
      </x:c>
      <x:c r="F6" s="8" t="str">
        <x:v>No</x:v>
      </x:c>
      <x:c r="G6" s="8" t="str">
        <x:v>No: server/community text channels are plaintext to server</x:v>
      </x:c>
      <x:c r="H6" s="8" t="str">
        <x:v>No</x:v>
      </x:c>
      <x:c r="I6" s="8" t="str">
        <x:v>No channel text E2EE claim</x:v>
      </x:c>
      <x:c r="J6" s="8" t="str">
        <x:v>No channel E2EE claim; published E2EE is for DMs</x:v>
      </x:c>
      <x:c r="K6" s="8" t="str">
        <x:v>Encrypted private channels; public channels intentionally unencrypted</x:v>
      </x:c>
      <x:c r="L6" s="8" t="str">
        <x:v>Optional MLS 1.0; not default</x:v>
      </x:c>
      <x:c r="M6" s="8"/>
      <x:c r="N6" s="8" t="str">
        <x:v>Eligible content only</x:v>
      </x:c>
      <x:c r="O6" s="8" t="str">
        <x:v>Supported for encrypted rooms; not every room is encrypted</x:v>
      </x:c>
      <x:c r="P6" s="8" t="str">
        <x:v>No</x:v>
      </x:c>
      <x:c r="Q6" s="8"/>
      <x:c r="R6" s="8" t="str">
        <x:v>N/A</x:v>
      </x:c>
      <x:c r="S6" s="8" t="str">
        <x:v>No</x:v>
      </x:c>
      <x:c r="T6" s="8" t="str">
        <x:v>No</x:v>
      </x:c>
      <x:c r="U6" s="8" t="str">
        <x:v>No: not marketed as an E2EE product feature</x:v>
      </x:c>
      <x:c r="V6" s="8" t="str">
        <x:v>No: Shard/community channel text is encrypted at rest, not E2EE</x:v>
      </x:c>
      <x:c r="W6" s="8" t="str">
        <x:v>Encrypted rooms supported locally; federation documentation note E2EE is not supported across federated servers</x:v>
      </x:c>
      <x:c r="X6" s="8" t="str">
        <x:v>No</x:v>
      </x:c>
      <x:c r="Y6" s="8" t="str">
        <x:v>No text E2EE disclosed</x:v>
      </x:c>
      <x:c r="Z6" s="8" t="str">
        <x:v>No documented channel E2EE</x:v>
      </x:c>
      <x:c r="AA6" s="8" t="str">
        <x:v>No default channel E2EE</x:v>
      </x:c>
      <x:c r="AB6" s="8"/>
      <x:c r="AC6" s="9" t="str">
        <x:v>No</x:v>
      </x:c>
      <x:c r="AD6" s="8"/>
      <x:c r="AE6" s="8" t="str">
        <x:v>No</x:v>
      </x:c>
      <x:c r="AF6" s="8"/>
      <x:c r="AG6" s="8" t="str">
        <x:v>No</x:v>
      </x:c>
      <x:c r="AH6" s="14" t="n">
        <x:v>9</x:v>
      </x:c>
      <x:c r="AI6" s="15" t="str">
        <x:v>Canonical source for At a Glance!9</x:v>
      </x:c>
    </x:row>
    <x:row r="7" ht="120">
      <x:c r="A7" s="12" t="str">
        <x:v>At a Glance</x:v>
      </x:c>
      <x:c r="B7" s="13" t="str">
        <x:v>Max Screen Share (Free Res/FPS)</x:v>
      </x:c>
      <x:c r="C7" s="8" t="str">
        <x:v>720p / 30 fps</x:v>
      </x:c>
      <x:c r="D7" s="8"/>
      <x:c r="E7" s="8" t="str">
        <x:v>Up to 4K theoretical/configurable / Up to 60/120 depending documentation/version</x:v>
      </x:c>
      <x:c r="F7" s="8"/>
      <x:c r="G7" s="8"/>
      <x:c r="H7" s="8" t="str">
        <x:v>720p / 30 fps</x:v>
      </x:c>
      <x:c r="I7" s="8" t="str">
        <x:v>1080p / 30 fps</x:v>
      </x:c>
      <x:c r="J7" s="8" t="str">
        <x:v>Not publicly claimed</x:v>
      </x:c>
      <x:c r="K7" s="8"/>
      <x:c r="L7" s="8" t="str">
        <x:v>4K native Source preset at 30 FPS is publicly documented; browser Source has an 8K defensive bound. Developer questionnaire reported 4K60.</x:v>
      </x:c>
      <x:c r="M7" s="8"/>
      <x:c r="N7" s="8"/>
      <x:c r="O7" s="8" t="str">
        <x:v>Varies by client / Varies by client</x:v>
      </x:c>
      <x:c r="P7" s="8"/>
      <x:c r="Q7" s="8"/>
      <x:c r="R7" s="8" t="str">
        <x:v>N/A / N/A</x:v>
      </x:c>
      <x:c r="S7" s="8"/>
      <x:c r="T7" s="8"/>
      <x:c r="U7" s="8" t="str">
        <x:v>360p to 1080p free; FPS not publicly claimed; browser tab audio; up to 4 presenters in big rooms</x:v>
      </x:c>
      <x:c r="V7" s="8" t="str">
        <x:v>1080p60 free; 1440p60 with Rift+</x:v>
      </x:c>
      <x:c r="W7" s="8"/>
      <x:c r="X7" s="8"/>
      <x:c r="Y7" s="8" t="str">
        <x:v>720p Game Mode / Source mode / 30 fps Game Mode / 5 fps Source mode</x:v>
      </x:c>
      <x:c r="Z7" s="8"/>
      <x:c r="AA7" s="8" t="str">
        <x:v>720p / 30 fps</x:v>
      </x:c>
      <x:c r="AB7" s="8"/>
      <x:c r="AC7" s="9"/>
      <x:c r="AD7" s="8"/>
      <x:c r="AE7" s="8"/>
      <x:c r="AF7" s="8" t="str">
        <x:v>Up to 1440p included</x:v>
      </x:c>
      <x:c r="AG7" s="8" t="str">
        <x:v>External call provider-dependent / Provider-dependent</x:v>
      </x:c>
      <x:c r="AH7" s="14" t="n">
        <x:v>10</x:v>
      </x:c>
      <x:c r="AI7" s="15" t="str">
        <x:v>Canonical source for At a Glance!10</x:v>
      </x:c>
    </x:row>
    <x:row r="8" ht="75">
      <x:c r="A8" s="12" t="str">
        <x:v>At a Glance</x:v>
      </x:c>
      <x:c r="B8" s="13" t="str">
        <x:v>User Data Scraped for AI Training?</x:v>
      </x:c>
      <x:c r="C8" s="8" t="str">
        <x:v>No: Discord states AI companies may not train models using user messages</x:v>
      </x:c>
      <x:c r="D8" s="8" t="str">
        <x:v>Encrypted/no central host</x:v>
      </x:c>
      <x:c r="E8" s="8" t="str">
        <x:v>Self-host controlled</x:v>
      </x:c>
      <x:c r="F8" s="8" t="str">
        <x:v>No: privacy policy says content not used for AI training</x:v>
      </x:c>
      <x:c r="G8" s="8"/>
      <x:c r="H8" s="8" t="str">
        <x:v>No: explicit privacy policy</x:v>
      </x:c>
      <x:c r="I8" s="8"/>
      <x:c r="J8" s="8" t="str">
        <x:v>No: official site says no AI training on chats; self-host sends no telemetry</x:v>
      </x:c>
      <x:c r="K8" s="8" t="str">
        <x:v>No central plaintext service</x:v>
      </x:c>
      <x:c r="L8" s="8" t="str">
        <x:v>No: developer states user data is not used for AI training</x:v>
      </x:c>
      <x:c r="M8" s="8" t="str">
        <x:v>No behavioral tracking; AI training not specifically documented</x:v>
      </x:c>
      <x:c r="N8" s="8"/>
      <x:c r="O8" s="8" t="str">
        <x:v>Provider-specific: Matrix has no single data controller</x:v>
      </x:c>
      <x:c r="P8" s="8" t="str">
        <x:v>Deployment/provider-specific</x:v>
      </x:c>
      <x:c r="Q8" s="8"/>
      <x:c r="R8" s="8" t="str">
        <x:v>N/A: no central hosted content service</x:v>
      </x:c>
      <x:c r="S8" s="8"/>
      <x:c r="T8" s="8"/>
      <x:c r="U8" s="8" t="str">
        <x:v>No user-content training claim provided; robots.txt Content Signal includes ai-train=no</x:v>
      </x:c>
      <x:c r="V8" s="8" t="str">
        <x:v>No: explicit no-training statement</x:v>
      </x:c>
      <x:c r="W8" s="8" t="str">
        <x:v>Deployment/provider-specific</x:v>
      </x:c>
      <x:c r="X8" s="8" t="str">
        <x:v>Provider-dependent</x:v>
      </x:c>
      <x:c r="Y8" s="8" t="str">
        <x:v>No: privacy policy says no model training</x:v>
      </x:c>
      <x:c r="Z8" s="8" t="str">
        <x:v>Self-host operator-controlled</x:v>
      </x:c>
      <x:c r="AA8" s="8"/>
      <x:c r="AB8" s="8"/>
      <x:c r="AC8" s="9"/>
      <x:c r="AD8" s="8"/>
      <x:c r="AE8" s="8"/>
      <x:c r="AF8" s="8" t="str">
        <x:v>No central training of self-host content</x:v>
      </x:c>
      <x:c r="AG8" s="8"/>
      <x:c r="AH8" s="14" t="n">
        <x:v>14</x:v>
      </x:c>
      <x:c r="AI8" s="15" t="str">
        <x:v>Canonical source for At a Glance!14</x:v>
      </x:c>
    </x:row>
    <x:row r="9" ht="75">
      <x:c r="A9" s="12" t="str">
        <x:v>At a Glance</x:v>
      </x:c>
      <x:c r="B9" s="13" t="str">
        <x:v>Primary Business Model</x:v>
      </x:c>
      <x:c r="C9" s="8" t="str">
        <x:v>Freemium: Nitro/paid products + sponsored content</x:v>
      </x:c>
      <x:c r="D9" s="8" t="str">
        <x:v>Free/open source; community/grant/donation funded; no ads or data sales</x:v>
      </x:c>
      <x:c r="E9" s="8" t="str">
        <x:v>Free AGPL self-hosting/donations</x:v>
      </x:c>
      <x:c r="F9" s="8" t="str">
        <x:v>Free/private early product</x:v>
      </x:c>
      <x:c r="G9" s="8" t="str">
        <x:v>Freemium/subscription plans; alpha</x:v>
      </x:c>
      <x:c r="H9" s="8" t="str">
        <x:v>Subscriber/donor-funded freemium; no VC</x:v>
      </x:c>
      <x:c r="I9" s="8" t="str">
        <x:v>Free + self-host/server licensing</x:v>
      </x:c>
      <x:c r="J9" s="8" t="str">
        <x:v>Free hosted tier + paid hosting plans/early access; AGPL self-hosting is free</x:v>
      </x:c>
      <x:c r="K9" s="8" t="str">
        <x:v>Free open source / solo project</x:v>
      </x:c>
      <x:c r="L9" s="8" t="str">
        <x:v>Free/currently unmonetized; future monetization planned but not yet defined</x:v>
      </x:c>
      <x:c r="M9" s="8" t="str">
        <x:v>Free/community project</x:v>
      </x:c>
      <x:c r="N9" s="8" t="str">
        <x:v>Free core; optional managed self-hosting/premium planned</x:v>
      </x:c>
      <x:c r="O9" s="8" t="str">
        <x:v>Open protocol/foundation ecosystem + commercial providers</x:v>
      </x:c>
      <x:c r="P9" s="8" t="str">
        <x:v>Enterprise subscriptions + open-source/self-hosted editions</x:v>
      </x:c>
      <x:c r="Q9" s="8" t="str">
        <x:v>Free platform / company-backed</x:v>
      </x:c>
      <x:c r="R9" s="8" t="str">
        <x:v>Free open source; third-party hosting</x:v>
      </x:c>
      <x:c r="S9" s="8" t="str">
        <x:v>Donation-funded free service</x:v>
      </x:c>
      <x:c r="T9" s="8" t="str">
        <x:v>Free core + Premium subscriptions; zero ads/no third-party data sharing</x:v>
      </x:c>
      <x:c r="U9" s="8" t="str">
        <x:v>Free hosted + optional donations + AGPL self-host; donations unlock nothing; not VC-backed</x:v>
      </x:c>
      <x:c r="V9" s="8" t="str">
        <x:v>Subscriptions, not advertising; no investors</x:v>
      </x:c>
      <x:c r="W9" s="8" t="str">
        <x:v>Cloud/enterprise subscriptions + open-source core</x:v>
      </x:c>
      <x:c r="X9" s="8" t="str">
        <x:v>Open-source community project</x:v>
      </x:c>
      <x:c r="Y9" s="8" t="str">
        <x:v>Private freemium + Sudo subscription</x:v>
      </x:c>
      <x:c r="Z9" s="8" t="str">
        <x:v>Free open-source self-hosting</x:v>
      </x:c>
      <x:c r="AA9" s="8" t="str">
        <x:v>Free and open source; no ads/data sales</x:v>
      </x:c>
      <x:c r="AB9" s="8" t="str">
        <x:v>Commercial licenses/hosting</x:v>
      </x:c>
      <x:c r="AC9" s="9" t="str">
        <x:v>Free + Stargazer subscriptions/Patreon</x:v>
      </x:c>
      <x:c r="AD9" s="8" t="str">
        <x:v>Early open-source/community project</x:v>
      </x:c>
      <x:c r="AE9" s="8" t="str">
        <x:v>Free core + paid custom/private lobby tiers</x:v>
      </x:c>
      <x:c r="AF9" s="8" t="str">
        <x:v>Paid self-host license + managed hosting</x:v>
      </x:c>
      <x:c r="AG9" s="8" t="str">
        <x:v>Cloud subscriptions + open-source self-hosting</x:v>
      </x:c>
      <x:c r="AH9" s="14" t="n">
        <x:v>15</x:v>
      </x:c>
      <x:c r="AI9" s="15" t="str">
        <x:v>Canonical source for At a Glance!15</x:v>
      </x:c>
    </x:row>
    <x:row r="10" ht="90">
      <x:c r="A10" s="12" t="str">
        <x:v>At a Glance</x:v>
      </x:c>
      <x:c r="B10" s="13" t="str">
        <x:v>Standout Advantage vs. Discord</x:v>
      </x:c>
      <x:c r="C10" s="8" t="str">
        <x:v>Baseline/reference platform: N/A</x:v>
      </x:c>
      <x:c r="D10" s="8" t="str">
        <x:v>Portable key identity + E2EE + no central host required</x:v>
      </x:c>
      <x:c r="E10" s="8" t="str">
        <x:v>Self-host-only + cross-server E2EE messenger + high configurable screen share</x:v>
      </x:c>
      <x:c r="F10" s="8" t="str">
        <x:v>Cross-platform LiveKit voice/chat/screen with Discord-like UX</x:v>
      </x:c>
      <x:c r="G10" s="8" t="str">
        <x:v>Default E2EE private DMs + built-in community/events focus</x:v>
      </x:c>
      <x:c r="H10" s="8" t="str">
        <x:v>Open source + self-hosting + Discord-like UX</x:v>
      </x:c>
      <x:c r="I10" s="8" t="str">
        <x:v>Strong Discord migration tooling + self-hosting + voice focus</x:v>
      </x:c>
      <x:c r="J10" s="8" t="str">
        <x:v>AGPL self-hosting + E2EE DMs + lightweight Tauri desktop + simple PostgreSQL deployment</x:v>
      </x:c>
      <x:c r="K10" s="8" t="str">
        <x:v>Local-first E2EE + portable key identity + self-host relay</x:v>
      </x:c>
      <x:c r="L10" s="8" t="str">
        <x:v>Federation that feels like email, optional MLS E2EE, self-hosting, custom CSS/theme support</x:v>
      </x:c>
      <x:c r="M10" s="8" t="str">
        <x:v>No-email/phone identity + privacy focus + rich channel types</x:v>
      </x:c>
      <x:c r="N10" s="8" t="str">
        <x:v>Discord-like API compatibility + federation/self-hosting direction</x:v>
      </x:c>
      <x:c r="O10" s="8" t="str">
        <x:v>Open federated protocol, self-hosting, client choice, E2EE-capable rooms</x:v>
      </x:c>
      <x:c r="P10" s="8" t="str">
        <x:v>Enterprise self-hosting/data sovereignty + mature admin tooling</x:v>
      </x:c>
      <x:c r="Q10" s="8" t="str">
        <x:v>Native high-performance clients + no-paywall media + built-in AI</x:v>
      </x:c>
      <x:c r="R10" s="8" t="str">
        <x:v>Mature low-latency self-hosted voice + positional audio</x:v>
      </x:c>
      <x:c r="S10" s="8" t="str">
        <x:v>Open source, lightweight Discord-like community chat</x:v>
      </x:c>
      <x:c r="T10" s="8" t="str">
        <x:v>Regional data placement + broad native client support</x:v>
      </x:c>
      <x:c r="U10" s="8" t="str">
        <x:v>Browser screen share works in Brazil; AGPL/self-hostable; Portuguese-first</x:v>
      </x:c>
      <x:c r="V10" s="8" t="str">
        <x:v>No email/phone/ID + EXIF stripping + no AI training + portal workspace</x:v>
      </x:c>
      <x:c r="W10" s="8" t="str">
        <x:v>Self-hosting + enterprise collaboration + federation options</x:v>
      </x:c>
      <x:c r="X10" s="8" t="str">
        <x:v>ATProto identity/data model + bidirectional Discord bridge + documentation/gardening features</x:v>
      </x:c>
      <x:c r="Y10" s="8" t="str">
        <x:v>Very Discord-like migration path + integrated hosted Apps/Bots</x:v>
      </x:c>
      <x:c r="Z10" s="8" t="str">
        <x:v>Discord API compatibility + complete operator control</x:v>
      </x:c>
      <x:c r="AA10" s="8" t="str">
        <x:v>FOSS + self-hosting with Discord-like UX</x:v>
      </x:c>
      <x:c r="AB10" s="8" t="str">
        <x:v>Mature low-latency voice and self-hosted server control</x:v>
      </x:c>
      <x:c r="AC10" s="9" t="str">
        <x:v>Fully open-source + self-host + importer + rich community features</x:v>
      </x:c>
      <x:c r="AD10" s="8" t="str">
        <x:v>Open-source/self-host/federation direction</x:v>
      </x:c>
      <x:c r="AE10" s="8" t="str">
        <x:v>Game-native lobbies with deep API integrations and built-in voice/video</x:v>
      </x:c>
      <x:c r="AF10" s="8" t="str">
        <x:v>Self-hosted voice/chat/screen + spatial audio</x:v>
      </x:c>
      <x:c r="AG10" s="8" t="str">
        <x:v>Exceptional topic-based organized text + open source/self-hosting</x:v>
      </x:c>
      <x:c r="AH10" s="14" t="n">
        <x:v>17</x:v>
      </x:c>
      <x:c r="AI10" s="15" t="str">
        <x:v>Canonical source for At a Glance!17</x:v>
      </x:c>
    </x:row>
    <x:row r="11" ht="105">
      <x:c r="A11" s="12" t="str">
        <x:v>At a Glance</x:v>
      </x:c>
      <x:c r="B11" s="13" t="str">
        <x:v>Biggest Current Limitation</x:v>
      </x:c>
      <x:c r="C11" s="8" t="str">
        <x:v>Text messages are not E2EE; no self-hosting/federation; centralized proprietary service</x:v>
      </x:c>
      <x:c r="D11" s="8" t="str">
        <x:v>Young ecosystem; setup/relay/bot UX still maturing</x:v>
      </x:c>
      <x:c r="E11" s="8"/>
      <x:c r="F11" s="8" t="str">
        <x:v>Centralized/closed source; privacy/crypto/audit details sparse</x:v>
      </x:c>
      <x:c r="G11" s="8" t="str">
        <x:v>Alpha; proprietary today; no self-hosting/federation; cryptography still maturing</x:v>
      </x:c>
      <x:c r="H11" s="8" t="str">
        <x:v>Public beta; no text E2EE yet; federation not yet available</x:v>
      </x:c>
      <x:c r="I11" s="8" t="str">
        <x:v>Proprietary; federation/text E2EE not verified</x:v>
      </x:c>
      <x:c r="J11" s="8" t="str">
        <x:v>Daily-driver polish is still in progress; mobile apps, discovery and bot API are next/in development</x:v>
      </x:c>
      <x:c r="K11" s="8" t="str">
        <x:v>Very early/solo; no mature Discord migration or persistent voice-room ecosystem</x:v>
      </x:c>
      <x:c r="L11" s="8" t="str">
        <x:v>Solo developer; developer reports brief backend downtime on some releases while zero-downtime work is in progress</x:v>
      </x:c>
      <x:c r="M11" s="8" t="str">
        <x:v>Centralized/closed source; E2EE deployment/audits not mature</x:v>
      </x:c>
      <x:c r="N11" s="8" t="str">
        <x:v>Early beta; mobile/export/federation details still evolving</x:v>
      </x:c>
      <x:c r="O11" s="8" t="str">
        <x:v>UX/features vary substantially by client/homeserver; no single Matrix app</x:v>
      </x:c>
      <x:c r="P11" s="8" t="str">
        <x:v>Not gaming/community-first; no native E2EE for server-stored messages</x:v>
      </x:c>
      <x:c r="Q11" s="8"/>
      <x:c r="R11" s="8" t="str">
        <x:v>Voice-first, not a full Discord community/text replacement</x:v>
      </x:c>
      <x:c r="S11" s="8" t="str">
        <x:v>No federation; self-hosting unsupported as a normal use case; limited media documentation</x:v>
      </x:c>
      <x:c r="T11" s="8" t="str">
        <x:v>Centralized/proprietary model; text E2EE/self-hosting not verified</x:v>
      </x:c>
      <x:c r="U11" s="8" t="str">
        <x:v>Young beta; no public bot API; mobile via TestFlight/APK; Discord import is layout-only; QoL still catching up</x:v>
      </x:c>
      <x:c r="V11" s="8" t="str">
        <x:v>Closed source; Rift uses the published Signal protocol for E2EE rather than a separately published Rift protocol.</x:v>
      </x:c>
      <x:c r="W11" s="8" t="str">
        <x:v>Media/federation/E2EE behavior is deployment/version dependent; less Discord-like voice UX</x:v>
      </x:c>
      <x:c r="X11" s="8" t="str">
        <x:v>Early and text-focused; not yet a full Discord media replacement</x:v>
      </x:c>
      <x:c r="Y11" s="8" t="str">
        <x:v>Closed source, centralized, no text E2EE/self-hosting</x:v>
      </x:c>
      <x:c r="Z11" s="8" t="str">
        <x:v>Alpha/WIP; separate instances do not federate; setup is technical</x:v>
      </x:c>
      <x:c r="AA11" s="8" t="str">
        <x:v>No federation; text E2EE not verified/default; feature completeness still maturing</x:v>
      </x:c>
      <x:c r="AB11" s="8" t="str">
        <x:v>Less Discord-like community/text ecosystem; TS6 is still beta</x:v>
      </x:c>
      <x:c r="AC11" s="9" t="str">
        <x:v>Alpha; iOS/media/E2EE details incomplete</x:v>
      </x:c>
      <x:c r="AD11" s="8" t="str">
        <x:v>Experimental; federation/E2EE/client source are still in progress</x:v>
      </x:c>
      <x:c r="AE11" s="8" t="str">
        <x:v>Centralized/solo beta; no E2EE, self-hosting, federation or Discord migration</x:v>
      </x:c>
      <x:c r="AF11" s="8" t="str">
        <x:v>Proprietary and non-federated; smaller ecosystem</x:v>
      </x:c>
      <x:c r="AG11" s="8" t="str">
        <x:v>Voice/video depend on external providers; less gaming/community oriented</x:v>
      </x:c>
      <x:c r="AH11" s="14" t="n">
        <x:v>18</x:v>
      </x:c>
      <x:c r="AI11" s="15" t="str">
        <x:v>Canonical source for At a Glance!18</x:v>
      </x:c>
    </x:row>
    <x:row r="12" ht="75">
      <x:c r="A12" s="12" t="str">
        <x:v>At a Glance</x:v>
      </x:c>
      <x:c r="B12" s="13" t="str">
        <x:v>Platform Model Snapshot</x:v>
      </x:c>
      <x:c r="C12" s="8"/>
      <x:c r="D12" s="8"/>
      <x:c r="E12" s="8"/>
      <x:c r="F12" s="8"/>
      <x:c r="G12" s="8"/>
      <x:c r="H12" s="8"/>
      <x:c r="I12" s="8"/>
      <x:c r="J12" s="8"/>
      <x:c r="K12" s="8"/>
      <x:c r="L12" s="8" t="str">
        <x:v>Federated home-instance model with one account usable across other Kaede homes</x:v>
      </x:c>
      <x:c r="M12" s="8"/>
      <x:c r="N12" s="8"/>
      <x:c r="O12" s="8"/>
      <x:c r="P12" s="8"/>
      <x:c r="Q12" s="8"/>
      <x:c r="R12" s="8"/>
      <x:c r="S12" s="8"/>
      <x:c r="T12" s="8"/>
      <x:c r="U12" s="8"/>
      <x:c r="V12" s="8"/>
      <x:c r="W12" s="8"/>
      <x:c r="X12" s="8"/>
      <x:c r="Y12" s="8"/>
      <x:c r="Z12" s="8"/>
      <x:c r="AA12" s="8"/>
      <x:c r="AB12" s="8"/>
      <x:c r="AC12" s="9"/>
      <x:c r="AD12" s="8"/>
      <x:c r="AE12" s="8"/>
      <x:c r="AF12" s="8"/>
      <x:c r="AG12" s="8"/>
      <x:c r="AH12" s="14" t="n">
        <x:v>19</x:v>
      </x:c>
      <x:c r="AI12" s="15" t="str">
        <x:v>Canonical source for At a Glance!19</x:v>
      </x:c>
    </x:row>
    <x:row r="13" ht="45">
      <x:c r="A13" s="12" t="str">
        <x:v>At a Glance</x:v>
      </x:c>
      <x:c r="B13" s="13" t="str">
        <x:v>Free Plan?</x:v>
      </x:c>
      <x:c r="C13" s="8" t="str">
        <x:v>Yes</x:v>
      </x:c>
      <x:c r="D13" s="8" t="str">
        <x:v>Yes</x:v>
      </x:c>
      <x:c r="E13" s="8" t="str">
        <x:v>Yes</x:v>
      </x:c>
      <x:c r="F13" s="8"/>
      <x:c r="G13" s="8" t="str">
        <x:v>Yes</x:v>
      </x:c>
      <x:c r="H13" s="8" t="str">
        <x:v>Yes</x:v>
      </x:c>
      <x:c r="I13" s="8" t="str">
        <x:v>Yes</x:v>
      </x:c>
      <x:c r="J13" s="8" t="str">
        <x:v>Yes</x:v>
      </x:c>
      <x:c r="K13" s="8" t="str">
        <x:v>Yes</x:v>
      </x:c>
      <x:c r="L13" s="8" t="str">
        <x:v>Yes: official instance currently free; MIT self-hosting is free</x:v>
      </x:c>
      <x:c r="M13" s="8" t="str">
        <x:v>Yes</x:v>
      </x:c>
      <x:c r="N13" s="8" t="str">
        <x:v>Yes</x:v>
      </x:c>
      <x:c r="O13" s="8" t="str">
        <x:v>Yes</x:v>
      </x:c>
      <x:c r="P13" s="8" t="str">
        <x:v>Yes</x:v>
      </x:c>
      <x:c r="Q13" s="8" t="str">
        <x:v>Yes</x:v>
      </x:c>
      <x:c r="R13" s="8" t="str">
        <x:v>Yes</x:v>
      </x:c>
      <x:c r="S13" s="8" t="str">
        <x:v>Yes</x:v>
      </x:c>
      <x:c r="T13" s="8"/>
      <x:c r="U13" s="8" t="str">
        <x:v>Yes: hosted service is free</x:v>
      </x:c>
      <x:c r="V13" s="8" t="str">
        <x:v>Yes</x:v>
      </x:c>
      <x:c r="W13" s="8" t="str">
        <x:v>Yes</x:v>
      </x:c>
      <x:c r="X13" s="8" t="str">
        <x:v>Yes</x:v>
      </x:c>
      <x:c r="Y13" s="8" t="str">
        <x:v>Yes</x:v>
      </x:c>
      <x:c r="Z13" s="8" t="str">
        <x:v>Yes</x:v>
      </x:c>
      <x:c r="AA13" s="8" t="str">
        <x:v>Yes</x:v>
      </x:c>
      <x:c r="AB13" s="8" t="str">
        <x:v>Yes</x:v>
      </x:c>
      <x:c r="AC13" s="9" t="str">
        <x:v>Yes</x:v>
      </x:c>
      <x:c r="AD13" s="8"/>
      <x:c r="AE13" s="8" t="str">
        <x:v>Yes</x:v>
      </x:c>
      <x:c r="AF13" s="8"/>
      <x:c r="AG13" s="8" t="str">
        <x:v>Yes</x:v>
      </x:c>
      <x:c r="AH13" s="14" t="n">
        <x:v>29</x:v>
      </x:c>
      <x:c r="AI13" s="15" t="str">
        <x:v>Canonical source for At a Glance!29</x:v>
      </x:c>
    </x:row>
    <x:row r="14">
      <x:c r="A14" s="12" t="str">
        <x:v>At a Glance</x:v>
      </x:c>
      <x:c r="B14" s="13" t="str">
        <x:v># Public Paid Options</x:v>
      </x:c>
      <x:c r="C14" s="8" t="str">
        <x:v>4</x:v>
      </x:c>
      <x:c r="D14" s="8" t="str">
        <x:v>0</x:v>
      </x:c>
      <x:c r="E14" s="8" t="str">
        <x:v>0</x:v>
      </x:c>
      <x:c r="F14" s="8" t="str">
        <x:v>0</x:v>
      </x:c>
      <x:c r="G14" s="8" t="str">
        <x:v>3</x:v>
      </x:c>
      <x:c r="H14" s="8" t="str">
        <x:v>1</x:v>
      </x:c>
      <x:c r="I14" s="8" t="str">
        <x:v>4</x:v>
      </x:c>
      <x:c r="J14" s="8" t="str">
        <x:v>0</x:v>
      </x:c>
      <x:c r="K14" s="8" t="str">
        <x:v>0</x:v>
      </x:c>
      <x:c r="L14" s="8" t="str">
        <x:v>0</x:v>
      </x:c>
      <x:c r="M14" s="8" t="str">
        <x:v>0</x:v>
      </x:c>
      <x:c r="N14" s="8" t="str">
        <x:v>0</x:v>
      </x:c>
      <x:c r="O14" s="8" t="str">
        <x:v>0</x:v>
      </x:c>
      <x:c r="P14" s="8" t="str">
        <x:v>4</x:v>
      </x:c>
      <x:c r="Q14" s="8" t="str">
        <x:v>0</x:v>
      </x:c>
      <x:c r="R14" s="8" t="str">
        <x:v>0</x:v>
      </x:c>
      <x:c r="S14" s="8" t="str">
        <x:v>0</x:v>
      </x:c>
      <x:c r="T14" s="8" t="str">
        <x:v>0</x:v>
      </x:c>
      <x:c r="U14" s="8" t="n">
        <x:v>0</x:v>
      </x:c>
      <x:c r="V14" s="8" t="str">
        <x:v>3</x:v>
      </x:c>
      <x:c r="W14" s="8" t="str">
        <x:v>3</x:v>
      </x:c>
      <x:c r="X14" s="8" t="str">
        <x:v>0</x:v>
      </x:c>
      <x:c r="Y14" s="8" t="str">
        <x:v>1</x:v>
      </x:c>
      <x:c r="Z14" s="8" t="str">
        <x:v>0</x:v>
      </x:c>
      <x:c r="AA14" s="8" t="str">
        <x:v>0</x:v>
      </x:c>
      <x:c r="AB14" s="8" t="str">
        <x:v>10</x:v>
      </x:c>
      <x:c r="AC14" s="9" t="str">
        <x:v>1</x:v>
      </x:c>
      <x:c r="AD14" s="8" t="str">
        <x:v>0</x:v>
      </x:c>
      <x:c r="AE14" s="8" t="str">
        <x:v>5</x:v>
      </x:c>
      <x:c r="AF14" s="8" t="str">
        <x:v>1</x:v>
      </x:c>
      <x:c r="AG14" s="8" t="str">
        <x:v>5</x:v>
      </x:c>
      <x:c r="AH14" s="14" t="n">
        <x:v>30</x:v>
      </x:c>
      <x:c r="AI14" s="15" t="str">
        <x:v>Canonical source for At a Glance!30</x:v>
      </x:c>
    </x:row>
    <x:row r="15" ht="180">
      <x:c r="A15" s="12" t="str">
        <x:v>At a Glance</x:v>
      </x:c>
      <x:c r="B15" s="13" t="str">
        <x:v>Paid Options / Tiers</x:v>
      </x:c>
      <x:c r="C15" s="8" t="str">
        <x:v>Nitro Basic; Nitro; Server Boost; Nitro Classic</x:v>
      </x:c>
      <x:c r="D15" s="8" t="str">
        <x:v>No public paid tier verified</x:v>
      </x:c>
      <x:c r="E15" s="8" t="str">
        <x:v>No public paid tier verified</x:v>
      </x:c>
      <x:c r="F15" s="8" t="str">
        <x:v>No public paid tier verified</x:v>
      </x:c>
      <x:c r="G15" s="8" t="str">
        <x:v>Surge; Flare; Prime</x:v>
      </x:c>
      <x:c r="H15" s="8" t="str">
        <x:v>Plutonium</x:v>
      </x:c>
      <x:c r="I15" s="8" t="str">
        <x:v>Silver; Gold; Diamond; Self-Hosted Server License</x:v>
      </x:c>
      <x:c r="J15" s="8" t="str">
        <x:v>No public paid tier verified</x:v>
      </x:c>
      <x:c r="K15" s="8" t="str">
        <x:v>No public paid tier verified</x:v>
      </x:c>
      <x:c r="L15" s="8" t="str">
        <x:v>None</x:v>
      </x:c>
      <x:c r="M15" s="8" t="str">
        <x:v>No public paid tier verified</x:v>
      </x:c>
      <x:c r="N15" s="8" t="str">
        <x:v>No public paid tier verified</x:v>
      </x:c>
      <x:c r="O15" s="8" t="str">
        <x:v>No public paid tier verified</x:v>
      </x:c>
      <x:c r="P15" s="8" t="str">
        <x:v>Professional; Enterprise; Enterprise Advanced; Premier Support</x:v>
      </x:c>
      <x:c r="Q15" s="8" t="str">
        <x:v>No public paid tier verified</x:v>
      </x:c>
      <x:c r="R15" s="8" t="str">
        <x:v>No public paid tier verified</x:v>
      </x:c>
      <x:c r="S15" s="8" t="str">
        <x:v>No public paid tier verified</x:v>
      </x:c>
      <x:c r="T15" s="8" t="str">
        <x:v>No public paid tier verified</x:v>
      </x:c>
      <x:c r="U15" s="8" t="str">
        <x:v>None: donations unlock nothing</x:v>
      </x:c>
      <x:c r="V15" s="8" t="str">
        <x:v>Rift+; Shard Ember; Shard Forge</x:v>
      </x:c>
      <x:c r="W15" s="8" t="str">
        <x:v>Commercial; Government; Defense</x:v>
      </x:c>
      <x:c r="X15" s="8" t="str">
        <x:v>No public paid tier verified</x:v>
      </x:c>
      <x:c r="Y15" s="8" t="str">
        <x:v>Sudo</x:v>
      </x:c>
      <x:c r="Z15" s="8" t="str">
        <x:v>No public paid tier verified</x:v>
      </x:c>
      <x:c r="AA15" s="8" t="str">
        <x:v>No public paid tier verified</x:v>
      </x:c>
      <x:c r="AB15" s="8" t="str">
        <x:v>Crew; Team; Faction; Gamer / Activation 64 slots; Gamer / Activation 128 slots; Gamer / Activation 256 slots; Gamer / Activation 512 slots; Gamer / Activation 1024 slots; Commercial License; TeamSpeak SDK License</x:v>
      </x:c>
      <x:c r="AC15" s="9" t="str">
        <x:v>Stargazer</x:v>
      </x:c>
      <x:c r="AD15" s="8" t="str">
        <x:v>No public paid tier verified</x:v>
      </x:c>
      <x:c r="AE15" s="8" t="str">
        <x:v>Run your own; Have it built: Crew; Have it built: League; Have it built: Network; Have it built: Larger</x:v>
      </x:c>
      <x:c r="AF15" s="8" t="str">
        <x:v>Yapper Hosting: 1 Year</x:v>
      </x:c>
      <x:c r="AG15" s="8" t="str">
        <x:v>Cloud Standard; Cloud Plus; Self-hosted Basic; Self-hosted Business; Self-hosted Enterprise</x:v>
      </x:c>
      <x:c r="AH15" s="14" t="n">
        <x:v>31</x:v>
      </x:c>
      <x:c r="AI15" s="15" t="str">
        <x:v>Canonical source for At a Glance!31</x:v>
      </x:c>
    </x:row>
    <x:row r="16" ht="45">
      <x:c r="A16" s="12" t="str">
        <x:v>At a Glance</x:v>
      </x:c>
      <x:c r="B16" s="13" t="str">
        <x:v>Self-Hosting?</x:v>
      </x:c>
      <x:c r="C16" s="8" t="str">
        <x:v>No</x:v>
      </x:c>
      <x:c r="D16" s="8" t="str">
        <x:v>Yes: relays/self-host</x:v>
      </x:c>
      <x:c r="E16" s="8" t="str">
        <x:v>Yes</x:v>
      </x:c>
      <x:c r="F16" s="8" t="str">
        <x:v>No</x:v>
      </x:c>
      <x:c r="G16" s="8" t="str">
        <x:v>No currently</x:v>
      </x:c>
      <x:c r="H16" s="8" t="str">
        <x:v>Yes</x:v>
      </x:c>
      <x:c r="I16" s="8" t="str">
        <x:v>Yes</x:v>
      </x:c>
      <x:c r="J16" s="8" t="str">
        <x:v>Yes</x:v>
      </x:c>
      <x:c r="K16" s="8" t="str">
        <x:v>Yes</x:v>
      </x:c>
      <x:c r="L16" s="8" t="str">
        <x:v>Yes</x:v>
      </x:c>
      <x:c r="M16" s="8" t="str">
        <x:v>No</x:v>
      </x:c>
      <x:c r="N16" s="8" t="str">
        <x:v>Yes</x:v>
      </x:c>
      <x:c r="O16" s="8" t="str">
        <x:v>Yes</x:v>
      </x:c>
      <x:c r="P16" s="8" t="str">
        <x:v>Yes</x:v>
      </x:c>
      <x:c r="Q16" s="8"/>
      <x:c r="R16" s="8" t="str">
        <x:v>Yes</x:v>
      </x:c>
      <x:c r="S16" s="8" t="str">
        <x:v>Technically possible but explicitly not intended/supported</x:v>
      </x:c>
      <x:c r="T16" s="8" t="str">
        <x:v>No</x:v>
      </x:c>
      <x:c r="U16" s="8" t="str">
        <x:v>Yes</x:v>
      </x:c>
      <x:c r="V16" s="8" t="str">
        <x:v>No</x:v>
      </x:c>
      <x:c r="W16" s="8" t="str">
        <x:v>Yes</x:v>
      </x:c>
      <x:c r="X16" s="8" t="str">
        <x:v>Partially via ATProto/PDS model</x:v>
      </x:c>
      <x:c r="Y16" s="8" t="str">
        <x:v>No</x:v>
      </x:c>
      <x:c r="Z16" s="8" t="str">
        <x:v>Yes</x:v>
      </x:c>
      <x:c r="AA16" s="8" t="str">
        <x:v>Yes</x:v>
      </x:c>
      <x:c r="AB16" s="8" t="str">
        <x:v>Yes</x:v>
      </x:c>
      <x:c r="AC16" s="9" t="str">
        <x:v>Yes</x:v>
      </x:c>
      <x:c r="AD16" s="8" t="str">
        <x:v>In development</x:v>
      </x:c>
      <x:c r="AE16" s="8" t="str">
        <x:v>No</x:v>
      </x:c>
      <x:c r="AF16" s="8" t="str">
        <x:v>Yes</x:v>
      </x:c>
      <x:c r="AG16" s="8" t="str">
        <x:v>Yes</x:v>
      </x:c>
      <x:c r="AH16" s="14" t="n">
        <x:v>32</x:v>
      </x:c>
      <x:c r="AI16" s="15" t="str">
        <x:v>Canonical source for At a Glance!32</x:v>
      </x:c>
    </x:row>
    <x:row r="17" ht="45">
      <x:c r="A17" s="12" t="str">
        <x:v>At a Glance</x:v>
      </x:c>
      <x:c r="B17" s="13" t="str">
        <x:v>DM Text E2EE?</x:v>
      </x:c>
      <x:c r="C17" s="8" t="str">
        <x:v>No (text)</x:v>
      </x:c>
      <x:c r="D17" s="8" t="str">
        <x:v>Yes</x:v>
      </x:c>
      <x:c r="E17" s="8" t="str">
        <x:v>Yes for desktop server DMs when enabled; messenger always yes</x:v>
      </x:c>
      <x:c r="F17" s="8" t="str">
        <x:v>No default text E2EE verified</x:v>
      </x:c>
      <x:c r="G17" s="8" t="str">
        <x:v>Yes</x:v>
      </x:c>
      <x:c r="H17" s="8" t="str">
        <x:v>No</x:v>
      </x:c>
      <x:c r="I17" s="8" t="str">
        <x:v>No</x:v>
      </x:c>
      <x:c r="J17" s="8" t="str">
        <x:v>No</x:v>
      </x:c>
      <x:c r="K17" s="8" t="str">
        <x:v>Yes</x:v>
      </x:c>
      <x:c r="L17" s="8" t="str">
        <x:v>Optional MLS 1.0</x:v>
      </x:c>
      <x:c r="M17" s="8"/>
      <x:c r="N17" s="8" t="str">
        <x:v>Eligible content only: app displays E2EE status</x:v>
      </x:c>
      <x:c r="O17" s="8" t="str">
        <x:v>Supported; default depends on client/room</x:v>
      </x:c>
      <x:c r="P17" s="8" t="str">
        <x:v>No</x:v>
      </x:c>
      <x:c r="Q17" s="8" t="str">
        <x:v>E2EE claimed</x:v>
      </x:c>
      <x:c r="R17" s="8" t="str">
        <x:v>N/A</x:v>
      </x:c>
      <x:c r="S17" s="8" t="str">
        <x:v>No default E2EE verified</x:v>
      </x:c>
      <x:c r="T17" s="8" t="str">
        <x:v>No</x:v>
      </x:c>
      <x:c r="U17" s="8" t="str">
        <x:v>No E2EE claim</x:v>
      </x:c>
      <x:c r="V17" s="8" t="str">
        <x:v>Yes: Signal-style X3DH/Double Ratchet</x:v>
      </x:c>
      <x:c r="W17" s="8" t="str">
        <x:v>Available in supported E2EE conversations</x:v>
      </x:c>
      <x:c r="X17" s="8" t="str">
        <x:v>No default E2EE verified</x:v>
      </x:c>
      <x:c r="Y17" s="8" t="str">
        <x:v>No claim / treated as server-readable</x:v>
      </x:c>
      <x:c r="Z17" s="8" t="str">
        <x:v>No documented default</x:v>
      </x:c>
      <x:c r="AA17" s="8" t="str">
        <x:v>No default E2EE verified</x:v>
      </x:c>
      <x:c r="AB17" s="8"/>
      <x:c r="AC17" s="9" t="str">
        <x:v>No default E2EE claim</x:v>
      </x:c>
      <x:c r="AD17" s="8" t="str">
        <x:v>No by default</x:v>
      </x:c>
      <x:c r="AE17" s="8" t="str">
        <x:v>No</x:v>
      </x:c>
      <x:c r="AF17" s="8"/>
      <x:c r="AG17" s="8" t="str">
        <x:v>No</x:v>
      </x:c>
      <x:c r="AH17" s="14" t="n">
        <x:v>34</x:v>
      </x:c>
      <x:c r="AI17" s="15" t="str">
        <x:v>Canonical source for At a Glance!34</x:v>
      </x:c>
    </x:row>
    <x:row r="18" ht="45">
      <x:c r="A18" s="12" t="str">
        <x:v>At a Glance</x:v>
      </x:c>
      <x:c r="B18" s="13" t="str">
        <x:v>Free Max Upload</x:v>
      </x:c>
      <x:c r="C18" s="8" t="str">
        <x:v>20</x:v>
      </x:c>
      <x:c r="D18" s="8"/>
      <x:c r="E18" s="8"/>
      <x:c r="F18" s="8"/>
      <x:c r="G18" s="8"/>
      <x:c r="H18" s="8" t="str">
        <x:v>25</x:v>
      </x:c>
      <x:c r="I18" s="8" t="str">
        <x:v>500</x:v>
      </x:c>
      <x:c r="J18" s="8"/>
      <x:c r="K18" s="8" t="str">
        <x:v>34 MB direct P2P; larger via Hollow Share</x:v>
      </x:c>
      <x:c r="L18" s="8" t="str">
        <x:v>15 MB official instance; self-host configurable</x:v>
      </x:c>
      <x:c r="M18" s="8"/>
      <x:c r="N18" s="8"/>
      <x:c r="O18" s="8"/>
      <x:c r="P18" s="8"/>
      <x:c r="Q18" s="8" t="str">
        <x:v>100 for video/other; images 50</x:v>
      </x:c>
      <x:c r="R18" s="8"/>
      <x:c r="S18" s="8"/>
      <x:c r="T18" s="8"/>
      <x:c r="U18" s="8" t="str">
        <x:v>Not publicly claimed</x:v>
      </x:c>
      <x:c r="V18" s="8" t="str">
        <x:v>50</x:v>
      </x:c>
      <x:c r="W18" s="8" t="str">
        <x:v>Yes: multimedia/file sharing; plan/config limits vary</x:v>
      </x:c>
      <x:c r="X18" s="8"/>
      <x:c r="Y18" s="8" t="str">
        <x:v>25</x:v>
      </x:c>
      <x:c r="Z18" s="8"/>
      <x:c r="AA18" s="8" t="str">
        <x:v>20 MB</x:v>
      </x:c>
      <x:c r="AB18" s="8"/>
      <x:c r="AC18" s="9"/>
      <x:c r="AD18" s="8"/>
      <x:c r="AE18" s="8"/>
      <x:c r="AF18" s="8" t="str">
        <x:v>Configurable by server operator</x:v>
      </x:c>
      <x:c r="AG18" s="8" t="str">
        <x:v>5 GB total cloud storage on Free plan</x:v>
      </x:c>
      <x:c r="AH18" s="14" t="n">
        <x:v>35</x:v>
      </x:c>
      <x:c r="AI18" s="15" t="str">
        <x:v>Canonical source for At a Glance!35</x:v>
      </x:c>
    </x:row>
    <x:row r="19" ht="75">
      <x:c r="A19" s="12" t="str">
        <x:v>At a Glance</x:v>
      </x:c>
      <x:c r="B19" s="13" t="str">
        <x:v>Free Max Screen Share</x:v>
      </x:c>
      <x:c r="C19" s="8" t="str">
        <x:v>720p / 30 FPS</x:v>
      </x:c>
      <x:c r="D19" s="8"/>
      <x:c r="E19" s="8" t="str">
        <x:v>Up to 4K / Up to 60/120 by version/config FPS</x:v>
      </x:c>
      <x:c r="F19" s="8"/>
      <x:c r="G19" s="8"/>
      <x:c r="H19" s="8" t="str">
        <x:v>720p / 30 FPS</x:v>
      </x:c>
      <x:c r="I19" s="8" t="str">
        <x:v>1080p / 30 FPS</x:v>
      </x:c>
      <x:c r="J19" s="8" t="str">
        <x:v>N/A / N/A FPS</x:v>
      </x:c>
      <x:c r="K19" s="8"/>
      <x:c r="L19" s="8" t="str">
        <x:v>4K30 native documented; developer questionnaire reported 4K60</x:v>
      </x:c>
      <x:c r="M19" s="8"/>
      <x:c r="N19" s="8"/>
      <x:c r="O19" s="8" t="str">
        <x:v>Client-dependent / Client-dependent FPS</x:v>
      </x:c>
      <x:c r="P19" s="8" t="str">
        <x:v>Deployment/plan dependent / Deployment/plan dependent FPS</x:v>
      </x:c>
      <x:c r="Q19" s="8"/>
      <x:c r="R19" s="8" t="str">
        <x:v>N/A / N/A FPS</x:v>
      </x:c>
      <x:c r="S19" s="8"/>
      <x:c r="T19" s="8"/>
      <x:c r="U19" s="8" t="str">
        <x:v>1080p</x:v>
      </x:c>
      <x:c r="V19" s="8" t="str">
        <x:v>1080p / 60 FPS</x:v>
      </x:c>
      <x:c r="W19" s="8" t="str">
        <x:v>Provider-dependent / Provider-dependent FPS</x:v>
      </x:c>
      <x:c r="X19" s="8" t="str">
        <x:v>N/A / N/A FPS</x:v>
      </x:c>
      <x:c r="Y19" s="8" t="str">
        <x:v>720p game / Source text mode / 30 game / 5 source FPS</x:v>
      </x:c>
      <x:c r="Z19" s="8" t="str">
        <x:v>Operator/config dependent</x:v>
      </x:c>
      <x:c r="AA19" s="8"/>
      <x:c r="AB19" s="8"/>
      <x:c r="AC19" s="9"/>
      <x:c r="AD19" s="8"/>
      <x:c r="AE19" s="8"/>
      <x:c r="AF19" s="8" t="str">
        <x:v>Up to 1440p</x:v>
      </x:c>
      <x:c r="AG19" s="8" t="str">
        <x:v>Provider-dependent / Provider-dependent FPS</x:v>
      </x:c>
      <x:c r="AH19" s="14" t="n">
        <x:v>36</x:v>
      </x:c>
      <x:c r="AI19" s="15" t="str">
        <x:v>Canonical source for At a Glance!36</x:v>
      </x:c>
    </x:row>
    <x:row r="20" ht="30">
      <x:c r="A20" s="12" t="str">
        <x:v>At a Glance</x:v>
      </x:c>
      <x:c r="B20" s="13" t="str">
        <x:v>1080p Access</x:v>
      </x:c>
      <x:c r="C20" s="8" t="str">
        <x:v>Paid: Nitro</x:v>
      </x:c>
      <x:c r="D20" s="8"/>
      <x:c r="E20" s="8"/>
      <x:c r="F20" s="8"/>
      <x:c r="G20" s="8"/>
      <x:c r="H20" s="8" t="str">
        <x:v>Paid: Plutonium</x:v>
      </x:c>
      <x:c r="I20" s="8" t="str">
        <x:v>Free 30 FPS; Gold+ 60 FPS</x:v>
      </x:c>
      <x:c r="J20" s="8"/>
      <x:c r="K20" s="8"/>
      <x:c r="L20" s="8" t="str">
        <x:v>Free/current</x:v>
      </x:c>
      <x:c r="M20" s="8"/>
      <x:c r="N20" s="8"/>
      <x:c r="O20" s="8"/>
      <x:c r="P20" s="8"/>
      <x:c r="Q20" s="8" t="str">
        <x:v>Free</x:v>
      </x:c>
      <x:c r="R20" s="8"/>
      <x:c r="S20" s="8"/>
      <x:c r="T20" s="8"/>
      <x:c r="U20" s="8" t="str">
        <x:v>Free</x:v>
      </x:c>
      <x:c r="V20" s="8" t="str">
        <x:v>Free</x:v>
      </x:c>
      <x:c r="W20" s="8"/>
      <x:c r="X20" s="8"/>
      <x:c r="Y20" s="8" t="str">
        <x:v>Paid: Sudo</x:v>
      </x:c>
      <x:c r="Z20" s="8"/>
      <x:c r="AA20" s="8"/>
      <x:c r="AB20" s="8" t="str">
        <x:v>Configurable/P2P</x:v>
      </x:c>
      <x:c r="AC20" s="9"/>
      <x:c r="AD20" s="8"/>
      <x:c r="AE20" s="8" t="str">
        <x:v>Free if supported</x:v>
      </x:c>
      <x:c r="AF20" s="8"/>
      <x:c r="AG20" s="8"/>
      <x:c r="AH20" s="14" t="n">
        <x:v>37</x:v>
      </x:c>
      <x:c r="AI20" s="15" t="str">
        <x:v>Canonical source for At a Glance!37</x:v>
      </x:c>
    </x:row>
    <x:row r="21" ht="60">
      <x:c r="A21" s="12" t="str">
        <x:v>At a Glance</x:v>
      </x:c>
      <x:c r="B21" s="13" t="str">
        <x:v>1440p Access</x:v>
      </x:c>
      <x:c r="C21" s="8"/>
      <x:c r="D21" s="8"/>
      <x:c r="E21" s="8"/>
      <x:c r="F21" s="8"/>
      <x:c r="G21" s="8"/>
      <x:c r="H21" s="8" t="str">
        <x:v>Paid: Plutonium</x:v>
      </x:c>
      <x:c r="I21" s="8" t="str">
        <x:v>Paid: Diamond</x:v>
      </x:c>
      <x:c r="J21" s="8"/>
      <x:c r="K21" s="8"/>
      <x:c r="L21" s="8" t="str">
        <x:v>Free/current</x:v>
      </x:c>
      <x:c r="M21" s="8"/>
      <x:c r="N21" s="8"/>
      <x:c r="O21" s="8"/>
      <x:c r="P21" s="8"/>
      <x:c r="Q21" s="8" t="str">
        <x:v>Free if supported; no paywall</x:v>
      </x:c>
      <x:c r="R21" s="8"/>
      <x:c r="S21" s="8"/>
      <x:c r="T21" s="8"/>
      <x:c r="U21" s="8" t="str">
        <x:v>No: current published hosted range tops out at 1080p</x:v>
      </x:c>
      <x:c r="V21" s="8" t="str">
        <x:v>Paid: Rift+</x:v>
      </x:c>
      <x:c r="W21" s="8"/>
      <x:c r="X21" s="8"/>
      <x:c r="Y21" s="8" t="str">
        <x:v>Paid: Sudo</x:v>
      </x:c>
      <x:c r="Z21" s="8"/>
      <x:c r="AA21" s="8"/>
      <x:c r="AB21" s="8"/>
      <x:c r="AC21" s="9"/>
      <x:c r="AD21" s="8"/>
      <x:c r="AE21" s="8" t="str">
        <x:v>Free if supported</x:v>
      </x:c>
      <x:c r="AF21" s="8"/>
      <x:c r="AG21" s="8"/>
      <x:c r="AH21" s="14" t="n">
        <x:v>38</x:v>
      </x:c>
      <x:c r="AI21" s="15" t="str">
        <x:v>Canonical source for At a Glance!38</x:v>
      </x:c>
    </x:row>
    <x:row r="22" ht="60">
      <x:c r="A22" s="12" t="str">
        <x:v>At a Glance</x:v>
      </x:c>
      <x:c r="B22" s="13" t="str">
        <x:v>4K Access</x:v>
      </x:c>
      <x:c r="C22" s="8" t="str">
        <x:v>Paid: Nitro</x:v>
      </x:c>
      <x:c r="D22" s="8"/>
      <x:c r="E22" s="8"/>
      <x:c r="F22" s="8"/>
      <x:c r="G22" s="8"/>
      <x:c r="H22" s="8" t="str">
        <x:v>Paid: Plutonium</x:v>
      </x:c>
      <x:c r="I22" s="8" t="str">
        <x:v>Paid: Diamond</x:v>
      </x:c>
      <x:c r="J22" s="8"/>
      <x:c r="K22" s="8"/>
      <x:c r="L22" s="8" t="str">
        <x:v>Free/current</x:v>
      </x:c>
      <x:c r="M22" s="8"/>
      <x:c r="N22" s="8"/>
      <x:c r="O22" s="8"/>
      <x:c r="P22" s="8"/>
      <x:c r="Q22" s="8" t="str">
        <x:v>Free if supported; no paywall</x:v>
      </x:c>
      <x:c r="R22" s="8"/>
      <x:c r="S22" s="8"/>
      <x:c r="T22" s="8"/>
      <x:c r="U22" s="8" t="str">
        <x:v>No: current published hosted range tops out at 1080p</x:v>
      </x:c>
      <x:c r="V22" s="8" t="str">
        <x:v>N/A</x:v>
      </x:c>
      <x:c r="W22" s="8"/>
      <x:c r="X22" s="8"/>
      <x:c r="Y22" s="8" t="str">
        <x:v>N/A</x:v>
      </x:c>
      <x:c r="Z22" s="8"/>
      <x:c r="AA22" s="8"/>
      <x:c r="AB22" s="8"/>
      <x:c r="AC22" s="9"/>
      <x:c r="AD22" s="8"/>
      <x:c r="AE22" s="8" t="str">
        <x:v>Free if supported</x:v>
      </x:c>
      <x:c r="AF22" s="8"/>
      <x:c r="AG22" s="8"/>
      <x:c r="AH22" s="14" t="n">
        <x:v>39</x:v>
      </x:c>
      <x:c r="AI22" s="15" t="str">
        <x:v>Canonical source for At a Glance!39</x:v>
      </x:c>
    </x:row>
    <x:row r="23" ht="30">
      <x:c r="A23" s="12" t="str">
        <x:v>At a Glance</x:v>
      </x:c>
      <x:c r="B23" s="13" t="str">
        <x:v>Voice Bitrate: Base → Max</x:v>
      </x:c>
      <x:c r="C23" s="8" t="str">
        <x:v>96 → 384 kbps</x:v>
      </x:c>
      <x:c r="D23" s="8"/>
      <x:c r="E23" s="8"/>
      <x:c r="F23" s="8"/>
      <x:c r="G23" s="8"/>
      <x:c r="H23" s="8"/>
      <x:c r="I23" s="8" t="str">
        <x:v>64 → 256 kbps</x:v>
      </x:c>
      <x:c r="J23" s="8"/>
      <x:c r="K23" s="8"/>
      <x:c r="L23" s="8" t="str">
        <x:v>24/48/96/128 kbps → 128 kbps</x:v>
      </x:c>
      <x:c r="M23" s="8"/>
      <x:c r="N23" s="8"/>
      <x:c r="O23" s="8"/>
      <x:c r="P23" s="8"/>
      <x:c r="Q23" s="8"/>
      <x:c r="R23" s="8"/>
      <x:c r="S23" s="8"/>
      <x:c r="T23" s="8"/>
      <x:c r="U23" s="8" t="str">
        <x:v>Not publicly claimed</x:v>
      </x:c>
      <x:c r="V23" s="8" t="str">
        <x:v>96 → 192 kbps</x:v>
      </x:c>
      <x:c r="W23" s="8"/>
      <x:c r="X23" s="8"/>
      <x:c r="Y23" s="8"/>
      <x:c r="Z23" s="8"/>
      <x:c r="AA23" s="8"/>
      <x:c r="AB23" s="8"/>
      <x:c r="AC23" s="9"/>
      <x:c r="AD23" s="8"/>
      <x:c r="AE23" s="8"/>
      <x:c r="AF23" s="8"/>
      <x:c r="AG23" s="8"/>
      <x:c r="AH23" s="14" t="n">
        <x:v>40</x:v>
      </x:c>
      <x:c r="AI23" s="15" t="str">
        <x:v>Canonical source for At a Glance!40</x:v>
      </x:c>
    </x:row>
    <x:row r="24" ht="75">
      <x:c r="A24" s="12" t="str">
        <x:v>At a Glance</x:v>
      </x:c>
      <x:c r="B24" s="13" t="str">
        <x:v>Primary Pricing Model</x:v>
      </x:c>
      <x:c r="C24" s="8" t="str">
        <x:v>Per user; Per boost</x:v>
      </x:c>
      <x:c r="D24" s="8" t="str">
        <x:v>Free/open source; no ads and no paid tier</x:v>
      </x:c>
      <x:c r="E24" s="8" t="str">
        <x:v>Free/open-source self-hosted/decentralized project</x:v>
      </x:c>
      <x:c r="F24" s="8" t="str">
        <x:v>Free core with Premium/Boost tiers when active</x:v>
      </x:c>
      <x:c r="G24" s="8" t="str">
        <x:v>Subscription</x:v>
      </x:c>
      <x:c r="H24" s="8" t="str">
        <x:v>Per user</x:v>
      </x:c>
      <x:c r="I24" s="8" t="str">
        <x:v>Per server; Per self-hosted server</x:v>
      </x:c>
      <x:c r="J24" s="8" t="str">
        <x:v>Open-source client ecosystem; platform monetization not established</x:v>
      </x:c>
      <x:c r="K24" s="8" t="str">
        <x:v>Open-source distributed/self-hostable messenger</x:v>
      </x:c>
      <x:c r="L24" s="8" t="str">
        <x:v>Free/currently unmonetized; self-funded</x:v>
      </x:c>
      <x:c r="M24" s="8" t="str">
        <x:v>Self-funded/donation-supported passion project; no ads/subscriptions/data harvesting</x:v>
      </x:c>
      <x:c r="N24" s="8" t="str">
        <x:v>Free core; optional managed self-hosting/premium planned</x:v>
      </x:c>
      <x:c r="O24" s="8"/>
      <x:c r="P24" s="8" t="str">
        <x:v>Annual seat license; Add-on</x:v>
      </x:c>
      <x:c r="Q24" s="8" t="str">
        <x:v>Free platform; no premium communication tier documented</x:v>
      </x:c>
      <x:c r="R24" s="8" t="str">
        <x:v>Free/open-source self-hosted voice platform</x:v>
      </x:c>
      <x:c r="S24" s="8" t="str">
        <x:v>Open-source community chat</x:v>
      </x:c>
      <x:c r="T24" s="8" t="str">
        <x:v>Free core + Premium subscriptions; zero ads/no third-party data sharing</x:v>
      </x:c>
      <x:c r="U24" s="8" t="str">
        <x:v>Free hosted; optional donations; free AGPL self-hosting</x:v>
      </x:c>
      <x:c r="V24" s="8" t="str">
        <x:v>Per user; Per community / Shard</x:v>
      </x:c>
      <x:c r="W24" s="8" t="str">
        <x:v>Organization / deployment</x:v>
      </x:c>
      <x:c r="X24" s="8" t="str">
        <x:v>Open-source project</x:v>
      </x:c>
      <x:c r="Y24" s="8" t="str">
        <x:v>Per user</x:v>
      </x:c>
      <x:c r="Z24" s="8" t="str">
        <x:v>Self-hosted open-source project</x:v>
      </x:c>
      <x:c r="AA24" s="8" t="str">
        <x:v>Free and open source; no ads/data sales</x:v>
      </x:c>
      <x:c r="AB24" s="8" t="str">
        <x:v>Per hosted community; Per self-host license; Custom</x:v>
      </x:c>
      <x:c r="AC24" s="9" t="str">
        <x:v>Per supporter</x:v>
      </x:c>
      <x:c r="AD24" s="8" t="str">
        <x:v>Early-stage open-source Discord alternative; monetization not clearly documented</x:v>
      </x:c>
      <x:c r="AE24" s="8" t="str">
        <x:v>Per lobby; Per community build</x:v>
      </x:c>
      <x:c r="AF24" s="8" t="str">
        <x:v>Per managed server</x:v>
      </x:c>
      <x:c r="AG24" s="8" t="str">
        <x:v>Per user; Per user; 10-user minimum; Per user; 25-user minimum; Custom</x:v>
      </x:c>
      <x:c r="AH24" s="14" t="n">
        <x:v>41</x:v>
      </x:c>
      <x:c r="AI24" s="15" t="str">
        <x:v>Canonical source for At a Glance!41</x:v>
      </x:c>
    </x:row>
    <x:row r="25" ht="330">
      <x:c r="A25" s="12" t="str">
        <x:v>At a Glance</x:v>
      </x:c>
      <x:c r="B25" s="13" t="str">
        <x:v>Current Monetization</x:v>
      </x:c>
      <x:c r="C25" s="8" t="str">
        <x:v>Nitro/Nitro Basic subscriptions, Server Boosts, Shop and app ecosystem</x:v>
      </x:c>
      <x:c r="D25" s="8" t="str">
        <x:v>No Armada subscription: N/A</x:v>
      </x:c>
      <x:c r="E25" s="8" t="str">
        <x:v>No DCTS subscription: N/A; PayPal / Ko-fi donations: User-selected</x:v>
      </x:c>
      <x:c r="F25" s="8" t="str">
        <x:v>No public fixed-price paid tier verified: N/A</x:v>
      </x:c>
      <x:c r="G25" s="8" t="str">
        <x:v>No current paid monetization verified / see Monetization Detail</x:v>
      </x:c>
      <x:c r="H25" s="8" t="str">
        <x:v>Plutonium: 4.99/mo; 49.99/yr; One-time / monthly / yearly donations: Minimum 3 in selected currency</x:v>
      </x:c>
      <x:c r="I25" s="8" t="str">
        <x:v>Silver: 4.99/mo; Gold: 9.99/mo; Diamond: 19.99/mo; Self-Hosted Server License: 2.00/mo; 15.00/yr</x:v>
      </x:c>
      <x:c r="J25" s="8" t="str">
        <x:v>No central paid tier: N/A</x:v>
      </x:c>
      <x:c r="K25" s="8" t="str">
        <x:v>No Hollow subscription: N/A</x:v>
      </x:c>
      <x:c r="L25" s="8" t="str">
        <x:v>None currently</x:v>
      </x:c>
      <x:c r="M25" s="8" t="str">
        <x:v>No public fixed-price paid tier verified: N/A; Self-funding + donations: User-selected</x:v>
      </x:c>
      <x:c r="N25" s="8" t="str">
        <x:v>Core features free; premium managed hosting planned</x:v>
      </x:c>
      <x:c r="O25" s="8" t="str">
        <x:v>No Matrix-wide paid tier: N/A; Donations / organizational sponsorship: User-selected / sponsorship</x:v>
      </x:c>
      <x:c r="P25" s="8" t="str">
        <x:v>Professional: Contact Sales / Quote; Enterprise: Contact Sales / Quote; Enterprise Advanced: Contact Sales / Quote; Premier Support: Contact Sales / Quote</x:v>
      </x:c>
      <x:c r="Q25" s="8" t="str">
        <x:v>No premium communication subscription: N/A; Mezon Token / Mezon Dong payments: Transaction-dependent</x:v>
      </x:c>
      <x:c r="R25" s="8" t="str">
        <x:v>No Mumble subscription: N/A</x:v>
      </x:c>
      <x:c r="S25" s="8" t="str">
        <x:v>No paid subscription verified: N/A; Donation-funded service: User-selected</x:v>
      </x:c>
      <x:c r="T25" s="8" t="str">
        <x:v>No public fixed-price paid tier verified: N/A</x:v>
      </x:c>
      <x:c r="U25" s="8" t="str">
        <x:v>Optional donations only; donations unlock nothing</x:v>
      </x:c>
      <x:c r="V25" s="8" t="str">
        <x:v>Rift+: 7.00/mo; 70.00/yr;
 Shard Ember: 10.00/mo;
 Shard Forge: 25.00/mo</x:v>
      </x:c>
      <x:c r="W25" s="8" t="str">
        <x:v>Commercial: Contact Sales / Quote; Government: Contact Sales / Quote; Defense: Contact Sales / Quote</x:v>
      </x:c>
      <x:c r="X25" s="8" t="str">
        <x:v>No paid Roomy subscription verified: N/A</x:v>
      </x:c>
      <x:c r="Y25" s="8"/>
      <x:c r="Z25" s="8" t="str">
        <x:v>No central paid tier: N/A</x:v>
      </x:c>
      <x:c r="AA25" s="8" t="str">
        <x:v>No public fixed-price paid tier verified: N/A</x:v>
      </x:c>
      <x:c r="AB25" s="8" t="str"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C25" s="9" t="str">
        <x:v>Optional Stargazer subscriptions/Patreon</x:v>
      </x:c>
      <x:c r="AD25" s="8" t="str">
        <x:v>No public fixed-price paid tier verified: N/A</x:v>
      </x:c>
      <x:c r="AE25" s="8" t="str"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F25" s="8" t="str">
        <x:v>Yapper Hosting 1 Year: 45.00 promo / 90.00 regular/yr; Maximum Control Self-Hosting License: 0</x:v>
      </x:c>
      <x:c r="AG25" s="8" t="str">
        <x:v>Cloud Standard: 8.00/mo; 80.04/yr; Cloud Plus: 12.00/mo; 120.00/yr; Self-hosted Basic: 3.50/mo; Self-hosted Business: 8.00/mo; 80.04/yr; Self-hosted Enterprise: Contact Sales / Quote</x:v>
      </x:c>
      <x:c r="AH25" s="14" t="n">
        <x:v>43</x:v>
      </x:c>
      <x:c r="AI25" s="15" t="str">
        <x:v>Canonical source for At a Glance!43</x:v>
      </x:c>
    </x:row>
    <x:row r="26" ht="45">
      <x:c r="A26" s="12" t="str">
        <x:v>At a Glance</x:v>
      </x:c>
      <x:c r="B26" s="13" t="str">
        <x:v>Intended Monetization</x:v>
      </x:c>
      <x:c r="C26" s="8"/>
      <x:c r="D26" s="8"/>
      <x:c r="E26" s="8"/>
      <x:c r="F26" s="8"/>
      <x:c r="G26" s="8" t="str">
        <x:v>Surge: 4.99/mo; Flare: 9.99/mo; Prime: 24.99/mo</x:v>
      </x:c>
      <x:c r="H26" s="8" t="str">
        <x:v>Subscriptions/donations; creator payments planned</x:v>
      </x:c>
      <x:c r="I26" s="8"/>
      <x:c r="J26" s="8"/>
      <x:c r="K26" s="8" t="str">
        <x:v>No premium tier: 0</x:v>
      </x:c>
      <x:c r="L26" s="8" t="str">
        <x:v>Future monetization planned, model TBD</x:v>
      </x:c>
      <x:c r="M26" s="8"/>
      <x:c r="N26" s="8"/>
      <x:c r="O26" s="8" t="str">
        <x:v>Premium plan: Price not finalized</x:v>
      </x:c>
      <x:c r="P26" s="8"/>
      <x:c r="Q26" s="8"/>
      <x:c r="R26" s="8"/>
      <x:c r="S26" s="8"/>
      <x:c r="T26" s="8"/>
      <x:c r="U26" s="8"/>
      <x:c r="V26" s="8" t="str">
        <x:v>Subscriptions fund operations</x:v>
      </x:c>
      <x:c r="W26" s="8"/>
      <x:c r="X26" s="8"/>
      <x:c r="Y26" s="8"/>
      <x:c r="Z26" s="8"/>
      <x:c r="AA26" s="8"/>
      <x:c r="AB26" s="8"/>
      <x:c r="AC26" s="9"/>
      <x:c r="AD26" s="8"/>
      <x:c r="AE26" s="8"/>
      <x:c r="AF26" s="8"/>
      <x:c r="AG26" s="8"/>
      <x:c r="AH26" s="14" t="n">
        <x:v>44</x:v>
      </x:c>
      <x:c r="AI26" s="15" t="str">
        <x:v>Canonical source for At a Glance!44</x:v>
      </x:c>
    </x:row>
    <x:row r="27" ht="225">
      <x:c r="A27" s="12" t="str">
        <x:v>At a Glance</x:v>
      </x:c>
      <x:c r="B27" s="13" t="str">
        <x:v>Server / Community Upgrade Model</x:v>
      </x:c>
      <x:c r="C27" s="8" t="str"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D27" s="8"/>
      <x:c r="E27" s="8"/>
      <x:c r="F27" s="8"/>
      <x:c r="G27" s="8"/>
      <x:c r="H27" s="8"/>
      <x:c r="I27" s="8" t="str">
        <x:v>Silver: 4.99/mo; Gold: 9.99/mo; Diamond: 19.99/mo</x:v>
      </x:c>
      <x:c r="J27" s="8"/>
      <x:c r="K27" s="8"/>
      <x:c r="L27" s="8" t="str">
        <x:v>No paid server/community tier currently</x:v>
      </x:c>
      <x:c r="M27" s="8"/>
      <x:c r="N27" s="8"/>
      <x:c r="O27" s="8"/>
      <x:c r="P27" s="8"/>
      <x:c r="Q27" s="8"/>
      <x:c r="R27" s="8"/>
      <x:c r="S27" s="8"/>
      <x:c r="T27" s="8"/>
      <x:c r="U27" s="8" t="str">
        <x:v>None: no paid feature tier</x:v>
      </x:c>
      <x:c r="V27" s="8" t="str">
        <x:v>Ember $10/mo; Forge $25/mo</x:v>
      </x:c>
      <x:c r="W27" s="8"/>
      <x:c r="X27" s="8"/>
      <x:c r="Y27" s="8"/>
      <x:c r="Z27" s="8"/>
      <x:c r="AA27" s="8"/>
      <x:c r="AB27" s="8" t="str">
        <x:v>Crew: 4.99/mo; 53.99/yr; Team: 8.99/mo; 96.99/yr; Faction: 17.99/mo; 194.99/yr</x:v>
      </x:c>
      <x:c r="AC27" s="9"/>
      <x:c r="AD27" s="8"/>
      <x:c r="AE27" s="8" t="str"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F27" s="8"/>
      <x:c r="AG27" s="8"/>
      <x:c r="AH27" s="14" t="n">
        <x:v>45</x:v>
      </x:c>
      <x:c r="AI27" s="15" t="str">
        <x:v>Canonical source for At a Glance!45</x:v>
      </x:c>
    </x:row>
    <x:row r="28" ht="75">
      <x:c r="A28" s="12" t="str">
        <x:v>At a Glance</x:v>
      </x:c>
      <x:c r="B28" s="13" t="str">
        <x:v>User-Level Paid Model</x:v>
      </x:c>
      <x:c r="C28" s="8" t="str">
        <x:v>Nitro Basic: 2.99/mo; 29.99/yr; Nitro: 9.99/mo; 99.99/yr; Nitro Classic: 4.99/mo; 49.99/yr</x:v>
      </x:c>
      <x:c r="D28" s="8"/>
      <x:c r="E28" s="8"/>
      <x:c r="F28" s="8"/>
      <x:c r="G28" s="8"/>
      <x:c r="H28" s="8" t="str">
        <x:v>Plutonium: 4.99/mo; 49.99/yr</x:v>
      </x:c>
      <x:c r="I28" s="8"/>
      <x:c r="J28" s="8"/>
      <x:c r="K28" s="8"/>
      <x:c r="L28" s="8" t="str">
        <x:v>No paid user tier currently</x:v>
      </x:c>
      <x:c r="M28" s="8"/>
      <x:c r="N28" s="8"/>
      <x:c r="O28" s="8"/>
      <x:c r="P28" s="8"/>
      <x:c r="Q28" s="8"/>
      <x:c r="R28" s="8"/>
      <x:c r="S28" s="8"/>
      <x:c r="T28" s="8"/>
      <x:c r="U28" s="8" t="str">
        <x:v>None: no paid feature tier</x:v>
      </x:c>
      <x:c r="V28" s="8" t="str">
        <x:v>Rift+: 7.00/mo; 70.00/yr</x:v>
      </x:c>
      <x:c r="W28" s="8"/>
      <x:c r="X28" s="8"/>
      <x:c r="Y28" s="8"/>
      <x:c r="Z28" s="8"/>
      <x:c r="AA28" s="8"/>
      <x:c r="AB28" s="8"/>
      <x:c r="AC28" s="9"/>
      <x:c r="AD28" s="8"/>
      <x:c r="AE28" s="8"/>
      <x:c r="AF28" s="8"/>
      <x:c r="AG28" s="8"/>
      <x:c r="AH28" s="14" t="n">
        <x:v>46</x:v>
      </x:c>
      <x:c r="AI28" s="15" t="str">
        <x:v>Canonical source for At a Glance!46</x:v>
      </x:c>
    </x:row>
    <x:row r="29" ht="45">
      <x:c r="A29" s="12" t="str">
        <x:v>At a Glance</x:v>
      </x:c>
      <x:c r="B29" s="13" t="str">
        <x:v>Terms / Legal URL</x:v>
      </x:c>
      <x:c r="C29" s="8" t="str">
        <x:v>https://discord.com/terms</x:v>
      </x:c>
      <x:c r="D29" s="8" t="str">
        <x:v>https://github.com/soapbox-pub/armada</x:v>
      </x:c>
      <x:c r="E29" s="8"/>
      <x:c r="F29" s="8"/>
      <x:c r="G29" s="8" t="str">
        <x:v>https://fenrid.com/terms</x:v>
      </x:c>
      <x:c r="H29" s="8" t="str">
        <x:v>https://fluxer.app/terms</x:v>
      </x:c>
      <x:c r="I29" s="8" t="str">
        <x:v>https://gamevox.com/terms/</x:v>
      </x:c>
      <x:c r="J29" s="8"/>
      <x:c r="K29" s="8" t="str">
        <x:v>https://github.com/VitalikPro13/HOLLOW</x:v>
      </x:c>
      <x:c r="L29" s="8"/>
      <x:c r="M29" s="8" t="str">
        <x:v>https://kloak.app/terms</x:v>
      </x:c>
      <x:c r="N29" s="8" t="str">
        <x:v>https://loqa.chat/terms/</x:v>
      </x:c>
      <x:c r="O29" s="8" t="str">
        <x:v>https://matrix.org/legal/terms-and-conditions/</x:v>
      </x:c>
      <x:c r="P29" s="8" t="str">
        <x:v>https://docs.mattermost.com/product-overview/faq-license</x:v>
      </x:c>
      <x:c r="Q29" s="8" t="str">
        <x:v>https://dong.mezon.ai/</x:v>
      </x:c>
      <x:c r="R29" s="8" t="str">
        <x:v>https://www.mumble.info/</x:v>
      </x:c>
      <x:c r="S29" s="8" t="str">
        <x:v>https://nerimity.com/</x:v>
      </x:c>
      <x:c r="T29" s="8" t="str">
        <x:v>https://osmium.chat/terms/</x:v>
      </x:c>
      <x:c r="U29" s="8" t="str">
        <x:v>https://pqp.gg/terms</x:v>
      </x:c>
      <x:c r="V29" s="8" t="str">
        <x:v>https://therift.chat/terms/</x:v>
      </x:c>
      <x:c r="W29" s="8" t="str">
        <x:v>https://docs.rocket.chat/docs/legal-center</x:v>
      </x:c>
      <x:c r="X29" s="8"/>
      <x:c r="Y29" s="8" t="str">
        <x:v>https://www.rootapp.com/terms-of-use</x:v>
      </x:c>
      <x:c r="Z29" s="8" t="str">
        <x:v>https://spacebar.chat/</x:v>
      </x:c>
      <x:c r="AA29" s="8" t="str">
        <x:v>https://stoat.chat/legal/terms</x:v>
      </x:c>
      <x:c r="AB29" s="8" t="str">
        <x:v>https://www.teamspeak.com/en/terms-and-conditions</x:v>
      </x:c>
      <x:c r="AC29" s="9"/>
      <x:c r="AD29" s="8"/>
      <x:c r="AE29" s="8"/>
      <x:c r="AF29" s="8"/>
      <x:c r="AG29" s="8" t="str">
        <x:v>https://zulip.com/policies/terms</x:v>
      </x:c>
      <x:c r="AH29" s="14" t="n">
        <x:v>47</x:v>
      </x:c>
      <x:c r="AI29" s="15" t="str">
        <x:v>Canonical source for At a Glance!47</x:v>
      </x:c>
    </x:row>
    <x:row r="30" ht="45">
      <x:c r="A30" s="12" t="str">
        <x:v>At a Glance</x:v>
      </x:c>
      <x:c r="B30" s="13" t="str">
        <x:v>Privacy Policy URL</x:v>
      </x:c>
      <x:c r="C30" s="8" t="str">
        <x:v>https://discord.com/privacy</x:v>
      </x:c>
      <x:c r="D30" s="8" t="str">
        <x:v>https://github.com/soapbox-pub/armada</x:v>
      </x:c>
      <x:c r="E30" s="8"/>
      <x:c r="F30" s="8" t="str">
        <x:v>https://echon-voice.com/privacy</x:v>
      </x:c>
      <x:c r="G30" s="8" t="str">
        <x:v>https://fenrid.com/privacy</x:v>
      </x:c>
      <x:c r="H30" s="8" t="str">
        <x:v>https://fluxer.app/privacy</x:v>
      </x:c>
      <x:c r="I30" s="8" t="str">
        <x:v>https://gamevox.com/privacy/</x:v>
      </x:c>
      <x:c r="J30" s="8"/>
      <x:c r="K30" s="8" t="str">
        <x:v>https://github.com/VitalikPro13/HOLLOW</x:v>
      </x:c>
      <x:c r="L30" s="8"/>
      <x:c r="M30" s="8" t="str">
        <x:v>https://kloak.app/privacy</x:v>
      </x:c>
      <x:c r="N30" s="8" t="str">
        <x:v>https://loqa.chat/privacy/</x:v>
      </x:c>
      <x:c r="O30" s="8" t="str">
        <x:v>https://matrix.org/legal/privacy-notice/</x:v>
      </x:c>
      <x:c r="P30" s="8" t="str">
        <x:v>https://mattermost.com/privacy-policy/</x:v>
      </x:c>
      <x:c r="Q30" s="8" t="str">
        <x:v>https://dong.mezon.ai/</x:v>
      </x:c>
      <x:c r="R30" s="8"/>
      <x:c r="S30" s="8" t="str">
        <x:v>https://nerimity.com/</x:v>
      </x:c>
      <x:c r="T30" s="8" t="str">
        <x:v>https://osmium.chat/privacy/</x:v>
      </x:c>
      <x:c r="U30" s="8" t="str">
        <x:v>https://pqp.gg/privacy</x:v>
      </x:c>
      <x:c r="V30" s="8" t="str">
        <x:v>https://therift.chat/privacy/</x:v>
      </x:c>
      <x:c r="W30" s="8" t="str">
        <x:v>https://docs.rocket.chat/docs/privacy-policy</x:v>
      </x:c>
      <x:c r="X30" s="8"/>
      <x:c r="Y30" s="8" t="str">
        <x:v>https://www.rootapp.com/privacy-policy</x:v>
      </x:c>
      <x:c r="Z30" s="8"/>
      <x:c r="AA30" s="8" t="str">
        <x:v>https://stoat.chat/legal/privacy</x:v>
      </x:c>
      <x:c r="AB30" s="8" t="str">
        <x:v>https://www.teamspeak.com/en/privacy-policy</x:v>
      </x:c>
      <x:c r="AC30" s="9"/>
      <x:c r="AD30" s="8"/>
      <x:c r="AE30" s="8"/>
      <x:c r="AF30" s="8" t="str">
        <x:v>https://yapper.gg/privacy-policy</x:v>
      </x:c>
      <x:c r="AG30" s="8" t="str">
        <x:v>https://zulip.com/policies/privacy</x:v>
      </x:c>
      <x:c r="AH30" s="14" t="n">
        <x:v>48</x:v>
      </x:c>
      <x:c r="AI30" s="15" t="str">
        <x:v>Canonical source for At a Glance!48</x:v>
      </x:c>
    </x:row>
    <x:row r="31" ht="135">
      <x:c r="A31" s="12" t="str">
        <x:v>At a Glance</x:v>
      </x:c>
      <x:c r="B31" s="13" t="str">
        <x:v>Policy Scope / Notes</x:v>
      </x:c>
      <x:c r="C31" s="8" t="str">
        <x:v>Discord-operated centralized service: Paid Services and Monetization Terms additionally govern purchases/sales.</x:v>
      </x:c>
      <x:c r="D31" s="8" t="str">
        <x:v>Open-source Nostr/Concord client/relay ecosystem. No central consumer service terms; relay/provider policies apply.</x:v>
      </x:c>
      <x:c r="E31" s="8" t="str">
        <x:v>Self-host-first open-source platform: No centralized consumer ToS/privacy verified; instance operator policies apply.</x:v>
      </x:c>
      <x:c r="F31" s="8" t="str">
        <x:v>Echon-hosted centralized service: Premium/boost amounts and exact scope are not public.</x:v>
      </x:c>
      <x:c r="G31" s="8" t="str">
        <x:v>Pre-launch waitlist policies; full production policy not yet verified: Treat these as waitlist policies, not a complete production-service legal package.</x:v>
      </x:c>
      <x:c r="H31" s="8" t="str">
        <x:v>fluxer.app hosted service; self-host operators may have separate policies. Voice/video/screen E2EE is in development, not current.</x:v>
      </x:c>
      <x:c r="I31" s="8" t="str">
        <x:v>Cloud account/service plus cloud-hosted or self-hosted community servers. No data sale or advertising stated.</x:v>
      </x:c>
      <x:c r="J31" s="8" t="str">
        <x:v>Open-source Harmony platform/server; Fermi is a client. No central consumer service policy verified; self-host operator policy applies.</x:v>
      </x:c>
      <x:c r="K31" s="8" t="str">
        <x:v>Local-first distributed app with optional relays. Repository contains Terms/Privacy documentation; exact file URLs not normalized here.</x:v>
      </x:c>
      <x:c r="L31" s="8" t="str">
        <x:v>Operator-configurable legal pages; default self-host deploy explicitly shows a non-policy notice until operator legal fields are configured</x:v>
      </x:c>
      <x:c r="M31" s="8" t="str">
        <x:v>Kloak-hosted privacy-focused service: Kloak states no subscriptions, ads or data harvesting.</x:v>
      </x:c>
      <x:c r="N31" s="8" t="str">
        <x:v>Loqa-operated service plus evolving federation/self-host features. E2EE coverage varies by content type.</x:v>
      </x:c>
      <x:c r="O31" s="8" t="str">
        <x:v>No Matrix-wide ToS; these links apply only to the matrix.org homeserver. Keep Matrix protocol, matrix.org homeserver and Element client separate.</x:v>
      </x:c>
      <x:c r="P31" s="8" t="str">
        <x:v>Cloud and self-hosted enterprise collaboration; local org terms may apply. Obligations differ by Team Edition, Enterprise and Cloud.</x:v>
      </x:c>
      <x:c r="Q31" s="8"/>
      <x:c r="R31" s="8" t="str">
        <x:v>Open-source self-hosted voice software: No central hosted-service ToS; third-party host/operator policies apply.</x:v>
      </x:c>
      <x:c r="S31" s="8" t="str">
        <x:v>Nerimity-hosted service; open-source code: Homepage links Terms and Privacy; exact standalone URLs were not indexed.</x:v>
      </x:c>
      <x:c r="T31" s="8" t="str">
        <x:v>Osmium-hosted centralized service: Encrypted transport does not itself mean E2EE.</x:v>
      </x:c>
      <x:c r="U31" s="8" t="str">
        <x:v>Hosted service privacy policy is published; hosted in São Paulo; self-host operator controls its own deployment/policy</x:v>
      </x:c>
      <x:c r="V31" s="8" t="str">
        <x:v>Rift-operated centralized service: No email, phone or government ID required.</x:v>
      </x:c>
      <x:c r="W31" s="8" t="str">
        <x:v>Cloud and self-managed deployments; offering-specific terms: Use Legal Center for current agreements and archived versions.</x:v>
      </x:c>
      <x:c r="X31" s="8" t="str">
        <x:v>Open-source ATProto application/appserver: Provider/PDS/appserver policies apply; no Roomy consumer policy verified.</x:v>
      </x:c>
      <x:c r="Y31" s="8" t="str">
        <x:v>Root-operated centralized service: Developer Terms separately govern Apps/Bots and hosted runtime.</x:v>
      </x:c>
      <x:c r="Z31" s="8" t="str">
        <x:v>Self-hosted open-source Discord-compatible software. No central consumer service policy; operator policies apply.</x:v>
      </x:c>
      <x:c r="AA31" s="8" t="str">
        <x:v>Stoat-hosted service; self-host instances are separate operators. Read shared policies together with Stoat-specific supplements.</x:v>
      </x:c>
      <x:c r="AB31" s="8" t="str">
        <x:v>Software, accounts, hosted communities, licenses and related services. Authorized third-party hosts may impose additional policies.</x:v>
      </x:c>
      <x:c r="AC31" s="9" t="str">
        <x:v>Valour-hosted service plus AGPL self-host/federated nodes. FAQ says no phone/ID, no ads, no data selling; AGPL client/server.</x:v>
      </x:c>
      <x:c r="AD31" s="8" t="str">
        <x:v>Early hosted project moving toward self-host/federation. Formal public legal policy coverage is incomplete.</x:v>
      </x:c>
      <x:c r="AE31" s="8" t="str">
        <x:v>Weered-hosted lobby/community service: No seat limits/boosts; paid model is lobby ownership/custom builds.</x:v>
      </x:c>
      <x:c r="AF31" s="8" t="str">
        <x:v>yapper.gg account/license service plus self-host or managed server. Managed hosting and self-host privacy responsibilities differ.</x:v>
      </x:c>
      <x:c r="AG31" s="8" t="str">
        <x:v>Zulip Cloud plus subscriptions; self-host operator policies also matter: Treat Zulip Cloud and self-hosted Zulip separately.</x:v>
      </x:c>
      <x:c r="AH31" s="14" t="n">
        <x:v>49</x:v>
      </x:c>
      <x:c r="AI31" s="15" t="str">
        <x:v>Canonical source for At a Glance!49</x:v>
      </x:c>
    </x:row>
    <x:row r="32" ht="45">
      <x:c r="A32" s="12" t="str">
        <x:v>At a Glance</x:v>
      </x:c>
      <x:c r="B32" s="13" t="str">
        <x:v>Native Forum / Threaded Knowledge Space</x:v>
      </x:c>
      <x:c r="C32" s="8" t="str">
        <x:v>Yes: Forum Channels</x:v>
      </x:c>
      <x:c r="D32" s="8" t="str">
        <x:v>Yes: threads; Buzz compatibility also exposes forums</x:v>
      </x:c>
      <x:c r="E32" s="8"/>
      <x:c r="F32" s="8"/>
      <x:c r="G32" s="8"/>
      <x:c r="H32" s="8"/>
      <x:c r="I32" s="8"/>
      <x:c r="J32" s="8"/>
      <x:c r="K32" s="8"/>
      <x:c r="L32" s="8" t="str">
        <x:v>Yes</x:v>
      </x:c>
      <x:c r="M32" s="8" t="str">
        <x:v>Yes</x:v>
      </x:c>
      <x:c r="N32" s="8" t="str">
        <x:v>Yes: threads and forums</x:v>
      </x:c>
      <x:c r="O32" s="8" t="str">
        <x:v>Client/room conventions</x:v>
      </x:c>
      <x:c r="P32" s="8"/>
      <x:c r="Q32" s="8"/>
      <x:c r="R32" s="8"/>
      <x:c r="S32" s="8"/>
      <x:c r="T32" s="8"/>
      <x:c r="U32" s="8"/>
      <x:c r="V32" s="8" t="str">
        <x:v>Yes: Forum channels</x:v>
      </x:c>
      <x:c r="W32" s="8"/>
      <x:c r="X32" s="8" t="str">
        <x:v>Yes/Partial: forum/group-chat model</x:v>
      </x:c>
      <x:c r="Y32" s="8"/>
      <x:c r="Z32" s="8"/>
      <x:c r="AA32" s="8"/>
      <x:c r="AB32" s="8"/>
      <x:c r="AC32" s="9" t="str">
        <x:v>Yes: thread feed</x:v>
      </x:c>
      <x:c r="AD32" s="8"/>
      <x:c r="AE32" s="8" t="str">
        <x:v>Yes</x:v>
      </x:c>
      <x:c r="AF32" s="8"/>
      <x:c r="AG32" s="8" t="str">
        <x:v>Topics rather than forum channel</x:v>
      </x:c>
      <x:c r="AH32" s="14" t="n">
        <x:v>51</x:v>
      </x:c>
      <x:c r="AI32" s="15" t="str">
        <x:v>Canonical source for At a Glance!51</x:v>
      </x:c>
    </x:row>
    <x:row r="33" ht="30">
      <x:c r="A33" s="12" t="str">
        <x:v>At a Glance</x:v>
      </x:c>
      <x:c r="B33" s="13" t="str">
        <x:v>Native Gallery / Media-First Space</x:v>
      </x:c>
      <x:c r="C33" s="8" t="str">
        <x:v>Partial: Forum Gallery View</x:v>
      </x:c>
      <x:c r="D33" s="8"/>
      <x:c r="E33" s="8"/>
      <x:c r="F33" s="8"/>
      <x:c r="G33" s="8"/>
      <x:c r="H33" s="8"/>
      <x:c r="I33" s="8"/>
      <x:c r="J33" s="8"/>
      <x:c r="K33" s="8"/>
      <x:c r="L33" s="8" t="str">
        <x:v>No dedicated gallery channel</x:v>
      </x:c>
      <x:c r="M33" s="8"/>
      <x:c r="N33" s="8"/>
      <x:c r="O33" s="8"/>
      <x:c r="P33" s="8"/>
      <x:c r="Q33" s="8"/>
      <x:c r="R33" s="8"/>
      <x:c r="S33" s="8"/>
      <x:c r="T33" s="8"/>
      <x:c r="U33" s="8"/>
      <x:c r="V33" s="8" t="str">
        <x:v>Yes: Gallery channel</x:v>
      </x:c>
      <x:c r="W33" s="8"/>
      <x:c r="X33" s="8"/>
      <x:c r="Y33" s="8"/>
      <x:c r="Z33" s="8"/>
      <x:c r="AA33" s="8"/>
      <x:c r="AB33" s="8"/>
      <x:c r="AC33" s="9"/>
      <x:c r="AD33" s="8"/>
      <x:c r="AE33" s="8"/>
      <x:c r="AF33" s="8"/>
      <x:c r="AG33" s="8"/>
      <x:c r="AH33" s="14" t="n">
        <x:v>52</x:v>
      </x:c>
      <x:c r="AI33" s="15" t="str">
        <x:v>Canonical source for At a Glance!52</x:v>
      </x:c>
    </x:row>
    <x:row r="34" ht="45">
      <x:c r="A34" s="12" t="str">
        <x:v>At a Glance</x:v>
      </x:c>
      <x:c r="B34" s="13" t="str">
        <x:v>Native Ticket / Support Workflow</x:v>
      </x:c>
      <x:c r="C34" s="8" t="str">
        <x:v>No native; apps/bots</x:v>
      </x:c>
      <x:c r="D34" s="8"/>
      <x:c r="E34" s="8"/>
      <x:c r="F34" s="8"/>
      <x:c r="G34" s="8"/>
      <x:c r="H34" s="8"/>
      <x:c r="I34" s="8"/>
      <x:c r="J34" s="8"/>
      <x:c r="K34" s="8"/>
      <x:c r="L34" s="8" t="str">
        <x:v>No dedicated ticket/support channel</x:v>
      </x:c>
      <x:c r="M34" s="8"/>
      <x:c r="N34" s="8"/>
      <x:c r="O34" s="8"/>
      <x:c r="P34" s="8" t="str">
        <x:v>Plugins/integrations</x:v>
      </x:c>
      <x:c r="Q34" s="8"/>
      <x:c r="R34" s="8"/>
      <x:c r="S34" s="8"/>
      <x:c r="T34" s="8"/>
      <x:c r="U34" s="8"/>
      <x:c r="V34" s="8" t="str">
        <x:v>Yes: built-in Ticket channel</x:v>
      </x:c>
      <x:c r="W34" s="8" t="str">
        <x:v>Apps/integrations</x:v>
      </x:c>
      <x:c r="X34" s="8"/>
      <x:c r="Y34" s="8"/>
      <x:c r="Z34" s="8"/>
      <x:c r="AA34" s="8"/>
      <x:c r="AB34" s="8"/>
      <x:c r="AC34" s="9"/>
      <x:c r="AD34" s="8"/>
      <x:c r="AE34" s="8"/>
      <x:c r="AF34" s="8"/>
      <x:c r="AG34" s="8"/>
      <x:c r="AH34" s="14" t="n">
        <x:v>53</x:v>
      </x:c>
      <x:c r="AI34" s="15" t="str">
        <x:v>Canonical source for At a Glance!53</x:v>
      </x:c>
    </x:row>
    <x:row r="35" ht="45">
      <x:c r="A35" s="12" t="str">
        <x:v>At a Glance</x:v>
      </x:c>
      <x:c r="B35" s="13" t="str">
        <x:v>Saved Multi-Panel Layouts / Workspaces</x:v>
      </x:c>
      <x:c r="C35" s="8" t="str">
        <x:v>No general user-arranged workspace</x:v>
      </x:c>
      <x:c r="D35" s="8"/>
      <x:c r="E35" s="8"/>
      <x:c r="F35" s="8"/>
      <x:c r="G35" s="8"/>
      <x:c r="H35" s="8"/>
      <x:c r="I35" s="8"/>
      <x:c r="J35" s="8"/>
      <x:c r="K35" s="8"/>
      <x:c r="L35" s="8" t="str">
        <x:v>No saved multi-panel workspace/layout feature documented</x:v>
      </x:c>
      <x:c r="M35" s="8"/>
      <x:c r="N35" s="8"/>
      <x:c r="O35" s="8" t="str">
        <x:v>Client-dependent</x:v>
      </x:c>
      <x:c r="P35" s="8"/>
      <x:c r="Q35" s="8"/>
      <x:c r="R35" s="8"/>
      <x:c r="S35" s="8"/>
      <x:c r="T35" s="8"/>
      <x:c r="U35" s="8"/>
      <x:c r="V35" s="8" t="str">
        <x:v>Yes: drag/resize/save named layouts</x:v>
      </x:c>
      <x:c r="W35" s="8"/>
      <x:c r="X35" s="8"/>
      <x:c r="Y35" s="8"/>
      <x:c r="Z35" s="8"/>
      <x:c r="AA35" s="8"/>
      <x:c r="AB35" s="8"/>
      <x:c r="AC35" s="9"/>
      <x:c r="AD35" s="8"/>
      <x:c r="AE35" s="8"/>
      <x:c r="AF35" s="8"/>
      <x:c r="AG35" s="8"/>
      <x:c r="AH35" s="14" t="n">
        <x:v>55</x:v>
      </x:c>
      <x:c r="AI35" s="15" t="str">
        <x:v>Canonical source for At a Glance!55</x:v>
      </x:c>
    </x:row>
    <x:row r="36" ht="30">
      <x:c r="A36" s="12" t="str">
        <x:v>Core Features</x:v>
      </x:c>
      <x:c r="B36" s="13" t="str">
        <x:v>1:1 DMs</x:v>
      </x:c>
      <x:c r="C36" s="8" t="str">
        <x:v>Yes</x:v>
      </x:c>
      <x:c r="D36" s="8" t="str">
        <x:v>Yes</x:v>
      </x:c>
      <x:c r="E36" s="8" t="str">
        <x:v>Yes</x:v>
      </x:c>
      <x:c r="F36" s="8" t="str">
        <x:v>Yes</x:v>
      </x:c>
      <x:c r="G36" s="8" t="str">
        <x:v>Yes</x:v>
      </x:c>
      <x:c r="H36" s="8" t="str">
        <x:v>Yes</x:v>
      </x:c>
      <x:c r="I36" s="8" t="str">
        <x:v>Yes</x:v>
      </x:c>
      <x:c r="J36" s="8" t="str">
        <x:v>Yes</x:v>
      </x:c>
      <x:c r="K36" s="8" t="str">
        <x:v>Yes</x:v>
      </x:c>
      <x:c r="L36" s="8" t="str">
        <x:v>Yes</x:v>
      </x:c>
      <x:c r="M36" s="8" t="str">
        <x:v>Yes</x:v>
      </x:c>
      <x:c r="N36" s="8" t="str">
        <x:v>Yes</x:v>
      </x:c>
      <x:c r="O36" s="8" t="str">
        <x:v>Yes: rooms/DMs</x:v>
      </x:c>
      <x:c r="P36" s="8" t="str">
        <x:v>Yes</x:v>
      </x:c>
      <x:c r="Q36" s="8" t="str">
        <x:v>Yes</x:v>
      </x:c>
      <x:c r="R36" s="8" t="str">
        <x:v>Limited user text messages</x:v>
      </x:c>
      <x:c r="S36" s="8" t="str">
        <x:v>Yes</x:v>
      </x:c>
      <x:c r="T36" s="8" t="str">
        <x:v>Yes</x:v>
      </x:c>
      <x:c r="U36" s="8" t="str">
        <x:v>Yes</x:v>
      </x:c>
      <x:c r="V36" s="8" t="str">
        <x:v>Yes</x:v>
      </x:c>
      <x:c r="W36" s="8" t="str">
        <x:v>Yes</x:v>
      </x:c>
      <x:c r="X36" s="8"/>
      <x:c r="Y36" s="8" t="str">
        <x:v>Yes</x:v>
      </x:c>
      <x:c r="Z36" s="8" t="str">
        <x:v>Yes</x:v>
      </x:c>
      <x:c r="AA36" s="8" t="str">
        <x:v>Yes</x:v>
      </x:c>
      <x:c r="AB36" s="8" t="str">
        <x:v>Yes/TS6 chat</x:v>
      </x:c>
      <x:c r="AC36" s="9" t="str">
        <x:v>Yes</x:v>
      </x:c>
      <x:c r="AD36" s="8" t="str">
        <x:v>Yes</x:v>
      </x:c>
      <x:c r="AE36" s="8" t="str">
        <x:v>Yes</x:v>
      </x:c>
      <x:c r="AF36" s="8" t="str">
        <x:v>Yes</x:v>
      </x:c>
      <x:c r="AG36" s="8" t="str">
        <x:v>Yes</x:v>
      </x:c>
      <x:c r="AH36" s="14" t="n">
        <x:v>4</x:v>
      </x:c>
      <x:c r="AI36" s="15" t="str">
        <x:v>Canonical source for Core Features!4</x:v>
      </x:c>
    </x:row>
    <x:row r="37" ht="30">
      <x:c r="A37" s="12" t="str">
        <x:v>Core Features</x:v>
      </x:c>
      <x:c r="B37" s="13" t="str">
        <x:v>Group DMs</x:v>
      </x:c>
      <x:c r="C37" s="8" t="str">
        <x:v>Yes</x:v>
      </x:c>
      <x:c r="D37" s="8" t="str">
        <x:v>Yes</x:v>
      </x:c>
      <x:c r="E37" s="8"/>
      <x:c r="F37" s="8" t="str">
        <x:v>Yes</x:v>
      </x:c>
      <x:c r="G37" s="8" t="str">
        <x:v>Yes</x:v>
      </x:c>
      <x:c r="H37" s="8" t="str">
        <x:v>Yes</x:v>
      </x:c>
      <x:c r="I37" s="8" t="str">
        <x:v>Yes</x:v>
      </x:c>
      <x:c r="J37" s="8"/>
      <x:c r="K37" s="8"/>
      <x:c r="L37" s="8" t="str">
        <x:v>Yes</x:v>
      </x:c>
      <x:c r="M37" s="8" t="str">
        <x:v>Yes</x:v>
      </x:c>
      <x:c r="N37" s="8" t="str">
        <x:v>Yes</x:v>
      </x:c>
      <x:c r="O37" s="8" t="str">
        <x:v>Yes: rooms can be private multi-user</x:v>
      </x:c>
      <x:c r="P37" s="8" t="str">
        <x:v>Yes</x:v>
      </x:c>
      <x:c r="Q37" s="8" t="str">
        <x:v>Yes</x:v>
      </x:c>
      <x:c r="R37" s="8" t="str">
        <x:v>No persistent group-DM model</x:v>
      </x:c>
      <x:c r="S37" s="8" t="str">
        <x:v>Yes</x:v>
      </x:c>
      <x:c r="T37" s="8" t="str">
        <x:v>Yes</x:v>
      </x:c>
      <x:c r="U37" s="8" t="str">
        <x:v>Yes</x:v>
      </x:c>
      <x:c r="V37" s="8" t="str">
        <x:v>Yes</x:v>
      </x:c>
      <x:c r="W37" s="8" t="str">
        <x:v>Yes</x:v>
      </x:c>
      <x:c r="X37" s="8" t="str">
        <x:v>Group spaces</x:v>
      </x:c>
      <x:c r="Y37" s="8" t="str">
        <x:v>Yes</x:v>
      </x:c>
      <x:c r="Z37" s="8" t="str">
        <x:v>Yes</x:v>
      </x:c>
      <x:c r="AA37" s="8" t="str">
        <x:v>Yes</x:v>
      </x:c>
      <x:c r="AB37" s="8"/>
      <x:c r="AC37" s="9" t="str">
        <x:v>Yes</x:v>
      </x:c>
      <x:c r="AD37" s="8"/>
      <x:c r="AE37" s="8" t="str">
        <x:v>Yes</x:v>
      </x:c>
      <x:c r="AF37" s="8"/>
      <x:c r="AG37" s="8" t="str">
        <x:v>Yes</x:v>
      </x:c>
      <x:c r="AH37" s="14" t="n">
        <x:v>5</x:v>
      </x:c>
      <x:c r="AI37" s="15" t="str">
        <x:v>Canonical source for Core Features!5</x:v>
      </x:c>
    </x:row>
    <x:row r="38" ht="30">
      <x:c r="A38" s="12" t="str">
        <x:v>Core Features</x:v>
      </x:c>
      <x:c r="B38" s="13" t="str">
        <x:v>Communities / Servers / Workspaces</x:v>
      </x:c>
      <x:c r="C38" s="8" t="str">
        <x:v>Yes: servers/guilds</x:v>
      </x:c>
      <x:c r="D38" s="8" t="str">
        <x:v>Yes</x:v>
      </x:c>
      <x:c r="E38" s="8"/>
      <x:c r="F38" s="8" t="str">
        <x:v>Yes: servers</x:v>
      </x:c>
      <x:c r="G38" s="8" t="str">
        <x:v>Yes</x:v>
      </x:c>
      <x:c r="H38" s="8"/>
      <x:c r="I38" s="8" t="str">
        <x:v>Yes: servers</x:v>
      </x:c>
      <x:c r="J38" s="8"/>
      <x:c r="K38" s="8" t="str">
        <x:v>Yes: servers</x:v>
      </x:c>
      <x:c r="L38" s="8" t="str">
        <x:v>Yes</x:v>
      </x:c>
      <x:c r="M38" s="8" t="str">
        <x:v>Yes</x:v>
      </x:c>
      <x:c r="N38" s="8" t="str">
        <x:v>Yes: servers/categories</x:v>
      </x:c>
      <x:c r="O38" s="8" t="str">
        <x:v>Yes: rooms/spaces</x:v>
      </x:c>
      <x:c r="P38" s="8" t="str">
        <x:v>Yes: workspaces/teams</x:v>
      </x:c>
      <x:c r="Q38" s="8" t="str">
        <x:v>Yes: Clans</x:v>
      </x:c>
      <x:c r="R38" s="8" t="str">
        <x:v>Yes: servers/channels</x:v>
      </x:c>
      <x:c r="S38" s="8" t="str">
        <x:v>Yes: servers</x:v>
      </x:c>
      <x:c r="T38" s="8" t="str">
        <x:v>Yes: communities</x:v>
      </x:c>
      <x:c r="U38" s="8" t="str">
        <x:v>Yes</x:v>
      </x:c>
      <x:c r="V38" s="8" t="str">
        <x:v>Yes: Shards</x:v>
      </x:c>
      <x:c r="W38" s="8" t="str">
        <x:v>Yes: workspaces</x:v>
      </x:c>
      <x:c r="X38" s="8" t="str">
        <x:v>Yes: Roomy spaces</x:v>
      </x:c>
      <x:c r="Y38" s="8" t="str">
        <x:v>Yes</x:v>
      </x:c>
      <x:c r="Z38" s="8" t="str">
        <x:v>Discord-compatible server model</x:v>
      </x:c>
      <x:c r="AA38" s="8" t="str">
        <x:v>Yes</x:v>
      </x:c>
      <x:c r="AB38" s="8" t="str">
        <x:v>Yes: servers/communities</x:v>
      </x:c>
      <x:c r="AC38" s="9" t="str">
        <x:v>Yes: planets</x:v>
      </x:c>
      <x:c r="AD38" s="8"/>
      <x:c r="AE38" s="8" t="str">
        <x:v>Yes: lobbies/crews</x:v>
      </x:c>
      <x:c r="AF38" s="8" t="str">
        <x:v>Yes: self-hosted servers</x:v>
      </x:c>
      <x:c r="AG38" s="8" t="str">
        <x:v>Yes: organizations</x:v>
      </x:c>
      <x:c r="AH38" s="14" t="n">
        <x:v>6</x:v>
      </x:c>
      <x:c r="AI38" s="15" t="str">
        <x:v>Canonical source for Core Features!6</x:v>
      </x:c>
    </x:row>
    <x:row r="39" ht="60">
      <x:c r="A39" s="12" t="str">
        <x:v>Core Features</x:v>
      </x:c>
      <x:c r="B39" s="13" t="str">
        <x:v>Text Channels / Rooms</x:v>
      </x:c>
      <x:c r="C39" s="8" t="str">
        <x:v>Yes</x:v>
      </x:c>
      <x:c r="D39" s="8" t="str">
        <x:v>Yes</x:v>
      </x:c>
      <x:c r="E39" s="8"/>
      <x:c r="F39" s="8" t="str">
        <x:v>Yes</x:v>
      </x:c>
      <x:c r="G39" s="8" t="str">
        <x:v>Yes</x:v>
      </x:c>
      <x:c r="H39" s="8"/>
      <x:c r="I39" s="8" t="str">
        <x:v>Yes</x:v>
      </x:c>
      <x:c r="J39" s="8"/>
      <x:c r="K39" s="8" t="str">
        <x:v>Yes</x:v>
      </x:c>
      <x:c r="L39" s="8" t="str">
        <x:v>Yes</x:v>
      </x:c>
      <x:c r="M39" s="8" t="str">
        <x:v>Yes</x:v>
      </x:c>
      <x:c r="N39" s="8" t="str">
        <x:v>Yes</x:v>
      </x:c>
      <x:c r="O39" s="8" t="str">
        <x:v>Yes</x:v>
      </x:c>
      <x:c r="P39" s="8" t="str">
        <x:v>Yes: public/private channels</x:v>
      </x:c>
      <x:c r="Q39" s="8" t="str">
        <x:v>Yes</x:v>
      </x:c>
      <x:c r="R39" s="8" t="str">
        <x:v>Partial: channel text chat; voice-first</x:v>
      </x:c>
      <x:c r="S39" s="8" t="str">
        <x:v>Yes: server channels</x:v>
      </x:c>
      <x:c r="T39" s="8" t="str">
        <x:v>Yes: real-time messaging</x:v>
      </x:c>
      <x:c r="U39" s="8" t="str">
        <x:v>Yes</x:v>
      </x:c>
      <x:c r="V39" s="8" t="str">
        <x:v>Yes</x:v>
      </x:c>
      <x:c r="W39" s="8" t="str">
        <x:v>Yes: channels/groups/DMs</x:v>
      </x:c>
      <x:c r="X39" s="8" t="str">
        <x:v>Yes: group chat</x:v>
      </x:c>
      <x:c r="Y39" s="8" t="str">
        <x:v>Yes</x:v>
      </x:c>
      <x:c r="Z39" s="8" t="str">
        <x:v>Yes/Partial: Discord API parity varies by implementation</x:v>
      </x:c>
      <x:c r="AA39" s="8" t="str">
        <x:v>Yes</x:v>
      </x:c>
      <x:c r="AB39" s="8" t="str">
        <x:v>Partial: chat exists; persistent server text channels remain limited/planned in TS6</x:v>
      </x:c>
      <x:c r="AC39" s="9" t="str">
        <x:v>Yes</x:v>
      </x:c>
      <x:c r="AD39" s="8"/>
      <x:c r="AE39" s="8" t="str">
        <x:v>Yes</x:v>
      </x:c>
      <x:c r="AF39" s="8" t="str">
        <x:v>Yes</x:v>
      </x:c>
      <x:c r="AG39" s="8" t="str">
        <x:v>Yes</x:v>
      </x:c>
      <x:c r="AH39" s="14" t="n">
        <x:v>7</x:v>
      </x:c>
      <x:c r="AI39" s="15" t="str">
        <x:v>Canonical source for Core Features!7</x:v>
      </x:c>
    </x:row>
    <x:row r="40" ht="60">
      <x:c r="A40" s="12" t="str">
        <x:v>Core Features</x:v>
      </x:c>
      <x:c r="B40" s="13" t="str">
        <x:v>Voice Channels / Rooms</x:v>
      </x:c>
      <x:c r="C40" s="8" t="str">
        <x:v>Yes</x:v>
      </x:c>
      <x:c r="D40" s="8" t="str">
        <x:v>Yes</x:v>
      </x:c>
      <x:c r="E40" s="8" t="str">
        <x:v>Yes</x:v>
      </x:c>
      <x:c r="F40" s="8" t="str">
        <x:v>Yes</x:v>
      </x:c>
      <x:c r="G40" s="8" t="str">
        <x:v>Yes</x:v>
      </x:c>
      <x:c r="H40" s="8"/>
      <x:c r="I40" s="8" t="str">
        <x:v>Yes</x:v>
      </x:c>
      <x:c r="J40" s="8"/>
      <x:c r="K40" s="8" t="str">
        <x:v>Yes</x:v>
      </x:c>
      <x:c r="L40" s="8" t="str">
        <x:v>Yes</x:v>
      </x:c>
      <x:c r="M40" s="8" t="str">
        <x:v>Yes</x:v>
      </x:c>
      <x:c r="N40" s="8" t="str">
        <x:v>Yes</x:v>
      </x:c>
      <x:c r="O40" s="8" t="str">
        <x:v>Yes: client-dependent</x:v>
      </x:c>
      <x:c r="P40" s="8" t="str">
        <x:v>Yes: calls</x:v>
      </x:c>
      <x:c r="Q40" s="8" t="str">
        <x:v>Yes</x:v>
      </x:c>
      <x:c r="R40" s="8" t="str">
        <x:v>Yes</x:v>
      </x:c>
      <x:c r="S40" s="8"/>
      <x:c r="T40" s="8" t="str">
        <x:v>Yes</x:v>
      </x:c>
      <x:c r="U40" s="8" t="str">
        <x:v>Yes</x:v>
      </x:c>
      <x:c r="V40" s="8" t="str">
        <x:v>Yes</x:v>
      </x:c>
      <x:c r="W40" s="8" t="str">
        <x:v>Yes: Rocket.Chat Voice + conference integrations</x:v>
      </x:c>
      <x:c r="X40" s="8"/>
      <x:c r="Y40" s="8" t="str">
        <x:v>Yes</x:v>
      </x:c>
      <x:c r="Z40" s="8" t="str">
        <x:v>Optional WebRTC media implementation</x:v>
      </x:c>
      <x:c r="AA40" s="8" t="str">
        <x:v>Yes</x:v>
      </x:c>
      <x:c r="AB40" s="8" t="str">
        <x:v>Yes</x:v>
      </x:c>
      <x:c r="AC40" s="9" t="str">
        <x:v>Yes</x:v>
      </x:c>
      <x:c r="AD40" s="8"/>
      <x:c r="AE40" s="8" t="str">
        <x:v>Yes</x:v>
      </x:c>
      <x:c r="AF40" s="8" t="str">
        <x:v>Yes</x:v>
      </x:c>
      <x:c r="AG40" s="8" t="str">
        <x:v>Provider integration (Zoom/Jitsi/etc.), not a persistent native voice-room model</x:v>
      </x:c>
      <x:c r="AH40" s="14" t="n">
        <x:v>8</x:v>
      </x:c>
      <x:c r="AI40" s="15" t="str">
        <x:v>Canonical source for Core Features!8</x:v>
      </x:c>
    </x:row>
    <x:row r="41" ht="60">
      <x:c r="A41" s="12" t="str">
        <x:v>Core Features</x:v>
      </x:c>
      <x:c r="B41" s="13" t="str">
        <x:v>Categories / Channel Organization</x:v>
      </x:c>
      <x:c r="C41" s="8" t="str">
        <x:v>Yes: servers, categories, text/voice/forum/stage channels</x:v>
      </x:c>
      <x:c r="D41" s="8" t="str">
        <x:v>Yes: communities/channels/threads</x:v>
      </x:c>
      <x:c r="E41" s="8" t="str">
        <x:v>Yes: servers/channels</x:v>
      </x:c>
      <x:c r="F41" s="8" t="str">
        <x:v>Yes: servers/channels/roles</x:v>
      </x:c>
      <x:c r="G41" s="8" t="str">
        <x:v>Yes: communities/categories/text/voice</x:v>
      </x:c>
      <x:c r="H41" s="8" t="str">
        <x:v>Yes</x:v>
      </x:c>
      <x:c r="I41" s="8" t="str">
        <x:v>Yes: servers/categories/text/voice</x:v>
      </x:c>
      <x:c r="J41" s="8" t="str">
        <x:v>Yes: guild/channel model</x:v>
      </x:c>
      <x:c r="K41" s="8" t="str">
        <x:v>Yes: encrypted communities/public channels</x:v>
      </x:c>
      <x:c r="L41" s="8" t="str">
        <x:v>Yes</x:v>
      </x:c>
      <x:c r="M41" s="8" t="str">
        <x:v>Yes: servers/channels/roles</x:v>
      </x:c>
      <x:c r="N41" s="8" t="str">
        <x:v>Yes: servers/categories/text/voice/forum/stage</x:v>
      </x:c>
      <x:c r="O41" s="8" t="str">
        <x:v>Yes: rooms + Spaces; exact UX client-dependent</x:v>
      </x:c>
      <x:c r="P41" s="8" t="str">
        <x:v>Yes: teams/channels</x:v>
      </x:c>
      <x:c r="Q41" s="8" t="str">
        <x:v>Yes: clans/channels</x:v>
      </x:c>
      <x:c r="R41" s="8" t="str">
        <x:v>Yes: hierarchical voice channels</x:v>
      </x:c>
      <x:c r="S41" s="8" t="str">
        <x:v>Yes: communities/channels</x:v>
      </x:c>
      <x:c r="T41" s="8" t="str">
        <x:v>Yes: communities/channels</x:v>
      </x:c>
      <x:c r="U41" s="8" t="str">
        <x:v>Yes: communities/channels</x:v>
      </x:c>
      <x:c r="V41" s="8" t="str">
        <x:v>Yes: communities/channels/threads/voice</x:v>
      </x:c>
      <x:c r="W41" s="8" t="str">
        <x:v>Yes: workspaces/teams/channels</x:v>
      </x:c>
      <x:c r="X41" s="8" t="str">
        <x:v>Yes: spaces/group chat</x:v>
      </x:c>
      <x:c r="Y41" s="8" t="str">
        <x:v>Yes: communities/channel groups/text/voice</x:v>
      </x:c>
      <x:c r="Z41" s="8" t="str">
        <x:v>Yes: Discord-compatible model</x:v>
      </x:c>
      <x:c r="AA41" s="8" t="str">
        <x:v>Yes: servers/categories/text/voice</x:v>
      </x:c>
      <x:c r="AB41" s="8" t="str">
        <x:v>Yes: servers/channels</x:v>
      </x:c>
      <x:c r="AC41" s="9" t="str">
        <x:v>Yes: planets/channels</x:v>
      </x:c>
      <x:c r="AD41" s="8" t="str">
        <x:v>Yes: Discord-like guild/channel model</x:v>
      </x:c>
      <x:c r="AE41" s="8" t="str">
        <x:v>Lobby/room model rather than servers/channels</x:v>
      </x:c>
      <x:c r="AF41" s="8" t="str">
        <x:v>Yes: rooms/channels</x:v>
      </x:c>
      <x:c r="AG41" s="8" t="str">
        <x:v>Yes: organizations/streams/topics</x:v>
      </x:c>
      <x:c r="AH41" s="14" t="n">
        <x:v>9</x:v>
      </x:c>
      <x:c r="AI41" s="15" t="str">
        <x:v>Canonical source for Core Features!9</x:v>
      </x:c>
    </x:row>
    <x:row r="42" ht="30">
      <x:c r="A42" s="12" t="str">
        <x:v>Core Features</x:v>
      </x:c>
      <x:c r="B42" s="13" t="str">
        <x:v>Markdown Text</x:v>
      </x:c>
      <x:c r="C42" s="8" t="str">
        <x:v>Yes: Discord Markdown subset</x:v>
      </x:c>
      <x:c r="D42" s="8"/>
      <x:c r="E42" s="8" t="str">
        <x:v>Yes</x:v>
      </x:c>
      <x:c r="F42" s="8" t="str">
        <x:v>Yes</x:v>
      </x:c>
      <x:c r="G42" s="8" t="str">
        <x:v>Yes</x:v>
      </x:c>
      <x:c r="H42" s="8" t="str">
        <x:v>Yes</x:v>
      </x:c>
      <x:c r="I42" s="8" t="str">
        <x:v>Yes</x:v>
      </x:c>
      <x:c r="J42" s="8" t="str">
        <x:v>Yes/Discord-like</x:v>
      </x:c>
      <x:c r="K42" s="8"/>
      <x:c r="L42" s="8" t="str">
        <x:v>Yes</x:v>
      </x:c>
      <x:c r="M42" s="8"/>
      <x:c r="N42" s="8" t="str">
        <x:v>Yes</x:v>
      </x:c>
      <x:c r="O42" s="8" t="str">
        <x:v>Client-dependent</x:v>
      </x:c>
      <x:c r="P42" s="8" t="str">
        <x:v>Yes</x:v>
      </x:c>
      <x:c r="Q42" s="8" t="str">
        <x:v>Yes</x:v>
      </x:c>
      <x:c r="R42" s="8" t="str">
        <x:v>No</x:v>
      </x:c>
      <x:c r="S42" s="8" t="str">
        <x:v>Yes</x:v>
      </x:c>
      <x:c r="T42" s="8"/>
      <x:c r="U42" s="8" t="str">
        <x:v>Yes</x:v>
      </x:c>
      <x:c r="V42" s="8" t="str">
        <x:v>Yes</x:v>
      </x:c>
      <x:c r="W42" s="8" t="str">
        <x:v>Yes</x:v>
      </x:c>
      <x:c r="X42" s="8"/>
      <x:c r="Y42" s="8" t="str">
        <x:v>Yes</x:v>
      </x:c>
      <x:c r="Z42" s="8" t="str">
        <x:v>Yes/Discord-compatible target</x:v>
      </x:c>
      <x:c r="AA42" s="8" t="str">
        <x:v>Yes</x:v>
      </x:c>
      <x:c r="AB42" s="8"/>
      <x:c r="AC42" s="9" t="str">
        <x:v>Yes</x:v>
      </x:c>
      <x:c r="AD42" s="8"/>
      <x:c r="AE42" s="8" t="str">
        <x:v>Yes</x:v>
      </x:c>
      <x:c r="AF42" s="8"/>
      <x:c r="AG42" s="8" t="str">
        <x:v>Yes</x:v>
      </x:c>
      <x:c r="AH42" s="14" t="n">
        <x:v>10</x:v>
      </x:c>
      <x:c r="AI42" s="15" t="str">
        <x:v>Canonical source for Core Features!10</x:v>
      </x:c>
    </x:row>
    <x:row r="43">
      <x:c r="A43" s="12" t="str">
        <x:v>Core Features</x:v>
      </x:c>
      <x:c r="B43" s="13" t="str">
        <x:v>Core Notifications</x:v>
      </x:c>
      <x:c r="C43" s="8" t="str">
        <x:v>Yes</x:v>
      </x:c>
      <x:c r="D43" s="8" t="str">
        <x:v>Yes</x:v>
      </x:c>
      <x:c r="E43" s="8" t="str">
        <x:v>Yes</x:v>
      </x:c>
      <x:c r="F43" s="8" t="str">
        <x:v>Yes</x:v>
      </x:c>
      <x:c r="G43" s="8" t="str">
        <x:v>Yes</x:v>
      </x:c>
      <x:c r="H43" s="8" t="str">
        <x:v>Yes</x:v>
      </x:c>
      <x:c r="I43" s="8" t="str">
        <x:v>Yes</x:v>
      </x:c>
      <x:c r="J43" s="8"/>
      <x:c r="K43" s="8" t="str">
        <x:v>Local notifications</x:v>
      </x:c>
      <x:c r="L43" s="8" t="str">
        <x:v>Yes</x:v>
      </x:c>
      <x:c r="M43" s="8" t="str">
        <x:v>Yes</x:v>
      </x:c>
      <x:c r="N43" s="8" t="str">
        <x:v>Yes</x:v>
      </x:c>
      <x:c r="O43" s="8" t="str">
        <x:v>Client-dependent</x:v>
      </x:c>
      <x:c r="P43" s="8" t="str">
        <x:v>Yes</x:v>
      </x:c>
      <x:c r="Q43" s="8" t="str">
        <x:v>Yes</x:v>
      </x:c>
      <x:c r="R43" s="8" t="str">
        <x:v>Client notifications</x:v>
      </x:c>
      <x:c r="S43" s="8" t="str">
        <x:v>Yes</x:v>
      </x:c>
      <x:c r="T43" s="8" t="str">
        <x:v>Yes</x:v>
      </x:c>
      <x:c r="U43" s="8" t="str">
        <x:v>Yes</x:v>
      </x:c>
      <x:c r="V43" s="8" t="str">
        <x:v>Yes</x:v>
      </x:c>
      <x:c r="W43" s="8" t="str">
        <x:v>Yes</x:v>
      </x:c>
      <x:c r="X43" s="8"/>
      <x:c r="Y43" s="8" t="str">
        <x:v>Yes</x:v>
      </x:c>
      <x:c r="Z43" s="8" t="str">
        <x:v>Yes</x:v>
      </x:c>
      <x:c r="AA43" s="8" t="str">
        <x:v>Yes</x:v>
      </x:c>
      <x:c r="AB43" s="8" t="str">
        <x:v>Yes</x:v>
      </x:c>
      <x:c r="AC43" s="9" t="str">
        <x:v>Yes</x:v>
      </x:c>
      <x:c r="AD43" s="8"/>
      <x:c r="AE43" s="8" t="str">
        <x:v>Yes</x:v>
      </x:c>
      <x:c r="AF43" s="8" t="str">
        <x:v>Yes</x:v>
      </x:c>
      <x:c r="AG43" s="8" t="str">
        <x:v>Yes</x:v>
      </x:c>
      <x:c r="AH43" s="14" t="n">
        <x:v>11</x:v>
      </x:c>
      <x:c r="AI43" s="15" t="str">
        <x:v>Canonical source for Core Features!11</x:v>
      </x:c>
    </x:row>
    <x:row r="44">
      <x:c r="A44" s="12" t="str">
        <x:v>Core Features</x:v>
      </x:c>
      <x:c r="B44" s="13" t="str">
        <x:v>File Uploads</x:v>
      </x:c>
      <x:c r="C44" s="8" t="str">
        <x:v>Yes</x:v>
      </x:c>
      <x:c r="D44" s="8" t="str">
        <x:v>Yes</x:v>
      </x:c>
      <x:c r="E44" s="8" t="str">
        <x:v>Yes</x:v>
      </x:c>
      <x:c r="F44" s="8" t="str">
        <x:v>Yes</x:v>
      </x:c>
      <x:c r="G44" s="8" t="str">
        <x:v>Yes</x:v>
      </x:c>
      <x:c r="H44" s="8" t="str">
        <x:v>Yes</x:v>
      </x:c>
      <x:c r="I44" s="8" t="str">
        <x:v>Yes</x:v>
      </x:c>
      <x:c r="J44" s="8" t="str">
        <x:v>Yes</x:v>
      </x:c>
      <x:c r="K44" s="8" t="str">
        <x:v>Yes/local files</x:v>
      </x:c>
      <x:c r="L44" s="8" t="str">
        <x:v>Yes</x:v>
      </x:c>
      <x:c r="M44" s="8" t="str">
        <x:v>Yes</x:v>
      </x:c>
      <x:c r="N44" s="8" t="str">
        <x:v>Yes</x:v>
      </x:c>
      <x:c r="O44" s="8" t="str">
        <x:v>Yes</x:v>
      </x:c>
      <x:c r="P44" s="8" t="str">
        <x:v>Yes</x:v>
      </x:c>
      <x:c r="Q44" s="8" t="str">
        <x:v>Yes</x:v>
      </x:c>
      <x:c r="R44" s="8" t="str">
        <x:v>No</x:v>
      </x:c>
      <x:c r="S44" s="8" t="str">
        <x:v>Yes</x:v>
      </x:c>
      <x:c r="T44" s="8" t="str">
        <x:v>Yes</x:v>
      </x:c>
      <x:c r="U44" s="8" t="str">
        <x:v>Yes</x:v>
      </x:c>
      <x:c r="V44" s="8" t="str">
        <x:v>Yes</x:v>
      </x:c>
      <x:c r="W44" s="8" t="str">
        <x:v>Yes</x:v>
      </x:c>
      <x:c r="X44" s="8" t="str">
        <x:v>Yes</x:v>
      </x:c>
      <x:c r="Y44" s="8" t="str">
        <x:v>Yes</x:v>
      </x:c>
      <x:c r="Z44" s="8" t="str">
        <x:v>Yes</x:v>
      </x:c>
      <x:c r="AA44" s="8" t="str">
        <x:v>Yes</x:v>
      </x:c>
      <x:c r="AB44" s="8"/>
      <x:c r="AC44" s="9" t="str">
        <x:v>Yes</x:v>
      </x:c>
      <x:c r="AD44" s="8" t="str">
        <x:v>Yes</x:v>
      </x:c>
      <x:c r="AE44" s="8" t="str">
        <x:v>Yes</x:v>
      </x:c>
      <x:c r="AF44" s="8" t="str">
        <x:v>Yes</x:v>
      </x:c>
      <x:c r="AG44" s="8" t="str">
        <x:v>Yes</x:v>
      </x:c>
      <x:c r="AH44" s="14" t="n">
        <x:v>13</x:v>
      </x:c>
      <x:c r="AI44" s="15" t="str">
        <x:v>Canonical source for Core Features!13</x:v>
      </x:c>
    </x:row>
    <x:row r="45" ht="75">
      <x:c r="A45" s="12" t="str">
        <x:v>Core Features</x:v>
      </x:c>
      <x:c r="B45" s="13" t="str">
        <x:v>Free / Base File Upload Limit</x:v>
      </x:c>
      <x:c r="C45" s="8" t="str">
        <x:v>20 MB</x:v>
      </x:c>
      <x:c r="D45" s="8" t="str">
        <x:v>Relay-dependent</x:v>
      </x:c>
      <x:c r="E45" s="8" t="str">
        <x:v>Operator configured</x:v>
      </x:c>
      <x:c r="F45" s="8"/>
      <x:c r="G45" s="8"/>
      <x:c r="H45" s="8" t="str">
        <x:v>25 MB free</x:v>
      </x:c>
      <x:c r="I45" s="8" t="str">
        <x:v>500 MB free</x:v>
      </x:c>
      <x:c r="J45" s="8" t="str">
        <x:v>8 MB on hosted Free tier</x:v>
      </x:c>
      <x:c r="K45" s="8" t="str">
        <x:v>Local/device storage</x:v>
      </x:c>
      <x:c r="L45" s="8" t="str">
        <x:v>15 MB on official federated instance; self-host limits are configurable (developer report)</x:v>
      </x:c>
      <x:c r="M45" s="8"/>
      <x:c r="N45" s="8"/>
      <x:c r="O45" s="8" t="str">
        <x:v>Homeserver-dependent</x:v>
      </x:c>
      <x:c r="P45" s="8" t="str">
        <x:v>100 MB hard limit; configurable</x:v>
      </x:c>
      <x:c r="Q45" s="8" t="str">
        <x:v>50 MB images; 100 MB video/other files</x:v>
      </x:c>
      <x:c r="R45" s="8" t="str">
        <x:v>N/A</x:v>
      </x:c>
      <x:c r="S45" s="8"/>
      <x:c r="T45" s="8"/>
      <x:c r="U45" s="8" t="str">
        <x:v>Not publicly claimed</x:v>
      </x:c>
      <x:c r="V45" s="8" t="str">
        <x:v>50 MB free; Rift+ 300 MB personal uploads; Shard tiers vary</x:v>
      </x:c>
      <x:c r="W45" s="8" t="str">
        <x:v>Configurable by workspace / proxy</x:v>
      </x:c>
      <x:c r="X45" s="8"/>
      <x:c r="Y45" s="8" t="str">
        <x:v>25 MB</x:v>
      </x:c>
      <x:c r="Z45" s="8" t="str">
        <x:v>Operator-configurable</x:v>
      </x:c>
      <x:c r="AA45" s="8" t="str">
        <x:v>20 MB</x:v>
      </x:c>
      <x:c r="AB45" s="8" t="str">
        <x:v>10 MB</x:v>
      </x:c>
      <x:c r="AC45" s="9"/>
      <x:c r="AD45" s="8"/>
      <x:c r="AE45" s="8"/>
      <x:c r="AF45" s="8" t="str">
        <x:v>Configurable by server operator</x:v>
      </x:c>
      <x:c r="AG45" s="8" t="str">
        <x:v>Plan/server configurable</x:v>
      </x:c>
      <x:c r="AH45" s="14" t="n">
        <x:v>14</x:v>
      </x:c>
      <x:c r="AI45" s="15" t="str">
        <x:v>Canonical source for Core Features!14</x:v>
      </x:c>
    </x:row>
    <x:row r="46" ht="30">
      <x:c r="A46" s="12" t="str">
        <x:v>Core Features</x:v>
      </x:c>
      <x:c r="B46" s="13" t="str">
        <x:v>Pinned Messages</x:v>
      </x:c>
      <x:c r="C46" s="8" t="str">
        <x:v>Yes</x:v>
      </x:c>
      <x:c r="D46" s="8"/>
      <x:c r="E46" s="8"/>
      <x:c r="F46" s="8" t="str">
        <x:v>Yes</x:v>
      </x:c>
      <x:c r="G46" s="8"/>
      <x:c r="H46" s="8" t="str">
        <x:v>Yes</x:v>
      </x:c>
      <x:c r="I46" s="8" t="str">
        <x:v>Yes</x:v>
      </x:c>
      <x:c r="J46" s="8"/>
      <x:c r="K46" s="8"/>
      <x:c r="L46" s="8" t="str">
        <x:v>Yes</x:v>
      </x:c>
      <x:c r="M46" s="8"/>
      <x:c r="N46" s="8" t="str">
        <x:v>Yes</x:v>
      </x:c>
      <x:c r="O46" s="8" t="str">
        <x:v>Client-dependent</x:v>
      </x:c>
      <x:c r="P46" s="8" t="str">
        <x:v>Yes</x:v>
      </x:c>
      <x:c r="Q46" s="8" t="str">
        <x:v>Yes</x:v>
      </x:c>
      <x:c r="R46" s="8" t="str">
        <x:v>N/A</x:v>
      </x:c>
      <x:c r="S46" s="8" t="str">
        <x:v>Yes</x:v>
      </x:c>
      <x:c r="T46" s="8" t="str">
        <x:v>Yes</x:v>
      </x:c>
      <x:c r="U46" s="8" t="str">
        <x:v>Yes</x:v>
      </x:c>
      <x:c r="V46" s="8" t="str">
        <x:v>Yes: channel pins + Shard pin feed</x:v>
      </x:c>
      <x:c r="W46" s="8" t="str">
        <x:v>Yes</x:v>
      </x:c>
      <x:c r="X46" s="8"/>
      <x:c r="Y46" s="8" t="str">
        <x:v>Yes</x:v>
      </x:c>
      <x:c r="Z46" s="8" t="str">
        <x:v>Yes</x:v>
      </x:c>
      <x:c r="AA46" s="8" t="str">
        <x:v>Yes</x:v>
      </x:c>
      <x:c r="AB46" s="8"/>
      <x:c r="AC46" s="9" t="str">
        <x:v>Yes</x:v>
      </x:c>
      <x:c r="AD46" s="8"/>
      <x:c r="AE46" s="8"/>
      <x:c r="AF46" s="8"/>
      <x:c r="AG46" s="8" t="str">
        <x:v>Yes</x:v>
      </x:c>
      <x:c r="AH46" s="14" t="n">
        <x:v>19</x:v>
      </x:c>
      <x:c r="AI46" s="15" t="str">
        <x:v>Canonical source for Core Features!19</x:v>
      </x:c>
    </x:row>
    <x:row r="47" ht="90">
      <x:c r="A47" s="12" t="str">
        <x:v>Core Features</x:v>
      </x:c>
      <x:c r="B47" s="13" t="str">
        <x:v>Search</x:v>
      </x:c>
      <x:c r="C47" s="8" t="str">
        <x:v>Yes: server message search; Server Discovery exists for eligible public communities</x:v>
      </x:c>
      <x:c r="D47" s="8"/>
      <x:c r="E47" s="8" t="str">
        <x:v>Yes</x:v>
      </x:c>
      <x:c r="F47" s="8" t="str">
        <x:v>Yes</x:v>
      </x:c>
      <x:c r="G47" s="8" t="str">
        <x:v>Yes</x:v>
      </x:c>
      <x:c r="H47" s="8" t="str">
        <x:v>Yes</x:v>
      </x:c>
      <x:c r="I47" s="8" t="str">
        <x:v>Yes</x:v>
      </x:c>
      <x:c r="J47" s="8"/>
      <x:c r="K47" s="8"/>
      <x:c r="L47" s="8" t="str">
        <x:v>Yes: typo-tolerant search with filters; federated authorities are queried directly; developer reports no search-depth cap</x:v>
      </x:c>
      <x:c r="M47" s="8"/>
      <x:c r="N47" s="8" t="str">
        <x:v>Yes</x:v>
      </x:c>
      <x:c r="O47" s="8" t="str">
        <x:v>Client-dependent</x:v>
      </x:c>
      <x:c r="P47" s="8" t="str">
        <x:v>Yes</x:v>
      </x:c>
      <x:c r="Q47" s="8" t="str">
        <x:v>Yes</x:v>
      </x:c>
      <x:c r="R47" s="8" t="str">
        <x:v>N/A</x:v>
      </x:c>
      <x:c r="S47" s="8" t="str">
        <x:v>Yes</x:v>
      </x:c>
      <x:c r="T47" s="8" t="str">
        <x:v>Yes</x:v>
      </x:c>
      <x:c r="U47" s="8" t="str">
        <x:v>Yes</x:v>
      </x:c>
      <x:c r="V47" s="8" t="str">
        <x:v>Yes - Limited to Shards</x:v>
      </x:c>
      <x:c r="W47" s="8" t="str">
        <x:v>Yes</x:v>
      </x:c>
      <x:c r="X47" s="8"/>
      <x:c r="Y47" s="8" t="str">
        <x:v>Yes</x:v>
      </x:c>
      <x:c r="Z47" s="8" t="str">
        <x:v>Yes/target</x:v>
      </x:c>
      <x:c r="AA47" s="8" t="str">
        <x:v>Yes</x:v>
      </x:c>
      <x:c r="AB47" s="8"/>
      <x:c r="AC47" s="9" t="str">
        <x:v>Yes</x:v>
      </x:c>
      <x:c r="AD47" s="8"/>
      <x:c r="AE47" s="8" t="str">
        <x:v>Yes</x:v>
      </x:c>
      <x:c r="AF47" s="8"/>
      <x:c r="AG47" s="8" t="str">
        <x:v>Yes</x:v>
      </x:c>
      <x:c r="AH47" s="14" t="n">
        <x:v>20</x:v>
      </x:c>
      <x:c r="AI47" s="15" t="str">
        <x:v>Canonical source for Core Features!20</x:v>
      </x:c>
    </x:row>
    <x:row r="48">
      <x:c r="A48" s="12" t="str">
        <x:v>Core Features</x:v>
      </x:c>
      <x:c r="B48" s="13" t="str">
        <x:v>Invites</x:v>
      </x:c>
      <x:c r="C48" s="8" t="str">
        <x:v>Yes</x:v>
      </x:c>
      <x:c r="D48" s="8"/>
      <x:c r="E48" s="8"/>
      <x:c r="F48" s="8"/>
      <x:c r="G48" s="8"/>
      <x:c r="H48" s="8"/>
      <x:c r="I48" s="8"/>
      <x:c r="J48" s="8"/>
      <x:c r="K48" s="8"/>
      <x:c r="L48" s="8" t="str">
        <x:v>Yes</x:v>
      </x:c>
      <x:c r="M48" s="8"/>
      <x:c r="N48" s="8"/>
      <x:c r="O48" s="8" t="str">
        <x:v>Yes</x:v>
      </x:c>
      <x:c r="P48" s="8"/>
      <x:c r="Q48" s="8"/>
      <x:c r="R48" s="8"/>
      <x:c r="S48" s="8" t="str">
        <x:v>Yes</x:v>
      </x:c>
      <x:c r="T48" s="8"/>
      <x:c r="U48" s="8"/>
      <x:c r="V48" s="8" t="str">
        <x:v>Yes</x:v>
      </x:c>
      <x:c r="W48" s="8"/>
      <x:c r="X48" s="8"/>
      <x:c r="Y48" s="8" t="str">
        <x:v>Yes</x:v>
      </x:c>
      <x:c r="Z48" s="8"/>
      <x:c r="AA48" s="8" t="str">
        <x:v>Yes</x:v>
      </x:c>
      <x:c r="AB48" s="8"/>
      <x:c r="AC48" s="9"/>
      <x:c r="AD48" s="8"/>
      <x:c r="AE48" s="8"/>
      <x:c r="AF48" s="8"/>
      <x:c r="AG48" s="8" t="str">
        <x:v>Yes</x:v>
      </x:c>
      <x:c r="AH48" s="14" t="n">
        <x:v>21</x:v>
      </x:c>
      <x:c r="AI48" s="15" t="str">
        <x:v>Canonical source for Core Features!21</x:v>
      </x:c>
    </x:row>
    <x:row r="49" ht="75">
      <x:c r="A49" s="12" t="str">
        <x:v>Basic Features</x:v>
      </x:c>
      <x:c r="B49" s="13" t="str">
        <x:v>Server Search</x:v>
      </x:c>
      <x:c r="C49" s="8" t="str">
        <x:v>Yes: server message search; Server Discovery exists for eligible public communities</x:v>
      </x:c>
      <x:c r="D49" s="8"/>
      <x:c r="E49" s="8" t="str">
        <x:v>Yes</x:v>
      </x:c>
      <x:c r="F49" s="8" t="str">
        <x:v>Yes</x:v>
      </x:c>
      <x:c r="G49" s="8" t="str">
        <x:v>Yes</x:v>
      </x:c>
      <x:c r="H49" s="8" t="str">
        <x:v>Yes</x:v>
      </x:c>
      <x:c r="I49" s="8" t="str">
        <x:v>Yes</x:v>
      </x:c>
      <x:c r="J49" s="8"/>
      <x:c r="K49" s="8"/>
      <x:c r="L49" s="8" t="str">
        <x:v>Yes</x:v>
      </x:c>
      <x:c r="M49" s="8"/>
      <x:c r="N49" s="8" t="str">
        <x:v>Yes</x:v>
      </x:c>
      <x:c r="O49" s="8" t="str">
        <x:v>Client-dependent</x:v>
      </x:c>
      <x:c r="P49" s="8" t="str">
        <x:v>Yes</x:v>
      </x:c>
      <x:c r="Q49" s="8" t="str">
        <x:v>Yes</x:v>
      </x:c>
      <x:c r="R49" s="8" t="str">
        <x:v>N/A</x:v>
      </x:c>
      <x:c r="S49" s="8" t="str">
        <x:v>Yes</x:v>
      </x:c>
      <x:c r="T49" s="8" t="str">
        <x:v>Yes</x:v>
      </x:c>
      <x:c r="U49" s="8" t="str">
        <x:v>Yes</x:v>
      </x:c>
      <x:c r="V49" s="8" t="str">
        <x:v>Yes</x:v>
      </x:c>
      <x:c r="W49" s="8" t="str">
        <x:v>Yes</x:v>
      </x:c>
      <x:c r="X49" s="8"/>
      <x:c r="Y49" s="8" t="str">
        <x:v>Yes</x:v>
      </x:c>
      <x:c r="Z49" s="8" t="str">
        <x:v>Yes/target</x:v>
      </x:c>
      <x:c r="AA49" s="8" t="str">
        <x:v>Yes</x:v>
      </x:c>
      <x:c r="AB49" s="8"/>
      <x:c r="AC49" s="9" t="str">
        <x:v>Yes</x:v>
      </x:c>
      <x:c r="AD49" s="8"/>
      <x:c r="AE49" s="8" t="str">
        <x:v>Yes</x:v>
      </x:c>
      <x:c r="AF49" s="8"/>
      <x:c r="AG49" s="8" t="str">
        <x:v>Yes</x:v>
      </x:c>
      <x:c r="AH49" s="14" t="n">
        <x:v>4</x:v>
      </x:c>
      <x:c r="AI49" s="15" t="str">
        <x:v>Canonical source for Basic Features!4</x:v>
      </x:c>
    </x:row>
    <x:row r="50">
      <x:c r="A50" s="12" t="str">
        <x:v>Basic Features</x:v>
      </x:c>
      <x:c r="B50" s="13" t="str">
        <x:v>DM Search</x:v>
      </x:c>
      <x:c r="C50" s="8" t="str">
        <x:v>Yes</x:v>
      </x:c>
      <x:c r="D50" s="8"/>
      <x:c r="E50" s="8"/>
      <x:c r="F50" s="8" t="str">
        <x:v>Yes</x:v>
      </x:c>
      <x:c r="G50" s="8" t="str">
        <x:v>Yes</x:v>
      </x:c>
      <x:c r="H50" s="8" t="str">
        <x:v>Yes</x:v>
      </x:c>
      <x:c r="I50" s="8"/>
      <x:c r="J50" s="8"/>
      <x:c r="K50" s="8"/>
      <x:c r="L50" s="8" t="str">
        <x:v>Yes</x:v>
      </x:c>
      <x:c r="M50" s="8"/>
      <x:c r="N50" s="8" t="str">
        <x:v>Yes</x:v>
      </x:c>
      <x:c r="O50" s="8" t="str">
        <x:v>Client-dependent</x:v>
      </x:c>
      <x:c r="P50" s="8" t="str">
        <x:v>Yes</x:v>
      </x:c>
      <x:c r="Q50" s="8" t="str">
        <x:v>Yes</x:v>
      </x:c>
      <x:c r="R50" s="8" t="str">
        <x:v>N/A</x:v>
      </x:c>
      <x:c r="S50" s="8" t="str">
        <x:v>Yes</x:v>
      </x:c>
      <x:c r="T50" s="8" t="str">
        <x:v>Yes</x:v>
      </x:c>
      <x:c r="U50" s="8" t="str">
        <x:v>Yes</x:v>
      </x:c>
      <x:c r="V50" s="8" t="str">
        <x:v>Yes</x:v>
      </x:c>
      <x:c r="W50" s="8" t="str">
        <x:v>Yes</x:v>
      </x:c>
      <x:c r="X50" s="8"/>
      <x:c r="Y50" s="8" t="str">
        <x:v>Yes</x:v>
      </x:c>
      <x:c r="Z50" s="8" t="str">
        <x:v>Yes/target</x:v>
      </x:c>
      <x:c r="AA50" s="8" t="str">
        <x:v>Yes</x:v>
      </x:c>
      <x:c r="AB50" s="8"/>
      <x:c r="AC50" s="9"/>
      <x:c r="AD50" s="8"/>
      <x:c r="AE50" s="8" t="str">
        <x:v>Yes</x:v>
      </x:c>
      <x:c r="AF50" s="8"/>
      <x:c r="AG50" s="8" t="str">
        <x:v>Yes</x:v>
      </x:c>
      <x:c r="AH50" s="14" t="n">
        <x:v>5</x:v>
      </x:c>
      <x:c r="AI50" s="15" t="str">
        <x:v>Canonical source for Basic Features!5</x:v>
      </x:c>
    </x:row>
    <x:row r="51">
      <x:c r="A51" s="12" t="str">
        <x:v>Basic Features</x:v>
      </x:c>
      <x:c r="B51" s="13" t="str">
        <x:v>Channel / Room Search</x:v>
      </x:c>
      <x:c r="C51" s="8" t="str">
        <x:v>Yes</x:v>
      </x:c>
      <x:c r="D51" s="8"/>
      <x:c r="E51" s="8"/>
      <x:c r="F51" s="8"/>
      <x:c r="G51" s="8"/>
      <x:c r="H51" s="8"/>
      <x:c r="I51" s="8"/>
      <x:c r="J51" s="8"/>
      <x:c r="K51" s="8"/>
      <x:c r="L51" s="8" t="str">
        <x:v>Yes</x:v>
      </x:c>
      <x:c r="M51" s="8"/>
      <x:c r="N51" s="8" t="str">
        <x:v>Yes</x:v>
      </x:c>
      <x:c r="O51" s="8" t="str">
        <x:v>Client-dependent</x:v>
      </x:c>
      <x:c r="P51" s="8" t="str">
        <x:v>Yes</x:v>
      </x:c>
      <x:c r="Q51" s="8"/>
      <x:c r="R51" s="8"/>
      <x:c r="S51" s="8"/>
      <x:c r="T51" s="8"/>
      <x:c r="U51" s="8" t="str">
        <x:v>Yes</x:v>
      </x:c>
      <x:c r="V51" s="8" t="str">
        <x:v>Yes</x:v>
      </x:c>
      <x:c r="W51" s="8" t="str">
        <x:v>Yes</x:v>
      </x:c>
      <x:c r="X51" s="8"/>
      <x:c r="Y51" s="8"/>
      <x:c r="Z51" s="8"/>
      <x:c r="AA51" s="8"/>
      <x:c r="AB51" s="8"/>
      <x:c r="AC51" s="9"/>
      <x:c r="AD51" s="8"/>
      <x:c r="AE51" s="8"/>
      <x:c r="AF51" s="8"/>
      <x:c r="AG51" s="8" t="str">
        <x:v>Yes</x:v>
      </x:c>
      <x:c r="AH51" s="14" t="n">
        <x:v>6</x:v>
      </x:c>
      <x:c r="AI51" s="15" t="str">
        <x:v>Canonical source for Basic Features!6</x:v>
      </x:c>
    </x:row>
    <x:row r="52" ht="30">
      <x:c r="A52" s="12" t="str">
        <x:v>Basic Features</x:v>
      </x:c>
      <x:c r="B52" s="13" t="str">
        <x:v>Message Reactions</x:v>
      </x:c>
      <x:c r="C52" s="8" t="str">
        <x:v>Yes</x:v>
      </x:c>
      <x:c r="D52" s="8" t="str">
        <x:v>Yes</x:v>
      </x:c>
      <x:c r="E52" s="8"/>
      <x:c r="F52" s="8" t="str">
        <x:v>Yes</x:v>
      </x:c>
      <x:c r="G52" s="8" t="str">
        <x:v>Yes</x:v>
      </x:c>
      <x:c r="H52" s="8"/>
      <x:c r="I52" s="8" t="str">
        <x:v>Yes</x:v>
      </x:c>
      <x:c r="J52" s="8"/>
      <x:c r="K52" s="8"/>
      <x:c r="L52" s="8" t="str">
        <x:v>Yes</x:v>
      </x:c>
      <x:c r="M52" s="8"/>
      <x:c r="N52" s="8" t="str">
        <x:v>Yes</x:v>
      </x:c>
      <x:c r="O52" s="8" t="str">
        <x:v>Yes</x:v>
      </x:c>
      <x:c r="P52" s="8"/>
      <x:c r="Q52" s="8" t="str">
        <x:v>Yes</x:v>
      </x:c>
      <x:c r="R52" s="8"/>
      <x:c r="S52" s="8" t="str">
        <x:v>Yes</x:v>
      </x:c>
      <x:c r="T52" s="8"/>
      <x:c r="U52" s="8" t="str">
        <x:v>Yes</x:v>
      </x:c>
      <x:c r="V52" s="8" t="str">
        <x:v>Yes</x:v>
      </x:c>
      <x:c r="W52" s="8" t="str">
        <x:v>Yes</x:v>
      </x:c>
      <x:c r="X52" s="8"/>
      <x:c r="Y52" s="8" t="str">
        <x:v>Yes</x:v>
      </x:c>
      <x:c r="Z52" s="8"/>
      <x:c r="AA52" s="8" t="str">
        <x:v>Yes</x:v>
      </x:c>
      <x:c r="AB52" s="8"/>
      <x:c r="AC52" s="9"/>
      <x:c r="AD52" s="8"/>
      <x:c r="AE52" s="8" t="str">
        <x:v>Yes</x:v>
      </x:c>
      <x:c r="AF52" s="8"/>
      <x:c r="AG52" s="8" t="str">
        <x:v>Yes</x:v>
      </x:c>
      <x:c r="AH52" s="14" t="n">
        <x:v>8</x:v>
      </x:c>
      <x:c r="AI52" s="15" t="str">
        <x:v>Shared metric: Core Features: Message Reactions | Basic Features: Message Reactions</x:v>
      </x:c>
    </x:row>
    <x:row r="53" ht="30">
      <x:c r="A53" s="12" t="str">
        <x:v>Basic Features</x:v>
      </x:c>
      <x:c r="B53" s="13" t="str">
        <x:v>Inline Replies</x:v>
      </x:c>
      <x:c r="C53" s="8" t="str">
        <x:v>Yes</x:v>
      </x:c>
      <x:c r="D53" s="8" t="str">
        <x:v>Yes</x:v>
      </x:c>
      <x:c r="E53" s="8" t="str">
        <x:v>Yes</x:v>
      </x:c>
      <x:c r="F53" s="8" t="str">
        <x:v>Yes</x:v>
      </x:c>
      <x:c r="G53" s="8" t="str">
        <x:v>Yes</x:v>
      </x:c>
      <x:c r="H53" s="8" t="str">
        <x:v>Yes</x:v>
      </x:c>
      <x:c r="I53" s="8" t="str">
        <x:v>Yes</x:v>
      </x:c>
      <x:c r="J53" s="8"/>
      <x:c r="K53" s="8" t="str">
        <x:v>Yes</x:v>
      </x:c>
      <x:c r="L53" s="8" t="str">
        <x:v>Yes</x:v>
      </x:c>
      <x:c r="M53" s="8"/>
      <x:c r="N53" s="8" t="str">
        <x:v>Yes</x:v>
      </x:c>
      <x:c r="O53" s="8" t="str">
        <x:v>Yes via reply relation</x:v>
      </x:c>
      <x:c r="P53" s="8" t="str">
        <x:v>Yes</x:v>
      </x:c>
      <x:c r="Q53" s="8" t="str">
        <x:v>Yes</x:v>
      </x:c>
      <x:c r="R53" s="8" t="str">
        <x:v>Limited text replies N/A</x:v>
      </x:c>
      <x:c r="S53" s="8" t="str">
        <x:v>Yes</x:v>
      </x:c>
      <x:c r="T53" s="8" t="str">
        <x:v>Yes</x:v>
      </x:c>
      <x:c r="U53" s="8" t="str">
        <x:v>Yes</x:v>
      </x:c>
      <x:c r="V53" s="8" t="str">
        <x:v>Yes</x:v>
      </x:c>
      <x:c r="W53" s="8" t="str">
        <x:v>Yes</x:v>
      </x:c>
      <x:c r="X53" s="8"/>
      <x:c r="Y53" s="8" t="str">
        <x:v>Yes</x:v>
      </x:c>
      <x:c r="Z53" s="8" t="str">
        <x:v>Yes</x:v>
      </x:c>
      <x:c r="AA53" s="8" t="str">
        <x:v>Yes</x:v>
      </x:c>
      <x:c r="AB53" s="8"/>
      <x:c r="AC53" s="9" t="str">
        <x:v>Yes</x:v>
      </x:c>
      <x:c r="AD53" s="8"/>
      <x:c r="AE53" s="8" t="str">
        <x:v>Yes</x:v>
      </x:c>
      <x:c r="AF53" s="8"/>
      <x:c r="AG53" s="8" t="str">
        <x:v>Yes</x:v>
      </x:c>
      <x:c r="AH53" s="14" t="n">
        <x:v>9</x:v>
      </x:c>
      <x:c r="AI53" s="15" t="str">
        <x:v>Shared metric: Core Features: Inline Replies | Basic Features: Inline Replies</x:v>
      </x:c>
    </x:row>
    <x:row r="54" ht="30">
      <x:c r="A54" s="12" t="str">
        <x:v>Basic Features</x:v>
      </x:c>
      <x:c r="B54" s="13" t="str">
        <x:v>Message Editing</x:v>
      </x:c>
      <x:c r="C54" s="8" t="str">
        <x:v>Yes</x:v>
      </x:c>
      <x:c r="D54" s="8"/>
      <x:c r="E54" s="8"/>
      <x:c r="F54" s="8"/>
      <x:c r="G54" s="8"/>
      <x:c r="H54" s="8"/>
      <x:c r="I54" s="8"/>
      <x:c r="J54" s="8"/>
      <x:c r="K54" s="8"/>
      <x:c r="L54" s="8" t="str">
        <x:v>Yes</x:v>
      </x:c>
      <x:c r="M54" s="8"/>
      <x:c r="N54" s="8"/>
      <x:c r="O54" s="8" t="str">
        <x:v>Yes</x:v>
      </x:c>
      <x:c r="P54" s="8"/>
      <x:c r="Q54" s="8"/>
      <x:c r="R54" s="8"/>
      <x:c r="S54" s="8" t="str">
        <x:v>Yes</x:v>
      </x:c>
      <x:c r="T54" s="8"/>
      <x:c r="U54" s="8"/>
      <x:c r="V54" s="8" t="str">
        <x:v>Yes</x:v>
      </x:c>
      <x:c r="W54" s="8"/>
      <x:c r="X54" s="8"/>
      <x:c r="Y54" s="8" t="str">
        <x:v>Yes</x:v>
      </x:c>
      <x:c r="Z54" s="8"/>
      <x:c r="AA54" s="8" t="str">
        <x:v>Yes</x:v>
      </x:c>
      <x:c r="AB54" s="8"/>
      <x:c r="AC54" s="9"/>
      <x:c r="AD54" s="8"/>
      <x:c r="AE54" s="8"/>
      <x:c r="AF54" s="8"/>
      <x:c r="AG54" s="8" t="str">
        <x:v>Yes</x:v>
      </x:c>
      <x:c r="AH54" s="14" t="n">
        <x:v>10</x:v>
      </x:c>
      <x:c r="AI54" s="15" t="str">
        <x:v>Shared metric: Core Features: Message Editing | Basic Features: Message Editing</x:v>
      </x:c>
    </x:row>
    <x:row r="55" ht="30">
      <x:c r="A55" s="12" t="str">
        <x:v>Basic Features</x:v>
      </x:c>
      <x:c r="B55" s="13" t="str">
        <x:v>Message Deletion</x:v>
      </x:c>
      <x:c r="C55" s="8" t="str">
        <x:v>Yes</x:v>
      </x:c>
      <x:c r="D55" s="8"/>
      <x:c r="E55" s="8"/>
      <x:c r="F55" s="8"/>
      <x:c r="G55" s="8"/>
      <x:c r="H55" s="8"/>
      <x:c r="I55" s="8"/>
      <x:c r="J55" s="8"/>
      <x:c r="K55" s="8"/>
      <x:c r="L55" s="8" t="str">
        <x:v>Yes</x:v>
      </x:c>
      <x:c r="M55" s="8"/>
      <x:c r="N55" s="8"/>
      <x:c r="O55" s="8" t="str">
        <x:v>Yes</x:v>
      </x:c>
      <x:c r="P55" s="8"/>
      <x:c r="Q55" s="8"/>
      <x:c r="R55" s="8"/>
      <x:c r="S55" s="8"/>
      <x:c r="T55" s="8"/>
      <x:c r="U55" s="8"/>
      <x:c r="V55" s="8" t="str">
        <x:v>Yes</x:v>
      </x:c>
      <x:c r="W55" s="8"/>
      <x:c r="X55" s="8"/>
      <x:c r="Y55" s="8" t="str">
        <x:v>Yes</x:v>
      </x:c>
      <x:c r="Z55" s="8"/>
      <x:c r="AA55" s="8" t="str">
        <x:v>Yes</x:v>
      </x:c>
      <x:c r="AB55" s="8"/>
      <x:c r="AC55" s="9"/>
      <x:c r="AD55" s="8"/>
      <x:c r="AE55" s="8"/>
      <x:c r="AF55" s="8"/>
      <x:c r="AG55" s="8" t="str">
        <x:v>Yes</x:v>
      </x:c>
      <x:c r="AH55" s="14" t="n">
        <x:v>11</x:v>
      </x:c>
      <x:c r="AI55" s="15" t="str">
        <x:v>Shared metric: Core Features: Message Deletion | Basic Features: Message Deletion</x:v>
      </x:c>
    </x:row>
    <x:row r="56">
      <x:c r="A56" s="12" t="str">
        <x:v>Basic Features</x:v>
      </x:c>
      <x:c r="B56" s="13" t="str">
        <x:v>Spoiler Formatting</x:v>
      </x:c>
      <x:c r="C56" s="8" t="str">
        <x:v>Yes</x:v>
      </x:c>
      <x:c r="D56" s="8"/>
      <x:c r="E56" s="8"/>
      <x:c r="F56" s="8"/>
      <x:c r="G56" s="8"/>
      <x:c r="H56" s="8"/>
      <x:c r="I56" s="8"/>
      <x:c r="J56" s="8"/>
      <x:c r="K56" s="8"/>
      <x:c r="L56" s="8" t="str">
        <x:v>Yes</x:v>
      </x:c>
      <x:c r="M56" s="8"/>
      <x:c r="N56" s="8"/>
      <x:c r="O56" s="8" t="str">
        <x:v>Client-dependent</x:v>
      </x:c>
      <x:c r="P56" s="8"/>
      <x:c r="Q56" s="8"/>
      <x:c r="R56" s="8"/>
      <x:c r="S56" s="8"/>
      <x:c r="T56" s="8"/>
      <x:c r="U56" s="8"/>
      <x:c r="V56" s="8" t="str">
        <x:v>Yes</x:v>
      </x:c>
      <x:c r="W56" s="8"/>
      <x:c r="X56" s="8"/>
      <x:c r="Y56" s="8"/>
      <x:c r="Z56" s="8"/>
      <x:c r="AA56" s="8"/>
      <x:c r="AB56" s="8"/>
      <x:c r="AC56" s="9"/>
      <x:c r="AD56" s="8"/>
      <x:c r="AE56" s="8"/>
      <x:c r="AF56" s="8"/>
      <x:c r="AG56" s="8" t="str">
        <x:v>Yes</x:v>
      </x:c>
      <x:c r="AH56" s="14" t="n">
        <x:v>12</x:v>
      </x:c>
      <x:c r="AI56" s="15" t="str">
        <x:v>Canonical source for Basic Features!12</x:v>
      </x:c>
    </x:row>
    <x:row r="57">
      <x:c r="A57" s="12" t="str">
        <x:v>Basic Features</x:v>
      </x:c>
      <x:c r="B57" s="13" t="str">
        <x:v>Code Blocks</x:v>
      </x:c>
      <x:c r="C57" s="8" t="str">
        <x:v>Yes</x:v>
      </x:c>
      <x:c r="D57" s="8"/>
      <x:c r="E57" s="8"/>
      <x:c r="F57" s="8"/>
      <x:c r="G57" s="8"/>
      <x:c r="H57" s="8"/>
      <x:c r="I57" s="8"/>
      <x:c r="J57" s="8"/>
      <x:c r="K57" s="8"/>
      <x:c r="L57" s="8" t="str">
        <x:v>Yes</x:v>
      </x:c>
      <x:c r="M57" s="8"/>
      <x:c r="N57" s="8"/>
      <x:c r="O57" s="8" t="str">
        <x:v>Client-dependent</x:v>
      </x:c>
      <x:c r="P57" s="8"/>
      <x:c r="Q57" s="8"/>
      <x:c r="R57" s="8"/>
      <x:c r="S57" s="8"/>
      <x:c r="T57" s="8"/>
      <x:c r="U57" s="8"/>
      <x:c r="V57" s="8" t="str">
        <x:v>Yes</x:v>
      </x:c>
      <x:c r="W57" s="8"/>
      <x:c r="X57" s="8"/>
      <x:c r="Y57" s="8"/>
      <x:c r="Z57" s="8"/>
      <x:c r="AA57" s="8"/>
      <x:c r="AB57" s="8"/>
      <x:c r="AC57" s="9"/>
      <x:c r="AD57" s="8"/>
      <x:c r="AE57" s="8"/>
      <x:c r="AF57" s="8"/>
      <x:c r="AG57" s="8" t="str">
        <x:v>Yes</x:v>
      </x:c>
      <x:c r="AH57" s="14" t="n">
        <x:v>13</x:v>
      </x:c>
      <x:c r="AI57" s="15" t="str">
        <x:v>Canonical source for Basic Features!13</x:v>
      </x:c>
    </x:row>
    <x:row r="58" ht="30">
      <x:c r="A58" s="12" t="str">
        <x:v>Basic Features</x:v>
      </x:c>
      <x:c r="B58" s="13" t="str">
        <x:v>Voice Messages</x:v>
      </x:c>
      <x:c r="C58" s="8" t="str">
        <x:v>Yes</x:v>
      </x:c>
      <x:c r="D58" s="8"/>
      <x:c r="E58" s="8"/>
      <x:c r="F58" s="8"/>
      <x:c r="G58" s="8"/>
      <x:c r="H58" s="8"/>
      <x:c r="I58" s="8"/>
      <x:c r="J58" s="8"/>
      <x:c r="K58" s="8"/>
      <x:c r="L58" s="8" t="str">
        <x:v>Yes: voice messages (developer report)</x:v>
      </x:c>
      <x:c r="M58" s="8"/>
      <x:c r="N58" s="8" t="str">
        <x:v>Yes: voice notes + transcription</x:v>
      </x:c>
      <x:c r="O58" s="8" t="str">
        <x:v>Client-dependent</x:v>
      </x:c>
      <x:c r="P58" s="8"/>
      <x:c r="Q58" s="8"/>
      <x:c r="R58" s="8"/>
      <x:c r="S58" s="8"/>
      <x:c r="T58" s="8" t="str">
        <x:v>Yes</x:v>
      </x:c>
      <x:c r="U58" s="8"/>
      <x:c r="V58" s="8" t="str">
        <x:v>Yes</x:v>
      </x:c>
      <x:c r="W58" s="8"/>
      <x:c r="X58" s="8"/>
      <x:c r="Y58" s="8"/>
      <x:c r="Z58" s="8"/>
      <x:c r="AA58" s="8"/>
      <x:c r="AB58" s="8"/>
      <x:c r="AC58" s="9"/>
      <x:c r="AD58" s="8"/>
      <x:c r="AE58" s="8"/>
      <x:c r="AF58" s="8"/>
      <x:c r="AG58" s="8"/>
      <x:c r="AH58" s="14" t="n">
        <x:v>14</x:v>
      </x:c>
      <x:c r="AI58" s="15" t="str">
        <x:v>Canonical source for Basic Features!14</x:v>
      </x:c>
    </x:row>
    <x:row r="59">
      <x:c r="A59" s="12" t="str">
        <x:v>Basic Features</x:v>
      </x:c>
      <x:c r="B59" s="13" t="str">
        <x:v>Integrated Emoji</x:v>
      </x:c>
      <x:c r="C59" s="8" t="str">
        <x:v>Yes</x:v>
      </x:c>
      <x:c r="D59" s="8"/>
      <x:c r="E59" s="8" t="str">
        <x:v>Yes</x:v>
      </x:c>
      <x:c r="F59" s="8" t="str">
        <x:v>Yes</x:v>
      </x:c>
      <x:c r="G59" s="8" t="str">
        <x:v>Yes</x:v>
      </x:c>
      <x:c r="H59" s="8" t="str">
        <x:v>Yes</x:v>
      </x:c>
      <x:c r="I59" s="8" t="str">
        <x:v>Yes</x:v>
      </x:c>
      <x:c r="J59" s="8" t="str">
        <x:v>Yes</x:v>
      </x:c>
      <x:c r="K59" s="8"/>
      <x:c r="L59" s="8" t="str">
        <x:v>Yes</x:v>
      </x:c>
      <x:c r="M59" s="8" t="str">
        <x:v>Yes</x:v>
      </x:c>
      <x:c r="N59" s="8" t="str">
        <x:v>Yes</x:v>
      </x:c>
      <x:c r="O59" s="8" t="str">
        <x:v>Client-dependent</x:v>
      </x:c>
      <x:c r="P59" s="8" t="str">
        <x:v>Yes</x:v>
      </x:c>
      <x:c r="Q59" s="8" t="str">
        <x:v>Yes</x:v>
      </x:c>
      <x:c r="R59" s="8" t="str">
        <x:v>N/A</x:v>
      </x:c>
      <x:c r="S59" s="8" t="str">
        <x:v>Yes</x:v>
      </x:c>
      <x:c r="T59" s="8" t="str">
        <x:v>Yes</x:v>
      </x:c>
      <x:c r="U59" s="8" t="str">
        <x:v>Yes</x:v>
      </x:c>
      <x:c r="V59" s="8" t="str">
        <x:v>Yes</x:v>
      </x:c>
      <x:c r="W59" s="8" t="str">
        <x:v>Yes</x:v>
      </x:c>
      <x:c r="X59" s="8"/>
      <x:c r="Y59" s="8" t="str">
        <x:v>Yes</x:v>
      </x:c>
      <x:c r="Z59" s="8" t="str">
        <x:v>Yes</x:v>
      </x:c>
      <x:c r="AA59" s="8" t="str">
        <x:v>Yes</x:v>
      </x:c>
      <x:c r="AB59" s="8" t="str">
        <x:v>Yes</x:v>
      </x:c>
      <x:c r="AC59" s="9" t="str">
        <x:v>Yes</x:v>
      </x:c>
      <x:c r="AD59" s="8"/>
      <x:c r="AE59" s="8" t="str">
        <x:v>Yes</x:v>
      </x:c>
      <x:c r="AF59" s="8"/>
      <x:c r="AG59" s="8" t="str">
        <x:v>Yes</x:v>
      </x:c>
      <x:c r="AH59" s="14" t="n">
        <x:v>16</x:v>
      </x:c>
      <x:c r="AI59" s="15" t="str">
        <x:v>Canonical source for Basic Features!16</x:v>
      </x:c>
    </x:row>
    <x:row r="60">
      <x:c r="A60" s="12" t="str">
        <x:v>Basic Features</x:v>
      </x:c>
      <x:c r="B60" s="13" t="str">
        <x:v>Custom Emoji</x:v>
      </x:c>
      <x:c r="C60" s="8" t="str">
        <x:v>Yes</x:v>
      </x:c>
      <x:c r="D60" s="8"/>
      <x:c r="E60" s="8"/>
      <x:c r="F60" s="8" t="str">
        <x:v>Yes</x:v>
      </x:c>
      <x:c r="G60" s="8" t="str">
        <x:v>Yes</x:v>
      </x:c>
      <x:c r="H60" s="8" t="str">
        <x:v>Yes</x:v>
      </x:c>
      <x:c r="I60" s="8" t="str">
        <x:v>Yes</x:v>
      </x:c>
      <x:c r="J60" s="8" t="str">
        <x:v>Yes</x:v>
      </x:c>
      <x:c r="K60" s="8"/>
      <x:c r="L60" s="8" t="str">
        <x:v>Yes</x:v>
      </x:c>
      <x:c r="M60" s="8"/>
      <x:c r="N60" s="8" t="str">
        <x:v>Yes</x:v>
      </x:c>
      <x:c r="O60" s="8" t="str">
        <x:v>Client-dependent</x:v>
      </x:c>
      <x:c r="P60" s="8" t="str">
        <x:v>Custom emoji yes</x:v>
      </x:c>
      <x:c r="Q60" s="8" t="str">
        <x:v>Yes</x:v>
      </x:c>
      <x:c r="R60" s="8" t="str">
        <x:v>N/A</x:v>
      </x:c>
      <x:c r="S60" s="8" t="str">
        <x:v>Yes</x:v>
      </x:c>
      <x:c r="T60" s="8" t="str">
        <x:v>Yes</x:v>
      </x:c>
      <x:c r="U60" s="8" t="str">
        <x:v>Yes</x:v>
      </x:c>
      <x:c r="V60" s="8" t="str">
        <x:v>Yes</x:v>
      </x:c>
      <x:c r="W60" s="8" t="str">
        <x:v>Yes</x:v>
      </x:c>
      <x:c r="X60" s="8"/>
      <x:c r="Y60" s="8" t="str">
        <x:v>Yes</x:v>
      </x:c>
      <x:c r="Z60" s="8" t="str">
        <x:v>Yes</x:v>
      </x:c>
      <x:c r="AA60" s="8" t="str">
        <x:v>Yes</x:v>
      </x:c>
      <x:c r="AB60" s="8"/>
      <x:c r="AC60" s="9" t="str">
        <x:v>Yes</x:v>
      </x:c>
      <x:c r="AD60" s="8"/>
      <x:c r="AE60" s="8"/>
      <x:c r="AF60" s="8"/>
      <x:c r="AG60" s="8" t="str">
        <x:v>Yes</x:v>
      </x:c>
      <x:c r="AH60" s="14" t="n">
        <x:v>17</x:v>
      </x:c>
      <x:c r="AI60" s="15" t="str">
        <x:v>Canonical source for Basic Features!17</x:v>
      </x:c>
    </x:row>
    <x:row r="61">
      <x:c r="A61" s="12" t="str">
        <x:v>Basic Features</x:v>
      </x:c>
      <x:c r="B61" s="13" t="str">
        <x:v>Custom Stickers</x:v>
      </x:c>
      <x:c r="C61" s="8" t="str">
        <x:v>Yes</x:v>
      </x:c>
      <x:c r="D61" s="8"/>
      <x:c r="E61" s="8"/>
      <x:c r="F61" s="8"/>
      <x:c r="G61" s="8"/>
      <x:c r="H61" s="8"/>
      <x:c r="I61" s="8"/>
      <x:c r="J61" s="8"/>
      <x:c r="K61" s="8"/>
      <x:c r="L61" s="8" t="str">
        <x:v>Yes</x:v>
      </x:c>
      <x:c r="M61" s="8"/>
      <x:c r="N61" s="8" t="str">
        <x:v>Yes</x:v>
      </x:c>
      <x:c r="O61" s="8" t="str">
        <x:v>Client-dependent</x:v>
      </x:c>
      <x:c r="P61" s="8"/>
      <x:c r="Q61" s="8"/>
      <x:c r="R61" s="8"/>
      <x:c r="S61" s="8"/>
      <x:c r="T61" s="8" t="str">
        <x:v>Yes</x:v>
      </x:c>
      <x:c r="U61" s="8"/>
      <x:c r="V61" s="8" t="str">
        <x:v>Yes</x:v>
      </x:c>
      <x:c r="W61" s="8"/>
      <x:c r="X61" s="8"/>
      <x:c r="Y61" s="8"/>
      <x:c r="Z61" s="8"/>
      <x:c r="AA61" s="8"/>
      <x:c r="AB61" s="8"/>
      <x:c r="AC61" s="9"/>
      <x:c r="AD61" s="8"/>
      <x:c r="AE61" s="8"/>
      <x:c r="AF61" s="8"/>
      <x:c r="AG61" s="8"/>
      <x:c r="AH61" s="14" t="n">
        <x:v>18</x:v>
      </x:c>
      <x:c r="AI61" s="15" t="str">
        <x:v>Canonical source for Basic Features!18</x:v>
      </x:c>
    </x:row>
    <x:row r="62">
      <x:c r="A62" s="12" t="str">
        <x:v>Basic Features</x:v>
      </x:c>
      <x:c r="B62" s="13" t="str">
        <x:v>Pinned Server Messages</x:v>
      </x:c>
      <x:c r="C62" s="8" t="str">
        <x:v>Yes</x:v>
      </x:c>
      <x:c r="D62" s="8"/>
      <x:c r="E62" s="8"/>
      <x:c r="F62" s="8" t="str">
        <x:v>Yes</x:v>
      </x:c>
      <x:c r="G62" s="8"/>
      <x:c r="H62" s="8" t="str">
        <x:v>Yes</x:v>
      </x:c>
      <x:c r="I62" s="8" t="str">
        <x:v>Yes</x:v>
      </x:c>
      <x:c r="J62" s="8"/>
      <x:c r="K62" s="8"/>
      <x:c r="L62" s="8" t="str">
        <x:v>Yes</x:v>
      </x:c>
      <x:c r="M62" s="8"/>
      <x:c r="N62" s="8" t="str">
        <x:v>Yes</x:v>
      </x:c>
      <x:c r="O62" s="8" t="str">
        <x:v>Client-dependent</x:v>
      </x:c>
      <x:c r="P62" s="8" t="str">
        <x:v>Yes</x:v>
      </x:c>
      <x:c r="Q62" s="8" t="str">
        <x:v>Yes</x:v>
      </x:c>
      <x:c r="R62" s="8" t="str">
        <x:v>N/A</x:v>
      </x:c>
      <x:c r="S62" s="8" t="str">
        <x:v>Yes</x:v>
      </x:c>
      <x:c r="T62" s="8" t="str">
        <x:v>Yes</x:v>
      </x:c>
      <x:c r="U62" s="8" t="str">
        <x:v>Yes</x:v>
      </x:c>
      <x:c r="V62" s="8" t="str">
        <x:v>Yes</x:v>
      </x:c>
      <x:c r="W62" s="8" t="str">
        <x:v>Yes</x:v>
      </x:c>
      <x:c r="X62" s="8"/>
      <x:c r="Y62" s="8" t="str">
        <x:v>Yes</x:v>
      </x:c>
      <x:c r="Z62" s="8" t="str">
        <x:v>Yes</x:v>
      </x:c>
      <x:c r="AA62" s="8" t="str">
        <x:v>Yes</x:v>
      </x:c>
      <x:c r="AB62" s="8"/>
      <x:c r="AC62" s="9" t="str">
        <x:v>Yes</x:v>
      </x:c>
      <x:c r="AD62" s="8"/>
      <x:c r="AE62" s="8"/>
      <x:c r="AF62" s="8"/>
      <x:c r="AG62" s="8" t="str">
        <x:v>Yes</x:v>
      </x:c>
      <x:c r="AH62" s="14" t="n">
        <x:v>19</x:v>
      </x:c>
      <x:c r="AI62" s="15" t="str">
        <x:v>Canonical source for Basic Features!19</x:v>
      </x:c>
    </x:row>
    <x:row r="63">
      <x:c r="A63" s="12" t="str">
        <x:v>Basic Features</x:v>
      </x:c>
      <x:c r="B63" s="13" t="str">
        <x:v>Pinned DM Messages</x:v>
      </x:c>
      <x:c r="C63" s="8" t="str">
        <x:v>Yes</x:v>
      </x:c>
      <x:c r="D63" s="8"/>
      <x:c r="E63" s="8"/>
      <x:c r="F63" s="8" t="str">
        <x:v>Yes</x:v>
      </x:c>
      <x:c r="G63" s="8"/>
      <x:c r="H63" s="8" t="str">
        <x:v>Yes</x:v>
      </x:c>
      <x:c r="I63" s="8" t="str">
        <x:v>Yes</x:v>
      </x:c>
      <x:c r="J63" s="8"/>
      <x:c r="K63" s="8"/>
      <x:c r="L63" s="8" t="str">
        <x:v>Yes</x:v>
      </x:c>
      <x:c r="M63" s="8"/>
      <x:c r="N63" s="8" t="str">
        <x:v>Yes</x:v>
      </x:c>
      <x:c r="O63" s="8" t="str">
        <x:v>Client-dependent</x:v>
      </x:c>
      <x:c r="P63" s="8" t="str">
        <x:v>Yes</x:v>
      </x:c>
      <x:c r="Q63" s="8" t="str">
        <x:v>Yes</x:v>
      </x:c>
      <x:c r="R63" s="8" t="str">
        <x:v>N/A</x:v>
      </x:c>
      <x:c r="S63" s="8" t="str">
        <x:v>Yes</x:v>
      </x:c>
      <x:c r="T63" s="8" t="str">
        <x:v>Yes</x:v>
      </x:c>
      <x:c r="U63" s="8" t="str">
        <x:v>Yes</x:v>
      </x:c>
      <x:c r="V63" s="8" t="str">
        <x:v>Yes</x:v>
      </x:c>
      <x:c r="W63" s="8" t="str">
        <x:v>Yes</x:v>
      </x:c>
      <x:c r="X63" s="8"/>
      <x:c r="Y63" s="8" t="str">
        <x:v>Yes</x:v>
      </x:c>
      <x:c r="Z63" s="8" t="str">
        <x:v>Yes</x:v>
      </x:c>
      <x:c r="AA63" s="8" t="str">
        <x:v>Yes</x:v>
      </x:c>
      <x:c r="AB63" s="8"/>
      <x:c r="AC63" s="9"/>
      <x:c r="AD63" s="8"/>
      <x:c r="AE63" s="8"/>
      <x:c r="AF63" s="8"/>
      <x:c r="AG63" s="8" t="str">
        <x:v>Yes</x:v>
      </x:c>
      <x:c r="AH63" s="14" t="n">
        <x:v>20</x:v>
      </x:c>
      <x:c r="AI63" s="15" t="str">
        <x:v>Canonical source for Basic Features!20</x:v>
      </x:c>
    </x:row>
    <x:row r="64">
      <x:c r="A64" s="12" t="str">
        <x:v>Basic Features</x:v>
      </x:c>
      <x:c r="B64" s="13" t="str">
        <x:v>User Profiles</x:v>
      </x:c>
      <x:c r="C64" s="8" t="str">
        <x:v>Yes</x:v>
      </x:c>
      <x:c r="D64" s="8" t="str">
        <x:v>Key-based profile</x:v>
      </x:c>
      <x:c r="E64" s="8" t="str">
        <x:v>Yes</x:v>
      </x:c>
      <x:c r="F64" s="8" t="str">
        <x:v>Yes</x:v>
      </x:c>
      <x:c r="G64" s="8" t="str">
        <x:v>Yes</x:v>
      </x:c>
      <x:c r="H64" s="8" t="str">
        <x:v>Yes</x:v>
      </x:c>
      <x:c r="I64" s="8" t="str">
        <x:v>Yes</x:v>
      </x:c>
      <x:c r="J64" s="8"/>
      <x:c r="K64" s="8" t="str">
        <x:v>Key-based profile</x:v>
      </x:c>
      <x:c r="L64" s="8" t="str">
        <x:v>Yes</x:v>
      </x:c>
      <x:c r="M64" s="8" t="str">
        <x:v>Yes</x:v>
      </x:c>
      <x:c r="N64" s="8" t="str">
        <x:v>Yes</x:v>
      </x:c>
      <x:c r="O64" s="8" t="str">
        <x:v>Client-dependent</x:v>
      </x:c>
      <x:c r="P64" s="8" t="str">
        <x:v>Yes</x:v>
      </x:c>
      <x:c r="Q64" s="8" t="str">
        <x:v>Yes</x:v>
      </x:c>
      <x:c r="R64" s="8" t="str">
        <x:v>User identities</x:v>
      </x:c>
      <x:c r="S64" s="8" t="str">
        <x:v>Yes</x:v>
      </x:c>
      <x:c r="T64" s="8" t="str">
        <x:v>Yes</x:v>
      </x:c>
      <x:c r="U64" s="8" t="str">
        <x:v>Yes</x:v>
      </x:c>
      <x:c r="V64" s="8" t="str">
        <x:v>Yes</x:v>
      </x:c>
      <x:c r="W64" s="8" t="str">
        <x:v>Yes</x:v>
      </x:c>
      <x:c r="X64" s="8" t="str">
        <x:v>ATProto profile</x:v>
      </x:c>
      <x:c r="Y64" s="8" t="str">
        <x:v>Yes</x:v>
      </x:c>
      <x:c r="Z64" s="8" t="str">
        <x:v>Yes</x:v>
      </x:c>
      <x:c r="AA64" s="8" t="str">
        <x:v>Yes</x:v>
      </x:c>
      <x:c r="AB64" s="8" t="str">
        <x:v>Yes</x:v>
      </x:c>
      <x:c r="AC64" s="9" t="str">
        <x:v>Yes</x:v>
      </x:c>
      <x:c r="AD64" s="8" t="str">
        <x:v>Yes</x:v>
      </x:c>
      <x:c r="AE64" s="8" t="str">
        <x:v>Yes</x:v>
      </x:c>
      <x:c r="AF64" s="8" t="str">
        <x:v>Yes</x:v>
      </x:c>
      <x:c r="AG64" s="8" t="str">
        <x:v>Yes</x:v>
      </x:c>
      <x:c r="AH64" s="14" t="n">
        <x:v>22</x:v>
      </x:c>
      <x:c r="AI64" s="15" t="str">
        <x:v>Canonical source for Basic Features!22</x:v>
      </x:c>
    </x:row>
    <x:row r="65" ht="60">
      <x:c r="A65" s="12" t="str">
        <x:v>Basic Features</x:v>
      </x:c>
      <x:c r="B65" s="13" t="str">
        <x:v>Per-Community Profiles</x:v>
      </x:c>
      <x:c r="C65" s="8" t="str">
        <x:v>Yes: per-server profiles; some customization requires Nitro</x:v>
      </x:c>
      <x:c r="D65" s="8" t="str">
        <x:v>Nostr identity</x:v>
      </x:c>
      <x:c r="E65" s="8" t="str">
        <x:v>Server profile</x:v>
      </x:c>
      <x:c r="F65" s="8"/>
      <x:c r="G65" s="8"/>
      <x:c r="H65" s="8"/>
      <x:c r="I65" s="8"/>
      <x:c r="J65" s="8"/>
      <x:c r="K65" s="8" t="str">
        <x:v>N/A</x:v>
      </x:c>
      <x:c r="L65" s="8"/>
      <x:c r="M65" s="8"/>
      <x:c r="N65" s="8"/>
      <x:c r="O65" s="8" t="str">
        <x:v>Client-dependent</x:v>
      </x:c>
      <x:c r="P65" s="8" t="str">
        <x:v>Yes</x:v>
      </x:c>
      <x:c r="Q65" s="8"/>
      <x:c r="R65" s="8" t="str">
        <x:v>Server-specific</x:v>
      </x:c>
      <x:c r="S65" s="8"/>
      <x:c r="T65" s="8"/>
      <x:c r="U65" s="8"/>
      <x:c r="V65" s="8" t="str">
        <x:v>Yes</x:v>
      </x:c>
      <x:c r="W65" s="8" t="str">
        <x:v>Yes</x:v>
      </x:c>
      <x:c r="X65" s="8" t="str">
        <x:v>ATProto identity</x:v>
      </x:c>
      <x:c r="Y65" s="8"/>
      <x:c r="Z65" s="8" t="str">
        <x:v>Yes/target</x:v>
      </x:c>
      <x:c r="AA65" s="8" t="str">
        <x:v>Yes: server-specific profiles free</x:v>
      </x:c>
      <x:c r="AB65" s="8"/>
      <x:c r="AC65" s="9" t="str">
        <x:v>Planet profile</x:v>
      </x:c>
      <x:c r="AD65" s="8"/>
      <x:c r="AE65" s="8" t="str">
        <x:v>Crew/lobby identity</x:v>
      </x:c>
      <x:c r="AF65" s="8"/>
      <x:c r="AG65" s="8" t="str">
        <x:v>Per-organization profile</x:v>
      </x:c>
      <x:c r="AH65" s="14" t="n">
        <x:v>23</x:v>
      </x:c>
      <x:c r="AI65" s="15" t="str">
        <x:v>Canonical source for Basic Features!23</x:v>
      </x:c>
    </x:row>
    <x:row r="66">
      <x:c r="A66" s="12" t="str">
        <x:v>Basic Features</x:v>
      </x:c>
      <x:c r="B66" s="13" t="str">
        <x:v>Member Lists</x:v>
      </x:c>
      <x:c r="C66" s="8" t="str">
        <x:v>Yes</x:v>
      </x:c>
      <x:c r="D66" s="8"/>
      <x:c r="E66" s="8" t="str">
        <x:v>Yes</x:v>
      </x:c>
      <x:c r="F66" s="8" t="str">
        <x:v>Yes</x:v>
      </x:c>
      <x:c r="G66" s="8" t="str">
        <x:v>Yes</x:v>
      </x:c>
      <x:c r="H66" s="8" t="str">
        <x:v>Yes</x:v>
      </x:c>
      <x:c r="I66" s="8" t="str">
        <x:v>Yes</x:v>
      </x:c>
      <x:c r="J66" s="8"/>
      <x:c r="K66" s="8"/>
      <x:c r="L66" s="8" t="str">
        <x:v>Yes</x:v>
      </x:c>
      <x:c r="M66" s="8" t="str">
        <x:v>Yes</x:v>
      </x:c>
      <x:c r="N66" s="8" t="str">
        <x:v>Yes</x:v>
      </x:c>
      <x:c r="O66" s="8" t="str">
        <x:v>Client-dependent</x:v>
      </x:c>
      <x:c r="P66" s="8" t="str">
        <x:v>Yes</x:v>
      </x:c>
      <x:c r="Q66" s="8" t="str">
        <x:v>Yes</x:v>
      </x:c>
      <x:c r="R66" s="8" t="str">
        <x:v>Yes</x:v>
      </x:c>
      <x:c r="S66" s="8" t="str">
        <x:v>Yes</x:v>
      </x:c>
      <x:c r="T66" s="8" t="str">
        <x:v>Yes</x:v>
      </x:c>
      <x:c r="U66" s="8" t="str">
        <x:v>Yes</x:v>
      </x:c>
      <x:c r="V66" s="8" t="str">
        <x:v>Yes</x:v>
      </x:c>
      <x:c r="W66" s="8" t="str">
        <x:v>Yes</x:v>
      </x:c>
      <x:c r="X66" s="8"/>
      <x:c r="Y66" s="8" t="str">
        <x:v>Yes</x:v>
      </x:c>
      <x:c r="Z66" s="8" t="str">
        <x:v>Yes</x:v>
      </x:c>
      <x:c r="AA66" s="8" t="str">
        <x:v>Yes</x:v>
      </x:c>
      <x:c r="AB66" s="8" t="str">
        <x:v>Yes</x:v>
      </x:c>
      <x:c r="AC66" s="9" t="str">
        <x:v>Yes</x:v>
      </x:c>
      <x:c r="AD66" s="8"/>
      <x:c r="AE66" s="8" t="str">
        <x:v>Yes</x:v>
      </x:c>
      <x:c r="AF66" s="8"/>
      <x:c r="AG66" s="8" t="str">
        <x:v>Yes</x:v>
      </x:c>
      <x:c r="AH66" s="14" t="n">
        <x:v>24</x:v>
      </x:c>
      <x:c r="AI66" s="15" t="str">
        <x:v>Canonical source for Basic Features!24</x:v>
      </x:c>
    </x:row>
    <x:row r="67">
      <x:c r="A67" s="12" t="str">
        <x:v>Basic Features</x:v>
      </x:c>
      <x:c r="B67" s="13" t="str">
        <x:v>Presence / Status</x:v>
      </x:c>
      <x:c r="C67" s="8" t="str">
        <x:v>Yes</x:v>
      </x:c>
      <x:c r="D67" s="8"/>
      <x:c r="E67" s="8"/>
      <x:c r="F67" s="8"/>
      <x:c r="G67" s="8"/>
      <x:c r="H67" s="8"/>
      <x:c r="I67" s="8"/>
      <x:c r="J67" s="8"/>
      <x:c r="K67" s="8"/>
      <x:c r="L67" s="8" t="str">
        <x:v>Yes</x:v>
      </x:c>
      <x:c r="M67" s="8"/>
      <x:c r="N67" s="8" t="str">
        <x:v>Yes</x:v>
      </x:c>
      <x:c r="O67" s="8" t="str">
        <x:v>Client-dependent</x:v>
      </x:c>
      <x:c r="P67" s="8"/>
      <x:c r="Q67" s="8"/>
      <x:c r="R67" s="8"/>
      <x:c r="S67" s="8" t="str">
        <x:v>Yes</x:v>
      </x:c>
      <x:c r="T67" s="8"/>
      <x:c r="U67" s="8"/>
      <x:c r="V67" s="8" t="str">
        <x:v>Yes</x:v>
      </x:c>
      <x:c r="W67" s="8"/>
      <x:c r="X67" s="8"/>
      <x:c r="Y67" s="8"/>
      <x:c r="Z67" s="8"/>
      <x:c r="AA67" s="8" t="str">
        <x:v>Yes</x:v>
      </x:c>
      <x:c r="AB67" s="8"/>
      <x:c r="AC67" s="9"/>
      <x:c r="AD67" s="8"/>
      <x:c r="AE67" s="8"/>
      <x:c r="AF67" s="8"/>
      <x:c r="AG67" s="8" t="str">
        <x:v>Yes</x:v>
      </x:c>
      <x:c r="AH67" s="14" t="n">
        <x:v>25</x:v>
      </x:c>
      <x:c r="AI67" s="15" t="str">
        <x:v>Canonical source for Basic Features!25</x:v>
      </x:c>
    </x:row>
    <x:row r="68">
      <x:c r="A68" s="12" t="str">
        <x:v>Basic Features</x:v>
      </x:c>
      <x:c r="B68" s="13" t="str">
        <x:v>Block / Mute Users</x:v>
      </x:c>
      <x:c r="C68" s="8" t="str">
        <x:v>Yes</x:v>
      </x:c>
      <x:c r="D68" s="8"/>
      <x:c r="E68" s="8"/>
      <x:c r="F68" s="8"/>
      <x:c r="G68" s="8"/>
      <x:c r="H68" s="8"/>
      <x:c r="I68" s="8"/>
      <x:c r="J68" s="8"/>
      <x:c r="K68" s="8"/>
      <x:c r="L68" s="8" t="str">
        <x:v>Yes</x:v>
      </x:c>
      <x:c r="M68" s="8"/>
      <x:c r="N68" s="8"/>
      <x:c r="O68" s="8" t="str">
        <x:v>Client-dependent</x:v>
      </x:c>
      <x:c r="P68" s="8"/>
      <x:c r="Q68" s="8"/>
      <x:c r="R68" s="8"/>
      <x:c r="S68" s="8"/>
      <x:c r="T68" s="8"/>
      <x:c r="U68" s="8"/>
      <x:c r="V68" s="8" t="str">
        <x:v>Yes</x:v>
      </x:c>
      <x:c r="W68" s="8"/>
      <x:c r="X68" s="8"/>
      <x:c r="Y68" s="8"/>
      <x:c r="Z68" s="8"/>
      <x:c r="AA68" s="8" t="str">
        <x:v>Yes</x:v>
      </x:c>
      <x:c r="AB68" s="8"/>
      <x:c r="AC68" s="9"/>
      <x:c r="AD68" s="8"/>
      <x:c r="AE68" s="8"/>
      <x:c r="AF68" s="8"/>
      <x:c r="AG68" s="8" t="str">
        <x:v>Yes</x:v>
      </x:c>
      <x:c r="AH68" s="14" t="n">
        <x:v>26</x:v>
      </x:c>
      <x:c r="AI68" s="15" t="str">
        <x:v>Canonical source for Basic Features!26</x:v>
      </x:c>
    </x:row>
    <x:row r="69" ht="30">
      <x:c r="A69" s="12" t="str">
        <x:v>Advanced Features</x:v>
      </x:c>
      <x:c r="B69" s="13" t="str">
        <x:v>Granular Role Permissions</x:v>
      </x:c>
      <x:c r="C69" s="8" t="str">
        <x:v>Yes</x:v>
      </x:c>
      <x:c r="D69" s="8" t="str">
        <x:v>Yes</x:v>
      </x:c>
      <x:c r="E69" s="8" t="str">
        <x:v>Yes</x:v>
      </x:c>
      <x:c r="F69" s="8" t="str">
        <x:v>Yes</x:v>
      </x:c>
      <x:c r="G69" s="8" t="str">
        <x:v>Yes</x:v>
      </x:c>
      <x:c r="H69" s="8" t="str">
        <x:v>Yes</x:v>
      </x:c>
      <x:c r="I69" s="8" t="str">
        <x:v>Yes</x:v>
      </x:c>
      <x:c r="J69" s="8" t="str">
        <x:v>Discord-compatible</x:v>
      </x:c>
      <x:c r="K69" s="8"/>
      <x:c r="L69" s="8" t="str">
        <x:v>Yes</x:v>
      </x:c>
      <x:c r="M69" s="8" t="str">
        <x:v>Yes</x:v>
      </x:c>
      <x:c r="N69" s="8" t="str">
        <x:v>Yes</x:v>
      </x:c>
      <x:c r="O69" s="8" t="str">
        <x:v>Yes via room power levels</x:v>
      </x:c>
      <x:c r="P69" s="8" t="str">
        <x:v>Yes</x:v>
      </x:c>
      <x:c r="Q69" s="8" t="str">
        <x:v>Yes</x:v>
      </x:c>
      <x:c r="R69" s="8" t="str">
        <x:v>Yes: detailed ACLs</x:v>
      </x:c>
      <x:c r="S69" s="8" t="str">
        <x:v>Yes</x:v>
      </x:c>
      <x:c r="T69" s="8" t="str">
        <x:v>Yes</x:v>
      </x:c>
      <x:c r="U69" s="8" t="str">
        <x:v>Yes: allow / inherit / deny per channel</x:v>
      </x:c>
      <x:c r="V69" s="8" t="str">
        <x:v>Yes</x:v>
      </x:c>
      <x:c r="W69" s="8" t="str">
        <x:v>Yes</x:v>
      </x:c>
      <x:c r="X69" s="8"/>
      <x:c r="Y69" s="8" t="str">
        <x:v>Yes</x:v>
      </x:c>
      <x:c r="Z69" s="8" t="str">
        <x:v>Yes</x:v>
      </x:c>
      <x:c r="AA69" s="8" t="str">
        <x:v>Yes</x:v>
      </x:c>
      <x:c r="AB69" s="8" t="str">
        <x:v>Yes</x:v>
      </x:c>
      <x:c r="AC69" s="9" t="str">
        <x:v>Yes</x:v>
      </x:c>
      <x:c r="AD69" s="8"/>
      <x:c r="AE69" s="8" t="str">
        <x:v>Yes</x:v>
      </x:c>
      <x:c r="AF69" s="8" t="str">
        <x:v>Server permissions</x:v>
      </x:c>
      <x:c r="AG69" s="8" t="str">
        <x:v>Yes</x:v>
      </x:c>
      <x:c r="AH69" s="14" t="n">
        <x:v>4</x:v>
      </x:c>
      <x:c r="AI69" s="15" t="str">
        <x:v>Canonical source for Advanced Features!4</x:v>
      </x:c>
    </x:row>
    <x:row r="70" ht="30">
      <x:c r="A70" s="12" t="str">
        <x:v>Advanced Features</x:v>
      </x:c>
      <x:c r="B70" s="13" t="str">
        <x:v>Hierarchies</x:v>
      </x:c>
      <x:c r="C70" s="8" t="str">
        <x:v>Yes: role hierarchy</x:v>
      </x:c>
      <x:c r="D70" s="8"/>
      <x:c r="E70" s="8" t="str">
        <x:v>Yes</x:v>
      </x:c>
      <x:c r="F70" s="8" t="str">
        <x:v>Yes</x:v>
      </x:c>
      <x:c r="G70" s="8" t="str">
        <x:v>Yes</x:v>
      </x:c>
      <x:c r="H70" s="8" t="str">
        <x:v>Yes</x:v>
      </x:c>
      <x:c r="I70" s="8" t="str">
        <x:v>Yes</x:v>
      </x:c>
      <x:c r="J70" s="8" t="str">
        <x:v>Discord-compatible</x:v>
      </x:c>
      <x:c r="K70" s="8"/>
      <x:c r="L70" s="8" t="str">
        <x:v>Yes</x:v>
      </x:c>
      <x:c r="M70" s="8" t="str">
        <x:v>Yes</x:v>
      </x:c>
      <x:c r="N70" s="8" t="str">
        <x:v>Yes</x:v>
      </x:c>
      <x:c r="O70" s="8" t="str">
        <x:v>Spaces/rooms hierarchy supported</x:v>
      </x:c>
      <x:c r="P70" s="8" t="str">
        <x:v>Teams/channels</x:v>
      </x:c>
      <x:c r="Q70" s="8" t="str">
        <x:v>Yes</x:v>
      </x:c>
      <x:c r="R70" s="8" t="str">
        <x:v>Yes: channel hierarchy</x:v>
      </x:c>
      <x:c r="S70" s="8" t="str">
        <x:v>Yes</x:v>
      </x:c>
      <x:c r="T70" s="8" t="str">
        <x:v>Yes</x:v>
      </x:c>
      <x:c r="U70" s="8" t="str">
        <x:v>Yes</x:v>
      </x:c>
      <x:c r="V70" s="8" t="str">
        <x:v>Yes</x:v>
      </x:c>
      <x:c r="W70" s="8" t="str">
        <x:v>Teams/channels</x:v>
      </x:c>
      <x:c r="X70" s="8" t="str">
        <x:v>Spaces</x:v>
      </x:c>
      <x:c r="Y70" s="8" t="str">
        <x:v>Yes</x:v>
      </x:c>
      <x:c r="Z70" s="8" t="str">
        <x:v>Yes</x:v>
      </x:c>
      <x:c r="AA70" s="8" t="str">
        <x:v>Yes</x:v>
      </x:c>
      <x:c r="AB70" s="8" t="str">
        <x:v>Yes</x:v>
      </x:c>
      <x:c r="AC70" s="9" t="str">
        <x:v>Yes</x:v>
      </x:c>
      <x:c r="AD70" s="8"/>
      <x:c r="AE70" s="8" t="str">
        <x:v>Lobby/room hierarchy</x:v>
      </x:c>
      <x:c r="AF70" s="8"/>
      <x:c r="AG70" s="8" t="str">
        <x:v>Stream/topic hierarchy</x:v>
      </x:c>
      <x:c r="AH70" s="14" t="n">
        <x:v>5</x:v>
      </x:c>
      <x:c r="AI70" s="15" t="str">
        <x:v>Canonical source for Advanced Features!5</x:v>
      </x:c>
    </x:row>
    <x:row r="71" ht="30">
      <x:c r="A71" s="12" t="str">
        <x:v>Advanced Features</x:v>
      </x:c>
      <x:c r="B71" s="13" t="str">
        <x:v>Channel Overrides</x:v>
      </x:c>
      <x:c r="C71" s="8" t="str">
        <x:v>Yes</x:v>
      </x:c>
      <x:c r="D71" s="8"/>
      <x:c r="E71" s="8" t="str">
        <x:v>Yes</x:v>
      </x:c>
      <x:c r="F71" s="8" t="str">
        <x:v>Yes</x:v>
      </x:c>
      <x:c r="G71" s="8" t="str">
        <x:v>Yes: channel-level permissions</x:v>
      </x:c>
      <x:c r="H71" s="8" t="str">
        <x:v>Yes</x:v>
      </x:c>
      <x:c r="I71" s="8" t="str">
        <x:v>Yes</x:v>
      </x:c>
      <x:c r="J71" s="8" t="str">
        <x:v>Discord-compatible</x:v>
      </x:c>
      <x:c r="K71" s="8"/>
      <x:c r="L71" s="8" t="str">
        <x:v>Yes</x:v>
      </x:c>
      <x:c r="M71" s="8" t="str">
        <x:v>Yes</x:v>
      </x:c>
      <x:c r="N71" s="8" t="str">
        <x:v>Yes</x:v>
      </x:c>
      <x:c r="O71" s="8" t="str">
        <x:v>Room-level permissions</x:v>
      </x:c>
      <x:c r="P71" s="8" t="str">
        <x:v>Yes</x:v>
      </x:c>
      <x:c r="Q71" s="8" t="str">
        <x:v>Yes</x:v>
      </x:c>
      <x:c r="R71" s="8" t="str">
        <x:v>Yes: ACL inheritance/overrides</x:v>
      </x:c>
      <x:c r="S71" s="8" t="str">
        <x:v>Yes</x:v>
      </x:c>
      <x:c r="T71" s="8" t="str">
        <x:v>Yes</x:v>
      </x:c>
      <x:c r="U71" s="8" t="str">
        <x:v>Yes: per-channel role permissions</x:v>
      </x:c>
      <x:c r="V71" s="8" t="str">
        <x:v>Yes</x:v>
      </x:c>
      <x:c r="W71" s="8" t="str">
        <x:v>Yes</x:v>
      </x:c>
      <x:c r="X71" s="8"/>
      <x:c r="Y71" s="8" t="str">
        <x:v>Yes</x:v>
      </x:c>
      <x:c r="Z71" s="8" t="str">
        <x:v>Yes</x:v>
      </x:c>
      <x:c r="AA71" s="8" t="str">
        <x:v>Yes</x:v>
      </x:c>
      <x:c r="AB71" s="8" t="str">
        <x:v>Yes</x:v>
      </x:c>
      <x:c r="AC71" s="9" t="str">
        <x:v>Yes</x:v>
      </x:c>
      <x:c r="AD71" s="8"/>
      <x:c r="AE71" s="8" t="str">
        <x:v>Yes</x:v>
      </x:c>
      <x:c r="AF71" s="8"/>
      <x:c r="AG71" s="8" t="str">
        <x:v>Stream permissions</x:v>
      </x:c>
      <x:c r="AH71" s="14" t="n">
        <x:v>6</x:v>
      </x:c>
      <x:c r="AI71" s="15" t="str">
        <x:v>Canonical source for Advanced Features!6</x:v>
      </x:c>
    </x:row>
    <x:row r="72" ht="45">
      <x:c r="A72" s="12" t="str">
        <x:v>Advanced Features</x:v>
      </x:c>
      <x:c r="B72" s="13" t="str">
        <x:v>Three-State Allow / Deny / Inherit</x:v>
      </x:c>
      <x:c r="C72" s="8" t="str">
        <x:v>Partial / permission overwrites</x:v>
      </x:c>
      <x:c r="D72" s="8"/>
      <x:c r="E72" s="8"/>
      <x:c r="F72" s="8"/>
      <x:c r="G72" s="8"/>
      <x:c r="H72" s="8"/>
      <x:c r="I72" s="8"/>
      <x:c r="J72" s="8"/>
      <x:c r="K72" s="8"/>
      <x:c r="L72" s="8" t="str">
        <x:v>Not explicitly documented as a three-state UI model</x:v>
      </x:c>
      <x:c r="M72" s="8"/>
      <x:c r="N72" s="8"/>
      <x:c r="O72" s="8"/>
      <x:c r="P72" s="8"/>
      <x:c r="Q72" s="8"/>
      <x:c r="R72" s="8"/>
      <x:c r="S72" s="8"/>
      <x:c r="T72" s="8"/>
      <x:c r="U72" s="8" t="str">
        <x:v>Yes</x:v>
      </x:c>
      <x:c r="V72" s="8" t="str">
        <x:v>Yes: explicit allow/deny/inherit</x:v>
      </x:c>
      <x:c r="W72" s="8"/>
      <x:c r="X72" s="8"/>
      <x:c r="Y72" s="8"/>
      <x:c r="Z72" s="8"/>
      <x:c r="AA72" s="8"/>
      <x:c r="AB72" s="8"/>
      <x:c r="AC72" s="9"/>
      <x:c r="AD72" s="8"/>
      <x:c r="AE72" s="8"/>
      <x:c r="AF72" s="8"/>
      <x:c r="AG72" s="8"/>
      <x:c r="AH72" s="14" t="n">
        <x:v>7</x:v>
      </x:c>
      <x:c r="AI72" s="15" t="str">
        <x:v>Canonical source for Advanced Features!7</x:v>
      </x:c>
    </x:row>
    <x:row r="73" ht="45">
      <x:c r="A73" s="12" t="str">
        <x:v>Advanced Features</x:v>
      </x:c>
      <x:c r="B73" s="13" t="str">
        <x:v>Forum Channels / Boards</x:v>
      </x:c>
      <x:c r="C73" s="8" t="str">
        <x:v>Yes: Forum Channels</x:v>
      </x:c>
      <x:c r="D73" s="8" t="str">
        <x:v>Threads</x:v>
      </x:c>
      <x:c r="E73" s="8"/>
      <x:c r="F73" s="8"/>
      <x:c r="G73" s="8" t="str">
        <x:v>Planned; not current</x:v>
      </x:c>
      <x:c r="H73" s="8"/>
      <x:c r="I73" s="8" t="str">
        <x:v>No native forums verified</x:v>
      </x:c>
      <x:c r="J73" s="8"/>
      <x:c r="K73" s="8" t="str">
        <x:v>No</x:v>
      </x:c>
      <x:c r="L73" s="8" t="str">
        <x:v>Yes</x:v>
      </x:c>
      <x:c r="M73" s="8" t="str">
        <x:v>Yes</x:v>
      </x:c>
      <x:c r="N73" s="8" t="str">
        <x:v>Yes</x:v>
      </x:c>
      <x:c r="O73" s="8" t="str">
        <x:v>Client-dependent</x:v>
      </x:c>
      <x:c r="P73" s="8" t="str">
        <x:v>No native forum channel</x:v>
      </x:c>
      <x:c r="Q73" s="8"/>
      <x:c r="R73" s="8" t="str">
        <x:v>N/A</x:v>
      </x:c>
      <x:c r="S73" s="8"/>
      <x:c r="T73" s="8"/>
      <x:c r="U73" s="8"/>
      <x:c r="V73" s="8" t="str">
        <x:v>Yes</x:v>
      </x:c>
      <x:c r="W73" s="8" t="str">
        <x:v>Discussions/threads rather than forum channel</x:v>
      </x:c>
      <x:c r="X73" s="8" t="str">
        <x:v>Forum-like documentation/posts</x:v>
      </x:c>
      <x:c r="Y73" s="8" t="str">
        <x:v>No dedicated forum channel verified</x:v>
      </x:c>
      <x:c r="Z73" s="8"/>
      <x:c r="AA73" s="8" t="str">
        <x:v>No native forums verified</x:v>
      </x:c>
      <x:c r="AB73" s="8" t="str">
        <x:v>No native forum verified</x:v>
      </x:c>
      <x:c r="AC73" s="9" t="str">
        <x:v>Thread feed</x:v>
      </x:c>
      <x:c r="AD73" s="8"/>
      <x:c r="AE73" s="8" t="str">
        <x:v>Persistent channels/threads</x:v>
      </x:c>
      <x:c r="AF73" s="8" t="str">
        <x:v>No</x:v>
      </x:c>
      <x:c r="AG73" s="8" t="str">
        <x:v>Topic model functions like structured threads rather than forums</x:v>
      </x:c>
      <x:c r="AH73" s="14" t="n">
        <x:v>9</x:v>
      </x:c>
      <x:c r="AI73" s="15" t="str">
        <x:v>Canonical source for Advanced Features!9</x:v>
      </x:c>
    </x:row>
    <x:row r="74" ht="45">
      <x:c r="A74" s="12" t="str">
        <x:v>Advanced Features</x:v>
      </x:c>
      <x:c r="B74" s="13" t="str">
        <x:v>Threads</x:v>
      </x:c>
      <x:c r="C74" s="8" t="str">
        <x:v>Yes</x:v>
      </x:c>
      <x:c r="D74" s="8" t="str">
        <x:v>Yes</x:v>
      </x:c>
      <x:c r="E74" s="8"/>
      <x:c r="F74" s="8" t="str">
        <x:v>Yes</x:v>
      </x:c>
      <x:c r="G74" s="8" t="str">
        <x:v>Planned; not current</x:v>
      </x:c>
      <x:c r="H74" s="8"/>
      <x:c r="I74" s="8"/>
      <x:c r="J74" s="8" t="str">
        <x:v>Threads supported</x:v>
      </x:c>
      <x:c r="K74" s="8"/>
      <x:c r="L74" s="8" t="str">
        <x:v>Yes</x:v>
      </x:c>
      <x:c r="M74" s="8" t="str">
        <x:v>Yes</x:v>
      </x:c>
      <x:c r="N74" s="8" t="str">
        <x:v>Yes</x:v>
      </x:c>
      <x:c r="O74" s="8" t="str">
        <x:v>Threads supported by capable clients</x:v>
      </x:c>
      <x:c r="P74" s="8" t="str">
        <x:v>Yes</x:v>
      </x:c>
      <x:c r="Q74" s="8" t="str">
        <x:v>Yes</x:v>
      </x:c>
      <x:c r="R74" s="8" t="str">
        <x:v>N/A</x:v>
      </x:c>
      <x:c r="S74" s="8"/>
      <x:c r="T74" s="8"/>
      <x:c r="U74" s="8" t="str">
        <x:v>Yes</x:v>
      </x:c>
      <x:c r="V74" s="8" t="str">
        <x:v>Yes</x:v>
      </x:c>
      <x:c r="W74" s="8" t="str">
        <x:v>Yes</x:v>
      </x:c>
      <x:c r="X74" s="8" t="str">
        <x:v>Yes: document/thread model</x:v>
      </x:c>
      <x:c r="Y74" s="8"/>
      <x:c r="Z74" s="8"/>
      <x:c r="AA74" s="8"/>
      <x:c r="AB74" s="8"/>
      <x:c r="AC74" s="9" t="str">
        <x:v>Yes</x:v>
      </x:c>
      <x:c r="AD74" s="8"/>
      <x:c r="AE74" s="8" t="str">
        <x:v>Yes</x:v>
      </x:c>
      <x:c r="AF74" s="8" t="str">
        <x:v>No</x:v>
      </x:c>
      <x:c r="AG74" s="8" t="str">
        <x:v>Yes: topics are first-class threading</x:v>
      </x:c>
      <x:c r="AH74" s="14" t="n">
        <x:v>10</x:v>
      </x:c>
      <x:c r="AI74" s="15" t="str">
        <x:v>Canonical source for Advanced Features!10</x:v>
      </x:c>
    </x:row>
    <x:row r="75">
      <x:c r="A75" s="12" t="str">
        <x:v>Advanced Features</x:v>
      </x:c>
      <x:c r="B75" s="13" t="str">
        <x:v>Private Threads</x:v>
      </x:c>
      <x:c r="C75" s="8" t="str">
        <x:v>Yes</x:v>
      </x:c>
      <x:c r="D75" s="8"/>
      <x:c r="E75" s="8"/>
      <x:c r="F75" s="8"/>
      <x:c r="G75" s="8"/>
      <x:c r="H75" s="8"/>
      <x:c r="I75" s="8"/>
      <x:c r="J75" s="8"/>
      <x:c r="K75" s="8"/>
      <x:c r="L75" s="8" t="str">
        <x:v>Yes</x:v>
      </x:c>
      <x:c r="M75" s="8"/>
      <x:c r="N75" s="8"/>
      <x:c r="O75" s="8"/>
      <x:c r="P75" s="8"/>
      <x:c r="Q75" s="8"/>
      <x:c r="R75" s="8"/>
      <x:c r="S75" s="8"/>
      <x:c r="T75" s="8"/>
      <x:c r="U75" s="8"/>
      <x:c r="V75" s="8" t="str">
        <x:v>Yes</x:v>
      </x:c>
      <x:c r="W75" s="8"/>
      <x:c r="X75" s="8"/>
      <x:c r="Y75" s="8"/>
      <x:c r="Z75" s="8"/>
      <x:c r="AA75" s="8"/>
      <x:c r="AB75" s="8"/>
      <x:c r="AC75" s="9"/>
      <x:c r="AD75" s="8"/>
      <x:c r="AE75" s="8"/>
      <x:c r="AF75" s="8"/>
      <x:c r="AG75" s="8"/>
      <x:c r="AH75" s="14" t="n">
        <x:v>11</x:v>
      </x:c>
      <x:c r="AI75" s="15" t="str">
        <x:v>Canonical source for Advanced Features!11</x:v>
      </x:c>
    </x:row>
    <x:row r="76" ht="75">
      <x:c r="A76" s="12" t="str">
        <x:v>Advanced Features</x:v>
      </x:c>
      <x:c r="B76" s="13" t="str">
        <x:v>Forum Tags / Flair</x:v>
      </x:c>
      <x:c r="C76" s="8" t="str">
        <x:v>Yes</x:v>
      </x:c>
      <x:c r="D76" s="8"/>
      <x:c r="E76" s="8"/>
      <x:c r="F76" s="8"/>
      <x:c r="G76" s="8"/>
      <x:c r="H76" s="8"/>
      <x:c r="I76" s="8"/>
      <x:c r="J76" s="8"/>
      <x:c r="K76" s="8"/>
      <x:c r="L76" s="8" t="str">
        <x:v>Yes: forum/thread metadata includes tags; exact tag UX/limits not fully reviewed</x:v>
      </x:c>
      <x:c r="M76" s="8"/>
      <x:c r="N76" s="8"/>
      <x:c r="O76" s="8"/>
      <x:c r="P76" s="8"/>
      <x:c r="Q76" s="8"/>
      <x:c r="R76" s="8"/>
      <x:c r="S76" s="8"/>
      <x:c r="T76" s="8"/>
      <x:c r="U76" s="8"/>
      <x:c r="V76" s="8" t="str">
        <x:v>Yes: tags, flair, tag groups &amp; filters</x:v>
      </x:c>
      <x:c r="W76" s="8"/>
      <x:c r="X76" s="8"/>
      <x:c r="Y76" s="8"/>
      <x:c r="Z76" s="8"/>
      <x:c r="AA76" s="8"/>
      <x:c r="AB76" s="8"/>
      <x:c r="AC76" s="9"/>
      <x:c r="AD76" s="8"/>
      <x:c r="AE76" s="8"/>
      <x:c r="AF76" s="8"/>
      <x:c r="AG76" s="8"/>
      <x:c r="AH76" s="14" t="n">
        <x:v>12</x:v>
      </x:c>
      <x:c r="AI76" s="15" t="str">
        <x:v>Canonical source for Advanced Features!12</x:v>
      </x:c>
    </x:row>
    <x:row r="77" ht="75">
      <x:c r="A77" s="12" t="str">
        <x:v>Advanced Features</x:v>
      </x:c>
      <x:c r="B77" s="13" t="str">
        <x:v>Polls</x:v>
      </x:c>
      <x:c r="C77" s="8" t="str">
        <x:v>Yes</x:v>
      </x:c>
      <x:c r="D77" s="8"/>
      <x:c r="E77" s="8"/>
      <x:c r="F77" s="8"/>
      <x:c r="G77" s="8"/>
      <x:c r="H77" s="8"/>
      <x:c r="I77" s="8" t="str">
        <x:v>Yes</x:v>
      </x:c>
      <x:c r="J77" s="8"/>
      <x:c r="K77" s="8" t="str">
        <x:v>No</x:v>
      </x:c>
      <x:c r="L77" s="8" t="str">
        <x:v>Polls exist as message/application content; no dedicated poll channel type verified</x:v>
      </x:c>
      <x:c r="M77" s="8"/>
      <x:c r="N77" s="8" t="str">
        <x:v>Yes</x:v>
      </x:c>
      <x:c r="O77" s="8" t="str">
        <x:v>Matrix poll events supported by capable clients</x:v>
      </x:c>
      <x:c r="P77" s="8" t="str">
        <x:v>Polls via integrations/plugins</x:v>
      </x:c>
      <x:c r="Q77" s="8"/>
      <x:c r="R77" s="8" t="str">
        <x:v>N/A</x:v>
      </x:c>
      <x:c r="S77" s="8"/>
      <x:c r="T77" s="8"/>
      <x:c r="U77" s="8" t="str">
        <x:v>Yes</x:v>
      </x:c>
      <x:c r="V77" s="8" t="str">
        <x:v>Yes</x:v>
      </x:c>
      <x:c r="W77" s="8" t="str">
        <x:v>Polls/apps</x:v>
      </x:c>
      <x:c r="X77" s="8"/>
      <x:c r="Y77" s="8" t="str">
        <x:v>Polling via app</x:v>
      </x:c>
      <x:c r="Z77" s="8"/>
      <x:c r="AA77" s="8" t="str">
        <x:v>No native polls verified</x:v>
      </x:c>
      <x:c r="AB77" s="8"/>
      <x:c r="AC77" s="9"/>
      <x:c r="AD77" s="8"/>
      <x:c r="AE77" s="8"/>
      <x:c r="AF77" s="8" t="str">
        <x:v>No</x:v>
      </x:c>
      <x:c r="AG77" s="8"/>
      <x:c r="AH77" s="14" t="n">
        <x:v>13</x:v>
      </x:c>
      <x:c r="AI77" s="15" t="str">
        <x:v>Canonical source for Advanced Features!13</x:v>
      </x:c>
    </x:row>
    <x:row r="78" ht="60">
      <x:c r="A78" s="12" t="str">
        <x:v>Advanced Features</x:v>
      </x:c>
      <x:c r="B78" s="13" t="str">
        <x:v>Scheduled Community Events</x:v>
      </x:c>
      <x:c r="C78" s="8" t="str">
        <x:v>Yes: Scheduled Events</x:v>
      </x:c>
      <x:c r="D78" s="8" t="str">
        <x:v>Yes</x:v>
      </x:c>
      <x:c r="E78" s="8"/>
      <x:c r="F78" s="8"/>
      <x:c r="G78" s="8" t="str">
        <x:v>Yes: events</x:v>
      </x:c>
      <x:c r="H78" s="8"/>
      <x:c r="I78" s="8" t="str">
        <x:v>Yes</x:v>
      </x:c>
      <x:c r="J78" s="8"/>
      <x:c r="K78" s="8" t="str">
        <x:v>No</x:v>
      </x:c>
      <x:c r="L78" s="8" t="str">
        <x:v>Yes</x:v>
      </x:c>
      <x:c r="M78" s="8" t="str">
        <x:v>Yes: calendars/events</x:v>
      </x:c>
      <x:c r="N78" s="8" t="str">
        <x:v>Yes</x:v>
      </x:c>
      <x:c r="O78" s="8" t="str">
        <x:v>Client-dependent</x:v>
      </x:c>
      <x:c r="P78" s="8" t="str">
        <x:v>Playbooks/events/integrations; no Discord Scheduled Events equivalent</x:v>
      </x:c>
      <x:c r="Q78" s="8" t="str">
        <x:v>Yes</x:v>
      </x:c>
      <x:c r="R78" s="8" t="str">
        <x:v>N/A</x:v>
      </x:c>
      <x:c r="S78" s="8"/>
      <x:c r="T78" s="8"/>
      <x:c r="U78" s="8"/>
      <x:c r="V78" s="8" t="str">
        <x:v>Yes</x:v>
      </x:c>
      <x:c r="W78" s="8" t="str">
        <x:v>Calendar/apps/integrations; no Discord event equivalent core</x:v>
      </x:c>
      <x:c r="X78" s="8"/>
      <x:c r="Y78" s="8" t="str">
        <x:v>Events/raid planning via apps</x:v>
      </x:c>
      <x:c r="Z78" s="8"/>
      <x:c r="AA78" s="8" t="str">
        <x:v>No native scheduled events verified</x:v>
      </x:c>
      <x:c r="AB78" s="8"/>
      <x:c r="AC78" s="9" t="str">
        <x:v>Events/economy tooling</x:v>
      </x:c>
      <x:c r="AD78" s="8"/>
      <x:c r="AE78" s="8" t="str">
        <x:v>Built-in events/tournaments</x:v>
      </x:c>
      <x:c r="AF78" s="8" t="str">
        <x:v>No</x:v>
      </x:c>
      <x:c r="AG78" s="8" t="str">
        <x:v>No Discord-style server events; integrations possible</x:v>
      </x:c>
      <x:c r="AH78" s="14" t="n">
        <x:v>14</x:v>
      </x:c>
      <x:c r="AI78" s="15" t="str">
        <x:v>Canonical source for Advanced Features!14</x:v>
      </x:c>
    </x:row>
    <x:row r="79" ht="30">
      <x:c r="A79" s="12" t="str">
        <x:v>Advanced Features</x:v>
      </x:c>
      <x:c r="B79" s="13" t="str">
        <x:v>Forms / Structured Responses</x:v>
      </x:c>
      <x:c r="C79" s="8" t="str">
        <x:v>Via apps/bots; no native channel form</x:v>
      </x:c>
      <x:c r="D79" s="8"/>
      <x:c r="E79" s="8"/>
      <x:c r="F79" s="8"/>
      <x:c r="G79" s="8"/>
      <x:c r="H79" s="8"/>
      <x:c r="I79" s="8"/>
      <x:c r="J79" s="8"/>
      <x:c r="K79" s="8"/>
      <x:c r="L79" s="8"/>
      <x:c r="M79" s="8"/>
      <x:c r="N79" s="8"/>
      <x:c r="O79" s="8"/>
      <x:c r="P79" s="8" t="str">
        <x:v>Plugins/integrations</x:v>
      </x:c>
      <x:c r="Q79" s="8"/>
      <x:c r="R79" s="8"/>
      <x:c r="S79" s="8"/>
      <x:c r="T79" s="8"/>
      <x:c r="U79" s="8"/>
      <x:c r="V79" s="8" t="str">
        <x:v>Yes: native forms</x:v>
      </x:c>
      <x:c r="W79" s="8" t="str">
        <x:v>Apps/integrations</x:v>
      </x:c>
      <x:c r="X79" s="8"/>
      <x:c r="Y79" s="8"/>
      <x:c r="Z79" s="8"/>
      <x:c r="AA79" s="8"/>
      <x:c r="AB79" s="8"/>
      <x:c r="AC79" s="9"/>
      <x:c r="AD79" s="8"/>
      <x:c r="AE79" s="8"/>
      <x:c r="AF79" s="8"/>
      <x:c r="AG79" s="8"/>
      <x:c r="AH79" s="14" t="n">
        <x:v>15</x:v>
      </x:c>
      <x:c r="AI79" s="15" t="str">
        <x:v>Canonical source for Advanced Features!15</x:v>
      </x:c>
    </x:row>
    <x:row r="80" ht="30">
      <x:c r="A80" s="12" t="str">
        <x:v>Advanced Features</x:v>
      </x:c>
      <x:c r="B80" s="13" t="str">
        <x:v>Scheduled Messages</x:v>
      </x:c>
      <x:c r="C80" s="8" t="str">
        <x:v>No native scheduled send</x:v>
      </x:c>
      <x:c r="D80" s="8"/>
      <x:c r="E80" s="8"/>
      <x:c r="F80" s="8"/>
      <x:c r="G80" s="8"/>
      <x:c r="H80" s="8"/>
      <x:c r="I80" s="8"/>
      <x:c r="J80" s="8"/>
      <x:c r="K80" s="8"/>
      <x:c r="L80" s="8"/>
      <x:c r="M80" s="8"/>
      <x:c r="N80" s="8"/>
      <x:c r="O80" s="8"/>
      <x:c r="P80" s="8"/>
      <x:c r="Q80" s="8"/>
      <x:c r="R80" s="8"/>
      <x:c r="S80" s="8"/>
      <x:c r="T80" s="8"/>
      <x:c r="U80" s="8"/>
      <x:c r="V80" s="8" t="str">
        <x:v>Yes</x:v>
      </x:c>
      <x:c r="W80" s="8"/>
      <x:c r="X80" s="8"/>
      <x:c r="Y80" s="8"/>
      <x:c r="Z80" s="8"/>
      <x:c r="AA80" s="8"/>
      <x:c r="AB80" s="8"/>
      <x:c r="AC80" s="9"/>
      <x:c r="AD80" s="8"/>
      <x:c r="AE80" s="8"/>
      <x:c r="AF80" s="8"/>
      <x:c r="AG80" s="8" t="str">
        <x:v>Yes: scheduled messages</x:v>
      </x:c>
      <x:c r="AH80" s="14" t="n">
        <x:v>17</x:v>
      </x:c>
      <x:c r="AI80" s="15" t="str">
        <x:v>Canonical source for Advanced Features!17</x:v>
      </x:c>
    </x:row>
    <x:row r="81" ht="30">
      <x:c r="A81" s="12" t="str">
        <x:v>Advanced Features</x:v>
      </x:c>
      <x:c r="B81" s="13" t="str">
        <x:v>Disappearing / Auto-Delete Messages</x:v>
      </x:c>
      <x:c r="C81" s="8" t="str">
        <x:v>No general native per-channel timer</x:v>
      </x:c>
      <x:c r="D81" s="8"/>
      <x:c r="E81" s="8"/>
      <x:c r="F81" s="8"/>
      <x:c r="G81" s="8"/>
      <x:c r="H81" s="8"/>
      <x:c r="I81" s="8"/>
      <x:c r="J81" s="8"/>
      <x:c r="K81" s="8"/>
      <x:c r="L81" s="8"/>
      <x:c r="M81" s="8"/>
      <x:c r="N81" s="8"/>
      <x:c r="O81" s="8" t="str">
        <x:v>Client/server dependent</x:v>
      </x:c>
      <x:c r="P81" s="8"/>
      <x:c r="Q81" s="8"/>
      <x:c r="R81" s="8"/>
      <x:c r="S81" s="8"/>
      <x:c r="T81" s="8"/>
      <x:c r="U81" s="8"/>
      <x:c r="V81" s="8" t="str">
        <x:v>Yes: per-channel</x:v>
      </x:c>
      <x:c r="W81" s="8"/>
      <x:c r="X81" s="8"/>
      <x:c r="Y81" s="8"/>
      <x:c r="Z81" s="8"/>
      <x:c r="AA81" s="8"/>
      <x:c r="AB81" s="8"/>
      <x:c r="AC81" s="9"/>
      <x:c r="AD81" s="8"/>
      <x:c r="AE81" s="8"/>
      <x:c r="AF81" s="8"/>
      <x:c r="AG81" s="8"/>
      <x:c r="AH81" s="14" t="n">
        <x:v>18</x:v>
      </x:c>
      <x:c r="AI81" s="15" t="str">
        <x:v>Canonical source for Advanced Features!18</x:v>
      </x:c>
    </x:row>
    <x:row r="82" ht="90">
      <x:c r="A82" s="12" t="str">
        <x:v>Advanced Features</x:v>
      </x:c>
      <x:c r="B82" s="13" t="str">
        <x:v>Message Forwarding Controls</x:v>
      </x:c>
      <x:c r="C82" s="8" t="str">
        <x:v>Limited</x:v>
      </x:c>
      <x:c r="D82" s="8"/>
      <x:c r="E82" s="8"/>
      <x:c r="F82" s="8"/>
      <x:c r="G82" s="8"/>
      <x:c r="H82" s="8"/>
      <x:c r="I82" s="8"/>
      <x:c r="J82" s="8"/>
      <x:c r="K82" s="8"/>
      <x:c r="L82" s="8" t="str">
        <x:v>Yes: secure forwarding supports plaintext↔E2EE policy checks and attachment re-encryption</x:v>
      </x:c>
      <x:c r="M82" s="8"/>
      <x:c r="N82" s="8"/>
      <x:c r="O82" s="8" t="str">
        <x:v>Client-dependent</x:v>
      </x:c>
      <x:c r="P82" s="8"/>
      <x:c r="Q82" s="8"/>
      <x:c r="R82" s="8"/>
      <x:c r="S82" s="8"/>
      <x:c r="T82" s="8"/>
      <x:c r="U82" s="8"/>
      <x:c r="V82" s="8" t="str">
        <x:v>Yes - Shard Settings can also disable forwarding outside of the shard</x:v>
      </x:c>
      <x:c r="W82" s="8"/>
      <x:c r="X82" s="8"/>
      <x:c r="Y82" s="8"/>
      <x:c r="Z82" s="8"/>
      <x:c r="AA82" s="8"/>
      <x:c r="AB82" s="8"/>
      <x:c r="AC82" s="9"/>
      <x:c r="AD82" s="8"/>
      <x:c r="AE82" s="8"/>
      <x:c r="AF82" s="8"/>
      <x:c r="AG82" s="8"/>
      <x:c r="AH82" s="14" t="n">
        <x:v>19</x:v>
      </x:c>
      <x:c r="AI82" s="15" t="str">
        <x:v>Canonical source for Advanced Features!19</x:v>
      </x:c>
    </x:row>
    <x:row r="83" ht="30">
      <x:c r="A83" s="12" t="str">
        <x:v>Advanced Features</x:v>
      </x:c>
      <x:c r="B83" s="13" t="str">
        <x:v>Reply to Multiple Messages</x:v>
      </x:c>
      <x:c r="C83" s="8" t="str">
        <x:v>No native multi-reply composer</x:v>
      </x:c>
      <x:c r="D83" s="8"/>
      <x:c r="E83" s="8"/>
      <x:c r="F83" s="8"/>
      <x:c r="G83" s="8"/>
      <x:c r="H83" s="8"/>
      <x:c r="I83" s="8"/>
      <x:c r="J83" s="8"/>
      <x:c r="K83" s="8"/>
      <x:c r="L83" s="8"/>
      <x:c r="M83" s="8"/>
      <x:c r="N83" s="8"/>
      <x:c r="O83" s="8"/>
      <x:c r="P83" s="8"/>
      <x:c r="Q83" s="8"/>
      <x:c r="R83" s="8"/>
      <x:c r="S83" s="8"/>
      <x:c r="T83" s="8"/>
      <x:c r="U83" s="8"/>
      <x:c r="V83" s="8" t="str">
        <x:v>Yes</x:v>
      </x:c>
      <x:c r="W83" s="8"/>
      <x:c r="X83" s="8"/>
      <x:c r="Y83" s="8"/>
      <x:c r="Z83" s="8"/>
      <x:c r="AA83" s="8"/>
      <x:c r="AB83" s="8"/>
      <x:c r="AC83" s="9"/>
      <x:c r="AD83" s="8"/>
      <x:c r="AE83" s="8"/>
      <x:c r="AF83" s="8"/>
      <x:c r="AG83" s="8"/>
      <x:c r="AH83" s="14" t="n">
        <x:v>20</x:v>
      </x:c>
      <x:c r="AI83" s="15" t="str">
        <x:v>Canonical source for Advanced Features!20</x:v>
      </x:c>
    </x:row>
    <x:row r="84" ht="60">
      <x:c r="A84" s="12" t="str">
        <x:v>Channel Types</x:v>
      </x:c>
      <x:c r="B84" s="13" t="str">
        <x:v>Text</x:v>
      </x:c>
      <x:c r="C84" s="8" t="str">
        <x:v>Yes: Text channel</x:v>
      </x:c>
      <x:c r="D84" s="8" t="str">
        <x:v>Yes</x:v>
      </x:c>
      <x:c r="E84" s="8"/>
      <x:c r="F84" s="8" t="str">
        <x:v>Yes</x:v>
      </x:c>
      <x:c r="G84" s="8" t="str">
        <x:v>Yes</x:v>
      </x:c>
      <x:c r="H84" s="8"/>
      <x:c r="I84" s="8" t="str">
        <x:v>Yes</x:v>
      </x:c>
      <x:c r="J84" s="8"/>
      <x:c r="K84" s="8" t="str">
        <x:v>Yes</x:v>
      </x:c>
      <x:c r="L84" s="8" t="str">
        <x:v>Yes</x:v>
      </x:c>
      <x:c r="M84" s="8" t="str">
        <x:v>Yes</x:v>
      </x:c>
      <x:c r="N84" s="8" t="str">
        <x:v>Yes</x:v>
      </x:c>
      <x:c r="O84" s="8" t="str">
        <x:v>Room (client convention)</x:v>
      </x:c>
      <x:c r="P84" s="8" t="str">
        <x:v>Yes: public/private channels</x:v>
      </x:c>
      <x:c r="Q84" s="8" t="str">
        <x:v>Yes</x:v>
      </x:c>
      <x:c r="R84" s="8" t="str">
        <x:v>Partial: channel text chat; voice-first</x:v>
      </x:c>
      <x:c r="S84" s="8" t="str">
        <x:v>Yes: server channels</x:v>
      </x:c>
      <x:c r="T84" s="8" t="str">
        <x:v>Yes: real-time messaging</x:v>
      </x:c>
      <x:c r="U84" s="8" t="str">
        <x:v>Yes</x:v>
      </x:c>
      <x:c r="V84" s="8" t="str">
        <x:v>Yes</x:v>
      </x:c>
      <x:c r="W84" s="8" t="str">
        <x:v>Yes: channels/groups/DMs</x:v>
      </x:c>
      <x:c r="X84" s="8" t="str">
        <x:v>Yes: group chat</x:v>
      </x:c>
      <x:c r="Y84" s="8" t="str">
        <x:v>Yes</x:v>
      </x:c>
      <x:c r="Z84" s="8" t="str">
        <x:v>Yes/Partial: Discord API parity varies by implementation</x:v>
      </x:c>
      <x:c r="AA84" s="8" t="str">
        <x:v>Yes</x:v>
      </x:c>
      <x:c r="AB84" s="8" t="str">
        <x:v>Partial: chat exists; persistent server text channels remain limited/planned in TS6</x:v>
      </x:c>
      <x:c r="AC84" s="9" t="str">
        <x:v>Yes</x:v>
      </x:c>
      <x:c r="AD84" s="8"/>
      <x:c r="AE84" s="8" t="str">
        <x:v>Yes</x:v>
      </x:c>
      <x:c r="AF84" s="8" t="str">
        <x:v>Yes</x:v>
      </x:c>
      <x:c r="AG84" s="8" t="str">
        <x:v>Channel/stream</x:v>
      </x:c>
      <x:c r="AH84" s="14" t="n">
        <x:v>4</x:v>
      </x:c>
      <x:c r="AI84" s="15" t="str">
        <x:v>Canonical source for Channel Types!4</x:v>
      </x:c>
    </x:row>
    <x:row r="85" ht="60">
      <x:c r="A85" s="12" t="str">
        <x:v>Channel Types</x:v>
      </x:c>
      <x:c r="B85" s="13" t="str">
        <x:v>Voice</x:v>
      </x:c>
      <x:c r="C85" s="8" t="str">
        <x:v>Yes: Voice channel</x:v>
      </x:c>
      <x:c r="D85" s="8" t="str">
        <x:v>Yes</x:v>
      </x:c>
      <x:c r="E85" s="8" t="str">
        <x:v>Yes</x:v>
      </x:c>
      <x:c r="F85" s="8" t="str">
        <x:v>Yes</x:v>
      </x:c>
      <x:c r="G85" s="8" t="str">
        <x:v>Yes</x:v>
      </x:c>
      <x:c r="H85" s="8"/>
      <x:c r="I85" s="8" t="str">
        <x:v>Yes</x:v>
      </x:c>
      <x:c r="J85" s="8"/>
      <x:c r="K85" s="8" t="str">
        <x:v>Yes</x:v>
      </x:c>
      <x:c r="L85" s="8" t="str">
        <x:v>Yes</x:v>
      </x:c>
      <x:c r="M85" s="8" t="str">
        <x:v>Yes</x:v>
      </x:c>
      <x:c r="N85" s="8" t="str">
        <x:v>Yes</x:v>
      </x:c>
      <x:c r="O85" s="8" t="str">
        <x:v>Yes: client-dependent</x:v>
      </x:c>
      <x:c r="P85" s="8" t="str">
        <x:v>Yes: calls</x:v>
      </x:c>
      <x:c r="Q85" s="8" t="str">
        <x:v>Yes</x:v>
      </x:c>
      <x:c r="R85" s="8" t="str">
        <x:v>Yes</x:v>
      </x:c>
      <x:c r="S85" s="8"/>
      <x:c r="T85" s="8" t="str">
        <x:v>Yes</x:v>
      </x:c>
      <x:c r="U85" s="8" t="str">
        <x:v>Yes</x:v>
      </x:c>
      <x:c r="V85" s="8" t="str">
        <x:v>Yes</x:v>
      </x:c>
      <x:c r="W85" s="8" t="str">
        <x:v>Yes: Rocket.Chat Voice + conference integrations</x:v>
      </x:c>
      <x:c r="X85" s="8"/>
      <x:c r="Y85" s="8" t="str">
        <x:v>Yes</x:v>
      </x:c>
      <x:c r="Z85" s="8" t="str">
        <x:v>Optional WebRTC media implementation</x:v>
      </x:c>
      <x:c r="AA85" s="8" t="str">
        <x:v>Yes</x:v>
      </x:c>
      <x:c r="AB85" s="8" t="str">
        <x:v>Yes</x:v>
      </x:c>
      <x:c r="AC85" s="9" t="str">
        <x:v>Yes</x:v>
      </x:c>
      <x:c r="AD85" s="8"/>
      <x:c r="AE85" s="8" t="str">
        <x:v>Yes</x:v>
      </x:c>
      <x:c r="AF85" s="8" t="str">
        <x:v>Yes</x:v>
      </x:c>
      <x:c r="AG85" s="8" t="str">
        <x:v>Provider integration (Zoom/Jitsi/etc.), not a persistent native voice-room model</x:v>
      </x:c>
      <x:c r="AH85" s="14" t="n">
        <x:v>5</x:v>
      </x:c>
      <x:c r="AI85" s="15" t="str">
        <x:v>Canonical source for Channel Types!5</x:v>
      </x:c>
    </x:row>
    <x:row r="86" ht="60">
      <x:c r="A86" s="12" t="str">
        <x:v>Channel Types</x:v>
      </x:c>
      <x:c r="B86" s="13" t="str">
        <x:v>Voice Room Launcher / Temporary Voice</x:v>
      </x:c>
      <x:c r="C86" s="8" t="str">
        <x:v>No native launcher; bots can create temp rooms</x:v>
      </x:c>
      <x:c r="D86" s="8"/>
      <x:c r="E86" s="8"/>
      <x:c r="F86" s="8"/>
      <x:c r="G86" s="8"/>
      <x:c r="H86" s="8"/>
      <x:c r="I86" s="8"/>
      <x:c r="J86" s="8"/>
      <x:c r="K86" s="8"/>
      <x:c r="L86" s="8" t="str">
        <x:v>No temporary/launcher voice-channel type documented</x:v>
      </x:c>
      <x:c r="M86" s="8"/>
      <x:c r="N86" s="8"/>
      <x:c r="O86" s="8"/>
      <x:c r="P86" s="8"/>
      <x:c r="Q86" s="8"/>
      <x:c r="R86" s="8"/>
      <x:c r="S86" s="8"/>
      <x:c r="T86" s="8"/>
      <x:c r="U86" s="8"/>
      <x:c r="V86" s="8" t="str">
        <x:v>Yes: auto-spawn/delete voice rooms</x:v>
      </x:c>
      <x:c r="W86" s="8"/>
      <x:c r="X86" s="8"/>
      <x:c r="Y86" s="8"/>
      <x:c r="Z86" s="8"/>
      <x:c r="AA86" s="8"/>
      <x:c r="AB86" s="8"/>
      <x:c r="AC86" s="9"/>
      <x:c r="AD86" s="8"/>
      <x:c r="AE86" s="8"/>
      <x:c r="AF86" s="8"/>
      <x:c r="AG86" s="8"/>
      <x:c r="AH86" s="14" t="n">
        <x:v>6</x:v>
      </x:c>
      <x:c r="AI86" s="15" t="str">
        <x:v>Canonical source for Channel Types!6</x:v>
      </x:c>
    </x:row>
    <x:row r="87" ht="45">
      <x:c r="A87" s="12" t="str">
        <x:v>Channel Types</x:v>
      </x:c>
      <x:c r="B87" s="13" t="str">
        <x:v>Forum</x:v>
      </x:c>
      <x:c r="C87" s="8" t="str">
        <x:v>Yes: Forum channel</x:v>
      </x:c>
      <x:c r="D87" s="8"/>
      <x:c r="E87" s="8"/>
      <x:c r="F87" s="8"/>
      <x:c r="G87" s="8"/>
      <x:c r="H87" s="8"/>
      <x:c r="I87" s="8"/>
      <x:c r="J87" s="8"/>
      <x:c r="K87" s="8"/>
      <x:c r="L87" s="8"/>
      <x:c r="M87" s="8" t="str">
        <x:v>Yes</x:v>
      </x:c>
      <x:c r="N87" s="8" t="str">
        <x:v>Yes</x:v>
      </x:c>
      <x:c r="O87" s="8" t="str">
        <x:v>Client-dependent / room conventions</x:v>
      </x:c>
      <x:c r="P87" s="8" t="str">
        <x:v>No native forum channel</x:v>
      </x:c>
      <x:c r="Q87" s="8"/>
      <x:c r="R87" s="8"/>
      <x:c r="S87" s="8"/>
      <x:c r="T87" s="8"/>
      <x:c r="U87" s="8"/>
      <x:c r="V87" s="8" t="str">
        <x:v>Yes: tags, flair, voting</x:v>
      </x:c>
      <x:c r="W87" s="8"/>
      <x:c r="X87" s="8" t="str">
        <x:v>Yes/Partial: forum/group-chat model</x:v>
      </x:c>
      <x:c r="Y87" s="8"/>
      <x:c r="Z87" s="8"/>
      <x:c r="AA87" s="8"/>
      <x:c r="AB87" s="8"/>
      <x:c r="AC87" s="9" t="str">
        <x:v>Yes: thread feed</x:v>
      </x:c>
      <x:c r="AD87" s="8"/>
      <x:c r="AE87" s="8" t="str">
        <x:v>Yes</x:v>
      </x:c>
      <x:c r="AF87" s="8"/>
      <x:c r="AG87" s="8"/>
      <x:c r="AH87" s="14" t="n">
        <x:v>7</x:v>
      </x:c>
      <x:c r="AI87" s="15" t="str">
        <x:v>Canonical source for Channel Types!7</x:v>
      </x:c>
    </x:row>
    <x:row r="88" ht="45">
      <x:c r="A88" s="12" t="str">
        <x:v>Channel Types</x:v>
      </x:c>
      <x:c r="B88" s="13" t="str">
        <x:v>Gallery / Media Grid</x:v>
      </x:c>
      <x:c r="C88" s="8" t="str">
        <x:v>Partial: Forum Gallery View</x:v>
      </x:c>
      <x:c r="D88" s="8" t="str">
        <x:v>No</x:v>
      </x:c>
      <x:c r="E88" s="8" t="str">
        <x:v>No</x:v>
      </x:c>
      <x:c r="F88" s="8" t="str">
        <x:v>No</x:v>
      </x:c>
      <x:c r="G88" s="8" t="str">
        <x:v>No native</x:v>
      </x:c>
      <x:c r="H88" s="8" t="str">
        <x:v>No native</x:v>
      </x:c>
      <x:c r="I88" s="8" t="str">
        <x:v>No</x:v>
      </x:c>
      <x:c r="J88" s="8" t="str">
        <x:v>No</x:v>
      </x:c>
      <x:c r="K88" s="8" t="str">
        <x:v>No</x:v>
      </x:c>
      <x:c r="L88" s="8" t="str">
        <x:v>No dedicated gallery/media-grid channel documented</x:v>
      </x:c>
      <x:c r="M88" s="8" t="str">
        <x:v>Media Channels</x:v>
      </x:c>
      <x:c r="N88" s="8" t="str">
        <x:v>Media/forum view</x:v>
      </x:c>
      <x:c r="O88" s="8" t="str">
        <x:v>Extensible/client-dependent</x:v>
      </x:c>
      <x:c r="P88" s="8" t="str">
        <x:v>No</x:v>
      </x:c>
      <x:c r="Q88" s="8" t="str">
        <x:v>No native</x:v>
      </x:c>
      <x:c r="R88" s="8" t="str">
        <x:v>N/A</x:v>
      </x:c>
      <x:c r="S88" s="8" t="str">
        <x:v>No</x:v>
      </x:c>
      <x:c r="T88" s="8" t="str">
        <x:v>No</x:v>
      </x:c>
      <x:c r="U88" s="8" t="str">
        <x:v>No</x:v>
      </x:c>
      <x:c r="V88" s="8" t="str">
        <x:v>Yes: native Gallery channel</x:v>
      </x:c>
      <x:c r="W88" s="8" t="str">
        <x:v>No</x:v>
      </x:c>
      <x:c r="X88" s="8"/>
      <x:c r="Y88" s="8" t="str">
        <x:v>Via app</x:v>
      </x:c>
      <x:c r="Z88" s="8" t="str">
        <x:v>No native</x:v>
      </x:c>
      <x:c r="AA88" s="8" t="str">
        <x:v>No native</x:v>
      </x:c>
      <x:c r="AB88" s="8" t="str">
        <x:v>N/A</x:v>
      </x:c>
      <x:c r="AC88" s="9" t="str">
        <x:v>No</x:v>
      </x:c>
      <x:c r="AD88" s="8" t="str">
        <x:v>No</x:v>
      </x:c>
      <x:c r="AE88" s="8" t="str">
        <x:v>No</x:v>
      </x:c>
      <x:c r="AF88" s="8" t="str">
        <x:v>No</x:v>
      </x:c>
      <x:c r="AG88" s="8" t="str">
        <x:v>No</x:v>
      </x:c>
      <x:c r="AH88" s="14" t="n">
        <x:v>8</x:v>
      </x:c>
      <x:c r="AI88" s="15" t="str">
        <x:v>Canonical source for Channel Types!8</x:v>
      </x:c>
    </x:row>
    <x:row r="89" ht="75">
      <x:c r="A89" s="12" t="str">
        <x:v>Channel Types</x:v>
      </x:c>
      <x:c r="B89" s="13" t="str">
        <x:v>Announcement / Read-Only Broadcast</x:v>
      </x:c>
      <x:c r="C89" s="8" t="str">
        <x:v>Yes: Announcement channel</x:v>
      </x:c>
      <x:c r="D89" s="8"/>
      <x:c r="E89" s="8"/>
      <x:c r="F89" s="8"/>
      <x:c r="G89" s="8"/>
      <x:c r="H89" s="8"/>
      <x:c r="I89" s="8"/>
      <x:c r="J89" s="8"/>
      <x:c r="K89" s="8"/>
      <x:c r="L89" s="8" t="str">
        <x:v>Yes: announcement channels/threads are documented and developer also reports announcements</x:v>
      </x:c>
      <x:c r="M89" s="8"/>
      <x:c r="N89" s="8"/>
      <x:c r="O89" s="8" t="str">
        <x:v>Permissions-based room</x:v>
      </x:c>
      <x:c r="P89" s="8"/>
      <x:c r="Q89" s="8"/>
      <x:c r="R89" s="8"/>
      <x:c r="S89" s="8"/>
      <x:c r="T89" s="8"/>
      <x:c r="U89" s="8"/>
      <x:c r="V89" s="8" t="str">
        <x:v>Yes: Announcements</x:v>
      </x:c>
      <x:c r="W89" s="8"/>
      <x:c r="X89" s="8"/>
      <x:c r="Y89" s="8"/>
      <x:c r="Z89" s="8"/>
      <x:c r="AA89" s="8"/>
      <x:c r="AB89" s="8"/>
      <x:c r="AC89" s="9"/>
      <x:c r="AD89" s="8"/>
      <x:c r="AE89" s="8"/>
      <x:c r="AF89" s="8"/>
      <x:c r="AG89" s="8"/>
      <x:c r="AH89" s="14" t="n">
        <x:v>9</x:v>
      </x:c>
      <x:c r="AI89" s="15" t="str">
        <x:v>Canonical source for Channel Types!9</x:v>
      </x:c>
    </x:row>
    <x:row r="90" ht="60">
      <x:c r="A90" s="12" t="str">
        <x:v>Channel Types</x:v>
      </x:c>
      <x:c r="B90" s="13" t="str">
        <x:v>Stage / Broadcast Voice</x:v>
      </x:c>
      <x:c r="C90" s="8" t="str">
        <x:v>Yes: Stage channel</x:v>
      </x:c>
      <x:c r="D90" s="8"/>
      <x:c r="E90" s="8"/>
      <x:c r="F90" s="8"/>
      <x:c r="G90" s="8"/>
      <x:c r="H90" s="8"/>
      <x:c r="I90" s="8"/>
      <x:c r="J90" s="8"/>
      <x:c r="K90" s="8"/>
      <x:c r="L90" s="8" t="str">
        <x:v>Yes: developer reports Stage channels</x:v>
      </x:c>
      <x:c r="M90" s="8"/>
      <x:c r="N90" s="8"/>
      <x:c r="O90" s="8"/>
      <x:c r="P90" s="8"/>
      <x:c r="Q90" s="8"/>
      <x:c r="R90" s="8"/>
      <x:c r="S90" s="8"/>
      <x:c r="T90" s="8"/>
      <x:c r="U90" s="8"/>
      <x:c r="V90" s="8" t="str">
        <x:v>No dedicated Stage channel; voice room launcher + permissions</x:v>
      </x:c>
      <x:c r="W90" s="8"/>
      <x:c r="X90" s="8"/>
      <x:c r="Y90" s="8"/>
      <x:c r="Z90" s="8"/>
      <x:c r="AA90" s="8"/>
      <x:c r="AB90" s="8" t="str">
        <x:v>Permissions-based</x:v>
      </x:c>
      <x:c r="AC90" s="9"/>
      <x:c r="AD90" s="8"/>
      <x:c r="AE90" s="8"/>
      <x:c r="AF90" s="8"/>
      <x:c r="AG90" s="8"/>
      <x:c r="AH90" s="14" t="n">
        <x:v>10</x:v>
      </x:c>
      <x:c r="AI90" s="15" t="str">
        <x:v>Canonical source for Channel Types!10</x:v>
      </x:c>
    </x:row>
    <x:row r="91" ht="75">
      <x:c r="A91" s="12" t="str">
        <x:v>Channel Types</x:v>
      </x:c>
      <x:c r="B91" s="13" t="str">
        <x:v>Polls</x:v>
      </x:c>
      <x:c r="C91" s="8" t="str">
        <x:v>No dedicated channel; native poll messages</x:v>
      </x:c>
      <x:c r="D91" s="8" t="str">
        <x:v>No</x:v>
      </x:c>
      <x:c r="E91" s="8" t="str">
        <x:v>No</x:v>
      </x:c>
      <x:c r="F91" s="8" t="str">
        <x:v>No</x:v>
      </x:c>
      <x:c r="G91" s="8"/>
      <x:c r="H91" s="8"/>
      <x:c r="I91" s="8" t="str">
        <x:v>Yes</x:v>
      </x:c>
      <x:c r="J91" s="8" t="str">
        <x:v>No</x:v>
      </x:c>
      <x:c r="K91" s="8" t="str">
        <x:v>No</x:v>
      </x:c>
      <x:c r="L91" s="8" t="str">
        <x:v>Polls are native message/application content, not a dedicated channel type</x:v>
      </x:c>
      <x:c r="M91" s="8"/>
      <x:c r="N91" s="8" t="str">
        <x:v>Native polls</x:v>
      </x:c>
      <x:c r="O91" s="8" t="str">
        <x:v>Poll events in capable clients</x:v>
      </x:c>
      <x:c r="P91" s="8" t="str">
        <x:v>Poll integrations</x:v>
      </x:c>
      <x:c r="Q91" s="8" t="str">
        <x:v>No native</x:v>
      </x:c>
      <x:c r="R91" s="8" t="str">
        <x:v>N/A</x:v>
      </x:c>
      <x:c r="S91" s="8" t="str">
        <x:v>No</x:v>
      </x:c>
      <x:c r="T91" s="8" t="str">
        <x:v>No</x:v>
      </x:c>
      <x:c r="U91" s="8" t="str">
        <x:v>Yes: native polls</x:v>
      </x:c>
      <x:c r="V91" s="8" t="str">
        <x:v>Yes: native Poll channel</x:v>
      </x:c>
      <x:c r="W91" s="8" t="str">
        <x:v>Poll apps</x:v>
      </x:c>
      <x:c r="X91" s="8" t="str">
        <x:v>No</x:v>
      </x:c>
      <x:c r="Y91" s="8" t="str">
        <x:v>Via Polling App</x:v>
      </x:c>
      <x:c r="Z91" s="8"/>
      <x:c r="AA91" s="8" t="str">
        <x:v>No native</x:v>
      </x:c>
      <x:c r="AB91" s="8" t="str">
        <x:v>N/A</x:v>
      </x:c>
      <x:c r="AC91" s="9"/>
      <x:c r="AD91" s="8" t="str">
        <x:v>No</x:v>
      </x:c>
      <x:c r="AE91" s="8"/>
      <x:c r="AF91" s="8" t="str">
        <x:v>No</x:v>
      </x:c>
      <x:c r="AG91" s="8" t="str">
        <x:v>Via integrations</x:v>
      </x:c>
      <x:c r="AH91" s="14" t="n">
        <x:v>12</x:v>
      </x:c>
      <x:c r="AI91" s="15" t="str">
        <x:v>Canonical source for Channel Types!12</x:v>
      </x:c>
    </x:row>
    <x:row r="92" ht="120">
      <x:c r="A92" s="12" t="str">
        <x:v>Channel Types</x:v>
      </x:c>
      <x:c r="B92" s="13" t="str">
        <x:v>Tickets</x:v>
      </x:c>
      <x:c r="C92" s="8" t="str">
        <x:v>No native ticket channel; bots/apps commonly provide tickets</x:v>
      </x:c>
      <x:c r="D92" s="8" t="str">
        <x:v>No</x:v>
      </x:c>
      <x:c r="E92" s="8" t="str">
        <x:v>No</x:v>
      </x:c>
      <x:c r="F92" s="8" t="str">
        <x:v>No</x:v>
      </x:c>
      <x:c r="G92" s="8" t="str">
        <x:v>No native</x:v>
      </x:c>
      <x:c r="H92" s="8" t="str">
        <x:v>No native</x:v>
      </x:c>
      <x:c r="I92" s="8" t="str">
        <x:v>No</x:v>
      </x:c>
      <x:c r="J92" s="8" t="str">
        <x:v>No</x:v>
      </x:c>
      <x:c r="K92" s="8" t="str">
        <x:v>No</x:v>
      </x:c>
      <x:c r="L92" s="8" t="str">
        <x:v>Not documented as native: ticket, counting, highlights, welcome, wiki, document, live board, roster, web link, RSS, whiteboard, or tabletop channels.</x:v>
      </x:c>
      <x:c r="M92" s="8" t="str">
        <x:v>No</x:v>
      </x:c>
      <x:c r="N92" s="8" t="str">
        <x:v>No</x:v>
      </x:c>
      <x:c r="O92" s="8" t="str">
        <x:v>Via integrations/bots</x:v>
      </x:c>
      <x:c r="P92" s="8" t="str">
        <x:v>Integrations</x:v>
      </x:c>
      <x:c r="Q92" s="8" t="str">
        <x:v>No native</x:v>
      </x:c>
      <x:c r="R92" s="8" t="str">
        <x:v>N/A</x:v>
      </x:c>
      <x:c r="S92" s="8" t="str">
        <x:v>No</x:v>
      </x:c>
      <x:c r="T92" s="8" t="str">
        <x:v>No</x:v>
      </x:c>
      <x:c r="U92" s="8" t="str">
        <x:v>No</x:v>
      </x:c>
      <x:c r="V92" s="8" t="str">
        <x:v>Yes: private support threads/status/assignee/transcript</x:v>
      </x:c>
      <x:c r="W92" s="8" t="str">
        <x:v>Apps</x:v>
      </x:c>
      <x:c r="X92" s="8" t="str">
        <x:v>No</x:v>
      </x:c>
      <x:c r="Y92" s="8" t="str">
        <x:v>Via app</x:v>
      </x:c>
      <x:c r="Z92" s="8" t="str">
        <x:v>No native</x:v>
      </x:c>
      <x:c r="AA92" s="8" t="str">
        <x:v>No native</x:v>
      </x:c>
      <x:c r="AB92" s="8" t="str">
        <x:v>N/A</x:v>
      </x:c>
      <x:c r="AC92" s="9" t="str">
        <x:v>No</x:v>
      </x:c>
      <x:c r="AD92" s="8" t="str">
        <x:v>No</x:v>
      </x:c>
      <x:c r="AE92" s="8"/>
      <x:c r="AF92" s="8" t="str">
        <x:v>No</x:v>
      </x:c>
      <x:c r="AG92" s="8" t="str">
        <x:v>Via integrations</x:v>
      </x:c>
      <x:c r="AH92" s="14" t="n">
        <x:v>13</x:v>
      </x:c>
      <x:c r="AI92" s="15" t="str">
        <x:v>Canonical source for Channel Types!13</x:v>
      </x:c>
    </x:row>
    <x:row r="93" ht="120">
      <x:c r="A93" s="12" t="str">
        <x:v>Channel Types</x:v>
      </x:c>
      <x:c r="B93" s="13" t="str">
        <x:v>Counting</x:v>
      </x:c>
      <x:c r="C93" s="8" t="str">
        <x:v>No native channel type; bots/apps can emulate counting</x:v>
      </x:c>
      <x:c r="D93" s="8" t="str">
        <x:v>No</x:v>
      </x:c>
      <x:c r="E93" s="8" t="str">
        <x:v>No</x:v>
      </x:c>
      <x:c r="F93" s="8" t="str">
        <x:v>No</x:v>
      </x:c>
      <x:c r="G93" s="8" t="str">
        <x:v>No native</x:v>
      </x:c>
      <x:c r="H93" s="8" t="str">
        <x:v>No native</x:v>
      </x:c>
      <x:c r="I93" s="8" t="str">
        <x:v>No</x:v>
      </x:c>
      <x:c r="J93" s="8" t="str">
        <x:v>No</x:v>
      </x:c>
      <x:c r="K93" s="8" t="str">
        <x:v>No</x:v>
      </x:c>
      <x:c r="L93" s="8" t="str">
        <x:v>Not documented as native: ticket, counting, highlights, welcome, wiki, document, live board, roster, web link, RSS, whiteboard, or tabletop channels.</x:v>
      </x:c>
      <x:c r="M93" s="8" t="str">
        <x:v>No</x:v>
      </x:c>
      <x:c r="N93" s="8" t="str">
        <x:v>No native</x:v>
      </x:c>
      <x:c r="O93" s="8" t="str">
        <x:v>Extensible/client-dependent</x:v>
      </x:c>
      <x:c r="P93" s="8" t="str">
        <x:v>No</x:v>
      </x:c>
      <x:c r="Q93" s="8" t="str">
        <x:v>No native</x:v>
      </x:c>
      <x:c r="R93" s="8" t="str">
        <x:v>N/A</x:v>
      </x:c>
      <x:c r="S93" s="8" t="str">
        <x:v>No</x:v>
      </x:c>
      <x:c r="T93" s="8" t="str">
        <x:v>No</x:v>
      </x:c>
      <x:c r="U93" s="8" t="str">
        <x:v>No</x:v>
      </x:c>
      <x:c r="V93" s="8" t="str">
        <x:v>Yes: native count, leaderboard, history</x:v>
      </x:c>
      <x:c r="W93" s="8" t="str">
        <x:v>No</x:v>
      </x:c>
      <x:c r="X93" s="8" t="str">
        <x:v>No</x:v>
      </x:c>
      <x:c r="Y93" s="8" t="str">
        <x:v>Via app</x:v>
      </x:c>
      <x:c r="Z93" s="8" t="str">
        <x:v>No native</x:v>
      </x:c>
      <x:c r="AA93" s="8" t="str">
        <x:v>No native</x:v>
      </x:c>
      <x:c r="AB93" s="8" t="str">
        <x:v>N/A</x:v>
      </x:c>
      <x:c r="AC93" s="9" t="str">
        <x:v>No</x:v>
      </x:c>
      <x:c r="AD93" s="8" t="str">
        <x:v>No</x:v>
      </x:c>
      <x:c r="AE93" s="8" t="str">
        <x:v>No</x:v>
      </x:c>
      <x:c r="AF93" s="8" t="str">
        <x:v>No</x:v>
      </x:c>
      <x:c r="AG93" s="8" t="str">
        <x:v>No</x:v>
      </x:c>
      <x:c r="AH93" s="14" t="n">
        <x:v>14</x:v>
      </x:c>
      <x:c r="AI93" s="15" t="str">
        <x:v>Canonical source for Channel Types!14</x:v>
      </x:c>
    </x:row>
    <x:row r="94" ht="120">
      <x:c r="A94" s="12" t="str">
        <x:v>Channel Types</x:v>
      </x:c>
      <x:c r="B94" s="13" t="str">
        <x:v>Highlights</x:v>
      </x:c>
      <x:c r="C94" s="8" t="str">
        <x:v>No dedicated native channel; pins/forums can approximate</x:v>
      </x:c>
      <x:c r="D94" s="8"/>
      <x:c r="E94" s="8"/>
      <x:c r="F94" s="8"/>
      <x:c r="G94" s="8"/>
      <x:c r="H94" s="8"/>
      <x:c r="I94" s="8"/>
      <x:c r="J94" s="8"/>
      <x:c r="K94" s="8"/>
      <x:c r="L94" s="8" t="str">
        <x:v>Not documented as native: ticket, counting, highlights, welcome, wiki, document, live board, roster, web link, RSS, whiteboard, or tabletop channels.</x:v>
      </x:c>
      <x:c r="M94" s="8"/>
      <x:c r="N94" s="8"/>
      <x:c r="O94" s="8"/>
      <x:c r="P94" s="8"/>
      <x:c r="Q94" s="8"/>
      <x:c r="R94" s="8"/>
      <x:c r="S94" s="8"/>
      <x:c r="T94" s="8"/>
      <x:c r="U94" s="8"/>
      <x:c r="V94" s="8" t="str">
        <x:v>Yes: native Highlights channel</x:v>
      </x:c>
      <x:c r="W94" s="8"/>
      <x:c r="X94" s="8"/>
      <x:c r="Y94" s="8"/>
      <x:c r="Z94" s="8"/>
      <x:c r="AA94" s="8"/>
      <x:c r="AB94" s="8"/>
      <x:c r="AC94" s="9"/>
      <x:c r="AD94" s="8"/>
      <x:c r="AE94" s="8"/>
      <x:c r="AF94" s="8"/>
      <x:c r="AG94" s="8"/>
      <x:c r="AH94" s="14" t="n">
        <x:v>15</x:v>
      </x:c>
      <x:c r="AI94" s="15" t="str">
        <x:v>Canonical source for Channel Types!15</x:v>
      </x:c>
    </x:row>
    <x:row r="95" ht="120">
      <x:c r="A95" s="12" t="str">
        <x:v>Channel Types</x:v>
      </x:c>
      <x:c r="B95" s="13" t="str">
        <x:v>Arrivals / Welcome</x:v>
      </x:c>
      <x:c r="C95" s="8" t="str">
        <x:v>No dedicated arrival channel; system channels can announce joins</x:v>
      </x:c>
      <x:c r="D95" s="8" t="str">
        <x:v>No</x:v>
      </x:c>
      <x:c r="E95" s="8" t="str">
        <x:v>No</x:v>
      </x:c>
      <x:c r="F95" s="8" t="str">
        <x:v>No</x:v>
      </x:c>
      <x:c r="G95" s="8" t="str">
        <x:v>No native</x:v>
      </x:c>
      <x:c r="H95" s="8" t="str">
        <x:v>No native</x:v>
      </x:c>
      <x:c r="I95" s="8" t="str">
        <x:v>No</x:v>
      </x:c>
      <x:c r="J95" s="8" t="str">
        <x:v>No</x:v>
      </x:c>
      <x:c r="K95" s="8" t="str">
        <x:v>No</x:v>
      </x:c>
      <x:c r="L95" s="8" t="str">
        <x:v>Not documented as native: ticket, counting, highlights, welcome, wiki, document, live board, roster, web link, RSS, whiteboard, or tabletop channels.</x:v>
      </x:c>
      <x:c r="M95" s="8" t="str">
        <x:v>No</x:v>
      </x:c>
      <x:c r="N95" s="8" t="str">
        <x:v>No</x:v>
      </x:c>
      <x:c r="O95" s="8" t="str">
        <x:v>Client-dependent</x:v>
      </x:c>
      <x:c r="P95" s="8" t="str">
        <x:v>No</x:v>
      </x:c>
      <x:c r="Q95" s="8" t="str">
        <x:v>No native</x:v>
      </x:c>
      <x:c r="R95" s="8" t="str">
        <x:v>N/A</x:v>
      </x:c>
      <x:c r="S95" s="8" t="str">
        <x:v>No</x:v>
      </x:c>
      <x:c r="T95" s="8" t="str">
        <x:v>No</x:v>
      </x:c>
      <x:c r="U95" s="8" t="str">
        <x:v>No</x:v>
      </x:c>
      <x:c r="V95" s="8" t="str">
        <x:v>Yes - Shard Settings Option</x:v>
      </x:c>
      <x:c r="W95" s="8" t="str">
        <x:v>No</x:v>
      </x:c>
      <x:c r="X95" s="8" t="str">
        <x:v>No</x:v>
      </x:c>
      <x:c r="Y95" s="8" t="str">
        <x:v>Via app</x:v>
      </x:c>
      <x:c r="Z95" s="8" t="str">
        <x:v>No native</x:v>
      </x:c>
      <x:c r="AA95" s="8" t="str">
        <x:v>No native</x:v>
      </x:c>
      <x:c r="AB95" s="8" t="str">
        <x:v>N/A</x:v>
      </x:c>
      <x:c r="AC95" s="9" t="str">
        <x:v>No</x:v>
      </x:c>
      <x:c r="AD95" s="8" t="str">
        <x:v>No</x:v>
      </x:c>
      <x:c r="AE95" s="8" t="str">
        <x:v>Arrivals/presence</x:v>
      </x:c>
      <x:c r="AF95" s="8" t="str">
        <x:v>No</x:v>
      </x:c>
      <x:c r="AG95" s="8" t="str">
        <x:v>No</x:v>
      </x:c>
      <x:c r="AH95" s="14" t="n">
        <x:v>16</x:v>
      </x:c>
      <x:c r="AI95" s="15" t="str">
        <x:v>Canonical source for Channel Types!16</x:v>
      </x:c>
    </x:row>
    <x:row r="96" ht="30">
      <x:c r="A96" s="12" t="str">
        <x:v>Channel Types</x:v>
      </x:c>
      <x:c r="B96" s="13" t="str">
        <x:v>Forms / Applications</x:v>
      </x:c>
      <x:c r="C96" s="8" t="str">
        <x:v>No native form channel; apps/bots</x:v>
      </x:c>
      <x:c r="D96" s="8"/>
      <x:c r="E96" s="8"/>
      <x:c r="F96" s="8"/>
      <x:c r="G96" s="8"/>
      <x:c r="H96" s="8"/>
      <x:c r="I96" s="8"/>
      <x:c r="J96" s="8"/>
      <x:c r="K96" s="8"/>
      <x:c r="L96" s="8"/>
      <x:c r="M96" s="8"/>
      <x:c r="N96" s="8"/>
      <x:c r="O96" s="8"/>
      <x:c r="P96" s="8"/>
      <x:c r="Q96" s="8"/>
      <x:c r="R96" s="8"/>
      <x:c r="S96" s="8"/>
      <x:c r="T96" s="8"/>
      <x:c r="U96" s="8"/>
      <x:c r="V96" s="8" t="str">
        <x:v>Yes: forms can be posted in channels</x:v>
      </x:c>
      <x:c r="W96" s="8"/>
      <x:c r="X96" s="8"/>
      <x:c r="Y96" s="8"/>
      <x:c r="Z96" s="8"/>
      <x:c r="AA96" s="8"/>
      <x:c r="AB96" s="8"/>
      <x:c r="AC96" s="9"/>
      <x:c r="AD96" s="8"/>
      <x:c r="AE96" s="8"/>
      <x:c r="AF96" s="8"/>
      <x:c r="AG96" s="8"/>
      <x:c r="AH96" s="14" t="n">
        <x:v>17</x:v>
      </x:c>
      <x:c r="AI96" s="15" t="str">
        <x:v>Canonical source for Channel Types!17</x:v>
      </x:c>
    </x:row>
    <x:row r="97" ht="120">
      <x:c r="A97" s="12" t="str">
        <x:v>Channel Types</x:v>
      </x:c>
      <x:c r="B97" s="13" t="str">
        <x:v>Wiki</x:v>
      </x:c>
      <x:c r="C97" s="8" t="str">
        <x:v>No native wiki channel type</x:v>
      </x:c>
      <x:c r="D97" s="8" t="str">
        <x:v>No</x:v>
      </x:c>
      <x:c r="E97" s="8" t="str">
        <x:v>No</x:v>
      </x:c>
      <x:c r="F97" s="8" t="str">
        <x:v>No</x:v>
      </x:c>
      <x:c r="G97" s="8" t="str">
        <x:v>No native</x:v>
      </x:c>
      <x:c r="H97" s="8" t="str">
        <x:v>No native</x:v>
      </x:c>
      <x:c r="I97" s="8" t="str">
        <x:v>No</x:v>
      </x:c>
      <x:c r="J97" s="8" t="str">
        <x:v>No</x:v>
      </x:c>
      <x:c r="K97" s="8" t="str">
        <x:v>No</x:v>
      </x:c>
      <x:c r="L97" s="8" t="str">
        <x:v>Not documented as native: ticket, counting, highlights, welcome, wiki, document, live board, roster, web link, RSS, whiteboard, or tabletop channels.</x:v>
      </x:c>
      <x:c r="M97" s="8" t="str">
        <x:v>No</x:v>
      </x:c>
      <x:c r="N97" s="8" t="str">
        <x:v>No</x:v>
      </x:c>
      <x:c r="O97" s="8" t="str">
        <x:v>Extensible/client-dependent</x:v>
      </x:c>
      <x:c r="P97" s="8" t="str">
        <x:v>No</x:v>
      </x:c>
      <x:c r="Q97" s="8" t="str">
        <x:v>No native</x:v>
      </x:c>
      <x:c r="R97" s="8" t="str">
        <x:v>N/A</x:v>
      </x:c>
      <x:c r="S97" s="8" t="str">
        <x:v>No</x:v>
      </x:c>
      <x:c r="T97" s="8" t="str">
        <x:v>No</x:v>
      </x:c>
      <x:c r="U97" s="8" t="str">
        <x:v>No</x:v>
      </x:c>
      <x:c r="V97" s="8" t="str">
        <x:v>Yes: pages, sections, drafts, files</x:v>
      </x:c>
      <x:c r="W97" s="8" t="str">
        <x:v>No</x:v>
      </x:c>
      <x:c r="X97" s="8" t="str">
        <x:v>Wiki/documentation-like</x:v>
      </x:c>
      <x:c r="Y97" s="8" t="str">
        <x:v>Via app</x:v>
      </x:c>
      <x:c r="Z97" s="8" t="str">
        <x:v>No native</x:v>
      </x:c>
      <x:c r="AA97" s="8" t="str">
        <x:v>No native</x:v>
      </x:c>
      <x:c r="AB97" s="8" t="str">
        <x:v>N/A</x:v>
      </x:c>
      <x:c r="AC97" s="9" t="str">
        <x:v>Wiki</x:v>
      </x:c>
      <x:c r="AD97" s="8" t="str">
        <x:v>No</x:v>
      </x:c>
      <x:c r="AE97" s="8" t="str">
        <x:v>No</x:v>
      </x:c>
      <x:c r="AF97" s="8" t="str">
        <x:v>No</x:v>
      </x:c>
      <x:c r="AG97" s="8" t="str">
        <x:v>No</x:v>
      </x:c>
      <x:c r="AH97" s="14" t="n">
        <x:v>19</x:v>
      </x:c>
      <x:c r="AI97" s="15" t="str">
        <x:v>Canonical source for Channel Types!19</x:v>
      </x:c>
    </x:row>
    <x:row r="98" ht="120">
      <x:c r="A98" s="12" t="str">
        <x:v>Channel Types</x:v>
      </x:c>
      <x:c r="B98" s="13" t="str">
        <x:v>Document</x:v>
      </x:c>
      <x:c r="C98" s="8" t="str">
        <x:v>No native document channel type</x:v>
      </x:c>
      <x:c r="D98" s="8" t="str">
        <x:v>No</x:v>
      </x:c>
      <x:c r="E98" s="8" t="str">
        <x:v>No</x:v>
      </x:c>
      <x:c r="F98" s="8" t="str">
        <x:v>No</x:v>
      </x:c>
      <x:c r="G98" s="8" t="str">
        <x:v>No native</x:v>
      </x:c>
      <x:c r="H98" s="8" t="str">
        <x:v>No native</x:v>
      </x:c>
      <x:c r="I98" s="8" t="str">
        <x:v>No</x:v>
      </x:c>
      <x:c r="J98" s="8" t="str">
        <x:v>No</x:v>
      </x:c>
      <x:c r="K98" s="8" t="str">
        <x:v>No</x:v>
      </x:c>
      <x:c r="L98" s="8" t="str">
        <x:v>Not documented as native: ticket, counting, highlights, welcome, wiki, document, live board, roster, web link, RSS, whiteboard, or tabletop channels.</x:v>
      </x:c>
      <x:c r="M98" s="8" t="str">
        <x:v>No</x:v>
      </x:c>
      <x:c r="N98" s="8" t="str">
        <x:v>No</x:v>
      </x:c>
      <x:c r="O98" s="8" t="str">
        <x:v>Extensible/client-dependent</x:v>
      </x:c>
      <x:c r="P98" s="8" t="str">
        <x:v>No</x:v>
      </x:c>
      <x:c r="Q98" s="8" t="str">
        <x:v>No native</x:v>
      </x:c>
      <x:c r="R98" s="8" t="str">
        <x:v>N/A</x:v>
      </x:c>
      <x:c r="S98" s="8" t="str">
        <x:v>No</x:v>
      </x:c>
      <x:c r="T98" s="8" t="str">
        <x:v>No</x:v>
      </x:c>
      <x:c r="U98" s="8" t="str">
        <x:v>No</x:v>
      </x:c>
      <x:c r="V98" s="8" t="str">
        <x:v>Yes: document channel, folders, whiteboards</x:v>
      </x:c>
      <x:c r="W98" s="8" t="str">
        <x:v>No</x:v>
      </x:c>
      <x:c r="X98" s="8" t="str">
        <x:v>Documentation pages</x:v>
      </x:c>
      <x:c r="Y98" s="8" t="str">
        <x:v>Via app</x:v>
      </x:c>
      <x:c r="Z98" s="8" t="str">
        <x:v>No native</x:v>
      </x:c>
      <x:c r="AA98" s="8" t="str">
        <x:v>No native</x:v>
      </x:c>
      <x:c r="AB98" s="8" t="str">
        <x:v>N/A</x:v>
      </x:c>
      <x:c r="AC98" s="9" t="str">
        <x:v>Wiki</x:v>
      </x:c>
      <x:c r="AD98" s="8" t="str">
        <x:v>No</x:v>
      </x:c>
      <x:c r="AE98" s="8" t="str">
        <x:v>No</x:v>
      </x:c>
      <x:c r="AF98" s="8" t="str">
        <x:v>No</x:v>
      </x:c>
      <x:c r="AG98" s="8" t="str">
        <x:v>No</x:v>
      </x:c>
      <x:c r="AH98" s="14" t="n">
        <x:v>20</x:v>
      </x:c>
      <x:c r="AI98" s="15" t="str">
        <x:v>Canonical source for Channel Types!20</x:v>
      </x:c>
    </x:row>
    <x:row r="99" ht="45">
      <x:c r="A99" s="12" t="str">
        <x:v>Channel Types</x:v>
      </x:c>
      <x:c r="B99" s="13" t="str">
        <x:v>Tasks / Kanban</x:v>
      </x:c>
      <x:c r="C99" s="8" t="str">
        <x:v>No native task channel type</x:v>
      </x:c>
      <x:c r="D99" s="8" t="str">
        <x:v>No</x:v>
      </x:c>
      <x:c r="E99" s="8" t="str">
        <x:v>No</x:v>
      </x:c>
      <x:c r="F99" s="8" t="str">
        <x:v>No</x:v>
      </x:c>
      <x:c r="G99" s="8" t="str">
        <x:v>No native</x:v>
      </x:c>
      <x:c r="H99" s="8" t="str">
        <x:v>No native</x:v>
      </x:c>
      <x:c r="I99" s="8" t="str">
        <x:v>No</x:v>
      </x:c>
      <x:c r="J99" s="8" t="str">
        <x:v>No</x:v>
      </x:c>
      <x:c r="K99" s="8" t="str">
        <x:v>No</x:v>
      </x:c>
      <x:c r="L99" s="8" t="str">
        <x:v>Yes: type-17 task tracker with boards, lanes and tasks</x:v>
      </x:c>
      <x:c r="M99" s="8" t="str">
        <x:v>Tasks</x:v>
      </x:c>
      <x:c r="N99" s="8" t="str">
        <x:v>No</x:v>
      </x:c>
      <x:c r="O99" s="8" t="str">
        <x:v>Extensible/client-dependent</x:v>
      </x:c>
      <x:c r="P99" s="8" t="str">
        <x:v>Boards/tasks via products/plugins</x:v>
      </x:c>
      <x:c r="Q99" s="8" t="str">
        <x:v>No native</x:v>
      </x:c>
      <x:c r="R99" s="8" t="str">
        <x:v>N/A</x:v>
      </x:c>
      <x:c r="S99" s="8" t="str">
        <x:v>No</x:v>
      </x:c>
      <x:c r="T99" s="8" t="str">
        <x:v>No</x:v>
      </x:c>
      <x:c r="U99" s="8" t="str">
        <x:v>No</x:v>
      </x:c>
      <x:c r="V99" s="8" t="str">
        <x:v>Yes: task boards, assignees, blockers, archive</x:v>
      </x:c>
      <x:c r="W99" s="8" t="str">
        <x:v>Apps</x:v>
      </x:c>
      <x:c r="X99" s="8" t="str">
        <x:v>No</x:v>
      </x:c>
      <x:c r="Y99" s="8" t="str">
        <x:v>Via app</x:v>
      </x:c>
      <x:c r="Z99" s="8" t="str">
        <x:v>No native</x:v>
      </x:c>
      <x:c r="AA99" s="8" t="str">
        <x:v>No native</x:v>
      </x:c>
      <x:c r="AB99" s="8" t="str">
        <x:v>N/A</x:v>
      </x:c>
      <x:c r="AC99" s="9" t="str">
        <x:v>No</x:v>
      </x:c>
      <x:c r="AD99" s="8" t="str">
        <x:v>No</x:v>
      </x:c>
      <x:c r="AE99" s="8" t="str">
        <x:v>Tasks/modules</x:v>
      </x:c>
      <x:c r="AF99" s="8" t="str">
        <x:v>No</x:v>
      </x:c>
      <x:c r="AG99" s="8" t="str">
        <x:v>No dedicated task channel</x:v>
      </x:c>
      <x:c r="AH99" s="14" t="n">
        <x:v>21</x:v>
      </x:c>
      <x:c r="AI99" s="15" t="str">
        <x:v>Canonical source for Channel Types!21</x:v>
      </x:c>
    </x:row>
    <x:row r="100" ht="120">
      <x:c r="A100" s="12" t="str">
        <x:v>Channel Types</x:v>
      </x:c>
      <x:c r="B100" s="13" t="str">
        <x:v>Live Board / Status Board</x:v>
      </x:c>
      <x:c r="C100" s="8" t="str">
        <x:v>No native</x:v>
      </x:c>
      <x:c r="D100" s="8"/>
      <x:c r="E100" s="8"/>
      <x:c r="F100" s="8"/>
      <x:c r="G100" s="8"/>
      <x:c r="H100" s="8"/>
      <x:c r="I100" s="8"/>
      <x:c r="J100" s="8"/>
      <x:c r="K100" s="8"/>
      <x:c r="L100" s="8" t="str">
        <x:v>Not documented as native: ticket, counting, highlights, welcome, wiki, document, live board, roster, web link, RSS, whiteboard, or tabletop channels.</x:v>
      </x:c>
      <x:c r="M100" s="8"/>
      <x:c r="N100" s="8"/>
      <x:c r="O100" s="8"/>
      <x:c r="P100" s="8"/>
      <x:c r="Q100" s="8"/>
      <x:c r="R100" s="8"/>
      <x:c r="S100" s="8"/>
      <x:c r="T100" s="8"/>
      <x:c r="U100" s="8"/>
      <x:c r="V100" s="8" t="str">
        <x:v>Yes: live status cards / tool-fed boards</x:v>
      </x:c>
      <x:c r="W100" s="8"/>
      <x:c r="X100" s="8"/>
      <x:c r="Y100" s="8"/>
      <x:c r="Z100" s="8"/>
      <x:c r="AA100" s="8"/>
      <x:c r="AB100" s="8"/>
      <x:c r="AC100" s="9"/>
      <x:c r="AD100" s="8"/>
      <x:c r="AE100" s="8"/>
      <x:c r="AF100" s="8"/>
      <x:c r="AG100" s="8"/>
      <x:c r="AH100" s="14" t="n">
        <x:v>22</x:v>
      </x:c>
      <x:c r="AI100" s="15" t="str">
        <x:v>Canonical source for Channel Types!22</x:v>
      </x:c>
    </x:row>
    <x:row r="101" ht="120">
      <x:c r="A101" s="12" t="str">
        <x:v>Channel Types</x:v>
      </x:c>
      <x:c r="B101" s="13" t="str">
        <x:v>Roster / Team List</x:v>
      </x:c>
      <x:c r="C101" s="8" t="str">
        <x:v>No native roster channel type</x:v>
      </x:c>
      <x:c r="D101" s="8" t="str">
        <x:v>No</x:v>
      </x:c>
      <x:c r="E101" s="8" t="str">
        <x:v>No</x:v>
      </x:c>
      <x:c r="F101" s="8" t="str">
        <x:v>No</x:v>
      </x:c>
      <x:c r="G101" s="8" t="str">
        <x:v>No native</x:v>
      </x:c>
      <x:c r="H101" s="8" t="str">
        <x:v>No native</x:v>
      </x:c>
      <x:c r="I101" s="8" t="str">
        <x:v>No</x:v>
      </x:c>
      <x:c r="J101" s="8" t="str">
        <x:v>No</x:v>
      </x:c>
      <x:c r="K101" s="8" t="str">
        <x:v>No</x:v>
      </x:c>
      <x:c r="L101" s="8" t="str">
        <x:v>Not documented as native: ticket, counting, highlights, welcome, wiki, document, live board, roster, web link, RSS, whiteboard, or tabletop channels.</x:v>
      </x:c>
      <x:c r="M101" s="8" t="str">
        <x:v>No</x:v>
      </x:c>
      <x:c r="N101" s="8" t="str">
        <x:v>No</x:v>
      </x:c>
      <x:c r="O101" s="8" t="str">
        <x:v>Extensible/client-dependent</x:v>
      </x:c>
      <x:c r="P101" s="8" t="str">
        <x:v>No</x:v>
      </x:c>
      <x:c r="Q101" s="8" t="str">
        <x:v>No native</x:v>
      </x:c>
      <x:c r="R101" s="8" t="str">
        <x:v>N/A</x:v>
      </x:c>
      <x:c r="S101" s="8" t="str">
        <x:v>No</x:v>
      </x:c>
      <x:c r="T101" s="8" t="str">
        <x:v>No</x:v>
      </x:c>
      <x:c r="U101" s="8" t="str">
        <x:v>No</x:v>
      </x:c>
      <x:c r="V101" s="8" t="str">
        <x:v>Yes - Roster Channel</x:v>
      </x:c>
      <x:c r="W101" s="8" t="str">
        <x:v>No</x:v>
      </x:c>
      <x:c r="X101" s="8" t="str">
        <x:v>No</x:v>
      </x:c>
      <x:c r="Y101" s="8" t="str">
        <x:v>Via app (Raid Planner)</x:v>
      </x:c>
      <x:c r="Z101" s="8" t="str">
        <x:v>No native</x:v>
      </x:c>
      <x:c r="AA101" s="8" t="str">
        <x:v>No native</x:v>
      </x:c>
      <x:c r="AB101" s="8" t="str">
        <x:v>N/A</x:v>
      </x:c>
      <x:c r="AC101" s="9" t="str">
        <x:v>No</x:v>
      </x:c>
      <x:c r="AD101" s="8" t="str">
        <x:v>No</x:v>
      </x:c>
      <x:c r="AE101" s="8" t="str">
        <x:v>Roster/team modules</x:v>
      </x:c>
      <x:c r="AF101" s="8" t="str">
        <x:v>No</x:v>
      </x:c>
      <x:c r="AG101" s="8" t="str">
        <x:v>No</x:v>
      </x:c>
      <x:c r="AH101" s="14" t="n">
        <x:v>23</x:v>
      </x:c>
      <x:c r="AI101" s="15" t="str">
        <x:v>Canonical source for Channel Types!23</x:v>
      </x:c>
    </x:row>
    <x:row r="102" ht="120">
      <x:c r="A102" s="12" t="str">
        <x:v>Channel Types</x:v>
      </x:c>
      <x:c r="B102" s="13" t="str">
        <x:v>Web Link / Shortcut</x:v>
      </x:c>
      <x:c r="C102" s="8" t="str">
        <x:v>No native web-link channel type; links/embeds can be posted</x:v>
      </x:c>
      <x:c r="D102" s="8" t="str">
        <x:v>No</x:v>
      </x:c>
      <x:c r="E102" s="8" t="str">
        <x:v>No</x:v>
      </x:c>
      <x:c r="F102" s="8" t="str">
        <x:v>No</x:v>
      </x:c>
      <x:c r="G102" s="8" t="str">
        <x:v>No native</x:v>
      </x:c>
      <x:c r="H102" s="8" t="str">
        <x:v>No native</x:v>
      </x:c>
      <x:c r="I102" s="8" t="str">
        <x:v>No</x:v>
      </x:c>
      <x:c r="J102" s="8" t="str">
        <x:v>No</x:v>
      </x:c>
      <x:c r="K102" s="8" t="str">
        <x:v>No</x:v>
      </x:c>
      <x:c r="L102" s="8" t="str">
        <x:v>Not documented as native: ticket, counting, highlights, welcome, wiki, document, live board, roster, web link, RSS, whiteboard, or tabletop channels.</x:v>
      </x:c>
      <x:c r="M102" s="8" t="str">
        <x:v>No</x:v>
      </x:c>
      <x:c r="N102" s="8" t="str">
        <x:v>No</x:v>
      </x:c>
      <x:c r="O102" s="8" t="str">
        <x:v>Extensible/client-dependent</x:v>
      </x:c>
      <x:c r="P102" s="8" t="str">
        <x:v>No</x:v>
      </x:c>
      <x:c r="Q102" s="8" t="str">
        <x:v>No native</x:v>
      </x:c>
      <x:c r="R102" s="8" t="str">
        <x:v>N/A</x:v>
      </x:c>
      <x:c r="S102" s="8" t="str">
        <x:v>No</x:v>
      </x:c>
      <x:c r="T102" s="8" t="str">
        <x:v>No</x:v>
      </x:c>
      <x:c r="U102" s="8" t="str">
        <x:v>No</x:v>
      </x:c>
      <x:c r="V102" s="8" t="str">
        <x:v>Yes: Link channel</x:v>
      </x:c>
      <x:c r="W102" s="8" t="str">
        <x:v>No</x:v>
      </x:c>
      <x:c r="X102" s="8" t="str">
        <x:v>ATProto links</x:v>
      </x:c>
      <x:c r="Y102" s="8" t="str">
        <x:v>Via app</x:v>
      </x:c>
      <x:c r="Z102" s="8" t="str">
        <x:v>No native</x:v>
      </x:c>
      <x:c r="AA102" s="8" t="str">
        <x:v>No native</x:v>
      </x:c>
      <x:c r="AB102" s="8" t="str">
        <x:v>N/A</x:v>
      </x:c>
      <x:c r="AC102" s="9" t="str">
        <x:v>No</x:v>
      </x:c>
      <x:c r="AD102" s="8" t="str">
        <x:v>No</x:v>
      </x:c>
      <x:c r="AE102" s="8" t="str">
        <x:v>Web/media stage</x:v>
      </x:c>
      <x:c r="AF102" s="8" t="str">
        <x:v>No</x:v>
      </x:c>
      <x:c r="AG102" s="8" t="str">
        <x:v>No</x:v>
      </x:c>
      <x:c r="AH102" s="14" t="n">
        <x:v>24</x:v>
      </x:c>
      <x:c r="AI102" s="15" t="str">
        <x:v>Canonical source for Channel Types!24</x:v>
      </x:c>
    </x:row>
    <x:row r="103" ht="60">
      <x:c r="A103" s="12" t="str">
        <x:v>Channel Types</x:v>
      </x:c>
      <x:c r="B103" s="13" t="str">
        <x:v>Calendar / Events</x:v>
      </x:c>
      <x:c r="C103" s="8" t="str">
        <x:v>Partial: Scheduled Events, not a channel</x:v>
      </x:c>
      <x:c r="D103" s="8" t="str">
        <x:v>No</x:v>
      </x:c>
      <x:c r="E103" s="8" t="str">
        <x:v>No</x:v>
      </x:c>
      <x:c r="F103" s="8" t="str">
        <x:v>No</x:v>
      </x:c>
      <x:c r="G103" s="8" t="str">
        <x:v>Events rather than calendar channel</x:v>
      </x:c>
      <x:c r="H103" s="8" t="str">
        <x:v>No native</x:v>
      </x:c>
      <x:c r="I103" s="8" t="str">
        <x:v>Events</x:v>
      </x:c>
      <x:c r="J103" s="8" t="str">
        <x:v>No</x:v>
      </x:c>
      <x:c r="K103" s="8" t="str">
        <x:v>No</x:v>
      </x:c>
      <x:c r="L103" s="8" t="str">
        <x:v>Scheduled events exist, but no dedicated calendar channel type verified</x:v>
      </x:c>
      <x:c r="M103" s="8" t="str">
        <x:v>Calendar</x:v>
      </x:c>
      <x:c r="N103" s="8" t="str">
        <x:v>No</x:v>
      </x:c>
      <x:c r="O103" s="8" t="str">
        <x:v>Client-dependent</x:v>
      </x:c>
      <x:c r="P103" s="8" t="str">
        <x:v>No</x:v>
      </x:c>
      <x:c r="Q103" s="8" t="str">
        <x:v>No native</x:v>
      </x:c>
      <x:c r="R103" s="8" t="str">
        <x:v>N/A</x:v>
      </x:c>
      <x:c r="S103" s="8" t="str">
        <x:v>No</x:v>
      </x:c>
      <x:c r="T103" s="8" t="str">
        <x:v>No</x:v>
      </x:c>
      <x:c r="U103" s="8" t="str">
        <x:v>No</x:v>
      </x:c>
      <x:c r="V103" s="8" t="str">
        <x:v>Yes: Shard events + multiple calendars</x:v>
      </x:c>
      <x:c r="W103" s="8" t="str">
        <x:v>Calendar apps/integrations</x:v>
      </x:c>
      <x:c r="X103" s="8" t="str">
        <x:v>No</x:v>
      </x:c>
      <x:c r="Y103" s="8" t="str">
        <x:v>Via app</x:v>
      </x:c>
      <x:c r="Z103" s="8" t="str">
        <x:v>No native</x:v>
      </x:c>
      <x:c r="AA103" s="8" t="str">
        <x:v>No native</x:v>
      </x:c>
      <x:c r="AB103" s="8" t="str">
        <x:v>N/A</x:v>
      </x:c>
      <x:c r="AC103" s="9"/>
      <x:c r="AD103" s="8" t="str">
        <x:v>No</x:v>
      </x:c>
      <x:c r="AE103" s="8" t="str">
        <x:v>Events</x:v>
      </x:c>
      <x:c r="AF103" s="8" t="str">
        <x:v>No</x:v>
      </x:c>
      <x:c r="AG103" s="8" t="str">
        <x:v>No dedicated calendar; integrations</x:v>
      </x:c>
      <x:c r="AH103" s="14" t="n">
        <x:v>25</x:v>
      </x:c>
      <x:c r="AI103" s="15" t="str">
        <x:v>Canonical source for Channel Types!25</x:v>
      </x:c>
    </x:row>
    <x:row r="104" ht="120">
      <x:c r="A104" s="12" t="str">
        <x:v>Channel Types</x:v>
      </x:c>
      <x:c r="B104" s="13" t="str">
        <x:v>RSS / Feed</x:v>
      </x:c>
      <x:c r="C104" s="8" t="str">
        <x:v>No native; webhooks/apps</x:v>
      </x:c>
      <x:c r="D104" s="8" t="str">
        <x:v>No</x:v>
      </x:c>
      <x:c r="E104" s="8" t="str">
        <x:v>No</x:v>
      </x:c>
      <x:c r="F104" s="8" t="str">
        <x:v>No</x:v>
      </x:c>
      <x:c r="G104" s="8" t="str">
        <x:v>No native</x:v>
      </x:c>
      <x:c r="H104" s="8" t="str">
        <x:v>No native</x:v>
      </x:c>
      <x:c r="I104" s="8" t="str">
        <x:v>No</x:v>
      </x:c>
      <x:c r="J104" s="8" t="str">
        <x:v>No</x:v>
      </x:c>
      <x:c r="K104" s="8" t="str">
        <x:v>No</x:v>
      </x:c>
      <x:c r="L104" s="8" t="str">
        <x:v>Not documented as native: ticket, counting, highlights, welcome, wiki, document, live board, roster, web link, RSS, whiteboard, or tabletop channels.</x:v>
      </x:c>
      <x:c r="M104" s="8" t="str">
        <x:v>No</x:v>
      </x:c>
      <x:c r="N104" s="8" t="str">
        <x:v>No</x:v>
      </x:c>
      <x:c r="O104" s="8" t="str">
        <x:v>Via integrations/bots</x:v>
      </x:c>
      <x:c r="P104" s="8" t="str">
        <x:v>Integrations</x:v>
      </x:c>
      <x:c r="Q104" s="8" t="str">
        <x:v>No native</x:v>
      </x:c>
      <x:c r="R104" s="8" t="str">
        <x:v>N/A</x:v>
      </x:c>
      <x:c r="S104" s="8" t="str">
        <x:v>No</x:v>
      </x:c>
      <x:c r="T104" s="8" t="str">
        <x:v>No</x:v>
      </x:c>
      <x:c r="U104" s="8" t="str">
        <x:v>No</x:v>
      </x:c>
      <x:c r="V104" s="8" t="str">
        <x:v>RSS Channel &amp; Personal RSS Portal</x:v>
      </x:c>
      <x:c r="W104" s="8" t="str">
        <x:v>Apps</x:v>
      </x:c>
      <x:c r="X104" s="8" t="str">
        <x:v>No</x:v>
      </x:c>
      <x:c r="Y104" s="8" t="str">
        <x:v>Via app</x:v>
      </x:c>
      <x:c r="Z104" s="8" t="str">
        <x:v>No native</x:v>
      </x:c>
      <x:c r="AA104" s="8" t="str">
        <x:v>No native</x:v>
      </x:c>
      <x:c r="AB104" s="8" t="str">
        <x:v>N/A</x:v>
      </x:c>
      <x:c r="AC104" s="9" t="str">
        <x:v>No</x:v>
      </x:c>
      <x:c r="AD104" s="8" t="str">
        <x:v>No</x:v>
      </x:c>
      <x:c r="AE104" s="8"/>
      <x:c r="AF104" s="8" t="str">
        <x:v>No</x:v>
      </x:c>
      <x:c r="AG104" s="8" t="str">
        <x:v>Via integrations</x:v>
      </x:c>
      <x:c r="AH104" s="14" t="n">
        <x:v>26</x:v>
      </x:c>
      <x:c r="AI104" s="15" t="str">
        <x:v>Canonical source for Channel Types!26</x:v>
      </x:c>
    </x:row>
    <x:row r="105" ht="120">
      <x:c r="A105" s="12" t="str">
        <x:v>Channel Types</x:v>
      </x:c>
      <x:c r="B105" s="13" t="str">
        <x:v>Whiteboard</x:v>
      </x:c>
      <x:c r="C105" s="8" t="str">
        <x:v>Activities/apps</x:v>
      </x:c>
      <x:c r="D105" s="8"/>
      <x:c r="E105" s="8"/>
      <x:c r="F105" s="8"/>
      <x:c r="G105" s="8"/>
      <x:c r="H105" s="8"/>
      <x:c r="I105" s="8"/>
      <x:c r="J105" s="8"/>
      <x:c r="K105" s="8"/>
      <x:c r="L105" s="8" t="str">
        <x:v>Not documented as native: ticket, counting, highlights, welcome, wiki, document, live board, roster, web link, RSS, whiteboard, or tabletop channels.</x:v>
      </x:c>
      <x:c r="M105" s="8"/>
      <x:c r="N105" s="8"/>
      <x:c r="O105" s="8"/>
      <x:c r="P105" s="8"/>
      <x:c r="Q105" s="8"/>
      <x:c r="R105" s="8"/>
      <x:c r="S105" s="8"/>
      <x:c r="T105" s="8"/>
      <x:c r="U105" s="8"/>
      <x:c r="V105" s="8" t="str">
        <x:v>Yes: within Documents Channel</x:v>
      </x:c>
      <x:c r="W105" s="8"/>
      <x:c r="X105" s="8"/>
      <x:c r="Y105" s="8"/>
      <x:c r="Z105" s="8"/>
      <x:c r="AA105" s="8"/>
      <x:c r="AB105" s="8"/>
      <x:c r="AC105" s="9"/>
      <x:c r="AD105" s="8"/>
      <x:c r="AE105" s="8"/>
      <x:c r="AF105" s="8"/>
      <x:c r="AG105" s="8"/>
      <x:c r="AH105" s="14" t="n">
        <x:v>27</x:v>
      </x:c>
      <x:c r="AI105" s="15" t="str">
        <x:v>Canonical source for Channel Types!27</x:v>
      </x:c>
    </x:row>
    <x:row r="106" ht="120">
      <x:c r="A106" s="12" t="str">
        <x:v>Channel Types</x:v>
      </x:c>
      <x:c r="B106" s="13" t="str">
        <x:v>Tabletop</x:v>
      </x:c>
      <x:c r="C106" s="8" t="str">
        <x:v>Activities/apps</x:v>
      </x:c>
      <x:c r="D106" s="8"/>
      <x:c r="E106" s="8"/>
      <x:c r="F106" s="8"/>
      <x:c r="G106" s="8"/>
      <x:c r="H106" s="8"/>
      <x:c r="I106" s="8"/>
      <x:c r="J106" s="8"/>
      <x:c r="K106" s="8"/>
      <x:c r="L106" s="8" t="str">
        <x:v>Not documented as native: ticket, counting, highlights, welcome, wiki, document, live board, roster, web link, RSS, whiteboard, or tabletop channels.</x:v>
      </x:c>
      <x:c r="M106" s="8"/>
      <x:c r="N106" s="8"/>
      <x:c r="O106" s="8"/>
      <x:c r="P106" s="8"/>
      <x:c r="Q106" s="8"/>
      <x:c r="R106" s="8"/>
      <x:c r="S106" s="8"/>
      <x:c r="T106" s="8"/>
      <x:c r="U106" s="8"/>
      <x:c r="V106" s="8" t="str">
        <x:v>Experimental: dedicated Tabletop workspace/channel</x:v>
      </x:c>
      <x:c r="W106" s="8"/>
      <x:c r="X106" s="8"/>
      <x:c r="Y106" s="8"/>
      <x:c r="Z106" s="8"/>
      <x:c r="AA106" s="8"/>
      <x:c r="AB106" s="8"/>
      <x:c r="AC106" s="9"/>
      <x:c r="AD106" s="8"/>
      <x:c r="AE106" s="8"/>
      <x:c r="AF106" s="8"/>
      <x:c r="AG106" s="8"/>
      <x:c r="AH106" s="14" t="n">
        <x:v>28</x:v>
      </x:c>
      <x:c r="AI106" s="15" t="str">
        <x:v>Canonical source for Channel Types!28</x:v>
      </x:c>
    </x:row>
    <x:row r="107" ht="45">
      <x:c r="A107" s="12" t="str">
        <x:v>Extra Features</x:v>
      </x:c>
      <x:c r="B107" s="13" t="str">
        <x:v>Rich Presence</x:v>
      </x:c>
      <x:c r="C107" s="8" t="str">
        <x:v>Yes: Rich Presence</x:v>
      </x:c>
      <x:c r="D107" s="8"/>
      <x:c r="E107" s="8"/>
      <x:c r="F107" s="8"/>
      <x:c r="G107" s="8"/>
      <x:c r="H107" s="8" t="str">
        <x:v>Yes</x:v>
      </x:c>
      <x:c r="I107" s="8" t="str">
        <x:v>Rich presence/overlay</x:v>
      </x:c>
      <x:c r="J107" s="8"/>
      <x:c r="K107" s="8" t="str">
        <x:v>Twitch integration/badges</x:v>
      </x:c>
      <x:c r="L107" s="8" t="str">
        <x:v>Yes: developer-reported</x:v>
      </x:c>
      <x:c r="M107" s="8"/>
      <x:c r="N107" s="8"/>
      <x:c r="O107" s="8" t="str">
        <x:v>Client-dependent</x:v>
      </x:c>
      <x:c r="P107" s="8" t="str">
        <x:v>Integrations/status</x:v>
      </x:c>
      <x:c r="Q107" s="8"/>
      <x:c r="R107" s="8" t="str">
        <x:v>Game integration/positional audio</x:v>
      </x:c>
      <x:c r="S107" s="8" t="str">
        <x:v>Rich Presence extension</x:v>
      </x:c>
      <x:c r="T107" s="8"/>
      <x:c r="U107" s="8" t="str">
        <x:v>Not claimed as a headline feature</x:v>
      </x:c>
      <x:c r="V107" s="8" t="str">
        <x:v>Yes: Steam detection, game activity, Now Playing from music integrations and portals, plus user-registered custom apps</x:v>
      </x:c>
      <x:c r="W107" s="8" t="str">
        <x:v>Integrations/status</x:v>
      </x:c>
      <x:c r="X107" s="8"/>
      <x:c r="Y107" s="8"/>
      <x:c r="Z107" s="8" t="str">
        <x:v>Discord-compatible target</x:v>
      </x:c>
      <x:c r="AA107" s="8" t="str">
        <x:v>Yes</x:v>
      </x:c>
      <x:c r="AB107" s="8" t="str">
        <x:v>Game-oriented presence/plugins</x:v>
      </x:c>
      <x:c r="AC107" s="9"/>
      <x:c r="AD107" s="8"/>
      <x:c r="AE107" s="8" t="str">
        <x:v>Deep game presence</x:v>
      </x:c>
      <x:c r="AF107" s="8"/>
      <x:c r="AG107" s="8" t="str">
        <x:v>No game rich presence</x:v>
      </x:c>
      <x:c r="AH107" s="14" t="n">
        <x:v>4</x:v>
      </x:c>
      <x:c r="AI107" s="15" t="str">
        <x:v>Canonical source for Extra Features!4</x:v>
      </x:c>
    </x:row>
    <x:row r="108" ht="60">
      <x:c r="A108" s="12" t="str">
        <x:v>Extra Features</x:v>
      </x:c>
      <x:c r="B108" s="13" t="str">
        <x:v>Server / Community Soundboards</x:v>
      </x:c>
      <x:c r="C108" s="8" t="str">
        <x:v>Yes: server Soundboard</x:v>
      </x:c>
      <x:c r="D108" s="8" t="str">
        <x:v>No</x:v>
      </x:c>
      <x:c r="E108" s="8"/>
      <x:c r="F108" s="8" t="str">
        <x:v>No</x:v>
      </x:c>
      <x:c r="G108" s="8"/>
      <x:c r="H108" s="8"/>
      <x:c r="I108" s="8" t="str">
        <x:v>Yes: imported soundboard</x:v>
      </x:c>
      <x:c r="J108" s="8"/>
      <x:c r="K108" s="8" t="str">
        <x:v>No</x:v>
      </x:c>
      <x:c r="L108" s="8" t="str">
        <x:v>Yes: guild soundboards are exposed in the official Python SDK</x:v>
      </x:c>
      <x:c r="M108" s="8"/>
      <x:c r="N108" s="8"/>
      <x:c r="O108" s="8" t="str">
        <x:v>Client-dependent</x:v>
      </x:c>
      <x:c r="P108" s="8" t="str">
        <x:v>No native soundboard</x:v>
      </x:c>
      <x:c r="Q108" s="8"/>
      <x:c r="R108" s="8" t="str">
        <x:v>No</x:v>
      </x:c>
      <x:c r="S108" s="8" t="str">
        <x:v>No</x:v>
      </x:c>
      <x:c r="T108" s="8"/>
      <x:c r="U108" s="8" t="str">
        <x:v>Not claimed as a Discord-parity feature</x:v>
      </x:c>
      <x:c r="V108" s="8" t="str">
        <x:v>Yes</x:v>
      </x:c>
      <x:c r="W108" s="8" t="str">
        <x:v>No native gaming soundboard</x:v>
      </x:c>
      <x:c r="X108" s="8" t="str">
        <x:v>No</x:v>
      </x:c>
      <x:c r="Y108" s="8"/>
      <x:c r="Z108" s="8"/>
      <x:c r="AA108" s="8" t="str">
        <x:v>No native soundboard verified</x:v>
      </x:c>
      <x:c r="AB108" s="8"/>
      <x:c r="AC108" s="9" t="str">
        <x:v>No</x:v>
      </x:c>
      <x:c r="AD108" s="8"/>
      <x:c r="AE108" s="8" t="str">
        <x:v>No</x:v>
      </x:c>
      <x:c r="AF108" s="8" t="str">
        <x:v>No</x:v>
      </x:c>
      <x:c r="AG108" s="8" t="str">
        <x:v>No</x:v>
      </x:c>
      <x:c r="AH108" s="14" t="n">
        <x:v>6</x:v>
      </x:c>
      <x:c r="AI108" s="15" t="str">
        <x:v>Canonical source for Extra Features!6</x:v>
      </x:c>
    </x:row>
    <x:row r="109" ht="75">
      <x:c r="A109" s="12" t="str">
        <x:v>Extra Features</x:v>
      </x:c>
      <x:c r="B109" s="13" t="str">
        <x:v>Personal Soundboard</x:v>
      </x:c>
      <x:c r="C109" s="8" t="str">
        <x:v>Partial: server soundboards can be used/favorited; no separate personal soundboard</x:v>
      </x:c>
      <x:c r="D109" s="8" t="str">
        <x:v>No</x:v>
      </x:c>
      <x:c r="E109" s="8"/>
      <x:c r="F109" s="8" t="str">
        <x:v>No</x:v>
      </x:c>
      <x:c r="G109" s="8"/>
      <x:c r="H109" s="8"/>
      <x:c r="I109" s="8"/>
      <x:c r="J109" s="8"/>
      <x:c r="K109" s="8" t="str">
        <x:v>No</x:v>
      </x:c>
      <x:c r="L109" s="8" t="str">
        <x:v>Scope not separately documented; guild soundboards are verified</x:v>
      </x:c>
      <x:c r="M109" s="8"/>
      <x:c r="N109" s="8"/>
      <x:c r="O109" s="8" t="str">
        <x:v>Client-dependent</x:v>
      </x:c>
      <x:c r="P109" s="8" t="str">
        <x:v>No</x:v>
      </x:c>
      <x:c r="Q109" s="8"/>
      <x:c r="R109" s="8" t="str">
        <x:v>No</x:v>
      </x:c>
      <x:c r="S109" s="8" t="str">
        <x:v>No</x:v>
      </x:c>
      <x:c r="T109" s="8"/>
      <x:c r="U109" s="8" t="str">
        <x:v>Not claimed as a Discord-parity feature</x:v>
      </x:c>
      <x:c r="V109" s="8" t="str">
        <x:v>Yes</x:v>
      </x:c>
      <x:c r="W109" s="8" t="str">
        <x:v>No</x:v>
      </x:c>
      <x:c r="X109" s="8" t="str">
        <x:v>No</x:v>
      </x:c>
      <x:c r="Y109" s="8"/>
      <x:c r="Z109" s="8"/>
      <x:c r="AA109" s="8" t="str">
        <x:v>No</x:v>
      </x:c>
      <x:c r="AB109" s="8"/>
      <x:c r="AC109" s="9" t="str">
        <x:v>No</x:v>
      </x:c>
      <x:c r="AD109" s="8"/>
      <x:c r="AE109" s="8" t="str">
        <x:v>No</x:v>
      </x:c>
      <x:c r="AF109" s="8" t="str">
        <x:v>No</x:v>
      </x:c>
      <x:c r="AG109" s="8" t="str">
        <x:v>No</x:v>
      </x:c>
      <x:c r="AH109" s="14" t="n">
        <x:v>7</x:v>
      </x:c>
      <x:c r="AI109" s="15" t="str">
        <x:v>Canonical source for Extra Features!7</x:v>
      </x:c>
    </x:row>
    <x:row r="110" ht="30">
      <x:c r="A110" s="12" t="str">
        <x:v>Extra Features</x:v>
      </x:c>
      <x:c r="B110" s="13" t="str">
        <x:v>Voice Changer</x:v>
      </x:c>
      <x:c r="C110" s="8" t="str">
        <x:v>No native</x:v>
      </x:c>
      <x:c r="D110" s="8"/>
      <x:c r="E110" s="8"/>
      <x:c r="F110" s="8"/>
      <x:c r="G110" s="8"/>
      <x:c r="H110" s="8"/>
      <x:c r="I110" s="8"/>
      <x:c r="J110" s="8"/>
      <x:c r="K110" s="8"/>
      <x:c r="L110" s="8" t="str">
        <x:v>No native voice changer documented</x:v>
      </x:c>
      <x:c r="M110" s="8"/>
      <x:c r="N110" s="8"/>
      <x:c r="O110" s="8"/>
      <x:c r="P110" s="8"/>
      <x:c r="Q110" s="8"/>
      <x:c r="R110" s="8"/>
      <x:c r="S110" s="8"/>
      <x:c r="T110" s="8"/>
      <x:c r="U110" s="8"/>
      <x:c r="V110" s="8" t="str">
        <x:v>Yes</x:v>
      </x:c>
      <x:c r="W110" s="8"/>
      <x:c r="X110" s="8"/>
      <x:c r="Y110" s="8"/>
      <x:c r="Z110" s="8"/>
      <x:c r="AA110" s="8"/>
      <x:c r="AB110" s="8" t="str">
        <x:v>Plugin dependent</x:v>
      </x:c>
      <x:c r="AC110" s="9"/>
      <x:c r="AD110" s="8"/>
      <x:c r="AE110" s="8"/>
      <x:c r="AF110" s="8"/>
      <x:c r="AG110" s="8"/>
      <x:c r="AH110" s="14" t="n">
        <x:v>8</x:v>
      </x:c>
      <x:c r="AI110" s="15" t="str">
        <x:v>Canonical source for Extra Features!8</x:v>
      </x:c>
    </x:row>
    <x:row r="111" ht="45">
      <x:c r="A111" s="12" t="str">
        <x:v>Extra Features</x:v>
      </x:c>
      <x:c r="B111" s="13" t="str">
        <x:v>Leveling / XP</x:v>
      </x:c>
      <x:c r="C111" s="8" t="str">
        <x:v>No native; bots/apps</x:v>
      </x:c>
      <x:c r="D111" s="8"/>
      <x:c r="E111" s="8"/>
      <x:c r="F111" s="8"/>
      <x:c r="G111" s="8"/>
      <x:c r="H111" s="8"/>
      <x:c r="I111" s="8"/>
      <x:c r="J111" s="8"/>
      <x:c r="K111" s="8"/>
      <x:c r="L111" s="8" t="str">
        <x:v>No native leveling/XP system documented</x:v>
      </x:c>
      <x:c r="M111" s="8"/>
      <x:c r="N111" s="8"/>
      <x:c r="O111" s="8"/>
      <x:c r="P111" s="8"/>
      <x:c r="Q111" s="8"/>
      <x:c r="R111" s="8"/>
      <x:c r="S111" s="8"/>
      <x:c r="T111" s="8"/>
      <x:c r="U111" s="8"/>
      <x:c r="V111" s="8" t="str">
        <x:v>Yes: opt-in XP, roles/unlocks, leaderboard</x:v>
      </x:c>
      <x:c r="W111" s="8"/>
      <x:c r="X111" s="8"/>
      <x:c r="Y111" s="8"/>
      <x:c r="Z111" s="8"/>
      <x:c r="AA111" s="8"/>
      <x:c r="AB111" s="8"/>
      <x:c r="AC111" s="9"/>
      <x:c r="AD111" s="8"/>
      <x:c r="AE111" s="8"/>
      <x:c r="AF111" s="8"/>
      <x:c r="AG111" s="8"/>
      <x:c r="AH111" s="14" t="n">
        <x:v>10</x:v>
      </x:c>
      <x:c r="AI111" s="15" t="str">
        <x:v>Canonical source for Extra Features!10</x:v>
      </x:c>
    </x:row>
    <x:row r="112" ht="45">
      <x:c r="A112" s="12" t="str">
        <x:v>Extra Features</x:v>
      </x:c>
      <x:c r="B112" s="13" t="str">
        <x:v>Giveaways / Raffles</x:v>
      </x:c>
      <x:c r="C112" s="8" t="str">
        <x:v>No native; bots/apps</x:v>
      </x:c>
      <x:c r="D112" s="8"/>
      <x:c r="E112" s="8"/>
      <x:c r="F112" s="8"/>
      <x:c r="G112" s="8"/>
      <x:c r="H112" s="8"/>
      <x:c r="I112" s="8"/>
      <x:c r="J112" s="8"/>
      <x:c r="K112" s="8"/>
      <x:c r="L112" s="8" t="str">
        <x:v>No native giveaways/raffles system documented</x:v>
      </x:c>
      <x:c r="M112" s="8"/>
      <x:c r="N112" s="8"/>
      <x:c r="O112" s="8"/>
      <x:c r="P112" s="8"/>
      <x:c r="Q112" s="8"/>
      <x:c r="R112" s="8"/>
      <x:c r="S112" s="8"/>
      <x:c r="T112" s="8"/>
      <x:c r="U112" s="8"/>
      <x:c r="V112" s="8" t="str">
        <x:v>Yes: verifiable cryptographic draw</x:v>
      </x:c>
      <x:c r="W112" s="8"/>
      <x:c r="X112" s="8"/>
      <x:c r="Y112" s="8"/>
      <x:c r="Z112" s="8"/>
      <x:c r="AA112" s="8"/>
      <x:c r="AB112" s="8"/>
      <x:c r="AC112" s="9"/>
      <x:c r="AD112" s="8"/>
      <x:c r="AE112" s="8"/>
      <x:c r="AF112" s="8"/>
      <x:c r="AG112" s="8"/>
      <x:c r="AH112" s="14" t="n">
        <x:v>11</x:v>
      </x:c>
      <x:c r="AI112" s="15" t="str">
        <x:v>Canonical source for Extra Features!11</x:v>
      </x:c>
    </x:row>
    <x:row r="113" ht="45">
      <x:c r="A113" s="12" t="str">
        <x:v>Extra Features</x:v>
      </x:c>
      <x:c r="B113" s="13" t="str">
        <x:v>Reaction Roles</x:v>
      </x:c>
      <x:c r="C113" s="8" t="str">
        <x:v>No native general reaction-role builder; bots/apps</x:v>
      </x:c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N113" s="8"/>
      <x:c r="O113" s="8"/>
      <x:c r="P113" s="8"/>
      <x:c r="Q113" s="8"/>
      <x:c r="R113" s="8"/>
      <x:c r="S113" s="8"/>
      <x:c r="T113" s="8"/>
      <x:c r="U113" s="8"/>
      <x:c r="V113" s="8" t="str">
        <x:v>Yes</x:v>
      </x:c>
      <x:c r="W113" s="8"/>
      <x:c r="X113" s="8"/>
      <x:c r="Y113" s="8"/>
      <x:c r="Z113" s="8"/>
      <x:c r="AA113" s="8"/>
      <x:c r="AB113" s="8"/>
      <x:c r="AC113" s="9"/>
      <x:c r="AD113" s="8"/>
      <x:c r="AE113" s="8"/>
      <x:c r="AF113" s="8"/>
      <x:c r="AG113" s="8"/>
      <x:c r="AH113" s="14" t="n">
        <x:v>12</x:v>
      </x:c>
      <x:c r="AI113" s="15" t="str">
        <x:v>Canonical source for Extra Features!12</x:v>
      </x:c>
    </x:row>
    <x:row r="114" ht="30">
      <x:c r="A114" s="12" t="str">
        <x:v>Extra Features</x:v>
      </x:c>
      <x:c r="B114" s="13" t="str">
        <x:v>Live Stream Alerts</x:v>
      </x:c>
      <x:c r="C114" s="8" t="str">
        <x:v>Bots/webhooks/apps</x:v>
      </x:c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N114" s="8"/>
      <x:c r="O114" s="8"/>
      <x:c r="P114" s="8"/>
      <x:c r="Q114" s="8"/>
      <x:c r="R114" s="8"/>
      <x:c r="S114" s="8"/>
      <x:c r="T114" s="8"/>
      <x:c r="U114" s="8"/>
      <x:c r="V114" s="8" t="str">
        <x:v>Yes: Twitch EventSub live alerts</x:v>
      </x:c>
      <x:c r="W114" s="8"/>
      <x:c r="X114" s="8"/>
      <x:c r="Y114" s="8"/>
      <x:c r="Z114" s="8"/>
      <x:c r="AA114" s="8"/>
      <x:c r="AB114" s="8"/>
      <x:c r="AC114" s="9"/>
      <x:c r="AD114" s="8"/>
      <x:c r="AE114" s="8"/>
      <x:c r="AF114" s="8"/>
      <x:c r="AG114" s="8"/>
      <x:c r="AH114" s="14" t="n">
        <x:v>13</x:v>
      </x:c>
      <x:c r="AI114" s="15" t="str">
        <x:v>Canonical source for Extra Features!13</x:v>
      </x:c>
    </x:row>
    <x:row r="115" ht="30">
      <x:c r="A115" s="12" t="str">
        <x:v>Extra Features</x:v>
      </x:c>
      <x:c r="B115" s="13" t="str">
        <x:v>Shared Availability</x:v>
      </x:c>
      <x:c r="C115" s="8" t="str">
        <x:v>No dedicated native availability tool</x:v>
      </x:c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N115" s="8"/>
      <x:c r="O115" s="8"/>
      <x:c r="P115" s="8"/>
      <x:c r="Q115" s="8"/>
      <x:c r="R115" s="8"/>
      <x:c r="S115" s="8"/>
      <x:c r="T115" s="8"/>
      <x:c r="U115" s="8"/>
      <x:c r="V115" s="8" t="str">
        <x:v>Yes</x:v>
      </x:c>
      <x:c r="W115" s="8"/>
      <x:c r="X115" s="8"/>
      <x:c r="Y115" s="8"/>
      <x:c r="Z115" s="8"/>
      <x:c r="AA115" s="8"/>
      <x:c r="AB115" s="8"/>
      <x:c r="AC115" s="9"/>
      <x:c r="AD115" s="8"/>
      <x:c r="AE115" s="8"/>
      <x:c r="AF115" s="8"/>
      <x:c r="AG115" s="8"/>
      <x:c r="AH115" s="14" t="n">
        <x:v>14</x:v>
      </x:c>
      <x:c r="AI115" s="15" t="str">
        <x:v>Canonical source for Extra Features!14</x:v>
      </x:c>
    </x:row>
    <x:row r="116" ht="30">
      <x:c r="A116" s="12" t="str">
        <x:v>Extra Features</x:v>
      </x:c>
      <x:c r="B116" s="13" t="str">
        <x:v>Text Macros</x:v>
      </x:c>
      <x:c r="C116" s="8" t="str">
        <x:v>No native macro system</x:v>
      </x:c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N116" s="8"/>
      <x:c r="O116" s="8"/>
      <x:c r="P116" s="8"/>
      <x:c r="Q116" s="8"/>
      <x:c r="R116" s="8"/>
      <x:c r="S116" s="8"/>
      <x:c r="T116" s="8"/>
      <x:c r="U116" s="8"/>
      <x:c r="V116" s="8" t="str">
        <x:v>Yes</x:v>
      </x:c>
      <x:c r="W116" s="8"/>
      <x:c r="X116" s="8"/>
      <x:c r="Y116" s="8"/>
      <x:c r="Z116" s="8"/>
      <x:c r="AA116" s="8"/>
      <x:c r="AB116" s="8"/>
      <x:c r="AC116" s="9"/>
      <x:c r="AD116" s="8"/>
      <x:c r="AE116" s="8"/>
      <x:c r="AF116" s="8"/>
      <x:c r="AG116" s="8"/>
      <x:c r="AH116" s="14" t="n">
        <x:v>15</x:v>
      </x:c>
      <x:c r="AI116" s="15" t="str">
        <x:v>Canonical source for Extra Features!15</x:v>
      </x:c>
    </x:row>
    <x:row r="117" ht="30">
      <x:c r="A117" s="12" t="str">
        <x:v>Extra Features</x:v>
      </x:c>
      <x:c r="B117" s="13" t="str">
        <x:v>Dice Rolls</x:v>
      </x:c>
      <x:c r="C117" s="8" t="str">
        <x:v>Apps/bots</x:v>
      </x:c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N117" s="8"/>
      <x:c r="O117" s="8"/>
      <x:c r="P117" s="8"/>
      <x:c r="Q117" s="8"/>
      <x:c r="R117" s="8"/>
      <x:c r="S117" s="8"/>
      <x:c r="T117" s="8"/>
      <x:c r="U117" s="8" t="str">
        <x:v>Yes: /roll, /flip and /draw</x:v>
      </x:c>
      <x:c r="V117" s="8" t="str">
        <x:v>Yes</x:v>
      </x:c>
      <x:c r="W117" s="8"/>
      <x:c r="X117" s="8"/>
      <x:c r="Y117" s="8"/>
      <x:c r="Z117" s="8"/>
      <x:c r="AA117" s="8"/>
      <x:c r="AB117" s="8"/>
      <x:c r="AC117" s="9"/>
      <x:c r="AD117" s="8"/>
      <x:c r="AE117" s="8"/>
      <x:c r="AF117" s="8"/>
      <x:c r="AG117" s="8"/>
      <x:c r="AH117" s="14" t="n">
        <x:v>16</x:v>
      </x:c>
      <x:c r="AI117" s="15" t="str">
        <x:v>Canonical source for Extra Features!16</x:v>
      </x:c>
    </x:row>
    <x:row r="118" ht="120">
      <x:c r="A118" s="12" t="str">
        <x:v>Extra Features</x:v>
      </x:c>
      <x:c r="B118" s="13" t="str">
        <x:v>Tabletop</x:v>
      </x:c>
      <x:c r="C118" s="8" t="str">
        <x:v>Activities/apps can provide tabletop</x:v>
      </x:c>
      <x:c r="D118" s="8" t="str">
        <x:v>No</x:v>
      </x:c>
      <x:c r="E118" s="8" t="str">
        <x:v>No</x:v>
      </x:c>
      <x:c r="F118" s="8" t="str">
        <x:v>No</x:v>
      </x:c>
      <x:c r="G118" s="8" t="str">
        <x:v>No</x:v>
      </x:c>
      <x:c r="H118" s="8" t="str">
        <x:v>No</x:v>
      </x:c>
      <x:c r="I118" s="8" t="str">
        <x:v>No dedicated tabletop</x:v>
      </x:c>
      <x:c r="J118" s="8" t="str">
        <x:v>No</x:v>
      </x:c>
      <x:c r="K118" s="8" t="str">
        <x:v>No</x:v>
      </x:c>
      <x:c r="L118" s="8" t="str">
        <x:v>Not documented as native: ticket, counting, highlights, welcome, wiki, document, live board, roster, web link, RSS, whiteboard, or tabletop channels.</x:v>
      </x:c>
      <x:c r="M118" s="8" t="str">
        <x:v>No</x:v>
      </x:c>
      <x:c r="N118" s="8" t="str">
        <x:v>No</x:v>
      </x:c>
      <x:c r="O118" s="8" t="str">
        <x:v>Client-dependent</x:v>
      </x:c>
      <x:c r="P118" s="8" t="str">
        <x:v>No</x:v>
      </x:c>
      <x:c r="Q118" s="8" t="str">
        <x:v>No</x:v>
      </x:c>
      <x:c r="R118" s="8" t="str">
        <x:v>No</x:v>
      </x:c>
      <x:c r="S118" s="8" t="str">
        <x:v>No</x:v>
      </x:c>
      <x:c r="T118" s="8" t="str">
        <x:v>No</x:v>
      </x:c>
      <x:c r="U118" s="8" t="str">
        <x:v>No</x:v>
      </x:c>
      <x:c r="V118" s="8" t="str">
        <x:v>Yes - Set up via portal for a Shard</x:v>
      </x:c>
      <x:c r="W118" s="8" t="str">
        <x:v>No</x:v>
      </x:c>
      <x:c r="X118" s="8" t="str">
        <x:v>No</x:v>
      </x:c>
      <x:c r="Y118" s="8" t="str">
        <x:v>Apps can implement tabletop-like experiences</x:v>
      </x:c>
      <x:c r="Z118" s="8" t="str">
        <x:v>No</x:v>
      </x:c>
      <x:c r="AA118" s="8" t="str">
        <x:v>No</x:v>
      </x:c>
      <x:c r="AB118" s="8" t="str">
        <x:v>No</x:v>
      </x:c>
      <x:c r="AC118" s="9" t="str">
        <x:v>No</x:v>
      </x:c>
      <x:c r="AD118" s="8" t="str">
        <x:v>No</x:v>
      </x:c>
      <x:c r="AE118" s="8" t="str">
        <x:v>Yes: D&amp;D module/maps</x:v>
      </x:c>
      <x:c r="AF118" s="8" t="str">
        <x:v>No</x:v>
      </x:c>
      <x:c r="AG118" s="8" t="str">
        <x:v>No</x:v>
      </x:c>
      <x:c r="AH118" s="14" t="n">
        <x:v>18</x:v>
      </x:c>
      <x:c r="AI118" s="15" t="str">
        <x:v>Canonical source for Extra Features!18</x:v>
      </x:c>
    </x:row>
    <x:row r="119">
      <x:c r="A119" s="12" t="str">
        <x:v>Extra Features</x:v>
      </x:c>
      <x:c r="B119" s="13" t="str">
        <x:v>Music Creation / Studio</x:v>
      </x:c>
      <x:c r="C119" s="8" t="str">
        <x:v>No native DAW</x:v>
      </x:c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N119" s="8"/>
      <x:c r="O119" s="8"/>
      <x:c r="P119" s="8"/>
      <x:c r="Q119" s="8"/>
      <x:c r="R119" s="8"/>
      <x:c r="S119" s="8"/>
      <x:c r="T119" s="8"/>
      <x:c r="U119" s="8"/>
      <x:c r="V119" s="8" t="str">
        <x:v>Yes - Rift Studio</x:v>
      </x:c>
      <x:c r="W119" s="8"/>
      <x:c r="X119" s="8"/>
      <x:c r="Y119" s="8"/>
      <x:c r="Z119" s="8"/>
      <x:c r="AA119" s="8"/>
      <x:c r="AB119" s="8"/>
      <x:c r="AC119" s="9"/>
      <x:c r="AD119" s="8"/>
      <x:c r="AE119" s="8"/>
      <x:c r="AF119" s="8"/>
      <x:c r="AG119" s="8"/>
      <x:c r="AH119" s="14" t="n">
        <x:v>20</x:v>
      </x:c>
      <x:c r="AI119" s="15" t="str">
        <x:v>Canonical source for Extra Features!20</x:v>
      </x:c>
    </x:row>
    <x:row r="120" ht="45">
      <x:c r="A120" s="12" t="str">
        <x:v>Extra Features</x:v>
      </x:c>
      <x:c r="B120" s="13" t="str">
        <x:v>Watch Parties</x:v>
      </x:c>
      <x:c r="C120" s="8" t="str">
        <x:v>Activities can provide co-watching</x:v>
      </x:c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N120" s="8"/>
      <x:c r="O120" s="8"/>
      <x:c r="P120" s="8"/>
      <x:c r="Q120" s="8"/>
      <x:c r="R120" s="8"/>
      <x:c r="S120" s="8"/>
      <x:c r="T120" s="8"/>
      <x:c r="U120" s="8" t="str">
        <x:v>Yes</x:v>
      </x:c>
      <x:c r="V120" s="8" t="str">
        <x:v>Yes: synchronized YouTube/Twitch Watch Party</x:v>
      </x:c>
      <x:c r="W120" s="8"/>
      <x:c r="X120" s="8"/>
      <x:c r="Y120" s="8"/>
      <x:c r="Z120" s="8"/>
      <x:c r="AA120" s="8"/>
      <x:c r="AB120" s="8"/>
      <x:c r="AC120" s="9"/>
      <x:c r="AD120" s="8"/>
      <x:c r="AE120" s="8"/>
      <x:c r="AF120" s="8"/>
      <x:c r="AG120" s="8"/>
      <x:c r="AH120" s="14" t="n">
        <x:v>21</x:v>
      </x:c>
      <x:c r="AI120" s="15" t="str">
        <x:v>Canonical source for Extra Features!21</x:v>
      </x:c>
    </x:row>
    <x:row r="121" ht="90">
      <x:c r="A121" s="12" t="str">
        <x:v>Embedded Apps</x:v>
      </x:c>
      <x:c r="B121" s="13" t="str">
        <x:v>Embedded App / Widget Framework</x:v>
      </x:c>
      <x:c r="C121" s="8" t="str">
        <x:v>Yes: Activities / Embedded App SDK</x:v>
      </x:c>
      <x:c r="D121" s="8"/>
      <x:c r="E121" s="8"/>
      <x:c r="F121" s="8"/>
      <x:c r="G121" s="8"/>
      <x:c r="H121" s="8"/>
      <x:c r="I121" s="8"/>
      <x:c r="J121" s="8"/>
      <x:c r="K121" s="8"/>
      <x:c r="L121" s="8" t="str">
        <x:v>No embedded widget/activity runtime; bot/application ecosystem instead</x:v>
      </x:c>
      <x:c r="M121" s="8"/>
      <x:c r="N121" s="8"/>
      <x:c r="O121" s="8" t="str">
        <x:v>Client-dependent: Element supports room widgets/custom embedded web pages; not Matrix-wide</x:v>
      </x:c>
      <x:c r="P121" s="8" t="str">
        <x:v>Yes: webapp plugins can inject React/root components</x:v>
      </x:c>
      <x:c r="Q121" s="8"/>
      <x:c r="R121" s="8"/>
      <x:c r="S121" s="8"/>
      <x:c r="T121" s="8"/>
      <x:c r="U121" s="8"/>
      <x:c r="V121" s="8" t="str">
        <x:v>Yes: Portals + built-in workspaces</x:v>
      </x:c>
      <x:c r="W121" s="8" t="str">
        <x:v>Yes: Apps-Engine packages install directly into workspace</x:v>
      </x:c>
      <x:c r="X121" s="8" t="str">
        <x:v>No dedicated embedded-app marketplace documented</x:v>
      </x:c>
      <x:c r="Y121" s="8" t="str">
        <x:v>Yes: hosted Root Apps can provide GUI surfaces</x:v>
      </x:c>
      <x:c r="Z121" s="8"/>
      <x:c r="AA121" s="8"/>
      <x:c r="AB121" s="8"/>
      <x:c r="AC121" s="9" t="str">
        <x:v>No dedicated embedded-app framework documented</x:v>
      </x:c>
      <x:c r="AD121" s="8"/>
      <x:c r="AE121" s="8"/>
      <x:c r="AF121" s="8"/>
      <x:c r="AG121" s="8" t="str">
        <x:v>No comparable embedded UI framework; bots/integrations instead</x:v>
      </x:c>
      <x:c r="AH121" s="14" t="n">
        <x:v>4</x:v>
      </x:c>
      <x:c r="AI121" s="15" t="str">
        <x:v>Shared metric: At a Glance: Embedded App / Widget Framework | Embedded Apps: Embedded App / Widget Framework</x:v>
      </x:c>
    </x:row>
    <x:row r="122" ht="75">
      <x:c r="A122" s="12" t="str">
        <x:v>Embedded Apps</x:v>
      </x:c>
      <x:c r="B122" s="13" t="str">
        <x:v>Third-Party App Development SDK / Framework</x:v>
      </x:c>
      <x:c r="C122" s="8" t="str">
        <x:v>Yes: @discord/embedded-app-sdk</x:v>
      </x:c>
      <x:c r="D122" s="8"/>
      <x:c r="E122" s="8"/>
      <x:c r="F122" s="8"/>
      <x:c r="G122" s="8"/>
      <x:c r="H122" s="8"/>
      <x:c r="I122" s="8"/>
      <x:c r="J122" s="8"/>
      <x:c r="K122" s="8"/>
      <x:c r="L122" s="8" t="str">
        <x:v>Yes for bots/apps: Python SDK plus scoped REST/Gateway APIs; not an iframe runtime</x:v>
      </x:c>
      <x:c r="M122" s="8"/>
      <x:c r="N122" s="8"/>
      <x:c r="O122" s="8" t="str">
        <x:v>Client/integration-manager dependent</x:v>
      </x:c>
      <x:c r="P122" s="8" t="str">
        <x:v>Yes: plugin webapp APIs</x:v>
      </x:c>
      <x:c r="Q122" s="8"/>
      <x:c r="R122" s="8"/>
      <x:c r="S122" s="8"/>
      <x:c r="T122" s="8"/>
      <x:c r="U122" s="8"/>
      <x:c r="V122" s="8" t="str">
        <x:v>No</x:v>
      </x:c>
      <x:c r="W122" s="8" t="str">
        <x:v>Yes: Apps-Engine (TypeScript)</x:v>
      </x:c>
      <x:c r="X122" s="8"/>
      <x:c r="Y122" s="8"/>
      <x:c r="Z122" s="8"/>
      <x:c r="AA122" s="8"/>
      <x:c r="AB122" s="8"/>
      <x:c r="AC122" s="9"/>
      <x:c r="AD122" s="8"/>
      <x:c r="AE122" s="8"/>
      <x:c r="AF122" s="8"/>
      <x:c r="AG122" s="8" t="str">
        <x:v>APIs/bot frameworks, not embedded UI</x:v>
      </x:c>
      <x:c r="AH122" s="14" t="n">
        <x:v>5</x:v>
      </x:c>
      <x:c r="AI122" s="15" t="str">
        <x:v>Canonical source for Embedded Apps!5</x:v>
      </x:c>
    </x:row>
    <x:row r="123" ht="45">
      <x:c r="A123" s="12" t="str">
        <x:v>Embedded Apps</x:v>
      </x:c>
      <x:c r="B123" s="13" t="str">
        <x:v>App Directory / Marketplace</x:v>
      </x:c>
      <x:c r="C123" s="8" t="str">
        <x:v>Yes: App Directory / platform apps</x:v>
      </x:c>
      <x:c r="D123" s="8"/>
      <x:c r="E123" s="8"/>
      <x:c r="F123" s="8"/>
      <x:c r="G123" s="8"/>
      <x:c r="H123" s="8"/>
      <x:c r="I123" s="8"/>
      <x:c r="J123" s="8"/>
      <x:c r="K123" s="8"/>
      <x:c r="L123" s="8" t="str">
        <x:v>Yes: federated App Directory for reviewed applications/bots</x:v>
      </x:c>
      <x:c r="M123" s="8"/>
      <x:c r="N123" s="8"/>
      <x:c r="O123" s="8" t="str">
        <x:v>Client-dependent integration manager/catalog</x:v>
      </x:c>
      <x:c r="P123" s="8" t="str">
        <x:v>Plugin marketplace/ecosystem</x:v>
      </x:c>
      <x:c r="Q123" s="8"/>
      <x:c r="R123" s="8"/>
      <x:c r="S123" s="8"/>
      <x:c r="T123" s="8"/>
      <x:c r="U123" s="8"/>
      <x:c r="V123" s="8" t="str">
        <x:v>No public marketplace</x:v>
      </x:c>
      <x:c r="W123" s="8" t="str">
        <x:v>Yes: Marketplace</x:v>
      </x:c>
      <x:c r="X123" s="8"/>
      <x:c r="Y123" s="8"/>
      <x:c r="Z123" s="8"/>
      <x:c r="AA123" s="8"/>
      <x:c r="AB123" s="8"/>
      <x:c r="AC123" s="9"/>
      <x:c r="AD123" s="8"/>
      <x:c r="AE123" s="8"/>
      <x:c r="AF123" s="8"/>
      <x:c r="AG123" s="8" t="str">
        <x:v>Yes: integration directory, not embedded apps</x:v>
      </x:c>
      <x:c r="AH123" s="14" t="n">
        <x:v>6</x:v>
      </x:c>
      <x:c r="AI123" s="15" t="str">
        <x:v>Canonical source for Embedded Apps!6</x:v>
      </x:c>
    </x:row>
    <x:row r="124" ht="90">
      <x:c r="A124" s="12" t="str">
        <x:v>Embedded Apps</x:v>
      </x:c>
      <x:c r="B124" s="13" t="str">
        <x:v>Runs Inside Chat Client</x:v>
      </x:c>
      <x:c r="C124" s="8" t="str">
        <x:v>Yes: Activities run inside Discord</x:v>
      </x:c>
      <x:c r="D124" s="8"/>
      <x:c r="E124" s="8"/>
      <x:c r="F124" s="8"/>
      <x:c r="G124" s="8"/>
      <x:c r="H124" s="8"/>
      <x:c r="I124" s="8"/>
      <x:c r="J124" s="8"/>
      <x:c r="K124" s="8"/>
      <x:c r="L124" s="8" t="str">
        <x:v>Commands/App Launcher integrate with the composer; no arbitrary embedded web-app runtime</x:v>
      </x:c>
      <x:c r="M124" s="8"/>
      <x:c r="N124" s="8"/>
      <x:c r="O124" s="8" t="str">
        <x:v>Client-dependent widgets</x:v>
      </x:c>
      <x:c r="P124" s="8" t="str">
        <x:v>Yes: plugins can extend web/desktop UI</x:v>
      </x:c>
      <x:c r="Q124" s="8"/>
      <x:c r="R124" s="8"/>
      <x:c r="S124" s="8"/>
      <x:c r="T124" s="8"/>
      <x:c r="U124" s="8"/>
      <x:c r="V124" s="8" t="str">
        <x:v>Yes: Portals live in the Rift workspace</x:v>
      </x:c>
      <x:c r="W124" s="8" t="str">
        <x:v>Yes: apps extend workspace</x:v>
      </x:c>
      <x:c r="X124" s="8"/>
      <x:c r="Y124" s="8"/>
      <x:c r="Z124" s="8"/>
      <x:c r="AA124" s="8"/>
      <x:c r="AB124" s="8"/>
      <x:c r="AC124" s="9"/>
      <x:c r="AD124" s="8"/>
      <x:c r="AE124" s="8"/>
      <x:c r="AF124" s="8"/>
      <x:c r="AG124" s="8" t="str">
        <x:v>Integrations generally act through messages/bots</x:v>
      </x:c>
      <x:c r="AH124" s="14" t="n">
        <x:v>7</x:v>
      </x:c>
      <x:c r="AI124" s="15" t="str">
        <x:v>Canonical source for Embedded Apps!7</x:v>
      </x:c>
    </x:row>
    <x:row r="125" ht="60">
      <x:c r="A125" s="12" t="str">
        <x:v>Embedded Apps</x:v>
      </x:c>
      <x:c r="B125" s="13" t="str">
        <x:v>Shared / Synchronized Multi-User Sessions</x:v>
      </x:c>
      <x:c r="C125" s="8" t="str">
        <x:v>Yes: Activities are multiplayer/social sessions</x:v>
      </x:c>
      <x:c r="D125" s="8"/>
      <x:c r="E125" s="8"/>
      <x:c r="F125" s="8"/>
      <x:c r="G125" s="8"/>
      <x:c r="H125" s="8"/>
      <x:c r="I125" s="8"/>
      <x:c r="J125" s="8"/>
      <x:c r="K125" s="8"/>
      <x:c r="L125" s="8" t="str">
        <x:v>No dedicated synchronized embedded-app session framework</x:v>
      </x:c>
      <x:c r="M125" s="8"/>
      <x:c r="N125" s="8"/>
      <x:c r="O125" s="8" t="str">
        <x:v>Widget-dependent</x:v>
      </x:c>
      <x:c r="P125" s="8" t="str">
        <x:v>Plugin-dependent</x:v>
      </x:c>
      <x:c r="Q125" s="8"/>
      <x:c r="R125" s="8"/>
      <x:c r="S125" s="8"/>
      <x:c r="T125" s="8"/>
      <x:c r="U125" s="8"/>
      <x:c r="V125" s="8" t="str">
        <x:v>Yes: Watch Parties; Arcade/Tabletop collaborative experiences</x:v>
      </x:c>
      <x:c r="W125" s="8" t="str">
        <x:v>App-dependent</x:v>
      </x:c>
      <x:c r="X125" s="8"/>
      <x:c r="Y125" s="8"/>
      <x:c r="Z125" s="8"/>
      <x:c r="AA125" s="8"/>
      <x:c r="AB125" s="8"/>
      <x:c r="AC125" s="9"/>
      <x:c r="AD125" s="8"/>
      <x:c r="AE125" s="8"/>
      <x:c r="AF125" s="8"/>
      <x:c r="AG125" s="8" t="str">
        <x:v>Bot/integration-dependent</x:v>
      </x:c>
      <x:c r="AH125" s="14" t="n">
        <x:v>8</x:v>
      </x:c>
      <x:c r="AI125" s="15" t="str">
        <x:v>Canonical source for Embedded Apps!8</x:v>
      </x:c>
    </x:row>
    <x:row r="126" ht="75">
      <x:c r="A126" s="12" t="str">
        <x:v>Embedded Apps</x:v>
      </x:c>
      <x:c r="B126" s="13" t="str">
        <x:v>Launch from Channel / Conversation</x:v>
      </x:c>
      <x:c r="C126" s="8" t="str">
        <x:v>Yes: channels, DMs, App Launcher</x:v>
      </x:c>
      <x:c r="D126" s="8"/>
      <x:c r="E126" s="8"/>
      <x:c r="F126" s="8"/>
      <x:c r="G126" s="8"/>
      <x:c r="H126" s="8"/>
      <x:c r="I126" s="8"/>
      <x:c r="J126" s="8"/>
      <x:c r="K126" s="8"/>
      <x:c r="L126" s="8" t="str">
        <x:v>Yes: App Launcher/slash commands can launch app interactions from a conversation</x:v>
      </x:c>
      <x:c r="M126" s="8"/>
      <x:c r="N126" s="8"/>
      <x:c r="O126" s="8" t="str">
        <x:v>Client-dependent room widgets</x:v>
      </x:c>
      <x:c r="P126" s="8" t="str">
        <x:v>Plugin-dependent</x:v>
      </x:c>
      <x:c r="Q126" s="8"/>
      <x:c r="R126" s="8"/>
      <x:c r="S126" s="8"/>
      <x:c r="T126" s="8"/>
      <x:c r="U126" s="8"/>
      <x:c r="V126" s="8" t="str">
        <x:v>Yes: Portals alongside chat; some tools post into channels</x:v>
      </x:c>
      <x:c r="W126" s="8" t="str">
        <x:v>App-dependent</x:v>
      </x:c>
      <x:c r="X126" s="8"/>
      <x:c r="Y126" s="8"/>
      <x:c r="Z126" s="8"/>
      <x:c r="AA126" s="8"/>
      <x:c r="AB126" s="8"/>
      <x:c r="AC126" s="9"/>
      <x:c r="AD126" s="8"/>
      <x:c r="AE126" s="8"/>
      <x:c r="AF126" s="8"/>
      <x:c r="AG126" s="8" t="str">
        <x:v>Bots/integrations can be invoked in conversation</x:v>
      </x:c>
      <x:c r="AH126" s="14" t="n">
        <x:v>9</x:v>
      </x:c>
      <x:c r="AI126" s="15" t="str">
        <x:v>Canonical source for Embedded Apps!9</x:v>
      </x:c>
    </x:row>
    <x:row r="127" ht="75">
      <x:c r="A127" s="12" t="str">
        <x:v>Embedded Apps</x:v>
      </x:c>
      <x:c r="B127" s="13" t="str">
        <x:v>Mobile Embedded App Support</x:v>
      </x:c>
      <x:c r="C127" s="8" t="str">
        <x:v>Yes: Embedded App SDK supports iOS/Android</x:v>
      </x:c>
      <x:c r="D127" s="8"/>
      <x:c r="E127" s="8"/>
      <x:c r="F127" s="8"/>
      <x:c r="G127" s="8"/>
      <x:c r="H127" s="8"/>
      <x:c r="I127" s="8"/>
      <x:c r="J127" s="8"/>
      <x:c r="K127" s="8"/>
      <x:c r="L127" s="8" t="str">
        <x:v>Yes for bot/app interactions on mobile; no embedded iframe/activity runtime</x:v>
      </x:c>
      <x:c r="M127" s="8"/>
      <x:c r="N127" s="8"/>
      <x:c r="O127" s="8" t="str">
        <x:v>Client/widget dependent</x:v>
      </x:c>
      <x:c r="P127" s="8" t="str">
        <x:v>Plugin/mobile support varies</x:v>
      </x:c>
      <x:c r="Q127" s="8"/>
      <x:c r="R127" s="8"/>
      <x:c r="S127" s="8"/>
      <x:c r="T127" s="8"/>
      <x:c r="U127" s="8"/>
      <x:c r="V127" s="8" t="str">
        <x:v>Web/PWA/mobile behavior varies by Portal; no dedicated mobile app marketplace</x:v>
      </x:c>
      <x:c r="W127" s="8" t="str">
        <x:v>App/mobile support varies</x:v>
      </x:c>
      <x:c r="X127" s="8"/>
      <x:c r="Y127" s="8"/>
      <x:c r="Z127" s="8"/>
      <x:c r="AA127" s="8"/>
      <x:c r="AB127" s="8"/>
      <x:c r="AC127" s="9"/>
      <x:c r="AD127" s="8"/>
      <x:c r="AE127" s="8"/>
      <x:c r="AF127" s="8"/>
      <x:c r="AG127" s="8" t="str">
        <x:v>Integrations available; not embedded UI</x:v>
      </x:c>
      <x:c r="AH127" s="14" t="n">
        <x:v>10</x:v>
      </x:c>
      <x:c r="AI127" s="15" t="str">
        <x:v>Canonical source for Embedded Apps!10</x:v>
      </x:c>
    </x:row>
    <x:row r="128" ht="60">
      <x:c r="A128" s="12" t="str">
        <x:v>Embedded Apps</x:v>
      </x:c>
      <x:c r="B128" s="13" t="str">
        <x:v>Drag / Resize Embedded Apps</x:v>
      </x:c>
      <x:c r="C128" s="8" t="str">
        <x:v>No general workspace layout</x:v>
      </x:c>
      <x:c r="D128" s="8"/>
      <x:c r="E128" s="8"/>
      <x:c r="F128" s="8"/>
      <x:c r="G128" s="8"/>
      <x:c r="H128" s="8"/>
      <x:c r="I128" s="8"/>
      <x:c r="J128" s="8"/>
      <x:c r="K128" s="8"/>
      <x:c r="L128" s="8" t="str">
        <x:v>No dedicated embedded-app implementation documented</x:v>
      </x:c>
      <x:c r="M128" s="8"/>
      <x:c r="N128" s="8"/>
      <x:c r="O128" s="8" t="str">
        <x:v>Client-dependent</x:v>
      </x:c>
      <x:c r="P128" s="8" t="str">
        <x:v>Plugin-dependent</x:v>
      </x:c>
      <x:c r="Q128" s="8"/>
      <x:c r="R128" s="8"/>
      <x:c r="S128" s="8"/>
      <x:c r="T128" s="8"/>
      <x:c r="U128" s="8"/>
      <x:c r="V128" s="8" t="str">
        <x:v>Yes</x:v>
      </x:c>
      <x:c r="W128" s="8" t="str">
        <x:v>App-dependent</x:v>
      </x:c>
      <x:c r="X128" s="8"/>
      <x:c r="Y128" s="8"/>
      <x:c r="Z128" s="8"/>
      <x:c r="AA128" s="8"/>
      <x:c r="AB128" s="8"/>
      <x:c r="AC128" s="9"/>
      <x:c r="AD128" s="8"/>
      <x:c r="AE128" s="8"/>
      <x:c r="AF128" s="8"/>
      <x:c r="AG128" s="8"/>
      <x:c r="AH128" s="14" t="n">
        <x:v>12</x:v>
      </x:c>
      <x:c r="AI128" s="15" t="str">
        <x:v>Canonical source for Embedded Apps!12</x:v>
      </x:c>
    </x:row>
    <x:row r="129" ht="60">
      <x:c r="A129" s="12" t="str">
        <x:v>Embedded Apps</x:v>
      </x:c>
      <x:c r="B129" s="13" t="str">
        <x:v>Multiple Apps Visible Beside Chat</x:v>
      </x:c>
      <x:c r="C129" s="8" t="str">
        <x:v>Limited: Activity/PiP model, not freeform dashboard</x:v>
      </x:c>
      <x:c r="D129" s="8"/>
      <x:c r="E129" s="8"/>
      <x:c r="F129" s="8"/>
      <x:c r="G129" s="8"/>
      <x:c r="H129" s="8"/>
      <x:c r="I129" s="8"/>
      <x:c r="J129" s="8"/>
      <x:c r="K129" s="8"/>
      <x:c r="L129" s="8" t="str">
        <x:v>No dedicated embedded-app implementation documented</x:v>
      </x:c>
      <x:c r="M129" s="8"/>
      <x:c r="N129" s="8"/>
      <x:c r="O129" s="8" t="str">
        <x:v>Client-dependent</x:v>
      </x:c>
      <x:c r="P129" s="8" t="str">
        <x:v>Plugin-dependent</x:v>
      </x:c>
      <x:c r="Q129" s="8"/>
      <x:c r="R129" s="8"/>
      <x:c r="S129" s="8"/>
      <x:c r="T129" s="8"/>
      <x:c r="U129" s="8"/>
      <x:c r="V129" s="8" t="str">
        <x:v>Yes: multi-panel workspace</x:v>
      </x:c>
      <x:c r="W129" s="8" t="str">
        <x:v>App-dependent</x:v>
      </x:c>
      <x:c r="X129" s="8"/>
      <x:c r="Y129" s="8"/>
      <x:c r="Z129" s="8"/>
      <x:c r="AA129" s="8"/>
      <x:c r="AB129" s="8"/>
      <x:c r="AC129" s="9"/>
      <x:c r="AD129" s="8"/>
      <x:c r="AE129" s="8"/>
      <x:c r="AF129" s="8"/>
      <x:c r="AG129" s="8"/>
      <x:c r="AH129" s="14" t="n">
        <x:v>13</x:v>
      </x:c>
      <x:c r="AI129" s="15" t="str">
        <x:v>Canonical source for Embedded Apps!13</x:v>
      </x:c>
    </x:row>
    <x:row r="130" ht="60">
      <x:c r="A130" s="12" t="str">
        <x:v>Embedded Apps</x:v>
      </x:c>
      <x:c r="B130" s="13" t="str">
        <x:v>Save Named App Layouts / Workspaces</x:v>
      </x:c>
      <x:c r="C130" s="8" t="str">
        <x:v>No general feature</x:v>
      </x:c>
      <x:c r="D130" s="8"/>
      <x:c r="E130" s="8"/>
      <x:c r="F130" s="8"/>
      <x:c r="G130" s="8"/>
      <x:c r="H130" s="8"/>
      <x:c r="I130" s="8"/>
      <x:c r="J130" s="8"/>
      <x:c r="K130" s="8"/>
      <x:c r="L130" s="8" t="str">
        <x:v>No dedicated embedded-app implementation documented</x:v>
      </x:c>
      <x:c r="M130" s="8"/>
      <x:c r="N130" s="8"/>
      <x:c r="O130" s="8" t="str">
        <x:v>Client-dependent</x:v>
      </x:c>
      <x:c r="P130" s="8" t="str">
        <x:v>No general user layout feature</x:v>
      </x:c>
      <x:c r="Q130" s="8"/>
      <x:c r="R130" s="8"/>
      <x:c r="S130" s="8"/>
      <x:c r="T130" s="8"/>
      <x:c r="U130" s="8"/>
      <x:c r="V130" s="8" t="str">
        <x:v>Yes</x:v>
      </x:c>
      <x:c r="W130" s="8" t="str">
        <x:v>No general user layout feature</x:v>
      </x:c>
      <x:c r="X130" s="8"/>
      <x:c r="Y130" s="8"/>
      <x:c r="Z130" s="8"/>
      <x:c r="AA130" s="8"/>
      <x:c r="AB130" s="8"/>
      <x:c r="AC130" s="9"/>
      <x:c r="AD130" s="8"/>
      <x:c r="AE130" s="8"/>
      <x:c r="AF130" s="8"/>
      <x:c r="AG130" s="8"/>
      <x:c r="AH130" s="14" t="n">
        <x:v>14</x:v>
      </x:c>
      <x:c r="AI130" s="15" t="str">
        <x:v>Canonical source for Embedded Apps!14</x:v>
      </x:c>
    </x:row>
    <x:row r="131" ht="60">
      <x:c r="A131" s="12" t="str">
        <x:v>Embedded Apps</x:v>
      </x:c>
      <x:c r="B131" s="13" t="str">
        <x:v>Pop App / Chat into Separate Window</x:v>
      </x:c>
      <x:c r="C131" s="8" t="str">
        <x:v>Activity/PiP behavior varies</x:v>
      </x:c>
      <x:c r="D131" s="8"/>
      <x:c r="E131" s="8"/>
      <x:c r="F131" s="8"/>
      <x:c r="G131" s="8"/>
      <x:c r="H131" s="8"/>
      <x:c r="I131" s="8"/>
      <x:c r="J131" s="8"/>
      <x:c r="K131" s="8"/>
      <x:c r="L131" s="8" t="str">
        <x:v>No dedicated embedded-app implementation documented</x:v>
      </x:c>
      <x:c r="M131" s="8"/>
      <x:c r="N131" s="8"/>
      <x:c r="O131" s="8" t="str">
        <x:v>Client-dependent</x:v>
      </x:c>
      <x:c r="P131" s="8" t="str">
        <x:v>Client/plugin dependent</x:v>
      </x:c>
      <x:c r="Q131" s="8"/>
      <x:c r="R131" s="8"/>
      <x:c r="S131" s="8"/>
      <x:c r="T131" s="8"/>
      <x:c r="U131" s="8"/>
      <x:c r="V131" s="8" t="str">
        <x:v>Yes: tear out chat or Portal to own window</x:v>
      </x:c>
      <x:c r="W131" s="8" t="str">
        <x:v>Client/app dependent</x:v>
      </x:c>
      <x:c r="X131" s="8"/>
      <x:c r="Y131" s="8"/>
      <x:c r="Z131" s="8"/>
      <x:c r="AA131" s="8"/>
      <x:c r="AB131" s="8"/>
      <x:c r="AC131" s="9"/>
      <x:c r="AD131" s="8"/>
      <x:c r="AE131" s="8"/>
      <x:c r="AF131" s="8"/>
      <x:c r="AG131" s="8"/>
      <x:c r="AH131" s="14" t="n">
        <x:v>15</x:v>
      </x:c>
      <x:c r="AI131" s="15" t="str">
        <x:v>Canonical source for Embedded Apps!15</x:v>
      </x:c>
    </x:row>
    <x:row r="132" ht="60">
      <x:c r="A132" s="12" t="str">
        <x:v>Embedded Apps</x:v>
      </x:c>
      <x:c r="B132" s="13" t="str">
        <x:v>Per-User Personal Apps / Widgets</x:v>
      </x:c>
      <x:c r="C132" s="8" t="str">
        <x:v>Yes: user-installed apps / Activities</x:v>
      </x:c>
      <x:c r="D132" s="8"/>
      <x:c r="E132" s="8"/>
      <x:c r="F132" s="8"/>
      <x:c r="G132" s="8"/>
      <x:c r="H132" s="8"/>
      <x:c r="I132" s="8"/>
      <x:c r="J132" s="8"/>
      <x:c r="K132" s="8"/>
      <x:c r="L132" s="8" t="str">
        <x:v>No dedicated embedded-app implementation documented</x:v>
      </x:c>
      <x:c r="M132" s="8"/>
      <x:c r="N132" s="8"/>
      <x:c r="O132" s="8" t="str">
        <x:v>Client-dependent</x:v>
      </x:c>
      <x:c r="P132" s="8" t="str">
        <x:v>Plugin/admin controlled</x:v>
      </x:c>
      <x:c r="Q132" s="8"/>
      <x:c r="R132" s="8"/>
      <x:c r="S132" s="8"/>
      <x:c r="T132" s="8"/>
      <x:c r="U132" s="8"/>
      <x:c r="V132" s="8" t="str">
        <x:v>Yes: personal Portals such as to-dos/watchlists</x:v>
      </x:c>
      <x:c r="W132" s="8" t="str">
        <x:v>Workspace/admin controlled</x:v>
      </x:c>
      <x:c r="X132" s="8"/>
      <x:c r="Y132" s="8"/>
      <x:c r="Z132" s="8"/>
      <x:c r="AA132" s="8"/>
      <x:c r="AB132" s="8"/>
      <x:c r="AC132" s="9"/>
      <x:c r="AD132" s="8"/>
      <x:c r="AE132" s="8"/>
      <x:c r="AF132" s="8"/>
      <x:c r="AG132" s="8" t="str">
        <x:v>Personal bots/integrations possible</x:v>
      </x:c>
      <x:c r="AH132" s="14" t="n">
        <x:v>16</x:v>
      </x:c>
      <x:c r="AI132" s="15" t="str">
        <x:v>Canonical source for Embedded Apps!16</x:v>
      </x:c>
    </x:row>
    <x:row r="133" ht="60">
      <x:c r="A133" s="12" t="str">
        <x:v>Embedded Apps</x:v>
      </x:c>
      <x:c r="B133" s="13" t="str">
        <x:v>Per-Community / Shared Apps</x:v>
      </x:c>
      <x:c r="C133" s="8" t="str">
        <x:v>Yes: guild-installed apps/Activities</x:v>
      </x:c>
      <x:c r="D133" s="8"/>
      <x:c r="E133" s="8"/>
      <x:c r="F133" s="8"/>
      <x:c r="G133" s="8"/>
      <x:c r="H133" s="8"/>
      <x:c r="I133" s="8"/>
      <x:c r="J133" s="8"/>
      <x:c r="K133" s="8"/>
      <x:c r="L133" s="8" t="str">
        <x:v>No dedicated embedded-app implementation documented</x:v>
      </x:c>
      <x:c r="M133" s="8"/>
      <x:c r="N133" s="8"/>
      <x:c r="O133" s="8" t="str">
        <x:v>Room widgets</x:v>
      </x:c>
      <x:c r="P133" s="8" t="str">
        <x:v>Workspace plugins</x:v>
      </x:c>
      <x:c r="Q133" s="8"/>
      <x:c r="R133" s="8"/>
      <x:c r="S133" s="8"/>
      <x:c r="T133" s="8"/>
      <x:c r="U133" s="8"/>
      <x:c r="V133" s="8" t="str">
        <x:v>Yes: Shard-aware tools/events + shared sessions</x:v>
      </x:c>
      <x:c r="W133" s="8" t="str">
        <x:v>Workspace apps</x:v>
      </x:c>
      <x:c r="X133" s="8"/>
      <x:c r="Y133" s="8"/>
      <x:c r="Z133" s="8"/>
      <x:c r="AA133" s="8"/>
      <x:c r="AB133" s="8"/>
      <x:c r="AC133" s="9"/>
      <x:c r="AD133" s="8"/>
      <x:c r="AE133" s="8"/>
      <x:c r="AF133" s="8"/>
      <x:c r="AG133" s="8" t="str">
        <x:v>Organization integrations</x:v>
      </x:c>
      <x:c r="AH133" s="14" t="n">
        <x:v>17</x:v>
      </x:c>
      <x:c r="AI133" s="15" t="str">
        <x:v>Canonical source for Embedded Apps!17</x:v>
      </x:c>
    </x:row>
    <x:row r="134" ht="60">
      <x:c r="A134" s="12" t="str">
        <x:v>Embedded Apps</x:v>
      </x:c>
      <x:c r="B134" s="13" t="str">
        <x:v>YouTube Viewer</x:v>
      </x:c>
      <x:c r="C134" s="8" t="str">
        <x:v>Via Activities/apps</x:v>
      </x:c>
      <x:c r="D134" s="8"/>
      <x:c r="E134" s="8"/>
      <x:c r="F134" s="8"/>
      <x:c r="G134" s="8"/>
      <x:c r="H134" s="8"/>
      <x:c r="I134" s="8"/>
      <x:c r="J134" s="8"/>
      <x:c r="K134" s="8"/>
      <x:c r="L134" s="8" t="str">
        <x:v>No dedicated embedded-app implementation documented</x:v>
      </x:c>
      <x:c r="M134" s="8"/>
      <x:c r="N134" s="8"/>
      <x:c r="O134" s="8" t="str">
        <x:v>Widget/integration dependent</x:v>
      </x:c>
      <x:c r="P134" s="8"/>
      <x:c r="Q134" s="8"/>
      <x:c r="R134" s="8"/>
      <x:c r="S134" s="8"/>
      <x:c r="T134" s="8"/>
      <x:c r="U134" s="8"/>
      <x:c r="V134" s="8" t="str">
        <x:v>Yes: YouTube Portal</x:v>
      </x:c>
      <x:c r="W134" s="8"/>
      <x:c r="X134" s="8"/>
      <x:c r="Y134" s="8"/>
      <x:c r="Z134" s="8"/>
      <x:c r="AA134" s="8"/>
      <x:c r="AB134" s="8"/>
      <x:c r="AC134" s="9"/>
      <x:c r="AD134" s="8"/>
      <x:c r="AE134" s="8"/>
      <x:c r="AF134" s="8"/>
      <x:c r="AG134" s="8"/>
      <x:c r="AH134" s="14" t="n">
        <x:v>19</x:v>
      </x:c>
      <x:c r="AI134" s="15" t="str">
        <x:v>Canonical source for Embedded Apps!19</x:v>
      </x:c>
    </x:row>
    <x:row r="135" ht="60">
      <x:c r="A135" s="12" t="str">
        <x:v>Embedded Apps</x:v>
      </x:c>
      <x:c r="B135" s="13" t="str">
        <x:v>Twitch Viewer</x:v>
      </x:c>
      <x:c r="C135" s="8" t="str">
        <x:v>Via apps/links</x:v>
      </x:c>
      <x:c r="D135" s="8"/>
      <x:c r="E135" s="8"/>
      <x:c r="F135" s="8"/>
      <x:c r="G135" s="8"/>
      <x:c r="H135" s="8"/>
      <x:c r="I135" s="8"/>
      <x:c r="J135" s="8"/>
      <x:c r="K135" s="8"/>
      <x:c r="L135" s="8" t="str">
        <x:v>No dedicated embedded-app implementation documented</x:v>
      </x:c>
      <x:c r="M135" s="8"/>
      <x:c r="N135" s="8"/>
      <x:c r="O135" s="8" t="str">
        <x:v>Widget/integration dependent</x:v>
      </x:c>
      <x:c r="P135" s="8"/>
      <x:c r="Q135" s="8"/>
      <x:c r="R135" s="8"/>
      <x:c r="S135" s="8"/>
      <x:c r="T135" s="8"/>
      <x:c r="U135" s="8"/>
      <x:c r="V135" s="8" t="str">
        <x:v>Yes: Twitch Portal</x:v>
      </x:c>
      <x:c r="W135" s="8"/>
      <x:c r="X135" s="8"/>
      <x:c r="Y135" s="8"/>
      <x:c r="Z135" s="8"/>
      <x:c r="AA135" s="8"/>
      <x:c r="AB135" s="8"/>
      <x:c r="AC135" s="9"/>
      <x:c r="AD135" s="8"/>
      <x:c r="AE135" s="8"/>
      <x:c r="AF135" s="8"/>
      <x:c r="AG135" s="8"/>
      <x:c r="AH135" s="14" t="n">
        <x:v>20</x:v>
      </x:c>
      <x:c r="AI135" s="15" t="str">
        <x:v>Canonical source for Embedded Apps!20</x:v>
      </x:c>
    </x:row>
    <x:row r="136" ht="60">
      <x:c r="A136" s="12" t="str">
        <x:v>Embedded Apps</x:v>
      </x:c>
      <x:c r="B136" s="13" t="str">
        <x:v>Synchronized Watch Party</x:v>
      </x:c>
      <x:c r="C136" s="8" t="str">
        <x:v>Yes: Activities can provide co-watching</x:v>
      </x:c>
      <x:c r="D136" s="8"/>
      <x:c r="E136" s="8"/>
      <x:c r="F136" s="8"/>
      <x:c r="G136" s="8"/>
      <x:c r="H136" s="8"/>
      <x:c r="I136" s="8"/>
      <x:c r="J136" s="8"/>
      <x:c r="K136" s="8"/>
      <x:c r="L136" s="8" t="str">
        <x:v>No dedicated embedded-app implementation documented</x:v>
      </x:c>
      <x:c r="M136" s="8"/>
      <x:c r="N136" s="8"/>
      <x:c r="O136" s="8" t="str">
        <x:v>Widget-dependent</x:v>
      </x:c>
      <x:c r="P136" s="8"/>
      <x:c r="Q136" s="8"/>
      <x:c r="R136" s="8"/>
      <x:c r="S136" s="8"/>
      <x:c r="T136" s="8"/>
      <x:c r="U136" s="8"/>
      <x:c r="V136" s="8" t="str">
        <x:v>Yes: host-synchronized YouTube/Twitch Watch Party</x:v>
      </x:c>
      <x:c r="W136" s="8"/>
      <x:c r="X136" s="8"/>
      <x:c r="Y136" s="8"/>
      <x:c r="Z136" s="8"/>
      <x:c r="AA136" s="8"/>
      <x:c r="AB136" s="8"/>
      <x:c r="AC136" s="9"/>
      <x:c r="AD136" s="8"/>
      <x:c r="AE136" s="8"/>
      <x:c r="AF136" s="8"/>
      <x:c r="AG136" s="8"/>
      <x:c r="AH136" s="14" t="n">
        <x:v>21</x:v>
      </x:c>
      <x:c r="AI136" s="15" t="str">
        <x:v>Canonical source for Embedded Apps!21</x:v>
      </x:c>
    </x:row>
    <x:row r="137" ht="60">
      <x:c r="A137" s="12" t="str">
        <x:v>Embedded Apps</x:v>
      </x:c>
      <x:c r="B137" s="13" t="str">
        <x:v>Internet Radio</x:v>
      </x:c>
      <x:c r="C137" s="8" t="str">
        <x:v>Apps/bots</x:v>
      </x:c>
      <x:c r="D137" s="8"/>
      <x:c r="E137" s="8"/>
      <x:c r="F137" s="8"/>
      <x:c r="G137" s="8"/>
      <x:c r="H137" s="8"/>
      <x:c r="I137" s="8"/>
      <x:c r="J137" s="8"/>
      <x:c r="K137" s="8"/>
      <x:c r="L137" s="8" t="str">
        <x:v>No dedicated embedded-app implementation documented</x:v>
      </x:c>
      <x:c r="M137" s="8"/>
      <x:c r="N137" s="8"/>
      <x:c r="O137" s="8" t="str">
        <x:v>Widget-dependent</x:v>
      </x:c>
      <x:c r="P137" s="8"/>
      <x:c r="Q137" s="8"/>
      <x:c r="R137" s="8"/>
      <x:c r="S137" s="8"/>
      <x:c r="T137" s="8"/>
      <x:c r="U137" s="8"/>
      <x:c r="V137" s="8" t="str">
        <x:v>Yes: Radio Portal</x:v>
      </x:c>
      <x:c r="W137" s="8"/>
      <x:c r="X137" s="8"/>
      <x:c r="Y137" s="8"/>
      <x:c r="Z137" s="8"/>
      <x:c r="AA137" s="8"/>
      <x:c r="AB137" s="8"/>
      <x:c r="AC137" s="9"/>
      <x:c r="AD137" s="8"/>
      <x:c r="AE137" s="8"/>
      <x:c r="AF137" s="8"/>
      <x:c r="AG137" s="8"/>
      <x:c r="AH137" s="14" t="n">
        <x:v>22</x:v>
      </x:c>
      <x:c r="AI137" s="15" t="str">
        <x:v>Canonical source for Embedded Apps!22</x:v>
      </x:c>
    </x:row>
    <x:row r="138" ht="60">
      <x:c r="A138" s="12" t="str">
        <x:v>Embedded Apps</x:v>
      </x:c>
      <x:c r="B138" s="13" t="str">
        <x:v>Soundboard App</x:v>
      </x:c>
      <x:c r="C138" s="8" t="str">
        <x:v>Native soundboard + apps</x:v>
      </x:c>
      <x:c r="D138" s="8"/>
      <x:c r="E138" s="8"/>
      <x:c r="F138" s="8"/>
      <x:c r="G138" s="8"/>
      <x:c r="H138" s="8"/>
      <x:c r="I138" s="8"/>
      <x:c r="J138" s="8"/>
      <x:c r="K138" s="8"/>
      <x:c r="L138" s="8" t="str">
        <x:v>No dedicated embedded-app implementation documented</x:v>
      </x:c>
      <x:c r="M138" s="8"/>
      <x:c r="N138" s="8"/>
      <x:c r="O138" s="8"/>
      <x:c r="P138" s="8"/>
      <x:c r="Q138" s="8"/>
      <x:c r="R138" s="8"/>
      <x:c r="S138" s="8"/>
      <x:c r="T138" s="8"/>
      <x:c r="U138" s="8"/>
      <x:c r="V138" s="8" t="str">
        <x:v>Yes: Portal + native personal/Shard soundboards</x:v>
      </x:c>
      <x:c r="W138" s="8"/>
      <x:c r="X138" s="8"/>
      <x:c r="Y138" s="8"/>
      <x:c r="Z138" s="8"/>
      <x:c r="AA138" s="8"/>
      <x:c r="AB138" s="8"/>
      <x:c r="AC138" s="9"/>
      <x:c r="AD138" s="8"/>
      <x:c r="AE138" s="8"/>
      <x:c r="AF138" s="8"/>
      <x:c r="AG138" s="8"/>
      <x:c r="AH138" s="14" t="n">
        <x:v>23</x:v>
      </x:c>
      <x:c r="AI138" s="15" t="str">
        <x:v>Canonical source for Embedded Apps!23</x:v>
      </x:c>
    </x:row>
    <x:row r="139" ht="60">
      <x:c r="A139" s="12" t="str">
        <x:v>Embedded Apps</x:v>
      </x:c>
      <x:c r="B139" s="13" t="str">
        <x:v>Game Library / Game Night Tool</x:v>
      </x:c>
      <x:c r="C139" s="8" t="str">
        <x:v>Activities/game integrations</x:v>
      </x:c>
      <x:c r="D139" s="8"/>
      <x:c r="E139" s="8"/>
      <x:c r="F139" s="8"/>
      <x:c r="G139" s="8"/>
      <x:c r="H139" s="8"/>
      <x:c r="I139" s="8"/>
      <x:c r="J139" s="8"/>
      <x:c r="K139" s="8"/>
      <x:c r="L139" s="8" t="str">
        <x:v>No dedicated embedded-app implementation documented</x:v>
      </x:c>
      <x:c r="M139" s="8"/>
      <x:c r="N139" s="8"/>
      <x:c r="O139" s="8"/>
      <x:c r="P139" s="8"/>
      <x:c r="Q139" s="8"/>
      <x:c r="R139" s="8"/>
      <x:c r="S139" s="8"/>
      <x:c r="T139" s="8"/>
      <x:c r="U139" s="8"/>
      <x:c r="V139" s="8" t="str">
        <x:v>Yes: Steam library + overlap + Game Night voting</x:v>
      </x:c>
      <x:c r="W139" s="8"/>
      <x:c r="X139" s="8"/>
      <x:c r="Y139" s="8"/>
      <x:c r="Z139" s="8"/>
      <x:c r="AA139" s="8"/>
      <x:c r="AB139" s="8"/>
      <x:c r="AC139" s="9"/>
      <x:c r="AD139" s="8"/>
      <x:c r="AE139" s="8"/>
      <x:c r="AF139" s="8"/>
      <x:c r="AG139" s="8"/>
      <x:c r="AH139" s="14" t="n">
        <x:v>24</x:v>
      </x:c>
      <x:c r="AI139" s="15" t="str">
        <x:v>Canonical source for Embedded Apps!24</x:v>
      </x:c>
    </x:row>
    <x:row r="140" ht="60">
      <x:c r="A140" s="12" t="str">
        <x:v>Embedded Apps</x:v>
      </x:c>
      <x:c r="B140" s="13" t="str">
        <x:v>Arcade / Mini Games</x:v>
      </x:c>
      <x:c r="C140" s="8" t="str">
        <x:v>Yes: Activities include games</x:v>
      </x:c>
      <x:c r="D140" s="8"/>
      <x:c r="E140" s="8"/>
      <x:c r="F140" s="8"/>
      <x:c r="G140" s="8"/>
      <x:c r="H140" s="8"/>
      <x:c r="I140" s="8"/>
      <x:c r="J140" s="8"/>
      <x:c r="K140" s="8"/>
      <x:c r="L140" s="8" t="str">
        <x:v>No dedicated embedded-app implementation documented</x:v>
      </x:c>
      <x:c r="M140" s="8"/>
      <x:c r="N140" s="8"/>
      <x:c r="O140" s="8"/>
      <x:c r="P140" s="8"/>
      <x:c r="Q140" s="8"/>
      <x:c r="R140" s="8"/>
      <x:c r="S140" s="8"/>
      <x:c r="T140" s="8"/>
      <x:c r="U140" s="8"/>
      <x:c r="V140" s="8" t="str">
        <x:v>IntegratedArcade</x:v>
      </x:c>
      <x:c r="W140" s="8"/>
      <x:c r="X140" s="8"/>
      <x:c r="Y140" s="8"/>
      <x:c r="Z140" s="8"/>
      <x:c r="AA140" s="8"/>
      <x:c r="AB140" s="8"/>
      <x:c r="AC140" s="9"/>
      <x:c r="AD140" s="8"/>
      <x:c r="AE140" s="8"/>
      <x:c r="AF140" s="8"/>
      <x:c r="AG140" s="8"/>
      <x:c r="AH140" s="14" t="n">
        <x:v>25</x:v>
      </x:c>
      <x:c r="AI140" s="15" t="str">
        <x:v>Shared metric: Extra Features: Arcade / Mini Games | Embedded Apps: Arcade / Mini Games</x:v>
      </x:c>
    </x:row>
    <x:row r="141" ht="60">
      <x:c r="A141" s="12" t="str">
        <x:v>Embedded Apps</x:v>
      </x:c>
      <x:c r="B141" s="13" t="str">
        <x:v>Tabletop / Virtual Tabletop</x:v>
      </x:c>
      <x:c r="C141" s="8" t="str">
        <x:v>Via Activities/apps</x:v>
      </x:c>
      <x:c r="D141" s="8"/>
      <x:c r="E141" s="8"/>
      <x:c r="F141" s="8"/>
      <x:c r="G141" s="8"/>
      <x:c r="H141" s="8"/>
      <x:c r="I141" s="8"/>
      <x:c r="J141" s="8"/>
      <x:c r="K141" s="8"/>
      <x:c r="L141" s="8" t="str">
        <x:v>No dedicated embedded-app implementation documented</x:v>
      </x:c>
      <x:c r="M141" s="8"/>
      <x:c r="N141" s="8"/>
      <x:c r="O141" s="8"/>
      <x:c r="P141" s="8"/>
      <x:c r="Q141" s="8"/>
      <x:c r="R141" s="8"/>
      <x:c r="S141" s="8"/>
      <x:c r="T141" s="8"/>
      <x:c r="U141" s="8"/>
      <x:c r="V141" s="8" t="str">
        <x:v>Yes - Portals -- native Tabletop</x:v>
      </x:c>
      <x:c r="W141" s="8"/>
      <x:c r="X141" s="8"/>
      <x:c r="Y141" s="8"/>
      <x:c r="Z141" s="8"/>
      <x:c r="AA141" s="8"/>
      <x:c r="AB141" s="8"/>
      <x:c r="AC141" s="9"/>
      <x:c r="AD141" s="8"/>
      <x:c r="AE141" s="8"/>
      <x:c r="AF141" s="8"/>
      <x:c r="AG141" s="8"/>
      <x:c r="AH141" s="14" t="n">
        <x:v>26</x:v>
      </x:c>
      <x:c r="AI141" s="15" t="str">
        <x:v>Canonical source for Embedded Apps!26</x:v>
      </x:c>
    </x:row>
    <x:row r="142" ht="60">
      <x:c r="A142" s="12" t="str">
        <x:v>Embedded Apps</x:v>
      </x:c>
      <x:c r="B142" s="13" t="str">
        <x:v>Music Creation / DAW</x:v>
      </x:c>
      <x:c r="C142" s="8" t="str">
        <x:v>No first-party DAW</x:v>
      </x:c>
      <x:c r="D142" s="8"/>
      <x:c r="E142" s="8"/>
      <x:c r="F142" s="8"/>
      <x:c r="G142" s="8"/>
      <x:c r="H142" s="8"/>
      <x:c r="I142" s="8"/>
      <x:c r="J142" s="8"/>
      <x:c r="K142" s="8"/>
      <x:c r="L142" s="8" t="str">
        <x:v>No dedicated embedded-app implementation documented</x:v>
      </x:c>
      <x:c r="M142" s="8"/>
      <x:c r="N142" s="8"/>
      <x:c r="O142" s="8"/>
      <x:c r="P142" s="8"/>
      <x:c r="Q142" s="8"/>
      <x:c r="R142" s="8"/>
      <x:c r="S142" s="8"/>
      <x:c r="T142" s="8"/>
      <x:c r="U142" s="8"/>
      <x:c r="V142" s="8" t="str">
        <x:v>Yes - Rift Studio</x:v>
      </x:c>
      <x:c r="W142" s="8"/>
      <x:c r="X142" s="8"/>
      <x:c r="Y142" s="8"/>
      <x:c r="Z142" s="8"/>
      <x:c r="AA142" s="8"/>
      <x:c r="AB142" s="8"/>
      <x:c r="AC142" s="9"/>
      <x:c r="AD142" s="8"/>
      <x:c r="AE142" s="8"/>
      <x:c r="AF142" s="8"/>
      <x:c r="AG142" s="8"/>
      <x:c r="AH142" s="14" t="n">
        <x:v>27</x:v>
      </x:c>
      <x:c r="AI142" s="15" t="str">
        <x:v>Canonical source for Embedded Apps!27</x:v>
      </x:c>
    </x:row>
    <x:row r="143" ht="60">
      <x:c r="A143" s="12" t="str">
        <x:v>Embedded Apps</x:v>
      </x:c>
      <x:c r="B143" s="13" t="str">
        <x:v>Weather</x:v>
      </x:c>
      <x:c r="C143" s="8" t="str">
        <x:v>Apps/bots</x:v>
      </x:c>
      <x:c r="D143" s="8"/>
      <x:c r="E143" s="8"/>
      <x:c r="F143" s="8"/>
      <x:c r="G143" s="8"/>
      <x:c r="H143" s="8"/>
      <x:c r="I143" s="8"/>
      <x:c r="J143" s="8"/>
      <x:c r="K143" s="8"/>
      <x:c r="L143" s="8" t="str">
        <x:v>No dedicated embedded-app implementation documented</x:v>
      </x:c>
      <x:c r="M143" s="8"/>
      <x:c r="N143" s="8"/>
      <x:c r="O143" s="8" t="str">
        <x:v>Widget/integration dependent</x:v>
      </x:c>
      <x:c r="P143" s="8"/>
      <x:c r="Q143" s="8"/>
      <x:c r="R143" s="8"/>
      <x:c r="S143" s="8"/>
      <x:c r="T143" s="8"/>
      <x:c r="U143" s="8"/>
      <x:c r="V143" s="8" t="str">
        <x:v>Yes: Weather + Windy radar</x:v>
      </x:c>
      <x:c r="W143" s="8" t="str">
        <x:v>Apps possible</x:v>
      </x:c>
      <x:c r="X143" s="8"/>
      <x:c r="Y143" s="8"/>
      <x:c r="Z143" s="8"/>
      <x:c r="AA143" s="8"/>
      <x:c r="AB143" s="8"/>
      <x:c r="AC143" s="9"/>
      <x:c r="AD143" s="8"/>
      <x:c r="AE143" s="8"/>
      <x:c r="AF143" s="8"/>
      <x:c r="AG143" s="8" t="str">
        <x:v>Integrations/bots possible</x:v>
      </x:c>
      <x:c r="AH143" s="14" t="n">
        <x:v>29</x:v>
      </x:c>
      <x:c r="AI143" s="15" t="str">
        <x:v>Canonical source for Embedded Apps!29</x:v>
      </x:c>
    </x:row>
    <x:row r="144" ht="60">
      <x:c r="A144" s="12" t="str">
        <x:v>Embedded Apps</x:v>
      </x:c>
      <x:c r="B144" s="13" t="str">
        <x:v>Calendar</x:v>
      </x:c>
      <x:c r="C144" s="8" t="str">
        <x:v>Apps/bots; Scheduled Events native</x:v>
      </x:c>
      <x:c r="D144" s="8"/>
      <x:c r="E144" s="8"/>
      <x:c r="F144" s="8"/>
      <x:c r="G144" s="8"/>
      <x:c r="H144" s="8"/>
      <x:c r="I144" s="8"/>
      <x:c r="J144" s="8"/>
      <x:c r="K144" s="8"/>
      <x:c r="L144" s="8" t="str">
        <x:v>No dedicated embedded-app implementation documented</x:v>
      </x:c>
      <x:c r="M144" s="8"/>
      <x:c r="N144" s="8"/>
      <x:c r="O144" s="8" t="str">
        <x:v>Element integrations can include calendar widgets</x:v>
      </x:c>
      <x:c r="P144" s="8"/>
      <x:c r="Q144" s="8"/>
      <x:c r="R144" s="8"/>
      <x:c r="S144" s="8"/>
      <x:c r="T144" s="8"/>
      <x:c r="U144" s="8"/>
      <x:c r="V144" s="8" t="str">
        <x:v>Yes: personal + Shard calendars, iCal sync</x:v>
      </x:c>
      <x:c r="W144" s="8" t="str">
        <x:v>Apps possible</x:v>
      </x:c>
      <x:c r="X144" s="8"/>
      <x:c r="Y144" s="8"/>
      <x:c r="Z144" s="8"/>
      <x:c r="AA144" s="8"/>
      <x:c r="AB144" s="8"/>
      <x:c r="AC144" s="9"/>
      <x:c r="AD144" s="8"/>
      <x:c r="AE144" s="8"/>
      <x:c r="AF144" s="8"/>
      <x:c r="AG144" s="8" t="str">
        <x:v>Integrations possible</x:v>
      </x:c>
      <x:c r="AH144" s="14" t="n">
        <x:v>30</x:v>
      </x:c>
      <x:c r="AI144" s="15" t="str">
        <x:v>Canonical source for Embedded Apps!30</x:v>
      </x:c>
    </x:row>
    <x:row r="145" ht="60">
      <x:c r="A145" s="12" t="str">
        <x:v>Embedded Apps</x:v>
      </x:c>
      <x:c r="B145" s="13" t="str">
        <x:v>To-Do List</x:v>
      </x:c>
      <x:c r="C145" s="8" t="str">
        <x:v>Apps/bots</x:v>
      </x:c>
      <x:c r="D145" s="8"/>
      <x:c r="E145" s="8"/>
      <x:c r="F145" s="8"/>
      <x:c r="G145" s="8"/>
      <x:c r="H145" s="8"/>
      <x:c r="I145" s="8"/>
      <x:c r="J145" s="8"/>
      <x:c r="K145" s="8"/>
      <x:c r="L145" s="8" t="str">
        <x:v>No dedicated embedded-app implementation documented</x:v>
      </x:c>
      <x:c r="M145" s="8"/>
      <x:c r="N145" s="8"/>
      <x:c r="O145" s="8"/>
      <x:c r="P145" s="8" t="str">
        <x:v>Plugins/integrations</x:v>
      </x:c>
      <x:c r="Q145" s="8"/>
      <x:c r="R145" s="8"/>
      <x:c r="S145" s="8"/>
      <x:c r="T145" s="8"/>
      <x:c r="U145" s="8"/>
      <x:c r="V145" s="8" t="str">
        <x:v>Yes: personal To-do Portal</x:v>
      </x:c>
      <x:c r="W145" s="8" t="str">
        <x:v>Apps</x:v>
      </x:c>
      <x:c r="X145" s="8"/>
      <x:c r="Y145" s="8"/>
      <x:c r="Z145" s="8"/>
      <x:c r="AA145" s="8"/>
      <x:c r="AB145" s="8"/>
      <x:c r="AC145" s="9"/>
      <x:c r="AD145" s="8"/>
      <x:c r="AE145" s="8"/>
      <x:c r="AF145" s="8"/>
      <x:c r="AG145" s="8" t="str">
        <x:v>Integrations/bots</x:v>
      </x:c>
      <x:c r="AH145" s="14" t="n">
        <x:v>31</x:v>
      </x:c>
      <x:c r="AI145" s="15" t="str">
        <x:v>Canonical source for Embedded Apps!31</x:v>
      </x:c>
    </x:row>
    <x:row r="146" ht="60">
      <x:c r="A146" s="12" t="str">
        <x:v>Embedded Apps</x:v>
      </x:c>
      <x:c r="B146" s="13" t="str">
        <x:v>RSS / Feed Reader</x:v>
      </x:c>
      <x:c r="C146" s="8" t="str">
        <x:v>Apps/webhooks</x:v>
      </x:c>
      <x:c r="D146" s="8"/>
      <x:c r="E146" s="8"/>
      <x:c r="F146" s="8"/>
      <x:c r="G146" s="8"/>
      <x:c r="H146" s="8"/>
      <x:c r="I146" s="8"/>
      <x:c r="J146" s="8"/>
      <x:c r="K146" s="8"/>
      <x:c r="L146" s="8" t="str">
        <x:v>No dedicated embedded-app implementation documented</x:v>
      </x:c>
      <x:c r="M146" s="8"/>
      <x:c r="N146" s="8"/>
      <x:c r="O146" s="8" t="str">
        <x:v>Element integration ecosystem includes feeds</x:v>
      </x:c>
      <x:c r="P146" s="8"/>
      <x:c r="Q146" s="8"/>
      <x:c r="R146" s="8"/>
      <x:c r="S146" s="8"/>
      <x:c r="T146" s="8"/>
      <x:c r="U146" s="8"/>
      <x:c r="V146" s="8" t="str">
        <x:v>Yes: built-in Feeds/RSS Portal</x:v>
      </x:c>
      <x:c r="W146" s="8" t="str">
        <x:v>Apps/webhooks</x:v>
      </x:c>
      <x:c r="X146" s="8"/>
      <x:c r="Y146" s="8"/>
      <x:c r="Z146" s="8"/>
      <x:c r="AA146" s="8"/>
      <x:c r="AB146" s="8"/>
      <x:c r="AC146" s="9"/>
      <x:c r="AD146" s="8"/>
      <x:c r="AE146" s="8"/>
      <x:c r="AF146" s="8"/>
      <x:c r="AG146" s="8" t="str">
        <x:v>Native integrations/webhooks</x:v>
      </x:c>
      <x:c r="AH146" s="14" t="n">
        <x:v>32</x:v>
      </x:c>
      <x:c r="AI146" s="15" t="str">
        <x:v>Canonical source for Embedded Apps!32</x:v>
      </x:c>
    </x:row>
    <x:row r="147" ht="60">
      <x:c r="A147" s="12" t="str">
        <x:v>Embedded Apps</x:v>
      </x:c>
      <x:c r="B147" s="13" t="str">
        <x:v>Stocks / Crypto Watchlist</x:v>
      </x:c>
      <x:c r="C147" s="8" t="str">
        <x:v>Apps/bots</x:v>
      </x:c>
      <x:c r="D147" s="8"/>
      <x:c r="E147" s="8"/>
      <x:c r="F147" s="8"/>
      <x:c r="G147" s="8"/>
      <x:c r="H147" s="8"/>
      <x:c r="I147" s="8"/>
      <x:c r="J147" s="8"/>
      <x:c r="K147" s="8"/>
      <x:c r="L147" s="8" t="str">
        <x:v>No dedicated embedded-app implementation documented</x:v>
      </x:c>
      <x:c r="M147" s="8"/>
      <x:c r="N147" s="8"/>
      <x:c r="O147" s="8" t="str">
        <x:v>Widget-dependent</x:v>
      </x:c>
      <x:c r="P147" s="8"/>
      <x:c r="Q147" s="8"/>
      <x:c r="R147" s="8"/>
      <x:c r="S147" s="8"/>
      <x:c r="T147" s="8"/>
      <x:c r="U147" s="8"/>
      <x:c r="V147" s="8" t="str">
        <x:v>Yes: Markets Portal</x:v>
      </x:c>
      <x:c r="W147" s="8" t="str">
        <x:v>Apps possible</x:v>
      </x:c>
      <x:c r="X147" s="8"/>
      <x:c r="Y147" s="8"/>
      <x:c r="Z147" s="8"/>
      <x:c r="AA147" s="8"/>
      <x:c r="AB147" s="8"/>
      <x:c r="AC147" s="9"/>
      <x:c r="AD147" s="8"/>
      <x:c r="AE147" s="8"/>
      <x:c r="AF147" s="8"/>
      <x:c r="AG147" s="8" t="str">
        <x:v>Bots/integrations</x:v>
      </x:c>
      <x:c r="AH147" s="14" t="n">
        <x:v>33</x:v>
      </x:c>
      <x:c r="AI147" s="15" t="str">
        <x:v>Canonical source for Embedded Apps!33</x:v>
      </x:c>
    </x:row>
    <x:row r="148" ht="60">
      <x:c r="A148" s="12" t="str">
        <x:v>Embedded Apps</x:v>
      </x:c>
      <x:c r="B148" s="13" t="str">
        <x:v>Sports / Fantasy</x:v>
      </x:c>
      <x:c r="C148" s="8" t="str">
        <x:v>Apps/bots</x:v>
      </x:c>
      <x:c r="D148" s="8"/>
      <x:c r="E148" s="8"/>
      <x:c r="F148" s="8"/>
      <x:c r="G148" s="8"/>
      <x:c r="H148" s="8"/>
      <x:c r="I148" s="8"/>
      <x:c r="J148" s="8"/>
      <x:c r="K148" s="8"/>
      <x:c r="L148" s="8" t="str">
        <x:v>No dedicated embedded-app implementation documented</x:v>
      </x:c>
      <x:c r="M148" s="8"/>
      <x:c r="N148" s="8"/>
      <x:c r="O148" s="8" t="str">
        <x:v>Widget-dependent</x:v>
      </x:c>
      <x:c r="P148" s="8"/>
      <x:c r="Q148" s="8"/>
      <x:c r="R148" s="8"/>
      <x:c r="S148" s="8"/>
      <x:c r="T148" s="8"/>
      <x:c r="U148" s="8"/>
      <x:c r="V148" s="8" t="str">
        <x:v>Yes: Portal</x:v>
      </x:c>
      <x:c r="W148" s="8"/>
      <x:c r="X148" s="8"/>
      <x:c r="Y148" s="8"/>
      <x:c r="Z148" s="8"/>
      <x:c r="AA148" s="8"/>
      <x:c r="AB148" s="8"/>
      <x:c r="AC148" s="9"/>
      <x:c r="AD148" s="8"/>
      <x:c r="AE148" s="8"/>
      <x:c r="AF148" s="8"/>
      <x:c r="AG148" s="8"/>
      <x:c r="AH148" s="14" t="n">
        <x:v>34</x:v>
      </x:c>
      <x:c r="AI148" s="15" t="str">
        <x:v>Canonical source for Embedded Apps!34</x:v>
      </x:c>
    </x:row>
    <x:row r="149" ht="60">
      <x:c r="A149" s="12" t="str">
        <x:v>Embedded Apps</x:v>
      </x:c>
      <x:c r="B149" s="13" t="str">
        <x:v>Mini Browser / Embedded Web</x:v>
      </x:c>
      <x:c r="C149" s="8" t="str">
        <x:v>Activities are sandboxed embedded web apps; not a general browser</x:v>
      </x:c>
      <x:c r="D149" s="8"/>
      <x:c r="E149" s="8"/>
      <x:c r="F149" s="8"/>
      <x:c r="G149" s="8"/>
      <x:c r="H149" s="8"/>
      <x:c r="I149" s="8"/>
      <x:c r="J149" s="8"/>
      <x:c r="K149" s="8"/>
      <x:c r="L149" s="8" t="str">
        <x:v>No dedicated embedded-app implementation documented</x:v>
      </x:c>
      <x:c r="M149" s="8"/>
      <x:c r="N149" s="8"/>
      <x:c r="O149" s="8" t="str">
        <x:v>Custom widgets can embed web pages in supported clients</x:v>
      </x:c>
      <x:c r="P149" s="8"/>
      <x:c r="Q149" s="8"/>
      <x:c r="R149" s="8"/>
      <x:c r="S149" s="8"/>
      <x:c r="T149" s="8"/>
      <x:c r="U149" s="8"/>
      <x:c r="V149" s="8" t="str">
        <x:v>Yes: Mini Browser Portal</x:v>
      </x:c>
      <x:c r="W149" s="8"/>
      <x:c r="X149" s="8"/>
      <x:c r="Y149" s="8"/>
      <x:c r="Z149" s="8"/>
      <x:c r="AA149" s="8"/>
      <x:c r="AB149" s="8"/>
      <x:c r="AC149" s="9"/>
      <x:c r="AD149" s="8"/>
      <x:c r="AE149" s="8"/>
      <x:c r="AF149" s="8"/>
      <x:c r="AG149" s="8"/>
      <x:c r="AH149" s="14" t="n">
        <x:v>35</x:v>
      </x:c>
      <x:c r="AI149" s="15" t="str">
        <x:v>Canonical source for Embedded Apps!35</x:v>
      </x:c>
    </x:row>
    <x:row r="150" ht="60">
      <x:c r="A150" s="12" t="str">
        <x:v>Embedded Apps</x:v>
      </x:c>
      <x:c r="B150" s="13" t="str">
        <x:v>Post-It / Sticky Notes</x:v>
      </x:c>
      <x:c r="C150" s="8" t="str">
        <x:v>Apps</x:v>
      </x:c>
      <x:c r="D150" s="8"/>
      <x:c r="E150" s="8"/>
      <x:c r="F150" s="8"/>
      <x:c r="G150" s="8"/>
      <x:c r="H150" s="8"/>
      <x:c r="I150" s="8"/>
      <x:c r="J150" s="8"/>
      <x:c r="K150" s="8"/>
      <x:c r="L150" s="8" t="str">
        <x:v>No dedicated embedded-app implementation documented</x:v>
      </x:c>
      <x:c r="M150" s="8"/>
      <x:c r="N150" s="8"/>
      <x:c r="O150" s="8" t="str">
        <x:v>Widget-dependent</x:v>
      </x:c>
      <x:c r="P150" s="8"/>
      <x:c r="Q150" s="8"/>
      <x:c r="R150" s="8"/>
      <x:c r="S150" s="8"/>
      <x:c r="T150" s="8"/>
      <x:c r="U150" s="8"/>
      <x:c r="V150" s="8" t="str">
        <x:v>Yes: Post-it Portal</x:v>
      </x:c>
      <x:c r="W150" s="8"/>
      <x:c r="X150" s="8"/>
      <x:c r="Y150" s="8"/>
      <x:c r="Z150" s="8"/>
      <x:c r="AA150" s="8"/>
      <x:c r="AB150" s="8"/>
      <x:c r="AC150" s="9"/>
      <x:c r="AD150" s="8"/>
      <x:c r="AE150" s="8"/>
      <x:c r="AF150" s="8"/>
      <x:c r="AG150" s="8"/>
      <x:c r="AH150" s="14" t="n">
        <x:v>36</x:v>
      </x:c>
      <x:c r="AI150" s="15" t="str">
        <x:v>Canonical source for Embedded Apps!36</x:v>
      </x:c>
    </x:row>
    <x:row r="151" ht="60">
      <x:c r="A151" s="12" t="str">
        <x:v>Embedded Apps</x:v>
      </x:c>
      <x:c r="B151" s="13" t="str">
        <x:v>World Clock</x:v>
      </x:c>
      <x:c r="C151" s="8" t="str">
        <x:v>Apps/bots</x:v>
      </x:c>
      <x:c r="D151" s="8"/>
      <x:c r="E151" s="8"/>
      <x:c r="F151" s="8"/>
      <x:c r="G151" s="8"/>
      <x:c r="H151" s="8"/>
      <x:c r="I151" s="8"/>
      <x:c r="J151" s="8"/>
      <x:c r="K151" s="8"/>
      <x:c r="L151" s="8" t="str">
        <x:v>No dedicated embedded-app implementation documented</x:v>
      </x:c>
      <x:c r="M151" s="8"/>
      <x:c r="N151" s="8"/>
      <x:c r="O151" s="8"/>
      <x:c r="P151" s="8"/>
      <x:c r="Q151" s="8"/>
      <x:c r="R151" s="8"/>
      <x:c r="S151" s="8"/>
      <x:c r="T151" s="8"/>
      <x:c r="U151" s="8"/>
      <x:c r="V151" s="8" t="str">
        <x:v>Yes: World Clock Portal</x:v>
      </x:c>
      <x:c r="W151" s="8"/>
      <x:c r="X151" s="8"/>
      <x:c r="Y151" s="8"/>
      <x:c r="Z151" s="8"/>
      <x:c r="AA151" s="8"/>
      <x:c r="AB151" s="8"/>
      <x:c r="AC151" s="9"/>
      <x:c r="AD151" s="8"/>
      <x:c r="AE151" s="8"/>
      <x:c r="AF151" s="8"/>
      <x:c r="AG151" s="8"/>
      <x:c r="AH151" s="14" t="n">
        <x:v>37</x:v>
      </x:c>
      <x:c r="AI151" s="15" t="str">
        <x:v>Canonical source for Embedded Apps!37</x:v>
      </x:c>
    </x:row>
    <x:row r="152" ht="60">
      <x:c r="A152" s="12" t="str">
        <x:v>Embedded Apps</x:v>
      </x:c>
      <x:c r="B152" s="13" t="str">
        <x:v>System Monitor</x:v>
      </x:c>
      <x:c r="C152" s="8" t="str">
        <x:v>No first-party hardware monitor</x:v>
      </x:c>
      <x:c r="D152" s="8"/>
      <x:c r="E152" s="8"/>
      <x:c r="F152" s="8"/>
      <x:c r="G152" s="8"/>
      <x:c r="H152" s="8"/>
      <x:c r="I152" s="8"/>
      <x:c r="J152" s="8"/>
      <x:c r="K152" s="8"/>
      <x:c r="L152" s="8" t="str">
        <x:v>No dedicated embedded-app implementation documented</x:v>
      </x:c>
      <x:c r="M152" s="8"/>
      <x:c r="N152" s="8"/>
      <x:c r="O152" s="8"/>
      <x:c r="P152" s="8"/>
      <x:c r="Q152" s="8"/>
      <x:c r="R152" s="8"/>
      <x:c r="S152" s="8"/>
      <x:c r="T152" s="8"/>
      <x:c r="U152" s="8"/>
      <x:c r="V152" s="8" t="str">
        <x:v>Yes: desktop-only CPU/GPU/RAM/VRAM/temp/disk/network HUD</x:v>
      </x:c>
      <x:c r="W152" s="8"/>
      <x:c r="X152" s="8"/>
      <x:c r="Y152" s="8"/>
      <x:c r="Z152" s="8"/>
      <x:c r="AA152" s="8"/>
      <x:c r="AB152" s="8"/>
      <x:c r="AC152" s="9"/>
      <x:c r="AD152" s="8"/>
      <x:c r="AE152" s="8"/>
      <x:c r="AF152" s="8"/>
      <x:c r="AG152" s="8"/>
      <x:c r="AH152" s="14" t="n">
        <x:v>38</x:v>
      </x:c>
      <x:c r="AI152" s="15" t="str">
        <x:v>Canonical source for Embedded Apps!38</x:v>
      </x:c>
    </x:row>
    <x:row r="153" ht="105">
      <x:c r="A153" s="12" t="str">
        <x:v>Embedded Apps</x:v>
      </x:c>
      <x:c r="B153" s="13" t="str">
        <x:v>App Permissions / Scopes</x:v>
      </x:c>
      <x:c r="C153" s="8" t="str">
        <x:v>Yes: OAuth2 + SDK scopes</x:v>
      </x:c>
      <x:c r="D153" s="8"/>
      <x:c r="E153" s="8"/>
      <x:c r="F153" s="8"/>
      <x:c r="G153" s="8"/>
      <x:c r="H153" s="8"/>
      <x:c r="I153" s="8"/>
      <x:c r="J153" s="8"/>
      <x:c r="K153" s="8"/>
      <x:c r="L153" s="8" t="str">
        <x:v>Yes: granular REST scopes, Gateway intents, guild permissions, E2EE modes and exact-instance allow/deny policies</x:v>
      </x:c>
      <x:c r="M153" s="8"/>
      <x:c r="N153" s="8"/>
      <x:c r="O153" s="8" t="str">
        <x:v>Client/widget/integration dependent</x:v>
      </x:c>
      <x:c r="P153" s="8" t="str">
        <x:v>Admin/plugin permission model</x:v>
      </x:c>
      <x:c r="Q153" s="8"/>
      <x:c r="R153" s="8"/>
      <x:c r="S153" s="8"/>
      <x:c r="T153" s="8"/>
      <x:c r="U153" s="8"/>
      <x:c r="V153" s="8" t="str">
        <x:v>N/A</x:v>
      </x:c>
      <x:c r="W153" s="8" t="str">
        <x:v>Apps-Engine permission model</x:v>
      </x:c>
      <x:c r="X153" s="8"/>
      <x:c r="Y153" s="8"/>
      <x:c r="Z153" s="8"/>
      <x:c r="AA153" s="8"/>
      <x:c r="AB153" s="8"/>
      <x:c r="AC153" s="9"/>
      <x:c r="AD153" s="8"/>
      <x:c r="AE153" s="8"/>
      <x:c r="AF153" s="8"/>
      <x:c r="AG153" s="8" t="str">
        <x:v>Bot type + API key/permissions</x:v>
      </x:c>
      <x:c r="AH153" s="14" t="n">
        <x:v>40</x:v>
      </x:c>
      <x:c r="AI153" s="15" t="str">
        <x:v>Canonical source for Embedded Apps!40</x:v>
      </x:c>
    </x:row>
    <x:row r="154" ht="60">
      <x:c r="A154" s="12" t="str">
        <x:v>Embedded Apps</x:v>
      </x:c>
      <x:c r="B154" s="13" t="str">
        <x:v>Private / Sideloaded Apps</x:v>
      </x:c>
      <x:c r="C154" s="8" t="str">
        <x:v>Development/private apps supported</x:v>
      </x:c>
      <x:c r="D154" s="8"/>
      <x:c r="E154" s="8"/>
      <x:c r="F154" s="8"/>
      <x:c r="G154" s="8"/>
      <x:c r="H154" s="8"/>
      <x:c r="I154" s="8"/>
      <x:c r="J154" s="8"/>
      <x:c r="K154" s="8"/>
      <x:c r="L154" s="8" t="str">
        <x:v>Yes: apps can be installed by invite without public-directory listing</x:v>
      </x:c>
      <x:c r="M154" s="8"/>
      <x:c r="N154" s="8"/>
      <x:c r="O154" s="8" t="str">
        <x:v>Custom widgets supported in Element deployments</x:v>
      </x:c>
      <x:c r="P154" s="8" t="str">
        <x:v>Yes: uploaded plugins depending admin policy</x:v>
      </x:c>
      <x:c r="Q154" s="8"/>
      <x:c r="R154" s="8"/>
      <x:c r="S154" s="8"/>
      <x:c r="T154" s="8"/>
      <x:c r="U154" s="8"/>
      <x:c r="V154" s="8" t="str">
        <x:v>No</x:v>
      </x:c>
      <x:c r="W154" s="8" t="str">
        <x:v>Yes: private apps on supported plans</x:v>
      </x:c>
      <x:c r="X154" s="8"/>
      <x:c r="Y154" s="8"/>
      <x:c r="Z154" s="8"/>
      <x:c r="AA154" s="8"/>
      <x:c r="AB154" s="8"/>
      <x:c r="AC154" s="9"/>
      <x:c r="AD154" s="8"/>
      <x:c r="AE154" s="8"/>
      <x:c r="AF154" s="8"/>
      <x:c r="AG154" s="8" t="str">
        <x:v>Custom bots/integrations</x:v>
      </x:c>
      <x:c r="AH154" s="14" t="n">
        <x:v>41</x:v>
      </x:c>
      <x:c r="AI154" s="15" t="str">
        <x:v>Canonical source for Embedded Apps!41</x:v>
      </x:c>
    </x:row>
    <x:row r="155" ht="45">
      <x:c r="A155" s="12" t="str">
        <x:v>Embedded Apps</x:v>
      </x:c>
      <x:c r="B155" s="13" t="str">
        <x:v>Paid Apps / In-App Purchases</x:v>
      </x:c>
      <x:c r="C155" s="8" t="str">
        <x:v>Yes: Activity SKUs/IAP supported</x:v>
      </x:c>
      <x:c r="D155" s="8"/>
      <x:c r="E155" s="8"/>
      <x:c r="F155" s="8"/>
      <x:c r="G155" s="8"/>
      <x:c r="H155" s="8"/>
      <x:c r="I155" s="8"/>
      <x:c r="J155" s="8"/>
      <x:c r="K155" s="8"/>
      <x:c r="L155" s="8" t="str">
        <x:v>No current paid-app/IAP system documented</x:v>
      </x:c>
      <x:c r="M155" s="8"/>
      <x:c r="N155" s="8"/>
      <x:c r="O155" s="8" t="str">
        <x:v>Provider/app dependent</x:v>
      </x:c>
      <x:c r="P155" s="8" t="str">
        <x:v>Marketplace/plugin dependent</x:v>
      </x:c>
      <x:c r="Q155" s="8"/>
      <x:c r="R155" s="8"/>
      <x:c r="S155" s="8"/>
      <x:c r="T155" s="8"/>
      <x:c r="U155" s="8"/>
      <x:c r="V155" s="8" t="str">
        <x:v>No Paid App</x:v>
      </x:c>
      <x:c r="W155" s="8" t="str">
        <x:v>Yes: paid marketplace apps</x:v>
      </x:c>
      <x:c r="X155" s="8"/>
      <x:c r="Y155" s="8"/>
      <x:c r="Z155" s="8"/>
      <x:c r="AA155" s="8"/>
      <x:c r="AB155" s="8"/>
      <x:c r="AC155" s="9"/>
      <x:c r="AD155" s="8"/>
      <x:c r="AE155" s="8"/>
      <x:c r="AF155" s="8"/>
      <x:c r="AG155" s="8" t="str">
        <x:v>Integration vendor dependent</x:v>
      </x:c>
      <x:c r="AH155" s="14" t="n">
        <x:v>42</x:v>
      </x:c>
      <x:c r="AI155" s="15" t="str">
        <x:v>Canonical source for Embedded Apps!42</x:v>
      </x:c>
    </x:row>
    <x:row r="156" ht="120">
      <x:c r="A156" s="12" t="str">
        <x:v>Embedded Apps</x:v>
      </x:c>
      <x:c r="B156" s="13" t="str">
        <x:v>Embedded App Notes</x:v>
      </x:c>
      <x:c r="C156" s="8" t="str">
        <x:v>Activities are iframe web apps designed for games, social experiences, co-watching and collaborative tools.</x:v>
      </x:c>
      <x:c r="D156" s="8"/>
      <x:c r="E156" s="8"/>
      <x:c r="F156" s="8"/>
      <x:c r="G156" s="8"/>
      <x:c r="H156" s="8"/>
      <x:c r="I156" s="8"/>
      <x:c r="J156" s="8"/>
      <x:c r="K156" s="8"/>
      <x:c r="L156" s="8" t="str">
        <x:v>Bot/application ecosystem with Developer Portal, federated installs and App Directory; not a Discord Activity/iframe model</x:v>
      </x:c>
      <x:c r="M156" s="8"/>
      <x:c r="N156" s="8"/>
      <x:c r="O156" s="8" t="str">
        <x:v>Do not treat Element widget support as a Matrix-wide guarantee; behavior is client/integration-manager dependent.</x:v>
      </x:c>
      <x:c r="P156" s="8" t="str">
        <x:v>Plugin webapps can deeply extend client UI but are admin-installed extensions rather than a consumer-style Activity launcher.</x:v>
      </x:c>
      <x:c r="Q156" s="8"/>
      <x:c r="R156" s="8"/>
      <x:c r="S156" s="8"/>
      <x:c r="T156" s="8"/>
      <x:c r="U156" s="8"/>
      <x:c r="V156" s="8" t="str">
        <x:v>Portals are a core workspace model with draggable, resizable apps beside chat and saved layouts. Rift also documents experimental Studio, Arcade, and Tabletop.</x:v>
      </x:c>
      <x:c r="W156" s="8" t="str">
        <x:v>Apps-Engine/Marketplace extends a workspace; app UI model varies by app.</x:v>
      </x:c>
      <x:c r="X156" s="8"/>
      <x:c r="Y156" s="8"/>
      <x:c r="Z156" s="8"/>
      <x:c r="AA156" s="8"/>
      <x:c r="AB156" s="8"/>
      <x:c r="AC156" s="9"/>
      <x:c r="AD156" s="8"/>
      <x:c r="AE156" s="8"/>
      <x:c r="AF156" s="8"/>
      <x:c r="AG156" s="8" t="str">
        <x:v>Extensibility is strong through bots, webhooks and 120+ integrations, but not as an embedded-app workspace.</x:v>
      </x:c>
      <x:c r="AH156" s="14" t="n">
        <x:v>43</x:v>
      </x:c>
      <x:c r="AI156" s="15" t="str">
        <x:v>Canonical source for Embedded Apps!43</x:v>
      </x:c>
    </x:row>
    <x:row r="157" ht="30">
      <x:c r="A157" s="12" t="str">
        <x:v>Community Limits</x:v>
      </x:c>
      <x:c r="B157" s="13" t="str">
        <x:v>Max Communities / Servers Joined (Free)</x:v>
      </x:c>
      <x:c r="C157" s="8" t="str">
        <x:v>100</x:v>
      </x:c>
      <x:c r="D157" s="8"/>
      <x:c r="E157" s="8"/>
      <x:c r="F157" s="8"/>
      <x:c r="G157" s="8"/>
      <x:c r="H157" s="8" t="str">
        <x:v>100</x:v>
      </x:c>
      <x:c r="I157" s="8"/>
      <x:c r="J157" s="8"/>
      <x:c r="K157" s="8"/>
      <x:c r="L157" s="8"/>
      <x:c r="M157" s="8"/>
      <x:c r="N157" s="8"/>
      <x:c r="O157" s="8"/>
      <x:c r="P157" s="8"/>
      <x:c r="Q157" s="8"/>
      <x:c r="R157" s="8"/>
      <x:c r="S157" s="8"/>
      <x:c r="T157" s="8"/>
      <x:c r="U157" s="8"/>
      <x:c r="V157" s="8" t="str">
        <x:v>Unlimited Shards (published plan)</x:v>
      </x:c>
      <x:c r="W157" s="8"/>
      <x:c r="X157" s="8"/>
      <x:c r="Y157" s="8"/>
      <x:c r="Z157" s="8"/>
      <x:c r="AA157" s="8"/>
      <x:c r="AB157" s="8"/>
      <x:c r="AC157" s="9"/>
      <x:c r="AD157" s="8"/>
      <x:c r="AE157" s="8"/>
      <x:c r="AF157" s="8"/>
      <x:c r="AG157" s="8"/>
      <x:c r="AH157" s="14" t="n">
        <x:v>4</x:v>
      </x:c>
      <x:c r="AI157" s="15" t="str">
        <x:v>Canonical source for Community Limits!4</x:v>
      </x:c>
    </x:row>
    <x:row r="158">
      <x:c r="A158" s="12" t="str">
        <x:v>Community Limits</x:v>
      </x:c>
      <x:c r="B158" s="13" t="str">
        <x:v>Max Communities / Servers Joined (Paid)</x:v>
      </x:c>
      <x:c r="C158" s="8" t="str">
        <x:v>200 with Nitro</x:v>
      </x:c>
      <x:c r="D158" s="8"/>
      <x:c r="E158" s="8"/>
      <x:c r="F158" s="8"/>
      <x:c r="G158" s="8"/>
      <x:c r="H158" s="8" t="str">
        <x:v>200</x:v>
      </x:c>
      <x:c r="I158" s="8"/>
      <x:c r="J158" s="8"/>
      <x:c r="K158" s="8"/>
      <x:c r="L158" s="8"/>
      <x:c r="M158" s="8"/>
      <x:c r="N158" s="8"/>
      <x:c r="O158" s="8"/>
      <x:c r="P158" s="8"/>
      <x:c r="Q158" s="8"/>
      <x:c r="R158" s="8"/>
      <x:c r="S158" s="8"/>
      <x:c r="T158" s="8"/>
      <x:c r="U158" s="8"/>
      <x:c r="V158" s="8" t="str">
        <x:v>Unlimited Shards</x:v>
      </x:c>
      <x:c r="W158" s="8"/>
      <x:c r="X158" s="8"/>
      <x:c r="Y158" s="8"/>
      <x:c r="Z158" s="8"/>
      <x:c r="AA158" s="8"/>
      <x:c r="AB158" s="8"/>
      <x:c r="AC158" s="9"/>
      <x:c r="AD158" s="8"/>
      <x:c r="AE158" s="8"/>
      <x:c r="AF158" s="8"/>
      <x:c r="AG158" s="8"/>
      <x:c r="AH158" s="14" t="n">
        <x:v>5</x:v>
      </x:c>
      <x:c r="AI158" s="15" t="str">
        <x:v>Canonical source for Community Limits!5</x:v>
      </x:c>
    </x:row>
    <x:row r="159" ht="45">
      <x:c r="A159" s="12" t="str">
        <x:v>Community Limits</x:v>
      </x:c>
      <x:c r="B159" s="13" t="str">
        <x:v>Max Members per Community (Free)</x:v>
      </x:c>
      <x:c r="C159" s="8"/>
      <x:c r="D159" s="8"/>
      <x:c r="E159" s="8"/>
      <x:c r="F159" s="8"/>
      <x:c r="G159" s="8"/>
      <x:c r="H159" s="8"/>
      <x:c r="I159" s="8" t="str">
        <x:v>100</x:v>
      </x:c>
      <x:c r="J159" s="8"/>
      <x:c r="K159" s="8"/>
      <x:c r="L159" s="8"/>
      <x:c r="M159" s="8"/>
      <x:c r="N159" s="8"/>
      <x:c r="O159" s="8"/>
      <x:c r="P159" s="8"/>
      <x:c r="Q159" s="8" t="str">
        <x:v>No published member cap / thousands supported</x:v>
      </x:c>
      <x:c r="R159" s="8"/>
      <x:c r="S159" s="8"/>
      <x:c r="T159" s="8"/>
      <x:c r="U159" s="8"/>
      <x:c r="V159" s="8" t="str">
        <x:v>Unlimited</x:v>
      </x:c>
      <x:c r="W159" s="8"/>
      <x:c r="X159" s="8"/>
      <x:c r="Y159" s="8"/>
      <x:c r="Z159" s="8"/>
      <x:c r="AA159" s="8"/>
      <x:c r="AB159" s="8" t="str">
        <x:v>32 slots self-host free</x:v>
      </x:c>
      <x:c r="AC159" s="9"/>
      <x:c r="AD159" s="8"/>
      <x:c r="AE159" s="8" t="str">
        <x:v>No seat limits for using public lobbies</x:v>
      </x:c>
      <x:c r="AF159" s="8"/>
      <x:c r="AG159" s="8"/>
      <x:c r="AH159" s="14" t="n">
        <x:v>6</x:v>
      </x:c>
      <x:c r="AI159" s="15" t="str">
        <x:v>Canonical source for Community Limits!6</x:v>
      </x:c>
    </x:row>
    <x:row r="160" ht="45">
      <x:c r="A160" s="12" t="str">
        <x:v>Community Limits</x:v>
      </x:c>
      <x:c r="B160" s="13" t="str">
        <x:v>Max Members per Community (Paid)</x:v>
      </x:c>
      <x:c r="C160" s="8"/>
      <x:c r="D160" s="8"/>
      <x:c r="E160" s="8"/>
      <x:c r="F160" s="8"/>
      <x:c r="G160" s="8"/>
      <x:c r="H160" s="8"/>
      <x:c r="I160" s="8" t="str">
        <x:v>200 Silver / 500 Gold / Unlimited Diamond</x:v>
      </x:c>
      <x:c r="J160" s="8"/>
      <x:c r="K160" s="8"/>
      <x:c r="L160" s="8"/>
      <x:c r="M160" s="8"/>
      <x:c r="N160" s="8"/>
      <x:c r="O160" s="8"/>
      <x:c r="P160" s="8"/>
      <x:c r="Q160" s="8"/>
      <x:c r="R160" s="8"/>
      <x:c r="S160" s="8"/>
      <x:c r="T160" s="8"/>
      <x:c r="U160" s="8"/>
      <x:c r="V160" s="8" t="str">
        <x:v>Unlimited</x:v>
      </x:c>
      <x:c r="W160" s="8"/>
      <x:c r="X160" s="8"/>
      <x:c r="Y160" s="8"/>
      <x:c r="Z160" s="8"/>
      <x:c r="AA160" s="8"/>
      <x:c r="AB160" s="8" t="str">
        <x:v>Hosted 11/27/64 including bonus; self-host up to 1024 licensed</x:v>
      </x:c>
      <x:c r="AC160" s="9"/>
      <x:c r="AD160" s="8"/>
      <x:c r="AE160" s="8"/>
      <x:c r="AF160" s="8"/>
      <x:c r="AG160" s="8"/>
      <x:c r="AH160" s="14" t="n">
        <x:v>7</x:v>
      </x:c>
      <x:c r="AI160" s="15" t="str">
        <x:v>Canonical source for Community Limits!7</x:v>
      </x:c>
    </x:row>
    <x:row r="161" ht="60">
      <x:c r="A161" s="12" t="str">
        <x:v>Community Limits</x:v>
      </x:c>
      <x:c r="B161" s="13" t="str">
        <x:v>Unlimited Members Available?</x:v>
      </x:c>
      <x:c r="C161" s="8"/>
      <x:c r="D161" s="8"/>
      <x:c r="E161" s="8"/>
      <x:c r="F161" s="8"/>
      <x:c r="G161" s="8"/>
      <x:c r="H161" s="8"/>
      <x:c r="I161" s="8" t="str">
        <x:v>Yes: Diamond</x:v>
      </x:c>
      <x:c r="J161" s="8"/>
      <x:c r="K161" s="8"/>
      <x:c r="L161" s="8"/>
      <x:c r="M161" s="8"/>
      <x:c r="N161" s="8"/>
      <x:c r="O161" s="8"/>
      <x:c r="P161" s="8"/>
      <x:c r="Q161" s="8" t="str">
        <x:v>Yes / no published Clan cap</x:v>
      </x:c>
      <x:c r="R161" s="8"/>
      <x:c r="S161" s="8"/>
      <x:c r="T161" s="8"/>
      <x:c r="U161" s="8"/>
      <x:c r="V161" s="8" t="str">
        <x:v>Yes</x:v>
      </x:c>
      <x:c r="W161" s="8"/>
      <x:c r="X161" s="8"/>
      <x:c r="Y161" s="8"/>
      <x:c r="Z161" s="8"/>
      <x:c r="AA161" s="8"/>
      <x:c r="AB161" s="8"/>
      <x:c r="AC161" s="9"/>
      <x:c r="AD161" s="8"/>
      <x:c r="AE161" s="8" t="str">
        <x:v>No seat limits for platform use; custom builds sized by community</x:v>
      </x:c>
      <x:c r="AF161" s="8"/>
      <x:c r="AG161" s="8"/>
      <x:c r="AH161" s="14" t="n">
        <x:v>8</x:v>
      </x:c>
      <x:c r="AI161" s="15" t="str">
        <x:v>Canonical source for Community Limits!8</x:v>
      </x:c>
    </x:row>
    <x:row r="162">
      <x:c r="A162" s="12" t="str">
        <x:v>Community Limits</x:v>
      </x:c>
      <x:c r="B162" s="13" t="str">
        <x:v>Max Text Channels</x:v>
      </x:c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N162" s="8"/>
      <x:c r="O162" s="8"/>
      <x:c r="P162" s="8"/>
      <x:c r="Q162" s="8"/>
      <x:c r="R162" s="8"/>
      <x:c r="S162" s="8"/>
      <x:c r="T162" s="8"/>
      <x:c r="U162" s="8"/>
      <x:c r="V162" s="8" t="str">
        <x:v>Unlimited</x:v>
      </x:c>
      <x:c r="W162" s="8"/>
      <x:c r="X162" s="8"/>
      <x:c r="Y162" s="8"/>
      <x:c r="Z162" s="8"/>
      <x:c r="AA162" s="8"/>
      <x:c r="AB162" s="8"/>
      <x:c r="AC162" s="9"/>
      <x:c r="AD162" s="8"/>
      <x:c r="AE162" s="8"/>
      <x:c r="AF162" s="8"/>
      <x:c r="AG162" s="8"/>
      <x:c r="AH162" s="14" t="n">
        <x:v>10</x:v>
      </x:c>
      <x:c r="AI162" s="15" t="str">
        <x:v>Canonical source for Community Limits!10</x:v>
      </x:c>
    </x:row>
    <x:row r="163" ht="30">
      <x:c r="A163" s="12" t="str">
        <x:v>Community Limits</x:v>
      </x:c>
      <x:c r="B163" s="13" t="str">
        <x:v>Max Voice Channels</x:v>
      </x:c>
      <x:c r="C163" s="8"/>
      <x:c r="D163" s="8"/>
      <x:c r="E163" s="8"/>
      <x:c r="F163" s="8"/>
      <x:c r="G163" s="8"/>
      <x:c r="H163" s="8"/>
      <x:c r="I163" s="8" t="str">
        <x:v>5 free / 9 Silver / 18 Gold / 64 Diamond</x:v>
      </x:c>
      <x:c r="J163" s="8"/>
      <x:c r="K163" s="8"/>
      <x:c r="L163" s="8"/>
      <x:c r="M163" s="8"/>
      <x:c r="N163" s="8"/>
      <x:c r="O163" s="8"/>
      <x:c r="P163" s="8"/>
      <x:c r="Q163" s="8"/>
      <x:c r="R163" s="8"/>
      <x:c r="S163" s="8"/>
      <x:c r="T163" s="8"/>
      <x:c r="U163" s="8"/>
      <x:c r="V163" s="8" t="str">
        <x:v>Unlimited</x:v>
      </x:c>
      <x:c r="W163" s="8"/>
      <x:c r="X163" s="8"/>
      <x:c r="Y163" s="8"/>
      <x:c r="Z163" s="8"/>
      <x:c r="AA163" s="8"/>
      <x:c r="AB163" s="8"/>
      <x:c r="AC163" s="9"/>
      <x:c r="AD163" s="8"/>
      <x:c r="AE163" s="8"/>
      <x:c r="AF163" s="8"/>
      <x:c r="AG163" s="8"/>
      <x:c r="AH163" s="14" t="n">
        <x:v>11</x:v>
      </x:c>
      <x:c r="AI163" s="15" t="str">
        <x:v>Canonical source for Community Limits!11</x:v>
      </x:c>
    </x:row>
    <x:row r="164">
      <x:c r="A164" s="12" t="str">
        <x:v>Community Limits</x:v>
      </x:c>
      <x:c r="B164" s="13" t="str">
        <x:v>Max Total Channels</x:v>
      </x:c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N164" s="8"/>
      <x:c r="O164" s="8"/>
      <x:c r="P164" s="8"/>
      <x:c r="Q164" s="8"/>
      <x:c r="R164" s="8"/>
      <x:c r="S164" s="8"/>
      <x:c r="T164" s="8"/>
      <x:c r="U164" s="8"/>
      <x:c r="V164" s="8" t="str">
        <x:v>Unlimited</x:v>
      </x:c>
      <x:c r="W164" s="8"/>
      <x:c r="X164" s="8"/>
      <x:c r="Y164" s="8"/>
      <x:c r="Z164" s="8"/>
      <x:c r="AA164" s="8"/>
      <x:c r="AB164" s="8"/>
      <x:c r="AC164" s="9"/>
      <x:c r="AD164" s="8"/>
      <x:c r="AE164" s="8"/>
      <x:c r="AF164" s="8"/>
      <x:c r="AG164" s="8"/>
      <x:c r="AH164" s="14" t="n">
        <x:v>12</x:v>
      </x:c>
      <x:c r="AI164" s="15" t="str">
        <x:v>Canonical source for Community Limits!12</x:v>
      </x:c>
    </x:row>
    <x:row r="165" ht="60">
      <x:c r="A165" s="12" t="str">
        <x:v>Community Limits</x:v>
      </x:c>
      <x:c r="B165" s="13" t="str">
        <x:v>Custom Emoji Slots (Free)</x:v>
      </x:c>
      <x:c r="C165" s="8" t="str">
        <x:v>Server-level slots depend boost/community configuration</x:v>
      </x:c>
      <x:c r="D165" s="8"/>
      <x:c r="E165" s="8"/>
      <x:c r="F165" s="8"/>
      <x:c r="G165" s="8"/>
      <x:c r="H165" s="8"/>
      <x:c r="I165" s="8" t="str">
        <x:v>0</x:v>
      </x:c>
      <x:c r="J165" s="8"/>
      <x:c r="K165" s="8"/>
      <x:c r="L165" s="8"/>
      <x:c r="M165" s="8"/>
      <x:c r="N165" s="8"/>
      <x:c r="O165" s="8"/>
      <x:c r="P165" s="8"/>
      <x:c r="Q165" s="8"/>
      <x:c r="R165" s="8"/>
      <x:c r="S165" s="8"/>
      <x:c r="T165" s="8"/>
      <x:c r="U165" s="8"/>
      <x:c r="V165" s="8" t="str">
        <x:v>50 Shard + 25 personal</x:v>
      </x:c>
      <x:c r="W165" s="8"/>
      <x:c r="X165" s="8"/>
      <x:c r="Y165" s="8"/>
      <x:c r="Z165" s="8"/>
      <x:c r="AA165" s="8"/>
      <x:c r="AB165" s="8"/>
      <x:c r="AC165" s="9"/>
      <x:c r="AD165" s="8"/>
      <x:c r="AE165" s="8"/>
      <x:c r="AF165" s="8"/>
      <x:c r="AG165" s="8"/>
      <x:c r="AH165" s="14" t="n">
        <x:v>16</x:v>
      </x:c>
      <x:c r="AI165" s="15" t="str">
        <x:v>Canonical source for Community Limits!16</x:v>
      </x:c>
    </x:row>
    <x:row r="166" ht="30">
      <x:c r="A166" s="12" t="str">
        <x:v>Community Limits</x:v>
      </x:c>
      <x:c r="B166" s="13" t="str">
        <x:v>Custom Emoji Slots (Paid Max)</x:v>
      </x:c>
      <x:c r="C166" s="8"/>
      <x:c r="D166" s="8"/>
      <x:c r="E166" s="8"/>
      <x:c r="F166" s="8"/>
      <x:c r="G166" s="8"/>
      <x:c r="H166" s="8"/>
      <x:c r="I166" s="8" t="str">
        <x:v>500 Diamond</x:v>
      </x:c>
      <x:c r="J166" s="8"/>
      <x:c r="K166" s="8"/>
      <x:c r="L166" s="8"/>
      <x:c r="M166" s="8"/>
      <x:c r="N166" s="8"/>
      <x:c r="O166" s="8"/>
      <x:c r="P166" s="8"/>
      <x:c r="Q166" s="8"/>
      <x:c r="R166" s="8"/>
      <x:c r="S166" s="8"/>
      <x:c r="T166" s="8"/>
      <x:c r="U166" s="8"/>
      <x:c r="V166" s="8" t="str">
        <x:v>250 Forge + 100 Rift+</x:v>
      </x:c>
      <x:c r="W166" s="8"/>
      <x:c r="X166" s="8"/>
      <x:c r="Y166" s="8"/>
      <x:c r="Z166" s="8"/>
      <x:c r="AA166" s="8"/>
      <x:c r="AB166" s="8"/>
      <x:c r="AC166" s="9"/>
      <x:c r="AD166" s="8"/>
      <x:c r="AE166" s="8"/>
      <x:c r="AF166" s="8"/>
      <x:c r="AG166" s="8"/>
      <x:c r="AH166" s="14" t="n">
        <x:v>17</x:v>
      </x:c>
      <x:c r="AI166" s="15" t="str">
        <x:v>Canonical source for Community Limits!17</x:v>
      </x:c>
    </x:row>
    <x:row r="167">
      <x:c r="A167" s="12" t="str">
        <x:v>Community Limits</x:v>
      </x:c>
      <x:c r="B167" s="13" t="str">
        <x:v>Soundboard Slots (Free)</x:v>
      </x:c>
      <x:c r="C167" s="8"/>
      <x:c r="D167" s="8"/>
      <x:c r="E167" s="8"/>
      <x:c r="F167" s="8"/>
      <x:c r="G167" s="8"/>
      <x:c r="H167" s="8"/>
      <x:c r="I167" s="8" t="str">
        <x:v>8</x:v>
      </x:c>
      <x:c r="J167" s="8"/>
      <x:c r="K167" s="8"/>
      <x:c r="L167" s="8"/>
      <x:c r="M167" s="8"/>
      <x:c r="N167" s="8"/>
      <x:c r="O167" s="8"/>
      <x:c r="P167" s="8"/>
      <x:c r="Q167" s="8"/>
      <x:c r="R167" s="8"/>
      <x:c r="S167" s="8"/>
      <x:c r="T167" s="8"/>
      <x:c r="U167" s="8"/>
      <x:c r="V167" s="8" t="str">
        <x:v>10 Shard + 5 personal</x:v>
      </x:c>
      <x:c r="W167" s="8"/>
      <x:c r="X167" s="8"/>
      <x:c r="Y167" s="8"/>
      <x:c r="Z167" s="8"/>
      <x:c r="AA167" s="8"/>
      <x:c r="AB167" s="8"/>
      <x:c r="AC167" s="9"/>
      <x:c r="AD167" s="8"/>
      <x:c r="AE167" s="8"/>
      <x:c r="AF167" s="8"/>
      <x:c r="AG167" s="8"/>
      <x:c r="AH167" s="14" t="n">
        <x:v>18</x:v>
      </x:c>
      <x:c r="AI167" s="15" t="str">
        <x:v>Canonical source for Community Limits!18</x:v>
      </x:c>
    </x:row>
    <x:row r="168" ht="30">
      <x:c r="A168" s="12" t="str">
        <x:v>Community Limits</x:v>
      </x:c>
      <x:c r="B168" s="13" t="str">
        <x:v>Soundboard Slots (Paid Max)</x:v>
      </x:c>
      <x:c r="C168" s="8"/>
      <x:c r="D168" s="8"/>
      <x:c r="E168" s="8"/>
      <x:c r="F168" s="8"/>
      <x:c r="G168" s="8"/>
      <x:c r="H168" s="8"/>
      <x:c r="I168" s="8" t="str">
        <x:v>48 Diamond</x:v>
      </x:c>
      <x:c r="J168" s="8"/>
      <x:c r="K168" s="8"/>
      <x:c r="L168" s="8"/>
      <x:c r="M168" s="8"/>
      <x:c r="N168" s="8"/>
      <x:c r="O168" s="8"/>
      <x:c r="P168" s="8"/>
      <x:c r="Q168" s="8"/>
      <x:c r="R168" s="8"/>
      <x:c r="S168" s="8"/>
      <x:c r="T168" s="8"/>
      <x:c r="U168" s="8"/>
      <x:c r="V168" s="8" t="str">
        <x:v>75 Shard Forge + 25 personal Rift+</x:v>
      </x:c>
      <x:c r="W168" s="8"/>
      <x:c r="X168" s="8"/>
      <x:c r="Y168" s="8"/>
      <x:c r="Z168" s="8"/>
      <x:c r="AA168" s="8"/>
      <x:c r="AB168" s="8"/>
      <x:c r="AC168" s="9"/>
      <x:c r="AD168" s="8"/>
      <x:c r="AE168" s="8"/>
      <x:c r="AF168" s="8"/>
      <x:c r="AG168" s="8"/>
      <x:c r="AH168" s="14" t="n">
        <x:v>19</x:v>
      </x:c>
      <x:c r="AI168" s="15" t="str">
        <x:v>Canonical source for Community Limits!19</x:v>
      </x:c>
    </x:row>
    <x:row r="169">
      <x:c r="A169" s="12" t="str">
        <x:v>Community Limits</x:v>
      </x:c>
      <x:c r="B169" s="13" t="str">
        <x:v>Message Length (Free)</x:v>
      </x:c>
      <x:c r="C169" s="8" t="str">
        <x:v>2,000</x:v>
      </x:c>
      <x:c r="D169" s="8"/>
      <x:c r="E169" s="8"/>
      <x:c r="F169" s="8"/>
      <x:c r="G169" s="8"/>
      <x:c r="H169" s="8" t="str">
        <x:v>2,000</x:v>
      </x:c>
      <x:c r="I169" s="8"/>
      <x:c r="J169" s="8"/>
      <x:c r="K169" s="8"/>
      <x:c r="L169" s="8"/>
      <x:c r="M169" s="8"/>
      <x:c r="N169" s="8"/>
      <x:c r="O169" s="8"/>
      <x:c r="P169" s="8"/>
      <x:c r="Q169" s="8"/>
      <x:c r="R169" s="8"/>
      <x:c r="S169" s="8"/>
      <x:c r="T169" s="8"/>
      <x:c r="U169" s="8"/>
      <x:c r="V169" s="8" t="str">
        <x:v>8,000</x:v>
      </x:c>
      <x:c r="W169" s="8"/>
      <x:c r="X169" s="8"/>
      <x:c r="Y169" s="8"/>
      <x:c r="Z169" s="8"/>
      <x:c r="AA169" s="8"/>
      <x:c r="AB169" s="8"/>
      <x:c r="AC169" s="9"/>
      <x:c r="AD169" s="8"/>
      <x:c r="AE169" s="8"/>
      <x:c r="AF169" s="8"/>
      <x:c r="AG169" s="8"/>
      <x:c r="AH169" s="14" t="n">
        <x:v>23</x:v>
      </x:c>
      <x:c r="AI169" s="15" t="str">
        <x:v>Canonical source for Community Limits!23</x:v>
      </x:c>
    </x:row>
    <x:row r="170">
      <x:c r="A170" s="12" t="str">
        <x:v>Community Limits</x:v>
      </x:c>
      <x:c r="B170" s="13" t="str">
        <x:v>Message Length (Paid Max)</x:v>
      </x:c>
      <x:c r="C170" s="8" t="str">
        <x:v>4,000 with Nitro</x:v>
      </x:c>
      <x:c r="D170" s="8"/>
      <x:c r="E170" s="8"/>
      <x:c r="F170" s="8"/>
      <x:c r="G170" s="8"/>
      <x:c r="H170" s="8" t="str">
        <x:v>4,000</x:v>
      </x:c>
      <x:c r="I170" s="8"/>
      <x:c r="J170" s="8"/>
      <x:c r="K170" s="8"/>
      <x:c r="L170" s="8"/>
      <x:c r="M170" s="8"/>
      <x:c r="N170" s="8"/>
      <x:c r="O170" s="8"/>
      <x:c r="P170" s="8"/>
      <x:c r="Q170" s="8"/>
      <x:c r="R170" s="8"/>
      <x:c r="S170" s="8"/>
      <x:c r="T170" s="8"/>
      <x:c r="U170" s="8"/>
      <x:c r="V170" s="8" t="str">
        <x:v>16,000 Rift+</x:v>
      </x:c>
      <x:c r="W170" s="8"/>
      <x:c r="X170" s="8"/>
      <x:c r="Y170" s="8"/>
      <x:c r="Z170" s="8"/>
      <x:c r="AA170" s="8"/>
      <x:c r="AB170" s="8"/>
      <x:c r="AC170" s="9"/>
      <x:c r="AD170" s="8"/>
      <x:c r="AE170" s="8"/>
      <x:c r="AF170" s="8"/>
      <x:c r="AG170" s="8"/>
      <x:c r="AH170" s="14" t="n">
        <x:v>24</x:v>
      </x:c>
      <x:c r="AI170" s="15" t="str">
        <x:v>Canonical source for Community Limits!24</x:v>
      </x:c>
    </x:row>
    <x:row r="171">
      <x:c r="A171" s="12" t="str">
        <x:v>Community Limits</x:v>
      </x:c>
      <x:c r="B171" s="13" t="str">
        <x:v>Group DM Member Limit</x:v>
      </x:c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N171" s="8"/>
      <x:c r="O171" s="8"/>
      <x:c r="P171" s="8"/>
      <x:c r="Q171" s="8" t="str">
        <x:v>10</x:v>
      </x:c>
      <x:c r="R171" s="8"/>
      <x:c r="S171" s="8"/>
      <x:c r="T171" s="8"/>
      <x:c r="U171" s="8"/>
      <x:c r="V171" s="8"/>
      <x:c r="W171" s="8"/>
      <x:c r="X171" s="8"/>
      <x:c r="Y171" s="8"/>
      <x:c r="Z171" s="8"/>
      <x:c r="AA171" s="8"/>
      <x:c r="AB171" s="8"/>
      <x:c r="AC171" s="9"/>
      <x:c r="AD171" s="8"/>
      <x:c r="AE171" s="8"/>
      <x:c r="AF171" s="8"/>
      <x:c r="AG171" s="8"/>
      <x:c r="AH171" s="14" t="n">
        <x:v>25</x:v>
      </x:c>
      <x:c r="AI171" s="15" t="str">
        <x:v>Canonical source for Community Limits!25</x:v>
      </x:c>
    </x:row>
    <x:row r="172" ht="30">
      <x:c r="A172" s="12" t="str">
        <x:v>Community Limits</x:v>
      </x:c>
      <x:c r="B172" s="13" t="str">
        <x:v>Concurrent Screen Share Limit</x:v>
      </x:c>
      <x:c r="C172" s="8"/>
      <x:c r="D172" s="8"/>
      <x:c r="E172" s="8"/>
      <x:c r="F172" s="8"/>
      <x:c r="G172" s="8"/>
      <x:c r="H172" s="8"/>
      <x:c r="I172" s="8"/>
      <x:c r="J172" s="8"/>
      <x:c r="K172" s="8"/>
      <x:c r="L172" s="8" t="str">
        <x:v>Not documented</x:v>
      </x:c>
      <x:c r="M172" s="8"/>
      <x:c r="N172" s="8"/>
      <x:c r="O172" s="8"/>
      <x:c r="P172" s="8"/>
      <x:c r="Q172" s="8"/>
      <x:c r="R172" s="8"/>
      <x:c r="S172" s="8"/>
      <x:c r="T172" s="8"/>
      <x:c r="U172" s="8" t="str">
        <x:v>2 presenters in smaller rooms; 4 in big rooms</x:v>
      </x:c>
      <x:c r="V172" s="8"/>
      <x:c r="W172" s="8"/>
      <x:c r="X172" s="8"/>
      <x:c r="Y172" s="8"/>
      <x:c r="Z172" s="8"/>
      <x:c r="AA172" s="8"/>
      <x:c r="AB172" s="8"/>
      <x:c r="AC172" s="9"/>
      <x:c r="AD172" s="8"/>
      <x:c r="AE172" s="8"/>
      <x:c r="AF172" s="8"/>
      <x:c r="AG172" s="8"/>
      <x:c r="AH172" s="14" t="n">
        <x:v>27</x:v>
      </x:c>
      <x:c r="AI172" s="15" t="str">
        <x:v>Canonical source for Community Limits!27</x:v>
      </x:c>
    </x:row>
    <x:row r="173" ht="60">
      <x:c r="A173" s="12" t="str">
        <x:v>Community Limits</x:v>
      </x:c>
      <x:c r="B173" s="13" t="str">
        <x:v>Max Bots / Apps</x:v>
      </x:c>
      <x:c r="C173" s="8"/>
      <x:c r="D173" s="8"/>
      <x:c r="E173" s="8"/>
      <x:c r="F173" s="8"/>
      <x:c r="G173" s="8"/>
      <x:c r="H173" s="8"/>
      <x:c r="I173" s="8"/>
      <x:c r="J173" s="8"/>
      <x:c r="K173" s="8"/>
      <x:c r="L173" s="8" t="str">
        <x:v>Guild install cap not located; developer teams may own up to 75 active applications</x:v>
      </x:c>
      <x:c r="M173" s="8"/>
      <x:c r="N173" s="8"/>
      <x:c r="O173" s="8"/>
      <x:c r="P173" s="8"/>
      <x:c r="Q173" s="8"/>
      <x:c r="R173" s="8"/>
      <x:c r="S173" s="8"/>
      <x:c r="T173" s="8"/>
      <x:c r="U173" s="8"/>
      <x:c r="V173" s="8" t="str">
        <x:v>N/A</x:v>
      </x:c>
      <x:c r="W173" s="8"/>
      <x:c r="X173" s="8"/>
      <x:c r="Y173" s="8"/>
      <x:c r="Z173" s="8"/>
      <x:c r="AA173" s="8"/>
      <x:c r="AB173" s="8"/>
      <x:c r="AC173" s="9"/>
      <x:c r="AD173" s="8"/>
      <x:c r="AE173" s="8"/>
      <x:c r="AF173" s="8"/>
      <x:c r="AG173" s="8"/>
      <x:c r="AH173" s="14" t="n">
        <x:v>29</x:v>
      </x:c>
      <x:c r="AI173" s="15" t="str">
        <x:v>Canonical source for Community Limits!29</x:v>
      </x:c>
    </x:row>
    <x:row r="174" ht="30">
      <x:c r="A174" s="12" t="str">
        <x:v>Community Limits</x:v>
      </x:c>
      <x:c r="B174" s="13" t="str">
        <x:v>Max Incoming Webhooks</x:v>
      </x:c>
      <x:c r="C174" s="8"/>
      <x:c r="D174" s="8"/>
      <x:c r="E174" s="8"/>
      <x:c r="F174" s="8"/>
      <x:c r="G174" s="8"/>
      <x:c r="H174" s="8"/>
      <x:c r="I174" s="8"/>
      <x:c r="J174" s="8"/>
      <x:c r="K174" s="8"/>
      <x:c r="L174" s="8" t="str">
        <x:v>Not located</x:v>
      </x:c>
      <x:c r="M174" s="8"/>
      <x:c r="N174" s="8"/>
      <x:c r="O174" s="8"/>
      <x:c r="P174" s="8"/>
      <x:c r="Q174" s="8"/>
      <x:c r="R174" s="8"/>
      <x:c r="S174" s="8"/>
      <x:c r="T174" s="8"/>
      <x:c r="U174" s="8" t="str">
        <x:v>No public hard limit claimed</x:v>
      </x:c>
      <x:c r="V174" s="8" t="str">
        <x:v>5 free / 15 Ember / 30 Forge</x:v>
      </x:c>
      <x:c r="W174" s="8"/>
      <x:c r="X174" s="8"/>
      <x:c r="Y174" s="8"/>
      <x:c r="Z174" s="8"/>
      <x:c r="AA174" s="8"/>
      <x:c r="AB174" s="8"/>
      <x:c r="AC174" s="9"/>
      <x:c r="AD174" s="8"/>
      <x:c r="AE174" s="8"/>
      <x:c r="AF174" s="8"/>
      <x:c r="AG174" s="8"/>
      <x:c r="AH174" s="14" t="n">
        <x:v>30</x:v>
      </x:c>
      <x:c r="AI174" s="15" t="str">
        <x:v>Canonical source for Community Limits!30</x:v>
      </x:c>
    </x:row>
    <x:row r="175" ht="30">
      <x:c r="A175" s="12" t="str">
        <x:v>Community Limits</x:v>
      </x:c>
      <x:c r="B175" s="13" t="str">
        <x:v>Max Saved Layouts / Workspaces</x:v>
      </x:c>
      <x:c r="C175" s="8"/>
      <x:c r="D175" s="8"/>
      <x:c r="E175" s="8"/>
      <x:c r="F175" s="8"/>
      <x:c r="G175" s="8"/>
      <x:c r="H175" s="8"/>
      <x:c r="I175" s="8"/>
      <x:c r="J175" s="8"/>
      <x:c r="K175" s="8"/>
      <x:c r="L175" s="8" t="str">
        <x:v>0: feature not documented</x:v>
      </x:c>
      <x:c r="M175" s="8"/>
      <x:c r="N175" s="8"/>
      <x:c r="O175" s="8"/>
      <x:c r="P175" s="8"/>
      <x:c r="Q175" s="8"/>
      <x:c r="R175" s="8"/>
      <x:c r="S175" s="8"/>
      <x:c r="T175" s="8"/>
      <x:c r="U175" s="8"/>
      <x:c r="V175" s="8" t="str">
        <x:v>2 free / 8 Rift+</x:v>
      </x:c>
      <x:c r="W175" s="8"/>
      <x:c r="X175" s="8"/>
      <x:c r="Y175" s="8"/>
      <x:c r="Z175" s="8"/>
      <x:c r="AA175" s="8"/>
      <x:c r="AB175" s="8"/>
      <x:c r="AC175" s="9"/>
      <x:c r="AD175" s="8"/>
      <x:c r="AE175" s="8"/>
      <x:c r="AF175" s="8"/>
      <x:c r="AG175" s="8"/>
      <x:c r="AH175" s="14" t="n">
        <x:v>31</x:v>
      </x:c>
      <x:c r="AI175" s="15" t="str">
        <x:v>Canonical source for Community Limits!31</x:v>
      </x:c>
    </x:row>
    <x:row r="176" ht="75">
      <x:c r="A176" s="12" t="str">
        <x:v>Community Limits</x:v>
      </x:c>
      <x:c r="B176" s="13" t="str">
        <x:v>Limits Source URL</x:v>
      </x:c>
      <x:c r="C176" s="8" t="str">
        <x:v>https://support.discord.com/hc/en-us/articles/115000435108-What-are-Nitro-Nitro-Basic</x:v>
      </x:c>
      <x:c r="D176" s="8"/>
      <x:c r="E176" s="8"/>
      <x:c r="F176" s="8"/>
      <x:c r="G176" s="8"/>
      <x:c r="H176" s="8" t="str">
        <x:v>https://fluxer.app/plutonium</x:v>
      </x:c>
      <x:c r="I176" s="8" t="str">
        <x:v>https://gamevox.com/blog/gamevox-vs-discord/</x:v>
      </x:c>
      <x:c r="J176" s="8"/>
      <x:c r="K176" s="8"/>
      <x:c r="L176" s="8" t="str">
        <x:v>https://kaede.chat/ | https://github.com/CookieNom/KaedeChat</x:v>
      </x:c>
      <x:c r="M176" s="8"/>
      <x:c r="N176" s="8"/>
      <x:c r="O176" s="8"/>
      <x:c r="P176" s="8"/>
      <x:c r="Q176" s="8" t="str">
        <x:v>https://mezon.ai/docs/user/resources/FAQ/</x:v>
      </x:c>
      <x:c r="R176" s="8"/>
      <x:c r="S176" s="8"/>
      <x:c r="T176" s="8"/>
      <x:c r="U176" s="8"/>
      <x:c r="V176" s="8" t="str">
        <x:v>https://therift.chat/de/plans/</x:v>
      </x:c>
      <x:c r="W176" s="8"/>
      <x:c r="X176" s="8"/>
      <x:c r="Y176" s="8"/>
      <x:c r="Z176" s="8"/>
      <x:c r="AA176" s="8"/>
      <x:c r="AB176" s="8" t="str">
        <x:v>https://support.teamspeak.com/hc/en-us/articles/26033099878045-Current-Community-Options</x:v>
      </x:c>
      <x:c r="AC176" s="9"/>
      <x:c r="AD176" s="8"/>
      <x:c r="AE176" s="8" t="str">
        <x:v>https://weered.ca/pricing</x:v>
      </x:c>
      <x:c r="AF176" s="8"/>
      <x:c r="AG176" s="8"/>
      <x:c r="AH176" s="14" t="n">
        <x:v>33</x:v>
      </x:c>
      <x:c r="AI176" s="15" t="str">
        <x:v>Canonical source for Community Limits!33</x:v>
      </x:c>
    </x:row>
    <x:row r="177" ht="135">
      <x:c r="A177" s="12" t="str">
        <x:v>Community Limits</x:v>
      </x:c>
      <x:c r="B177" s="13" t="str">
        <x:v>Limits Notes</x:v>
      </x:c>
      <x:c r="C177" s="8"/>
      <x:c r="D177" s="8"/>
      <x:c r="E177" s="8"/>
      <x:c r="F177" s="8"/>
      <x:c r="G177" s="8"/>
      <x:c r="H177" s="8"/>
      <x:c r="I177" s="8" t="str">
        <x:v>Server-wide tiers; all members inherit the server tier.</x:v>
      </x:c>
      <x:c r="J177" s="8"/>
      <x:c r="K177" s="8"/>
      <x:c r="L177" s="8" t="str">
        <x:v>Official instance capacity limits are not fully published. The 15 MB upload limit comes from the developer questionnaire. Many self-host quotas are configurable.</x:v>
      </x:c>
      <x:c r="M177" s="8"/>
      <x:c r="N177" s="8"/>
      <x:c r="O177" s="8"/>
      <x:c r="P177" s="8"/>
      <x:c r="Q177" s="8"/>
      <x:c r="R177" s="8"/>
      <x:c r="S177" s="8"/>
      <x:c r="T177" s="8"/>
      <x:c r="U177" s="8"/>
      <x:c r="V177" s="8"/>
      <x:c r="W177" s="8"/>
      <x:c r="X177" s="8"/>
      <x:c r="Y177" s="8"/>
      <x:c r="Z177" s="8"/>
      <x:c r="AA177" s="8"/>
      <x:c r="AB177" s="8"/>
      <x:c r="AC177" s="9"/>
      <x:c r="AD177" s="8"/>
      <x:c r="AE177" s="8"/>
      <x:c r="AF177" s="8"/>
      <x:c r="AG177" s="8"/>
      <x:c r="AH177" s="14" t="n">
        <x:v>34</x:v>
      </x:c>
      <x:c r="AI177" s="15" t="str">
        <x:v>Canonical source for Community Limits!34</x:v>
      </x:c>
    </x:row>
    <x:row r="178" ht="30">
      <x:c r="A178" s="12" t="str">
        <x:v>Community Limits</x:v>
      </x:c>
      <x:c r="B178" s="13" t="str">
        <x:v>Max Concurrent Voice Rooms</x:v>
      </x:c>
      <x:c r="C178" s="8" t="str">
        <x:v>Channel-count constrained</x:v>
      </x:c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N178" s="8"/>
      <x:c r="O178" s="8"/>
      <x:c r="P178" s="8"/>
      <x:c r="Q178" s="8"/>
      <x:c r="R178" s="8"/>
      <x:c r="S178" s="8"/>
      <x:c r="T178" s="8"/>
      <x:c r="U178" s="8"/>
      <x:c r="V178" s="8" t="str">
        <x:v>Unlimited</x:v>
      </x:c>
      <x:c r="W178" s="8"/>
      <x:c r="X178" s="8"/>
      <x:c r="Y178" s="8"/>
      <x:c r="Z178" s="8"/>
      <x:c r="AA178" s="8"/>
      <x:c r="AB178" s="8"/>
      <x:c r="AC178" s="9"/>
      <x:c r="AD178" s="8"/>
      <x:c r="AE178" s="8"/>
      <x:c r="AF178" s="8"/>
      <x:c r="AG178" s="8"/>
      <x:c r="AH178" s="14" t="n">
        <x:v>38</x:v>
      </x:c>
      <x:c r="AI178" s="15" t="str">
        <x:v>Canonical source for Community Limits!38</x:v>
      </x:c>
    </x:row>
    <x:row r="179" ht="45">
      <x:c r="A179" s="12" t="str">
        <x:v>Community Limits</x:v>
      </x:c>
      <x:c r="B179" s="13" t="str">
        <x:v>Max Portals / Embedded Panels</x:v>
      </x:c>
      <x:c r="C179" s="8" t="str">
        <x:v>Activity/session dependent</x:v>
      </x:c>
      <x:c r="D179" s="8"/>
      <x:c r="E179" s="8"/>
      <x:c r="F179" s="8"/>
      <x:c r="G179" s="8"/>
      <x:c r="H179" s="8"/>
      <x:c r="I179" s="8"/>
      <x:c r="J179" s="8"/>
      <x:c r="K179" s="8"/>
      <x:c r="L179" s="8" t="str">
        <x:v>0: no embedded Portal/widget runtime documented</x:v>
      </x:c>
      <x:c r="M179" s="8"/>
      <x:c r="N179" s="8"/>
      <x:c r="O179" s="8"/>
      <x:c r="P179" s="8"/>
      <x:c r="Q179" s="8"/>
      <x:c r="R179" s="8"/>
      <x:c r="S179" s="8"/>
      <x:c r="T179" s="8"/>
      <x:c r="U179" s="8"/>
      <x:c r="V179" s="8" t="str">
        <x:v>All Portals included; saved layout count is 2 free / 8 Rift+</x:v>
      </x:c>
      <x:c r="W179" s="8"/>
      <x:c r="X179" s="8"/>
      <x:c r="Y179" s="8"/>
      <x:c r="Z179" s="8"/>
      <x:c r="AA179" s="8"/>
      <x:c r="AB179" s="8"/>
      <x:c r="AC179" s="9"/>
      <x:c r="AD179" s="8"/>
      <x:c r="AE179" s="8"/>
      <x:c r="AF179" s="8"/>
      <x:c r="AG179" s="8"/>
      <x:c r="AH179" s="14" t="n">
        <x:v>39</x:v>
      </x:c>
      <x:c r="AI179" s="15" t="str">
        <x:v>Canonical source for Community Limits!39</x:v>
      </x:c>
    </x:row>
    <x:row r="180" ht="90">
      <x:c r="A180" s="12" t="str">
        <x:v>Voice &amp; Audio</x:v>
      </x:c>
      <x:c r="B180" s="13" t="str">
        <x:v>Voice Architecture (Persistent Rooms vs Ad-Hoc Calls)</x:v>
      </x:c>
      <x:c r="C180" s="8" t="str">
        <x:v>Persistent server voice channels + ad-hoc DM/GDM calls</x:v>
      </x:c>
      <x:c r="D180" s="8" t="str">
        <x:v>Live voice rooms</x:v>
      </x:c>
      <x:c r="E180" s="8" t="str">
        <x:v>Persistent server voice + messenger</x:v>
      </x:c>
      <x:c r="F180" s="8" t="str">
        <x:v>Persistent voice channels</x:v>
      </x:c>
      <x:c r="G180" s="8" t="str">
        <x:v>Persistent community voice + calls</x:v>
      </x:c>
      <x:c r="H180" s="8" t="str">
        <x:v>Persistent community voice + DM calls</x:v>
      </x:c>
      <x:c r="I180" s="8" t="str">
        <x:v>Persistent voice rooms + calls</x:v>
      </x:c>
      <x:c r="J180" s="8" t="str">
        <x:v>LiveKit-powered voice channels</x:v>
      </x:c>
      <x:c r="K180" s="8"/>
      <x:c r="L180" s="8" t="str">
        <x:v>Persistent guild voice channels + ad-hoc 1:1/group-DM calls</x:v>
      </x:c>
      <x:c r="M180" s="8" t="str">
        <x:v>Voice channels</x:v>
      </x:c>
      <x:c r="N180" s="8" t="str">
        <x:v>Persistent voice rooms</x:v>
      </x:c>
      <x:c r="O180" s="8" t="str">
        <x:v>Client-dependent; MatrixRTC/VoIP rooms and calls</x:v>
      </x:c>
      <x:c r="P180" s="8" t="str">
        <x:v>Native Calls in channels/DMs; persistent text channels with ad-hoc calls</x:v>
      </x:c>
      <x:c r="Q180" s="8" t="str">
        <x:v>Voice/video calls</x:v>
      </x:c>
      <x:c r="R180" s="8" t="str">
        <x:v>Persistent hierarchical voice channels</x:v>
      </x:c>
      <x:c r="S180" s="8"/>
      <x:c r="T180" s="8" t="str">
        <x:v>Persistent voice/video channels</x:v>
      </x:c>
      <x:c r="U180" s="8" t="str">
        <x:v>Persistent voice channels; small rooms/DM calls can be P2P; listed/larger hosted rooms use LiveKit</x:v>
      </x:c>
      <x:c r="V180" s="8" t="str">
        <x:v>Yes - Persistant voice/communities</x:v>
      </x:c>
      <x:c r="W180" s="8" t="str">
        <x:v>Calls/video depend on deployment/provider/integration; not Discord-style universal persistent voice</x:v>
      </x:c>
      <x:c r="X180" s="8" t="str">
        <x:v>No mature native voice feature verified</x:v>
      </x:c>
      <x:c r="Y180" s="8" t="str">
        <x:v>Persistent community voice + DM calls</x:v>
      </x:c>
      <x:c r="Z180" s="8" t="str">
        <x:v>Optional persistent guild + DM voice via WebRTC media package</x:v>
      </x:c>
      <x:c r="AA180" s="8" t="str">
        <x:v>Persistent server voice channels + calls</x:v>
      </x:c>
      <x:c r="AB180" s="8" t="str">
        <x:v>Persistent voice channels</x:v>
      </x:c>
      <x:c r="AC180" s="9" t="str">
        <x:v>Persistent voice channels</x:v>
      </x:c>
      <x:c r="AD180" s="8" t="str">
        <x:v>Voice supported; Linux mic I/O issues reported</x:v>
      </x:c>
      <x:c r="AE180" s="8" t="str">
        <x:v>Voice in every room</x:v>
      </x:c>
      <x:c r="AF180" s="8" t="str">
        <x:v>Persistent spatial voice channels</x:v>
      </x:c>
      <x:c r="AG180" s="8" t="str">
        <x:v>No native persistent voice rooms; integrates external call providers</x:v>
      </x:c>
      <x:c r="AH180" s="14" t="n">
        <x:v>3</x:v>
      </x:c>
      <x:c r="AI180" s="15" t="str">
        <x:v>Canonical source for Voice &amp; Audio!3</x:v>
      </x:c>
    </x:row>
    <x:row r="181" ht="45">
      <x:c r="A181" s="12" t="str">
        <x:v>Voice &amp; Audio</x:v>
      </x:c>
      <x:c r="B181" s="13" t="str">
        <x:v>Max Audio Bitrate (kbps)</x:v>
      </x:c>
      <x:c r="C181" s="8" t="str">
        <x:v>384 max (Level 3 boost); 96 base</x:v>
      </x:c>
      <x:c r="D181" s="8"/>
      <x:c r="E181" s="8"/>
      <x:c r="F181" s="8" t="str">
        <x:v>Yes</x:v>
      </x:c>
      <x:c r="G181" s="8"/>
      <x:c r="H181" s="8"/>
      <x:c r="I181" s="8"/>
      <x:c r="J181" s="8"/>
      <x:c r="K181" s="8"/>
      <x:c r="L181" s="8" t="str">
        <x:v>128</x:v>
      </x:c>
      <x:c r="M181" s="8"/>
      <x:c r="N181" s="8" t="str">
        <x:v>Yes</x:v>
      </x:c>
      <x:c r="O181" s="8" t="str">
        <x:v>Varies by client/media stack</x:v>
      </x:c>
      <x:c r="P181" s="8"/>
      <x:c r="Q181" s="8" t="str">
        <x:v>Yes</x:v>
      </x:c>
      <x:c r="R181" s="8"/>
      <x:c r="S181" s="8"/>
      <x:c r="T181" s="8"/>
      <x:c r="U181" s="8" t="str">
        <x:v>Not publicly claimed</x:v>
      </x:c>
      <x:c r="V181" s="8" t="str">
        <x:v>192 kbps on Forge Shard; personal Rift+ high-fidelity 128 kbps</x:v>
      </x:c>
      <x:c r="W181" s="8"/>
      <x:c r="X181" s="8"/>
      <x:c r="Y181" s="8"/>
      <x:c r="Z181" s="8"/>
      <x:c r="AA181" s="8"/>
      <x:c r="AB181" s="8"/>
      <x:c r="AC181" s="9"/>
      <x:c r="AD181" s="8"/>
      <x:c r="AE181" s="8" t="str">
        <x:v>Yes</x:v>
      </x:c>
      <x:c r="AF181" s="8"/>
      <x:c r="AG181" s="8" t="str">
        <x:v>N/A</x:v>
      </x:c>
      <x:c r="AH181" s="14" t="n">
        <x:v>5</x:v>
      </x:c>
      <x:c r="AI181" s="15" t="str">
        <x:v>Canonical source for Voice &amp; Audio!5</x:v>
      </x:c>
    </x:row>
    <x:row r="182" ht="60">
      <x:c r="A182" s="12" t="str">
        <x:v>Voice &amp; Audio</x:v>
      </x:c>
      <x:c r="B182" s="13" t="str">
        <x:v>Noise Suppression Engine (Krisp / RNNoise / WebRTC)</x:v>
      </x:c>
      <x:c r="C182" s="8" t="str">
        <x:v>Krisp</x:v>
      </x:c>
      <x:c r="D182" s="8"/>
      <x:c r="E182" s="8" t="str">
        <x:v>LiveKit/WebRTC</x:v>
      </x:c>
      <x:c r="F182" s="8" t="str">
        <x:v>LiveKit</x:v>
      </x:c>
      <x:c r="G182" s="8" t="str">
        <x:v>DeepFilterNet3 local noise suppression planned/used</x:v>
      </x:c>
      <x:c r="H182" s="8" t="str">
        <x:v>DeepFilterNet3 + media processing controls</x:v>
      </x:c>
      <x:c r="I182" s="8" t="str">
        <x:v>Built-in noise/echo processing</x:v>
      </x:c>
      <x:c r="J182" s="8" t="str">
        <x:v>WebRTC</x:v>
      </x:c>
      <x:c r="K182" s="8" t="str">
        <x:v>P2P WebRTC with STUN/TURN fallback</x:v>
      </x:c>
      <x:c r="L182" s="8" t="str">
        <x:v>Desktop/mobile local suppression; no web suppression per developer report</x:v>
      </x:c>
      <x:c r="M182" s="8"/>
      <x:c r="N182" s="8" t="str">
        <x:v>LiveKit/WebRTC</x:v>
      </x:c>
      <x:c r="O182" s="8" t="str">
        <x:v>Varies by client</x:v>
      </x:c>
      <x:c r="P182" s="8"/>
      <x:c r="Q182" s="8" t="str">
        <x:v>Custom WebRTC SFU</x:v>
      </x:c>
      <x:c r="R182" s="8" t="str">
        <x:v>Built-in client processing; exact engine varies</x:v>
      </x:c>
      <x:c r="S182" s="8"/>
      <x:c r="T182" s="8" t="str">
        <x:v>Custom voice infrastructure</x:v>
      </x:c>
      <x:c r="U182" s="8" t="str">
        <x:v>No branded/public noise-suppression engine claim</x:v>
      </x:c>
      <x:c r="V182" s="8" t="str">
        <x:v>Proprietary</x:v>
      </x:c>
      <x:c r="W182" s="8" t="str">
        <x:v>Provider-dependent</x:v>
      </x:c>
      <x:c r="X182" s="8" t="str">
        <x:v>N/A</x:v>
      </x:c>
      <x:c r="Y182" s="8"/>
      <x:c r="Z182" s="8"/>
      <x:c r="AA182" s="8" t="str">
        <x:v>RNNoise</x:v>
      </x:c>
      <x:c r="AB182" s="8"/>
      <x:c r="AC182" s="9" t="str">
        <x:v>LiveKit</x:v>
      </x:c>
      <x:c r="AD182" s="8"/>
      <x:c r="AE182" s="8" t="str">
        <x:v>LiveKit</x:v>
      </x:c>
      <x:c r="AF182" s="8" t="str">
        <x:v>Self-host media server</x:v>
      </x:c>
      <x:c r="AG182" s="8" t="str">
        <x:v>N/A</x:v>
      </x:c>
      <x:c r="AH182" s="14" t="n">
        <x:v>6</x:v>
      </x:c>
      <x:c r="AI182" s="15" t="str">
        <x:v>Canonical source for Voice &amp; Audio!6</x:v>
      </x:c>
    </x:row>
    <x:row r="183">
      <x:c r="A183" s="12" t="str">
        <x:v>Voice &amp; Audio</x:v>
      </x:c>
      <x:c r="B183" s="13" t="str">
        <x:v>Push-to-Talk Support</x:v>
      </x:c>
      <x:c r="C183" s="8" t="str">
        <x:v>Yes</x:v>
      </x:c>
      <x:c r="D183" s="8"/>
      <x:c r="E183" s="8" t="str">
        <x:v>Opus</x:v>
      </x:c>
      <x:c r="F183" s="8"/>
      <x:c r="G183" s="8" t="str">
        <x:v>Yes</x:v>
      </x:c>
      <x:c r="H183" s="8" t="str">
        <x:v>Yes</x:v>
      </x:c>
      <x:c r="I183" s="8" t="str">
        <x:v>Yes</x:v>
      </x:c>
      <x:c r="J183" s="8"/>
      <x:c r="K183" s="8"/>
      <x:c r="L183" s="8" t="str">
        <x:v>Yes</x:v>
      </x:c>
      <x:c r="M183" s="8"/>
      <x:c r="N183" s="8"/>
      <x:c r="O183" s="8" t="str">
        <x:v>Varies by client</x:v>
      </x:c>
      <x:c r="P183" s="8"/>
      <x:c r="Q183" s="8"/>
      <x:c r="R183" s="8" t="str">
        <x:v>Yes</x:v>
      </x:c>
      <x:c r="S183" s="8"/>
      <x:c r="T183" s="8"/>
      <x:c r="U183" s="8"/>
      <x:c r="V183" s="8" t="str">
        <x:v>Yes</x:v>
      </x:c>
      <x:c r="W183" s="8"/>
      <x:c r="X183" s="8" t="str">
        <x:v>N/A</x:v>
      </x:c>
      <x:c r="Y183" s="8" t="str">
        <x:v>Yes</x:v>
      </x:c>
      <x:c r="Z183" s="8" t="str">
        <x:v>Client-dependent</x:v>
      </x:c>
      <x:c r="AA183" s="8" t="str">
        <x:v>Yes</x:v>
      </x:c>
      <x:c r="AB183" s="8" t="str">
        <x:v>Yes</x:v>
      </x:c>
      <x:c r="AC183" s="9"/>
      <x:c r="AD183" s="8"/>
      <x:c r="AE183" s="8"/>
      <x:c r="AF183" s="8"/>
      <x:c r="AG183" s="8" t="str">
        <x:v>N/A</x:v>
      </x:c>
      <x:c r="AH183" s="14" t="n">
        <x:v>7</x:v>
      </x:c>
      <x:c r="AI183" s="15" t="str">
        <x:v>Canonical source for Voice &amp; Audio!7</x:v>
      </x:c>
    </x:row>
    <x:row r="184" ht="45">
      <x:c r="A184" s="12" t="str">
        <x:v>Voice &amp; Audio</x:v>
      </x:c>
      <x:c r="B184" s="13" t="str">
        <x:v>Individual User Volume Control</x:v>
      </x:c>
      <x:c r="C184" s="8" t="str">
        <x:v>Yes</x:v>
      </x:c>
      <x:c r="D184" s="8"/>
      <x:c r="E184" s="8"/>
      <x:c r="F184" s="8" t="str">
        <x:v>Yes</x:v>
      </x:c>
      <x:c r="G184" s="8" t="str">
        <x:v>Yes</x:v>
      </x:c>
      <x:c r="H184" s="8" t="str">
        <x:v>Yes</x:v>
      </x:c>
      <x:c r="I184" s="8" t="str">
        <x:v>Yes</x:v>
      </x:c>
      <x:c r="J184" s="8"/>
      <x:c r="K184" s="8"/>
      <x:c r="L184" s="8" t="str">
        <x:v>Yes: developer-reported/LiveKit client controls</x:v>
      </x:c>
      <x:c r="M184" s="8"/>
      <x:c r="N184" s="8" t="str">
        <x:v>Yes</x:v>
      </x:c>
      <x:c r="O184" s="8" t="str">
        <x:v>Varies by client</x:v>
      </x:c>
      <x:c r="P184" s="8" t="str">
        <x:v>Yes</x:v>
      </x:c>
      <x:c r="Q184" s="8"/>
      <x:c r="R184" s="8" t="str">
        <x:v>Yes</x:v>
      </x:c>
      <x:c r="S184" s="8"/>
      <x:c r="T184" s="8"/>
      <x:c r="U184" s="8" t="str">
        <x:v>Yes</x:v>
      </x:c>
      <x:c r="V184" s="8" t="str">
        <x:v>Yes</x:v>
      </x:c>
      <x:c r="W184" s="8"/>
      <x:c r="X184" s="8" t="str">
        <x:v>N/A</x:v>
      </x:c>
      <x:c r="Y184" s="8" t="str">
        <x:v>Yes</x:v>
      </x:c>
      <x:c r="Z184" s="8" t="str">
        <x:v>Client-dependent</x:v>
      </x:c>
      <x:c r="AA184" s="8" t="str">
        <x:v>Yes</x:v>
      </x:c>
      <x:c r="AB184" s="8" t="str">
        <x:v>Yes</x:v>
      </x:c>
      <x:c r="AC184" s="9"/>
      <x:c r="AD184" s="8"/>
      <x:c r="AE184" s="8" t="str">
        <x:v>Yes</x:v>
      </x:c>
      <x:c r="AF184" s="8"/>
      <x:c r="AG184" s="8" t="str">
        <x:v>N/A</x:v>
      </x:c>
      <x:c r="AH184" s="14" t="n">
        <x:v>8</x:v>
      </x:c>
      <x:c r="AI184" s="15" t="str">
        <x:v>Canonical source for Voice &amp; Audio!8</x:v>
      </x:c>
    </x:row>
    <x:row r="185" ht="75">
      <x:c r="A185" s="12" t="str">
        <x:v>Voice &amp; Audio</x:v>
      </x:c>
      <x:c r="B185" s="13" t="str">
        <x:v>Spatial / Proximity Audio Support</x:v>
      </x:c>
      <x:c r="C185" s="8" t="str">
        <x:v>No native client proximity/spatial audio; possible in third-party game integrations</x:v>
      </x:c>
      <x:c r="D185" s="8" t="str">
        <x:v>No</x:v>
      </x:c>
      <x:c r="E185" s="8" t="str">
        <x:v>No</x:v>
      </x:c>
      <x:c r="F185" s="8" t="str">
        <x:v>No</x:v>
      </x:c>
      <x:c r="G185" s="8"/>
      <x:c r="H185" s="8" t="str">
        <x:v>No native proximity audio</x:v>
      </x:c>
      <x:c r="I185" s="8" t="str">
        <x:v>GameLink spatial audio</x:v>
      </x:c>
      <x:c r="J185" s="8" t="str">
        <x:v>No</x:v>
      </x:c>
      <x:c r="K185" s="8" t="str">
        <x:v>No</x:v>
      </x:c>
      <x:c r="L185" s="8"/>
      <x:c r="M185" s="8" t="str">
        <x:v>No</x:v>
      </x:c>
      <x:c r="N185" s="8" t="str">
        <x:v>No</x:v>
      </x:c>
      <x:c r="O185" s="8" t="str">
        <x:v>Possible via specialized clients; not a core default</x:v>
      </x:c>
      <x:c r="P185" s="8" t="str">
        <x:v>No</x:v>
      </x:c>
      <x:c r="Q185" s="8" t="str">
        <x:v>No</x:v>
      </x:c>
      <x:c r="R185" s="8" t="str">
        <x:v>Yes: positional audio supported with games/plugins</x:v>
      </x:c>
      <x:c r="S185" s="8" t="str">
        <x:v>No</x:v>
      </x:c>
      <x:c r="T185" s="8" t="str">
        <x:v>No</x:v>
      </x:c>
      <x:c r="U185" s="8" t="str">
        <x:v>No</x:v>
      </x:c>
      <x:c r="V185" s="8" t="str">
        <x:v>No</x:v>
      </x:c>
      <x:c r="W185" s="8" t="str">
        <x:v>No</x:v>
      </x:c>
      <x:c r="X185" s="8" t="str">
        <x:v>N/A</x:v>
      </x:c>
      <x:c r="Y185" s="8" t="str">
        <x:v>No native proximity audio</x:v>
      </x:c>
      <x:c r="Z185" s="8" t="str">
        <x:v>No native proximity</x:v>
      </x:c>
      <x:c r="AA185" s="8" t="str">
        <x:v>No native proximity audio</x:v>
      </x:c>
      <x:c r="AB185" s="8"/>
      <x:c r="AC185" s="9" t="str">
        <x:v>No</x:v>
      </x:c>
      <x:c r="AD185" s="8" t="str">
        <x:v>No</x:v>
      </x:c>
      <x:c r="AE185" s="8" t="str">
        <x:v>No</x:v>
      </x:c>
      <x:c r="AF185" s="8" t="str">
        <x:v>Yes: spatial/proximity</x:v>
      </x:c>
      <x:c r="AG185" s="8" t="str">
        <x:v>N/A</x:v>
      </x:c>
      <x:c r="AH185" s="14" t="n">
        <x:v>9</x:v>
      </x:c>
      <x:c r="AI185" s="15" t="str">
        <x:v>Canonical source for Voice &amp; Audio!9</x:v>
      </x:c>
    </x:row>
    <x:row r="186" ht="60">
      <x:c r="A186" s="12" t="str">
        <x:v>Voice &amp; Audio</x:v>
      </x:c>
      <x:c r="B186" s="13" t="str">
        <x:v>Stage Channels (Speaker vs Audience)</x:v>
      </x:c>
      <x:c r="C186" s="8" t="str">
        <x:v>Yes</x:v>
      </x:c>
      <x:c r="D186" s="8"/>
      <x:c r="E186" s="8" t="str">
        <x:v>No Stage verified</x:v>
      </x:c>
      <x:c r="F186" s="8" t="str">
        <x:v>No Stage verified</x:v>
      </x:c>
      <x:c r="G186" s="8" t="str">
        <x:v>Nested voice / host-broadcasting planned</x:v>
      </x:c>
      <x:c r="H186" s="8"/>
      <x:c r="I186" s="8" t="str">
        <x:v>No Discord-style Stage verified</x:v>
      </x:c>
      <x:c r="J186" s="8" t="str">
        <x:v>No</x:v>
      </x:c>
      <x:c r="K186" s="8" t="str">
        <x:v>No</x:v>
      </x:c>
      <x:c r="L186" s="8" t="str">
        <x:v>Yes: developer reports Stage channels</x:v>
      </x:c>
      <x:c r="M186" s="8" t="str">
        <x:v>No</x:v>
      </x:c>
      <x:c r="N186" s="8"/>
      <x:c r="O186" s="8" t="str">
        <x:v>Client-dependent</x:v>
      </x:c>
      <x:c r="P186" s="8" t="str">
        <x:v>Raise-hand supported in Calls</x:v>
      </x:c>
      <x:c r="Q186" s="8"/>
      <x:c r="R186" s="8" t="str">
        <x:v>No Discord Stage equivalent</x:v>
      </x:c>
      <x:c r="S186" s="8" t="str">
        <x:v>No</x:v>
      </x:c>
      <x:c r="T186" s="8" t="str">
        <x:v>No Stage verified</x:v>
      </x:c>
      <x:c r="U186" s="8" t="str">
        <x:v>No Stage</x:v>
      </x:c>
      <x:c r="V186" s="8" t="str">
        <x:v>No Stage</x:v>
      </x:c>
      <x:c r="W186" s="8"/>
      <x:c r="X186" s="8" t="str">
        <x:v>N/A</x:v>
      </x:c>
      <x:c r="Y186" s="8" t="str">
        <x:v>No dedicated Stage verified</x:v>
      </x:c>
      <x:c r="Z186" s="8"/>
      <x:c r="AA186" s="8" t="str">
        <x:v>No Discord-style Stage verified</x:v>
      </x:c>
      <x:c r="AB186" s="8" t="str">
        <x:v>No Discord Stage equivalent verified</x:v>
      </x:c>
      <x:c r="AC186" s="9" t="str">
        <x:v>No Stage verified</x:v>
      </x:c>
      <x:c r="AD186" s="8" t="str">
        <x:v>No</x:v>
      </x:c>
      <x:c r="AE186" s="8" t="str">
        <x:v>Stage is a general room stage/media surface, not Discord Stage</x:v>
      </x:c>
      <x:c r="AF186" s="8" t="str">
        <x:v>No Stage</x:v>
      </x:c>
      <x:c r="AG186" s="8" t="str">
        <x:v>N/A</x:v>
      </x:c>
      <x:c r="AH186" s="14" t="n">
        <x:v>10</x:v>
      </x:c>
      <x:c r="AI186" s="15" t="str">
        <x:v>Canonical source for Voice &amp; Audio!10</x:v>
      </x:c>
    </x:row>
    <x:row r="187" ht="75">
      <x:c r="A187" s="12" t="str">
        <x:v>Voice &amp; Audio</x:v>
      </x:c>
      <x:c r="B187" s="13" t="str">
        <x:v>Raise Hand / Speaking Requests</x:v>
      </x:c>
      <x:c r="C187" s="8" t="str">
        <x:v>Yes</x:v>
      </x:c>
      <x:c r="D187" s="8"/>
      <x:c r="E187" s="8"/>
      <x:c r="F187" s="8"/>
      <x:c r="G187" s="8"/>
      <x:c r="H187" s="8"/>
      <x:c r="I187" s="8"/>
      <x:c r="J187" s="8"/>
      <x:c r="K187" s="8"/>
      <x:c r="L187" s="8" t="str">
        <x:v>Stage exists; raise-hand/speaker-request behavior not independently documented</x:v>
      </x:c>
      <x:c r="M187" s="8"/>
      <x:c r="N187" s="8"/>
      <x:c r="O187" s="8" t="str">
        <x:v>Client-dependent</x:v>
      </x:c>
      <x:c r="P187" s="8" t="str">
        <x:v>Yes</x:v>
      </x:c>
      <x:c r="Q187" s="8"/>
      <x:c r="R187" s="8" t="str">
        <x:v>No</x:v>
      </x:c>
      <x:c r="S187" s="8"/>
      <x:c r="T187" s="8"/>
      <x:c r="U187" s="8"/>
      <x:c r="V187" s="8" t="str">
        <x:v>No</x:v>
      </x:c>
      <x:c r="W187" s="8"/>
      <x:c r="X187" s="8" t="str">
        <x:v>N/A</x:v>
      </x:c>
      <x:c r="Y187" s="8"/>
      <x:c r="Z187" s="8"/>
      <x:c r="AA187" s="8"/>
      <x:c r="AB187" s="8"/>
      <x:c r="AC187" s="9"/>
      <x:c r="AD187" s="8"/>
      <x:c r="AE187" s="8"/>
      <x:c r="AF187" s="8" t="str">
        <x:v>No</x:v>
      </x:c>
      <x:c r="AG187" s="8" t="str">
        <x:v>N/A</x:v>
      </x:c>
      <x:c r="AH187" s="14" t="n">
        <x:v>11</x:v>
      </x:c>
      <x:c r="AI187" s="15" t="str">
        <x:v>Canonical source for Voice &amp; Audio!11</x:v>
      </x:c>
    </x:row>
    <x:row r="188" ht="60">
      <x:c r="A188" s="12" t="str">
        <x:v>Voice &amp; Audio</x:v>
      </x:c>
      <x:c r="B188" s="13" t="str">
        <x:v>Temporary / Launcher Voice Rooms</x:v>
      </x:c>
      <x:c r="C188" s="8" t="str">
        <x:v>No native launcher</x:v>
      </x:c>
      <x:c r="D188" s="8"/>
      <x:c r="E188" s="8"/>
      <x:c r="F188" s="8"/>
      <x:c r="G188" s="8"/>
      <x:c r="H188" s="8"/>
      <x:c r="I188" s="8"/>
      <x:c r="J188" s="8"/>
      <x:c r="K188" s="8"/>
      <x:c r="L188" s="8" t="str">
        <x:v>No temporary/launcher voice-room workflow documented</x:v>
      </x:c>
      <x:c r="M188" s="8"/>
      <x:c r="N188" s="8"/>
      <x:c r="O188" s="8"/>
      <x:c r="P188" s="8"/>
      <x:c r="Q188" s="8"/>
      <x:c r="R188" s="8"/>
      <x:c r="S188" s="8"/>
      <x:c r="T188" s="8"/>
      <x:c r="U188" s="8"/>
      <x:c r="V188" s="8" t="str">
        <x:v>Yes: auto-spawn/delete rooms</x:v>
      </x:c>
      <x:c r="W188" s="8"/>
      <x:c r="X188" s="8"/>
      <x:c r="Y188" s="8"/>
      <x:c r="Z188" s="8"/>
      <x:c r="AA188" s="8"/>
      <x:c r="AB188" s="8"/>
      <x:c r="AC188" s="9"/>
      <x:c r="AD188" s="8"/>
      <x:c r="AE188" s="8"/>
      <x:c r="AF188" s="8"/>
      <x:c r="AG188" s="8"/>
      <x:c r="AH188" s="14" t="n">
        <x:v>20</x:v>
      </x:c>
      <x:c r="AI188" s="15" t="str">
        <x:v>Canonical source for Voice &amp; Audio!20</x:v>
      </x:c>
    </x:row>
    <x:row r="189" ht="45">
      <x:c r="A189" s="12" t="str">
        <x:v>Voice Quality Detail</x:v>
      </x:c>
      <x:c r="B189" s="13" t="str">
        <x:v>Voice Modes</x:v>
      </x:c>
      <x:c r="C189" s="8"/>
      <x:c r="D189" s="8"/>
      <x:c r="E189" s="8"/>
      <x:c r="F189" s="8"/>
      <x:c r="G189" s="8"/>
      <x:c r="H189" s="8"/>
      <x:c r="I189" s="8"/>
      <x:c r="J189" s="8"/>
      <x:c r="K189" s="8"/>
      <x:c r="L189" s="8" t="str">
        <x:v>Persistent guild voice channels + ad-hoc 1:1/group-DM calls</x:v>
      </x:c>
      <x:c r="M189" s="8"/>
      <x:c r="N189" s="8"/>
      <x:c r="O189" s="8"/>
      <x:c r="P189" s="8"/>
      <x:c r="Q189" s="8"/>
      <x:c r="R189" s="8"/>
      <x:c r="S189" s="8"/>
      <x:c r="T189" s="8"/>
      <x:c r="U189" s="8"/>
      <x:c r="V189" s="8" t="str">
        <x:v>Persistant Shard Voice
DM Calls</x:v>
      </x:c>
      <x:c r="W189" s="8"/>
      <x:c r="X189" s="8"/>
      <x:c r="Y189" s="8"/>
      <x:c r="Z189" s="8"/>
      <x:c r="AA189" s="8"/>
      <x:c r="AB189" s="8"/>
      <x:c r="AC189" s="9"/>
      <x:c r="AD189" s="8"/>
      <x:c r="AE189" s="8"/>
      <x:c r="AF189" s="8"/>
      <x:c r="AG189" s="8"/>
      <x:c r="AH189" s="14" t="n">
        <x:v>3</x:v>
      </x:c>
      <x:c r="AI189" s="15" t="str">
        <x:v>Canonical source for Voice Quality Detail!3</x:v>
      </x:c>
    </x:row>
    <x:row r="190" ht="75">
      <x:c r="A190" s="12" t="str">
        <x:v>Voice Quality Detail</x:v>
      </x:c>
      <x:c r="B190" s="13" t="str">
        <x:v>Persistent Voice Channels?</x:v>
      </x:c>
      <x:c r="C190" s="8" t="str">
        <x:v>Persistent server voice channels + ad-hoc DM/GDM calls</x:v>
      </x:c>
      <x:c r="D190" s="8" t="str">
        <x:v>Live voice rooms</x:v>
      </x:c>
      <x:c r="E190" s="8" t="str">
        <x:v>Persistent server voice + messenger</x:v>
      </x:c>
      <x:c r="F190" s="8" t="str">
        <x:v>Persistent voice channels</x:v>
      </x:c>
      <x:c r="G190" s="8" t="str">
        <x:v>Persistent community voice + calls</x:v>
      </x:c>
      <x:c r="H190" s="8" t="str">
        <x:v>Persistent community voice + DM calls</x:v>
      </x:c>
      <x:c r="I190" s="8" t="str">
        <x:v>Persistent voice rooms + calls</x:v>
      </x:c>
      <x:c r="J190" s="8" t="str">
        <x:v>Yes: LiveKit</x:v>
      </x:c>
      <x:c r="K190" s="8"/>
      <x:c r="L190" s="8" t="str">
        <x:v>Yes</x:v>
      </x:c>
      <x:c r="M190" s="8" t="str">
        <x:v>Voice channels</x:v>
      </x:c>
      <x:c r="N190" s="8" t="str">
        <x:v>Persistent voice rooms</x:v>
      </x:c>
      <x:c r="O190" s="8" t="str">
        <x:v>Client-dependent; MatrixRTC/VoIP rooms and calls</x:v>
      </x:c>
      <x:c r="P190" s="8" t="str">
        <x:v>Native Calls in channels/DMs; persistent text channels with ad-hoc calls</x:v>
      </x:c>
      <x:c r="Q190" s="8" t="str">
        <x:v>Voice/video calls</x:v>
      </x:c>
      <x:c r="R190" s="8" t="str">
        <x:v>Persistent hierarchical voice channels</x:v>
      </x:c>
      <x:c r="S190" s="8"/>
      <x:c r="T190" s="8" t="str">
        <x:v>Persistent voice/video channels</x:v>
      </x:c>
      <x:c r="U190" s="8" t="str">
        <x:v>Yes</x:v>
      </x:c>
      <x:c r="V190" s="8" t="str">
        <x:v>Yes: voice/communities</x:v>
      </x:c>
      <x:c r="W190" s="8" t="str">
        <x:v>Calls/video depend on deployment/provider/integration; not Discord-style universal persistent voice</x:v>
      </x:c>
      <x:c r="X190" s="8" t="str">
        <x:v>No mature native voice feature verified</x:v>
      </x:c>
      <x:c r="Y190" s="8" t="str">
        <x:v>Persistent community voice + DM calls</x:v>
      </x:c>
      <x:c r="Z190" s="8" t="str">
        <x:v>Optional persistent guild + DM voice via WebRTC media package</x:v>
      </x:c>
      <x:c r="AA190" s="8" t="str">
        <x:v>Persistent server voice channels + calls</x:v>
      </x:c>
      <x:c r="AB190" s="8" t="str">
        <x:v>Persistent voice channels</x:v>
      </x:c>
      <x:c r="AC190" s="9" t="str">
        <x:v>Persistent voice channels</x:v>
      </x:c>
      <x:c r="AD190" s="8" t="str">
        <x:v>Voice supported; Linux mic I/O issues reported</x:v>
      </x:c>
      <x:c r="AE190" s="8" t="str">
        <x:v>Voice in every room</x:v>
      </x:c>
      <x:c r="AF190" s="8" t="str">
        <x:v>Persistent spatial voice channels</x:v>
      </x:c>
      <x:c r="AG190" s="8" t="str">
        <x:v>No native persistent voice rooms; integrates external call providers</x:v>
      </x:c>
      <x:c r="AH190" s="14" t="n">
        <x:v>4</x:v>
      </x:c>
      <x:c r="AI190" s="15" t="str">
        <x:v>Canonical source for Voice Quality Detail!4</x:v>
      </x:c>
    </x:row>
    <x:row r="191" ht="30">
      <x:c r="A191" s="12" t="str">
        <x:v>Voice Quality Detail</x:v>
      </x:c>
      <x:c r="B191" s="13" t="str">
        <x:v>DM Voice Calls?</x:v>
      </x:c>
      <x:c r="C191" s="8" t="str">
        <x:v>Yes</x:v>
      </x:c>
      <x:c r="D191" s="8"/>
      <x:c r="E191" s="8"/>
      <x:c r="F191" s="8" t="str">
        <x:v>Yes</x:v>
      </x:c>
      <x:c r="G191" s="8" t="str">
        <x:v>Yes</x:v>
      </x:c>
      <x:c r="H191" s="8" t="str">
        <x:v>Yes</x:v>
      </x:c>
      <x:c r="I191" s="8" t="str">
        <x:v>Yes</x:v>
      </x:c>
      <x:c r="J191" s="8"/>
      <x:c r="K191" s="8"/>
      <x:c r="L191" s="8" t="str">
        <x:v>Yes</x:v>
      </x:c>
      <x:c r="M191" s="8"/>
      <x:c r="N191" s="8"/>
      <x:c r="O191" s="8" t="str">
        <x:v>Client-dependent</x:v>
      </x:c>
      <x:c r="P191" s="8"/>
      <x:c r="Q191" s="8" t="str">
        <x:v>Yes</x:v>
      </x:c>
      <x:c r="R191" s="8"/>
      <x:c r="S191" s="8"/>
      <x:c r="T191" s="8"/>
      <x:c r="U191" s="8" t="str">
        <x:v>Yes</x:v>
      </x:c>
      <x:c r="V191" s="8" t="str">
        <x:v>Yes</x:v>
      </x:c>
      <x:c r="W191" s="8"/>
      <x:c r="X191" s="8"/>
      <x:c r="Y191" s="8" t="str">
        <x:v>Yes</x:v>
      </x:c>
      <x:c r="Z191" s="8"/>
      <x:c r="AA191" s="8"/>
      <x:c r="AB191" s="8"/>
      <x:c r="AC191" s="9"/>
      <x:c r="AD191" s="8"/>
      <x:c r="AE191" s="8" t="str">
        <x:v>Yes</x:v>
      </x:c>
      <x:c r="AF191" s="8"/>
      <x:c r="AG191" s="8"/>
      <x:c r="AH191" s="14" t="n">
        <x:v>5</x:v>
      </x:c>
      <x:c r="AI191" s="15" t="str">
        <x:v>Shared metric: Voice &amp; Audio: DM Voice Calls? | Voice Quality Detail: DM Voice Calls?</x:v>
      </x:c>
    </x:row>
    <x:row r="192" ht="45">
      <x:c r="A192" s="12" t="str">
        <x:v>Voice Quality Detail</x:v>
      </x:c>
      <x:c r="B192" s="13" t="str">
        <x:v>Group DM Voice Calls?</x:v>
      </x:c>
      <x:c r="C192" s="8" t="str">
        <x:v>Yes</x:v>
      </x:c>
      <x:c r="D192" s="8"/>
      <x:c r="E192" s="8"/>
      <x:c r="F192" s="8" t="str">
        <x:v>Yes</x:v>
      </x:c>
      <x:c r="G192" s="8" t="str">
        <x:v>Yes</x:v>
      </x:c>
      <x:c r="H192" s="8" t="str">
        <x:v>Yes</x:v>
      </x:c>
      <x:c r="I192" s="8" t="str">
        <x:v>Yes</x:v>
      </x:c>
      <x:c r="J192" s="8"/>
      <x:c r="K192" s="8"/>
      <x:c r="L192" s="8" t="str">
        <x:v>Yes</x:v>
      </x:c>
      <x:c r="M192" s="8"/>
      <x:c r="N192" s="8"/>
      <x:c r="O192" s="8" t="str">
        <x:v>Client-dependent</x:v>
      </x:c>
      <x:c r="P192" s="8"/>
      <x:c r="Q192" s="8" t="str">
        <x:v>Yes</x:v>
      </x:c>
      <x:c r="R192" s="8"/>
      <x:c r="S192" s="8"/>
      <x:c r="T192" s="8"/>
      <x:c r="U192" s="8"/>
      <x:c r="V192" s="8" t="str">
        <x:v>No</x:v>
      </x:c>
      <x:c r="W192" s="8"/>
      <x:c r="X192" s="8"/>
      <x:c r="Y192" s="8" t="str">
        <x:v>Yes</x:v>
      </x:c>
      <x:c r="Z192" s="8"/>
      <x:c r="AA192" s="8"/>
      <x:c r="AB192" s="8"/>
      <x:c r="AC192" s="9"/>
      <x:c r="AD192" s="8"/>
      <x:c r="AE192" s="8" t="str">
        <x:v>Yes</x:v>
      </x:c>
      <x:c r="AF192" s="8"/>
      <x:c r="AG192" s="8"/>
      <x:c r="AH192" s="14" t="n">
        <x:v>6</x:v>
      </x:c>
      <x:c r="AI192" s="15" t="str">
        <x:v>Shared metric: Voice &amp; Audio: Group DM Voice Calls? | Voice Quality Detail: Group DM Voice Calls?</x:v>
      </x:c>
    </x:row>
    <x:row r="193" ht="60">
      <x:c r="A193" s="12" t="str">
        <x:v>Voice Quality Detail</x:v>
      </x:c>
      <x:c r="B193" s="13" t="str">
        <x:v>Stage / Broadcast Voice?</x:v>
      </x:c>
      <x:c r="C193" s="8" t="str">
        <x:v>Yes</x:v>
      </x:c>
      <x:c r="D193" s="8"/>
      <x:c r="E193" s="8" t="str">
        <x:v>No Stage verified</x:v>
      </x:c>
      <x:c r="F193" s="8" t="str">
        <x:v>No Stage verified</x:v>
      </x:c>
      <x:c r="G193" s="8" t="str">
        <x:v>Nested voice / host-broadcasting planned</x:v>
      </x:c>
      <x:c r="H193" s="8"/>
      <x:c r="I193" s="8" t="str">
        <x:v>No Discord-style Stage verified</x:v>
      </x:c>
      <x:c r="J193" s="8" t="str">
        <x:v>No</x:v>
      </x:c>
      <x:c r="K193" s="8" t="str">
        <x:v>No</x:v>
      </x:c>
      <x:c r="L193" s="8" t="str">
        <x:v>Yes: developer reports Stage channels</x:v>
      </x:c>
      <x:c r="M193" s="8" t="str">
        <x:v>No</x:v>
      </x:c>
      <x:c r="N193" s="8"/>
      <x:c r="O193" s="8" t="str">
        <x:v>Client-dependent</x:v>
      </x:c>
      <x:c r="P193" s="8" t="str">
        <x:v>Raise-hand supported in Calls</x:v>
      </x:c>
      <x:c r="Q193" s="8"/>
      <x:c r="R193" s="8" t="str">
        <x:v>No Discord Stage equivalent</x:v>
      </x:c>
      <x:c r="S193" s="8" t="str">
        <x:v>No</x:v>
      </x:c>
      <x:c r="T193" s="8" t="str">
        <x:v>No Stage verified</x:v>
      </x:c>
      <x:c r="U193" s="8" t="str">
        <x:v>No Stage</x:v>
      </x:c>
      <x:c r="V193" s="8" t="str">
        <x:v>No Stage</x:v>
      </x:c>
      <x:c r="W193" s="8"/>
      <x:c r="X193" s="8" t="str">
        <x:v>N/A</x:v>
      </x:c>
      <x:c r="Y193" s="8" t="str">
        <x:v>No dedicated Stage verified</x:v>
      </x:c>
      <x:c r="Z193" s="8"/>
      <x:c r="AA193" s="8" t="str">
        <x:v>No Discord-style Stage verified</x:v>
      </x:c>
      <x:c r="AB193" s="8" t="str">
        <x:v>No Discord Stage equivalent verified</x:v>
      </x:c>
      <x:c r="AC193" s="9" t="str">
        <x:v>No Stage verified</x:v>
      </x:c>
      <x:c r="AD193" s="8" t="str">
        <x:v>No</x:v>
      </x:c>
      <x:c r="AE193" s="8" t="str">
        <x:v>Stage is a general room stage/media surface, not Discord Stage</x:v>
      </x:c>
      <x:c r="AF193" s="8" t="str">
        <x:v>No Stage</x:v>
      </x:c>
      <x:c r="AG193" s="8" t="str">
        <x:v>N/A</x:v>
      </x:c>
      <x:c r="AH193" s="14" t="n">
        <x:v>7</x:v>
      </x:c>
      <x:c r="AI193" s="15" t="str">
        <x:v>Canonical source for Voice Quality Detail!7</x:v>
      </x:c>
    </x:row>
    <x:row r="194" ht="75">
      <x:c r="A194" s="12" t="str">
        <x:v>Voice Quality Detail</x:v>
      </x:c>
      <x:c r="B194" s="13" t="str">
        <x:v>Speaker / Audience Roles?</x:v>
      </x:c>
      <x:c r="C194" s="8" t="str">
        <x:v>Yes</x:v>
      </x:c>
      <x:c r="D194" s="8"/>
      <x:c r="E194" s="8"/>
      <x:c r="F194" s="8"/>
      <x:c r="G194" s="8"/>
      <x:c r="H194" s="8"/>
      <x:c r="I194" s="8"/>
      <x:c r="J194" s="8"/>
      <x:c r="K194" s="8"/>
      <x:c r="L194" s="8" t="str">
        <x:v>Stage exists; raise-hand/speaker-request behavior not independently documented</x:v>
      </x:c>
      <x:c r="M194" s="8"/>
      <x:c r="N194" s="8"/>
      <x:c r="O194" s="8" t="str">
        <x:v>Client-dependent</x:v>
      </x:c>
      <x:c r="P194" s="8"/>
      <x:c r="Q194" s="8" t="str">
        <x:v>Yes</x:v>
      </x:c>
      <x:c r="R194" s="8"/>
      <x:c r="S194" s="8"/>
      <x:c r="T194" s="8"/>
      <x:c r="U194" s="8"/>
      <x:c r="V194" s="8" t="str">
        <x:v>No</x:v>
      </x:c>
      <x:c r="W194" s="8"/>
      <x:c r="X194" s="8"/>
      <x:c r="Y194" s="8"/>
      <x:c r="Z194" s="8"/>
      <x:c r="AA194" s="8"/>
      <x:c r="AB194" s="8"/>
      <x:c r="AC194" s="9"/>
      <x:c r="AD194" s="8"/>
      <x:c r="AE194" s="8"/>
      <x:c r="AF194" s="8"/>
      <x:c r="AG194" s="8"/>
      <x:c r="AH194" s="14" t="n">
        <x:v>8</x:v>
      </x:c>
      <x:c r="AI194" s="15" t="str">
        <x:v>Canonical source for Voice Quality Detail!8</x:v>
      </x:c>
    </x:row>
    <x:row r="195" ht="75">
      <x:c r="A195" s="12" t="str">
        <x:v>Voice Quality Detail</x:v>
      </x:c>
      <x:c r="B195" s="13" t="str">
        <x:v>Raise Hand?</x:v>
      </x:c>
      <x:c r="C195" s="8" t="str">
        <x:v>Yes</x:v>
      </x:c>
      <x:c r="D195" s="8"/>
      <x:c r="E195" s="8"/>
      <x:c r="F195" s="8"/>
      <x:c r="G195" s="8"/>
      <x:c r="H195" s="8"/>
      <x:c r="I195" s="8"/>
      <x:c r="J195" s="8"/>
      <x:c r="K195" s="8"/>
      <x:c r="L195" s="8" t="str">
        <x:v>Stage exists; raise-hand/speaker-request behavior not independently documented</x:v>
      </x:c>
      <x:c r="M195" s="8"/>
      <x:c r="N195" s="8"/>
      <x:c r="O195" s="8" t="str">
        <x:v>Client-dependent</x:v>
      </x:c>
      <x:c r="P195" s="8" t="str">
        <x:v>Yes</x:v>
      </x:c>
      <x:c r="Q195" s="8"/>
      <x:c r="R195" s="8" t="str">
        <x:v>No</x:v>
      </x:c>
      <x:c r="S195" s="8"/>
      <x:c r="T195" s="8"/>
      <x:c r="U195" s="8"/>
      <x:c r="V195" s="8" t="str">
        <x:v>No</x:v>
      </x:c>
      <x:c r="W195" s="8"/>
      <x:c r="X195" s="8" t="str">
        <x:v>N/A</x:v>
      </x:c>
      <x:c r="Y195" s="8"/>
      <x:c r="Z195" s="8"/>
      <x:c r="AA195" s="8"/>
      <x:c r="AB195" s="8"/>
      <x:c r="AC195" s="9"/>
      <x:c r="AD195" s="8"/>
      <x:c r="AE195" s="8"/>
      <x:c r="AF195" s="8" t="str">
        <x:v>No</x:v>
      </x:c>
      <x:c r="AG195" s="8" t="str">
        <x:v>N/A</x:v>
      </x:c>
      <x:c r="AH195" s="14" t="n">
        <x:v>9</x:v>
      </x:c>
      <x:c r="AI195" s="15" t="str">
        <x:v>Canonical source for Voice Quality Detail!9</x:v>
      </x:c>
    </x:row>
    <x:row r="196" ht="60">
      <x:c r="A196" s="12" t="str">
        <x:v>Voice Quality Detail</x:v>
      </x:c>
      <x:c r="B196" s="13" t="str">
        <x:v>Audio Codec</x:v>
      </x:c>
      <x:c r="C196" s="8" t="str">
        <x:v>Opus</x:v>
      </x:c>
      <x:c r="D196" s="8"/>
      <x:c r="E196" s="8" t="str">
        <x:v>Opus</x:v>
      </x:c>
      <x:c r="F196" s="8" t="str">
        <x:v>Opus/WebRTC</x:v>
      </x:c>
      <x:c r="G196" s="8" t="str">
        <x:v>WebRTC/LiveKit</x:v>
      </x:c>
      <x:c r="H196" s="8" t="str">
        <x:v>WebRTC/LiveKit</x:v>
      </x:c>
      <x:c r="I196" s="8"/>
      <x:c r="J196" s="8"/>
      <x:c r="K196" s="8"/>
      <x:c r="L196" s="8" t="str">
        <x:v>Opus</x:v>
      </x:c>
      <x:c r="M196" s="8"/>
      <x:c r="N196" s="8" t="str">
        <x:v>Opus/WebRTC</x:v>
      </x:c>
      <x:c r="O196" s="8" t="str">
        <x:v>Opus commonly via WebRTC; protocol/client-dependent</x:v>
      </x:c>
      <x:c r="P196" s="8" t="str">
        <x:v>WebRTC/Opus</x:v>
      </x:c>
      <x:c r="Q196" s="8" t="str">
        <x:v>Yes</x:v>
      </x:c>
      <x:c r="R196" s="8" t="str">
        <x:v>Opus</x:v>
      </x:c>
      <x:c r="S196" s="8"/>
      <x:c r="T196" s="8"/>
      <x:c r="U196" s="8" t="str">
        <x:v>Not publicly claimed</x:v>
      </x:c>
      <x:c r="V196" s="8" t="str">
        <x:v>Proprietary</x:v>
      </x:c>
      <x:c r="W196" s="8" t="str">
        <x:v>WebRTC/integration-dependent</x:v>
      </x:c>
      <x:c r="X196" s="8" t="str">
        <x:v>N/A</x:v>
      </x:c>
      <x:c r="Y196" s="8"/>
      <x:c r="Z196" s="8" t="str">
        <x:v>WebRTC; implementation-dependent codecs</x:v>
      </x:c>
      <x:c r="AA196" s="8" t="str">
        <x:v>Opus/WebRTC via LiveKit</x:v>
      </x:c>
      <x:c r="AB196" s="8" t="str">
        <x:v>Opus / proprietary stack depending generation</x:v>
      </x:c>
      <x:c r="AC196" s="9" t="str">
        <x:v>Opus/WebRTC</x:v>
      </x:c>
      <x:c r="AD196" s="8"/>
      <x:c r="AE196" s="8" t="str">
        <x:v>Opus/WebRTC</x:v>
      </x:c>
      <x:c r="AF196" s="8"/>
      <x:c r="AG196" s="8" t="str">
        <x:v>Provider-dependent</x:v>
      </x:c>
      <x:c r="AH196" s="14" t="n">
        <x:v>11</x:v>
      </x:c>
      <x:c r="AI196" s="15" t="str">
        <x:v>Shared metric: Voice &amp; Audio: Audio Codec | Voice Quality Detail: Audio Codec | Media &amp; Limits: Audio Codec</x:v>
      </x:c>
    </x:row>
    <x:row r="197" ht="45">
      <x:c r="A197" s="12" t="str">
        <x:v>Voice Quality Detail</x:v>
      </x:c>
      <x:c r="B197" s="13" t="str">
        <x:v>Free / Base Voice Bitrate (kbps)</x:v>
      </x:c>
      <x:c r="C197" s="8" t="str">
        <x:v>96</x:v>
      </x:c>
      <x:c r="D197" s="8"/>
      <x:c r="E197" s="8"/>
      <x:c r="F197" s="8"/>
      <x:c r="G197" s="8"/>
      <x:c r="H197" s="8"/>
      <x:c r="I197" s="8" t="str">
        <x:v>64</x:v>
      </x:c>
      <x:c r="J197" s="8"/>
      <x:c r="K197" s="8"/>
      <x:c r="L197" s="8" t="str">
        <x:v>24 / 48 / 96 / 128 kbps selectable Opus ceilings</x:v>
      </x:c>
      <x:c r="M197" s="8"/>
      <x:c r="N197" s="8"/>
      <x:c r="O197" s="8"/>
      <x:c r="P197" s="8"/>
      <x:c r="Q197" s="8"/>
      <x:c r="R197" s="8" t="str">
        <x:v>Server-configurable</x:v>
      </x:c>
      <x:c r="S197" s="8"/>
      <x:c r="T197" s="8"/>
      <x:c r="U197" s="8" t="str">
        <x:v>Not publicly claimed</x:v>
      </x:c>
      <x:c r="V197" s="8" t="str">
        <x:v>96</x:v>
      </x:c>
      <x:c r="W197" s="8"/>
      <x:c r="X197" s="8"/>
      <x:c r="Y197" s="8"/>
      <x:c r="Z197" s="8"/>
      <x:c r="AA197" s="8"/>
      <x:c r="AB197" s="8"/>
      <x:c r="AC197" s="9"/>
      <x:c r="AD197" s="8"/>
      <x:c r="AE197" s="8"/>
      <x:c r="AF197" s="8"/>
      <x:c r="AG197" s="8"/>
      <x:c r="AH197" s="14" t="n">
        <x:v>12</x:v>
      </x:c>
      <x:c r="AI197" s="15" t="str">
        <x:v>Canonical source for Voice Quality Detail!12</x:v>
      </x:c>
    </x:row>
    <x:row r="198" ht="45">
      <x:c r="A198" s="12" t="str">
        <x:v>Voice Quality Detail</x:v>
      </x:c>
      <x:c r="B198" s="13" t="str">
        <x:v>Paid / Boost Max Voice Bitrate (kbps)</x:v>
      </x:c>
      <x:c r="C198" s="8" t="str">
        <x:v>384</x:v>
      </x:c>
      <x:c r="D198" s="8"/>
      <x:c r="E198" s="8"/>
      <x:c r="F198" s="8" t="str">
        <x:v>Yes</x:v>
      </x:c>
      <x:c r="G198" s="8"/>
      <x:c r="H198" s="8"/>
      <x:c r="I198" s="8" t="str">
        <x:v>256</x:v>
      </x:c>
      <x:c r="J198" s="8"/>
      <x:c r="K198" s="8"/>
      <x:c r="L198" s="8" t="str">
        <x:v>128</x:v>
      </x:c>
      <x:c r="M198" s="8"/>
      <x:c r="N198" s="8" t="str">
        <x:v>Yes</x:v>
      </x:c>
      <x:c r="O198" s="8" t="str">
        <x:v>Varies by client/media stack</x:v>
      </x:c>
      <x:c r="P198" s="8"/>
      <x:c r="Q198" s="8" t="str">
        <x:v>Yes</x:v>
      </x:c>
      <x:c r="R198" s="8"/>
      <x:c r="S198" s="8"/>
      <x:c r="T198" s="8"/>
      <x:c r="U198" s="8" t="str">
        <x:v>No paid tier; exact bitrate not publicly claimed</x:v>
      </x:c>
      <x:c r="V198" s="8" t="str">
        <x:v>192</x:v>
      </x:c>
      <x:c r="W198" s="8"/>
      <x:c r="X198" s="8"/>
      <x:c r="Y198" s="8"/>
      <x:c r="Z198" s="8"/>
      <x:c r="AA198" s="8"/>
      <x:c r="AB198" s="8"/>
      <x:c r="AC198" s="9"/>
      <x:c r="AD198" s="8"/>
      <x:c r="AE198" s="8" t="str">
        <x:v>Yes</x:v>
      </x:c>
      <x:c r="AF198" s="8"/>
      <x:c r="AG198" s="8" t="str">
        <x:v>N/A</x:v>
      </x:c>
      <x:c r="AH198" s="14" t="n">
        <x:v>13</x:v>
      </x:c>
      <x:c r="AI198" s="15" t="str">
        <x:v>Canonical source for Voice Quality Detail!13</x:v>
      </x:c>
    </x:row>
    <x:row r="199" ht="45">
      <x:c r="A199" s="12" t="str">
        <x:v>Voice Quality Detail</x:v>
      </x:c>
      <x:c r="B199" s="13" t="str">
        <x:v>Voice Bitrate User-Selectable?</x:v>
      </x:c>
      <x:c r="C199" s="8" t="str">
        <x:v>Yes / server-configurable</x:v>
      </x:c>
      <x:c r="D199" s="8"/>
      <x:c r="E199" s="8"/>
      <x:c r="F199" s="8"/>
      <x:c r="G199" s="8"/>
      <x:c r="H199" s="8"/>
      <x:c r="I199" s="8" t="str">
        <x:v>Yes / server-configurable</x:v>
      </x:c>
      <x:c r="J199" s="8"/>
      <x:c r="K199" s="8"/>
      <x:c r="L199" s="8" t="str">
        <x:v>Yes: audio-quality preset is user-selectable</x:v>
      </x:c>
      <x:c r="M199" s="8"/>
      <x:c r="N199" s="8"/>
      <x:c r="O199" s="8"/>
      <x:c r="P199" s="8"/>
      <x:c r="Q199" s="8"/>
      <x:c r="R199" s="8" t="str">
        <x:v>Yes / server-configurable</x:v>
      </x:c>
      <x:c r="S199" s="8"/>
      <x:c r="T199" s="8"/>
      <x:c r="U199" s="8"/>
      <x:c r="V199" s="8" t="str">
        <x:v>Yes / server-configurable</x:v>
      </x:c>
      <x:c r="W199" s="8"/>
      <x:c r="X199" s="8"/>
      <x:c r="Y199" s="8"/>
      <x:c r="Z199" s="8"/>
      <x:c r="AA199" s="8"/>
      <x:c r="AB199" s="8"/>
      <x:c r="AC199" s="9"/>
      <x:c r="AD199" s="8"/>
      <x:c r="AE199" s="8"/>
      <x:c r="AF199" s="8"/>
      <x:c r="AG199" s="8"/>
      <x:c r="AH199" s="14" t="n">
        <x:v>14</x:v>
      </x:c>
      <x:c r="AI199" s="15" t="str">
        <x:v>Canonical source for Voice Quality Detail!14</x:v>
      </x:c>
    </x:row>
    <x:row r="200">
      <x:c r="A200" s="12" t="str">
        <x:v>Voice Quality Detail</x:v>
      </x:c>
      <x:c r="B200" s="13" t="str">
        <x:v>Push-to-Talk?</x:v>
      </x:c>
      <x:c r="C200" s="8" t="str">
        <x:v>Yes</x:v>
      </x:c>
      <x:c r="D200" s="8"/>
      <x:c r="E200" s="8" t="str">
        <x:v>Opus</x:v>
      </x:c>
      <x:c r="F200" s="8"/>
      <x:c r="G200" s="8" t="str">
        <x:v>Yes</x:v>
      </x:c>
      <x:c r="H200" s="8" t="str">
        <x:v>Yes</x:v>
      </x:c>
      <x:c r="I200" s="8" t="str">
        <x:v>Yes</x:v>
      </x:c>
      <x:c r="J200" s="8"/>
      <x:c r="K200" s="8"/>
      <x:c r="L200" s="8" t="str">
        <x:v>Yes</x:v>
      </x:c>
      <x:c r="M200" s="8"/>
      <x:c r="N200" s="8"/>
      <x:c r="O200" s="8" t="str">
        <x:v>Varies by client</x:v>
      </x:c>
      <x:c r="P200" s="8"/>
      <x:c r="Q200" s="8"/>
      <x:c r="R200" s="8" t="str">
        <x:v>Yes</x:v>
      </x:c>
      <x:c r="S200" s="8"/>
      <x:c r="T200" s="8"/>
      <x:c r="U200" s="8"/>
      <x:c r="V200" s="8" t="str">
        <x:v>Yes</x:v>
      </x:c>
      <x:c r="W200" s="8"/>
      <x:c r="X200" s="8" t="str">
        <x:v>N/A</x:v>
      </x:c>
      <x:c r="Y200" s="8" t="str">
        <x:v>Yes</x:v>
      </x:c>
      <x:c r="Z200" s="8" t="str">
        <x:v>Client-dependent</x:v>
      </x:c>
      <x:c r="AA200" s="8" t="str">
        <x:v>Yes</x:v>
      </x:c>
      <x:c r="AB200" s="8" t="str">
        <x:v>Yes</x:v>
      </x:c>
      <x:c r="AC200" s="9"/>
      <x:c r="AD200" s="8"/>
      <x:c r="AE200" s="8"/>
      <x:c r="AF200" s="8"/>
      <x:c r="AG200" s="8" t="str">
        <x:v>N/A</x:v>
      </x:c>
      <x:c r="AH200" s="14" t="n">
        <x:v>16</x:v>
      </x:c>
      <x:c r="AI200" s="15" t="str">
        <x:v>Canonical source for Voice Quality Detail!16</x:v>
      </x:c>
    </x:row>
    <x:row r="201" ht="30">
      <x:c r="A201" s="12" t="str">
        <x:v>Voice Quality Detail</x:v>
      </x:c>
      <x:c r="B201" s="13" t="str">
        <x:v>Voice Activity?</x:v>
      </x:c>
      <x:c r="C201" s="8" t="str">
        <x:v>Yes</x:v>
      </x:c>
      <x:c r="D201" s="8"/>
      <x:c r="E201" s="8"/>
      <x:c r="F201" s="8"/>
      <x:c r="G201" s="8"/>
      <x:c r="H201" s="8"/>
      <x:c r="I201" s="8" t="str">
        <x:v>Yes</x:v>
      </x:c>
      <x:c r="J201" s="8"/>
      <x:c r="K201" s="8"/>
      <x:c r="L201" s="8" t="str">
        <x:v>Yes</x:v>
      </x:c>
      <x:c r="M201" s="8"/>
      <x:c r="N201" s="8"/>
      <x:c r="O201" s="8"/>
      <x:c r="P201" s="8"/>
      <x:c r="Q201" s="8"/>
      <x:c r="R201" s="8" t="str">
        <x:v>Yes</x:v>
      </x:c>
      <x:c r="S201" s="8"/>
      <x:c r="T201" s="8"/>
      <x:c r="U201" s="8"/>
      <x:c r="V201" s="8" t="str">
        <x:v>Yes</x:v>
      </x:c>
      <x:c r="W201" s="8"/>
      <x:c r="X201" s="8"/>
      <x:c r="Y201" s="8"/>
      <x:c r="Z201" s="8"/>
      <x:c r="AA201" s="8"/>
      <x:c r="AB201" s="8" t="str">
        <x:v>Yes</x:v>
      </x:c>
      <x:c r="AC201" s="9"/>
      <x:c r="AD201" s="8"/>
      <x:c r="AE201" s="8" t="str">
        <x:v>Yes</x:v>
      </x:c>
      <x:c r="AF201" s="8"/>
      <x:c r="AG201" s="8"/>
      <x:c r="AH201" s="14" t="n">
        <x:v>17</x:v>
      </x:c>
      <x:c r="AI201" s="15" t="str">
        <x:v>Shared metric: Voice &amp; Audio: Voice Activity? | Voice Quality Detail: Voice Activity?</x:v>
      </x:c>
    </x:row>
    <x:row r="202" ht="45">
      <x:c r="A202" s="12" t="str">
        <x:v>Voice Quality Detail</x:v>
      </x:c>
      <x:c r="B202" s="13" t="str">
        <x:v>Per-User Volume?</x:v>
      </x:c>
      <x:c r="C202" s="8" t="str">
        <x:v>Yes</x:v>
      </x:c>
      <x:c r="D202" s="8"/>
      <x:c r="E202" s="8"/>
      <x:c r="F202" s="8" t="str">
        <x:v>Yes</x:v>
      </x:c>
      <x:c r="G202" s="8" t="str">
        <x:v>Yes</x:v>
      </x:c>
      <x:c r="H202" s="8" t="str">
        <x:v>Yes</x:v>
      </x:c>
      <x:c r="I202" s="8" t="str">
        <x:v>Yes</x:v>
      </x:c>
      <x:c r="J202" s="8"/>
      <x:c r="K202" s="8"/>
      <x:c r="L202" s="8" t="str">
        <x:v>Yes: developer-reported/LiveKit client controls</x:v>
      </x:c>
      <x:c r="M202" s="8"/>
      <x:c r="N202" s="8" t="str">
        <x:v>Yes</x:v>
      </x:c>
      <x:c r="O202" s="8" t="str">
        <x:v>Varies by client</x:v>
      </x:c>
      <x:c r="P202" s="8" t="str">
        <x:v>Yes</x:v>
      </x:c>
      <x:c r="Q202" s="8"/>
      <x:c r="R202" s="8" t="str">
        <x:v>Yes</x:v>
      </x:c>
      <x:c r="S202" s="8"/>
      <x:c r="T202" s="8"/>
      <x:c r="U202" s="8" t="str">
        <x:v>Yes</x:v>
      </x:c>
      <x:c r="V202" s="8" t="str">
        <x:v>Yes</x:v>
      </x:c>
      <x:c r="W202" s="8"/>
      <x:c r="X202" s="8" t="str">
        <x:v>N/A</x:v>
      </x:c>
      <x:c r="Y202" s="8" t="str">
        <x:v>Yes</x:v>
      </x:c>
      <x:c r="Z202" s="8" t="str">
        <x:v>Client-dependent</x:v>
      </x:c>
      <x:c r="AA202" s="8" t="str">
        <x:v>Yes</x:v>
      </x:c>
      <x:c r="AB202" s="8" t="str">
        <x:v>Yes</x:v>
      </x:c>
      <x:c r="AC202" s="9"/>
      <x:c r="AD202" s="8"/>
      <x:c r="AE202" s="8" t="str">
        <x:v>Yes</x:v>
      </x:c>
      <x:c r="AF202" s="8"/>
      <x:c r="AG202" s="8" t="str">
        <x:v>N/A</x:v>
      </x:c>
      <x:c r="AH202" s="14" t="n">
        <x:v>18</x:v>
      </x:c>
      <x:c r="AI202" s="15" t="str">
        <x:v>Canonical source for Voice Quality Detail!18</x:v>
      </x:c>
    </x:row>
    <x:row r="203" ht="30">
      <x:c r="A203" s="12" t="str">
        <x:v>Voice Quality Detail</x:v>
      </x:c>
      <x:c r="B203" s="13" t="str">
        <x:v>Input Gain Control?</x:v>
      </x:c>
      <x:c r="C203" s="8"/>
      <x:c r="D203" s="8"/>
      <x:c r="E203" s="8"/>
      <x:c r="F203" s="8"/>
      <x:c r="G203" s="8"/>
      <x:c r="H203" s="8"/>
      <x:c r="I203" s="8"/>
      <x:c r="J203" s="8"/>
      <x:c r="K203" s="8"/>
      <x:c r="L203" s="8" t="str">
        <x:v>Not independently documented</x:v>
      </x:c>
      <x:c r="M203" s="8"/>
      <x:c r="N203" s="8"/>
      <x:c r="O203" s="8"/>
      <x:c r="P203" s="8"/>
      <x:c r="Q203" s="8"/>
      <x:c r="R203" s="8"/>
      <x:c r="S203" s="8"/>
      <x:c r="T203" s="8"/>
      <x:c r="U203" s="8"/>
      <x:c r="V203" s="8" t="str">
        <x:v>Yes</x:v>
      </x:c>
      <x:c r="W203" s="8"/>
      <x:c r="X203" s="8"/>
      <x:c r="Y203" s="8"/>
      <x:c r="Z203" s="8"/>
      <x:c r="AA203" s="8"/>
      <x:c r="AB203" s="8"/>
      <x:c r="AC203" s="9"/>
      <x:c r="AD203" s="8"/>
      <x:c r="AE203" s="8"/>
      <x:c r="AF203" s="8"/>
      <x:c r="AG203" s="8"/>
      <x:c r="AH203" s="14" t="n">
        <x:v>19</x:v>
      </x:c>
      <x:c r="AI203" s="15" t="str">
        <x:v>Canonical source for Voice Quality Detail!19</x:v>
      </x:c>
    </x:row>
    <x:row r="204" ht="60">
      <x:c r="A204" s="12" t="str">
        <x:v>Voice Quality Detail</x:v>
      </x:c>
      <x:c r="B204" s="13" t="str">
        <x:v>Noise Suppression?</x:v>
      </x:c>
      <x:c r="C204" s="8" t="str">
        <x:v>Yes</x:v>
      </x:c>
      <x:c r="D204" s="8"/>
      <x:c r="E204" s="8" t="str">
        <x:v>Yes</x:v>
      </x:c>
      <x:c r="F204" s="8" t="str">
        <x:v>Yes</x:v>
      </x:c>
      <x:c r="G204" s="8" t="str">
        <x:v>Yes</x:v>
      </x:c>
      <x:c r="H204" s="8" t="str">
        <x:v>Yes</x:v>
      </x:c>
      <x:c r="I204" s="8" t="str">
        <x:v>Yes</x:v>
      </x:c>
      <x:c r="J204" s="8" t="str">
        <x:v>Yes</x:v>
      </x:c>
      <x:c r="K204" s="8" t="str">
        <x:v>Yes</x:v>
      </x:c>
      <x:c r="L204" s="8" t="str">
        <x:v>Desktop/mobile local suppression; no web suppression per developer report</x:v>
      </x:c>
      <x:c r="M204" s="8"/>
      <x:c r="N204" s="8" t="str">
        <x:v>Yes</x:v>
      </x:c>
      <x:c r="O204" s="8" t="str">
        <x:v>Yes</x:v>
      </x:c>
      <x:c r="P204" s="8"/>
      <x:c r="Q204" s="8" t="str">
        <x:v>Yes</x:v>
      </x:c>
      <x:c r="R204" s="8" t="str">
        <x:v>Yes</x:v>
      </x:c>
      <x:c r="S204" s="8"/>
      <x:c r="T204" s="8" t="str">
        <x:v>Yes</x:v>
      </x:c>
      <x:c r="U204" s="8" t="str">
        <x:v>No branded/public engine claim</x:v>
      </x:c>
      <x:c r="V204" s="8" t="str">
        <x:v>Yes</x:v>
      </x:c>
      <x:c r="W204" s="8" t="str">
        <x:v>Yes</x:v>
      </x:c>
      <x:c r="X204" s="8" t="str">
        <x:v>No</x:v>
      </x:c>
      <x:c r="Y204" s="8"/>
      <x:c r="Z204" s="8"/>
      <x:c r="AA204" s="8" t="str">
        <x:v>Yes</x:v>
      </x:c>
      <x:c r="AB204" s="8"/>
      <x:c r="AC204" s="9" t="str">
        <x:v>Yes</x:v>
      </x:c>
      <x:c r="AD204" s="8"/>
      <x:c r="AE204" s="8" t="str">
        <x:v>Yes</x:v>
      </x:c>
      <x:c r="AF204" s="8" t="str">
        <x:v>Yes</x:v>
      </x:c>
      <x:c r="AG204" s="8" t="str">
        <x:v>No</x:v>
      </x:c>
      <x:c r="AH204" s="14" t="n">
        <x:v>21</x:v>
      </x:c>
      <x:c r="AI204" s="15" t="str">
        <x:v>Canonical source for Voice Quality Detail!21</x:v>
      </x:c>
    </x:row>
    <x:row r="205" ht="60">
      <x:c r="A205" s="12" t="str">
        <x:v>Voice Quality Detail</x:v>
      </x:c>
      <x:c r="B205" s="13" t="str">
        <x:v>Noise Suppression Engine</x:v>
      </x:c>
      <x:c r="C205" s="8" t="str">
        <x:v>Krisp</x:v>
      </x:c>
      <x:c r="D205" s="8"/>
      <x:c r="E205" s="8" t="str">
        <x:v>LiveKit/WebRTC</x:v>
      </x:c>
      <x:c r="F205" s="8" t="str">
        <x:v>LiveKit</x:v>
      </x:c>
      <x:c r="G205" s="8" t="str">
        <x:v>DeepFilterNet3 local noise suppression planned/used</x:v>
      </x:c>
      <x:c r="H205" s="8" t="str">
        <x:v>DeepFilterNet3 + media processing controls</x:v>
      </x:c>
      <x:c r="I205" s="8" t="str">
        <x:v>Built-in noise/echo processing</x:v>
      </x:c>
      <x:c r="J205" s="8" t="str">
        <x:v>WebRTC</x:v>
      </x:c>
      <x:c r="K205" s="8" t="str">
        <x:v>P2P WebRTC with STUN/TURN fallback</x:v>
      </x:c>
      <x:c r="L205" s="8" t="str">
        <x:v>Desktop/mobile local suppression; no web suppression per developer report</x:v>
      </x:c>
      <x:c r="M205" s="8"/>
      <x:c r="N205" s="8" t="str">
        <x:v>LiveKit/WebRTC</x:v>
      </x:c>
      <x:c r="O205" s="8" t="str">
        <x:v>Varies by client</x:v>
      </x:c>
      <x:c r="P205" s="8"/>
      <x:c r="Q205" s="8" t="str">
        <x:v>Custom WebRTC SFU</x:v>
      </x:c>
      <x:c r="R205" s="8" t="str">
        <x:v>Built-in client processing; exact engine varies</x:v>
      </x:c>
      <x:c r="S205" s="8"/>
      <x:c r="T205" s="8" t="str">
        <x:v>Custom voice infrastructure</x:v>
      </x:c>
      <x:c r="U205" s="8" t="str">
        <x:v>Not publicly claimed</x:v>
      </x:c>
      <x:c r="V205" s="8" t="str">
        <x:v>Yes</x:v>
      </x:c>
      <x:c r="W205" s="8" t="str">
        <x:v>Provider-dependent</x:v>
      </x:c>
      <x:c r="X205" s="8" t="str">
        <x:v>N/A</x:v>
      </x:c>
      <x:c r="Y205" s="8"/>
      <x:c r="Z205" s="8"/>
      <x:c r="AA205" s="8" t="str">
        <x:v>RNNoise</x:v>
      </x:c>
      <x:c r="AB205" s="8"/>
      <x:c r="AC205" s="9" t="str">
        <x:v>LiveKit</x:v>
      </x:c>
      <x:c r="AD205" s="8"/>
      <x:c r="AE205" s="8" t="str">
        <x:v>LiveKit</x:v>
      </x:c>
      <x:c r="AF205" s="8" t="str">
        <x:v>Self-host media server</x:v>
      </x:c>
      <x:c r="AG205" s="8" t="str">
        <x:v>N/A</x:v>
      </x:c>
      <x:c r="AH205" s="14" t="n">
        <x:v>22</x:v>
      </x:c>
      <x:c r="AI205" s="15" t="str">
        <x:v>Canonical source for Voice Quality Detail!22</x:v>
      </x:c>
    </x:row>
    <x:row r="206" ht="60">
      <x:c r="A206" s="12" t="str">
        <x:v>Voice Quality Detail</x:v>
      </x:c>
      <x:c r="B206" s="13" t="str">
        <x:v>Echo Cancellation?</x:v>
      </x:c>
      <x:c r="C206" s="8" t="str">
        <x:v>Yes</x:v>
      </x:c>
      <x:c r="D206" s="8"/>
      <x:c r="E206" s="8"/>
      <x:c r="F206" s="8" t="str">
        <x:v>Yes</x:v>
      </x:c>
      <x:c r="G206" s="8" t="str">
        <x:v>Yes</x:v>
      </x:c>
      <x:c r="H206" s="8" t="str">
        <x:v>Yes</x:v>
      </x:c>
      <x:c r="I206" s="8" t="str">
        <x:v>Yes</x:v>
      </x:c>
      <x:c r="J206" s="8"/>
      <x:c r="K206" s="8"/>
      <x:c r="L206" s="8" t="str">
        <x:v>Yes: desktop native graph; mobile uses native audio processing</x:v>
      </x:c>
      <x:c r="M206" s="8"/>
      <x:c r="N206" s="8"/>
      <x:c r="O206" s="8"/>
      <x:c r="P206" s="8"/>
      <x:c r="Q206" s="8" t="str">
        <x:v>Yes</x:v>
      </x:c>
      <x:c r="R206" s="8"/>
      <x:c r="S206" s="8"/>
      <x:c r="T206" s="8"/>
      <x:c r="U206" s="8"/>
      <x:c r="V206" s="8" t="str">
        <x:v>Yes</x:v>
      </x:c>
      <x:c r="W206" s="8"/>
      <x:c r="X206" s="8"/>
      <x:c r="Y206" s="8"/>
      <x:c r="Z206" s="8"/>
      <x:c r="AA206" s="8"/>
      <x:c r="AB206" s="8"/>
      <x:c r="AC206" s="9"/>
      <x:c r="AD206" s="8"/>
      <x:c r="AE206" s="8" t="str">
        <x:v>Yes</x:v>
      </x:c>
      <x:c r="AF206" s="8"/>
      <x:c r="AG206" s="8"/>
      <x:c r="AH206" s="14" t="n">
        <x:v>23</x:v>
      </x:c>
      <x:c r="AI206" s="15" t="str">
        <x:v>Shared metric: Voice &amp; Audio: Echo Cancellation? | Voice Quality Detail: Echo Cancellation?</x:v>
      </x:c>
    </x:row>
    <x:row r="207" ht="45">
      <x:c r="A207" s="12" t="str">
        <x:v>Voice Quality Detail</x:v>
      </x:c>
      <x:c r="B207" s="13" t="str">
        <x:v>Automatic Gain Control?</x:v>
      </x:c>
      <x:c r="C207" s="8"/>
      <x:c r="D207" s="8"/>
      <x:c r="E207" s="8"/>
      <x:c r="F207" s="8" t="str">
        <x:v>Yes</x:v>
      </x:c>
      <x:c r="G207" s="8"/>
      <x:c r="H207" s="8"/>
      <x:c r="I207" s="8" t="str">
        <x:v>Yes</x:v>
      </x:c>
      <x:c r="J207" s="8"/>
      <x:c r="K207" s="8"/>
      <x:c r="L207" s="8" t="str">
        <x:v>Not independently documented</x:v>
      </x:c>
      <x:c r="M207" s="8"/>
      <x:c r="N207" s="8"/>
      <x:c r="O207" s="8"/>
      <x:c r="P207" s="8"/>
      <x:c r="Q207" s="8"/>
      <x:c r="R207" s="8"/>
      <x:c r="S207" s="8"/>
      <x:c r="T207" s="8"/>
      <x:c r="U207" s="8"/>
      <x:c r="V207" s="8" t="str">
        <x:v>Yes</x:v>
      </x:c>
      <x:c r="W207" s="8"/>
      <x:c r="X207" s="8"/>
      <x:c r="Y207" s="8"/>
      <x:c r="Z207" s="8"/>
      <x:c r="AA207" s="8"/>
      <x:c r="AB207" s="8"/>
      <x:c r="AC207" s="9"/>
      <x:c r="AD207" s="8"/>
      <x:c r="AE207" s="8"/>
      <x:c r="AF207" s="8"/>
      <x:c r="AG207" s="8"/>
      <x:c r="AH207" s="14" t="n">
        <x:v>24</x:v>
      </x:c>
      <x:c r="AI207" s="15" t="str">
        <x:v>Shared metric: Voice &amp; Audio: Automatic Gain Control? | Voice Quality Detail: Automatic Gain Control?</x:v>
      </x:c>
    </x:row>
    <x:row r="208" ht="75">
      <x:c r="A208" s="12" t="str">
        <x:v>Voice Quality Detail</x:v>
      </x:c>
      <x:c r="B208" s="13" t="str">
        <x:v>Spatial Audio?</x:v>
      </x:c>
      <x:c r="C208" s="8" t="str">
        <x:v>No native client proximity/spatial audio; possible in third-party game integrations</x:v>
      </x:c>
      <x:c r="D208" s="8" t="str">
        <x:v>No</x:v>
      </x:c>
      <x:c r="E208" s="8" t="str">
        <x:v>No</x:v>
      </x:c>
      <x:c r="F208" s="8" t="str">
        <x:v>No</x:v>
      </x:c>
      <x:c r="G208" s="8"/>
      <x:c r="H208" s="8" t="str">
        <x:v>No native proximity audio</x:v>
      </x:c>
      <x:c r="I208" s="8" t="str">
        <x:v>GameLink spatial audio</x:v>
      </x:c>
      <x:c r="J208" s="8" t="str">
        <x:v>No</x:v>
      </x:c>
      <x:c r="K208" s="8" t="str">
        <x:v>No</x:v>
      </x:c>
      <x:c r="L208" s="8"/>
      <x:c r="M208" s="8" t="str">
        <x:v>No</x:v>
      </x:c>
      <x:c r="N208" s="8" t="str">
        <x:v>No</x:v>
      </x:c>
      <x:c r="O208" s="8" t="str">
        <x:v>Possible via specialized clients; not a core default</x:v>
      </x:c>
      <x:c r="P208" s="8" t="str">
        <x:v>No</x:v>
      </x:c>
      <x:c r="Q208" s="8" t="str">
        <x:v>No</x:v>
      </x:c>
      <x:c r="R208" s="8" t="str">
        <x:v>Yes: positional audio supported with games/plugins</x:v>
      </x:c>
      <x:c r="S208" s="8" t="str">
        <x:v>No</x:v>
      </x:c>
      <x:c r="T208" s="8" t="str">
        <x:v>No</x:v>
      </x:c>
      <x:c r="U208" s="8" t="str">
        <x:v>No</x:v>
      </x:c>
      <x:c r="V208" s="8" t="str">
        <x:v>No</x:v>
      </x:c>
      <x:c r="W208" s="8" t="str">
        <x:v>No</x:v>
      </x:c>
      <x:c r="X208" s="8" t="str">
        <x:v>N/A</x:v>
      </x:c>
      <x:c r="Y208" s="8" t="str">
        <x:v>No native proximity audio</x:v>
      </x:c>
      <x:c r="Z208" s="8" t="str">
        <x:v>No native proximity</x:v>
      </x:c>
      <x:c r="AA208" s="8" t="str">
        <x:v>No native proximity audio</x:v>
      </x:c>
      <x:c r="AB208" s="8"/>
      <x:c r="AC208" s="9" t="str">
        <x:v>No</x:v>
      </x:c>
      <x:c r="AD208" s="8" t="str">
        <x:v>No</x:v>
      </x:c>
      <x:c r="AE208" s="8" t="str">
        <x:v>No</x:v>
      </x:c>
      <x:c r="AF208" s="8" t="str">
        <x:v>Yes: spatial/proximity</x:v>
      </x:c>
      <x:c r="AG208" s="8" t="str">
        <x:v>N/A</x:v>
      </x:c>
      <x:c r="AH208" s="14" t="n">
        <x:v>26</x:v>
      </x:c>
      <x:c r="AI208" s="15" t="str">
        <x:v>Canonical source for Voice Quality Detail!26</x:v>
      </x:c>
    </x:row>
    <x:row r="209">
      <x:c r="A209" s="12" t="str">
        <x:v>Voice Quality Detail</x:v>
      </x:c>
      <x:c r="B209" s="13" t="str">
        <x:v>Proximity Audio?</x:v>
      </x:c>
      <x:c r="C209" s="8" t="str">
        <x:v>No</x:v>
      </x:c>
      <x:c r="D209" s="8"/>
      <x:c r="E209" s="8"/>
      <x:c r="F209" s="8"/>
      <x:c r="G209" s="8"/>
      <x:c r="H209" s="8" t="str">
        <x:v>No</x:v>
      </x:c>
      <x:c r="I209" s="8" t="str">
        <x:v>Yes</x:v>
      </x:c>
      <x:c r="J209" s="8"/>
      <x:c r="K209" s="8"/>
      <x:c r="L209" s="8"/>
      <x:c r="M209" s="8"/>
      <x:c r="N209" s="8"/>
      <x:c r="O209" s="8"/>
      <x:c r="P209" s="8"/>
      <x:c r="Q209" s="8"/>
      <x:c r="R209" s="8" t="str">
        <x:v>Yes</x:v>
      </x:c>
      <x:c r="S209" s="8"/>
      <x:c r="T209" s="8"/>
      <x:c r="U209" s="8"/>
      <x:c r="V209" s="8" t="str">
        <x:v>No</x:v>
      </x:c>
      <x:c r="W209" s="8"/>
      <x:c r="X209" s="8"/>
      <x:c r="Y209" s="8" t="str">
        <x:v>No</x:v>
      </x:c>
      <x:c r="Z209" s="8"/>
      <x:c r="AA209" s="8"/>
      <x:c r="AB209" s="8"/>
      <x:c r="AC209" s="9"/>
      <x:c r="AD209" s="8"/>
      <x:c r="AE209" s="8"/>
      <x:c r="AF209" s="8" t="str">
        <x:v>Yes</x:v>
      </x:c>
      <x:c r="AG209" s="8"/>
      <x:c r="AH209" s="14" t="n">
        <x:v>27</x:v>
      </x:c>
      <x:c r="AI209" s="15" t="str">
        <x:v>Canonical source for Voice Quality Detail!27</x:v>
      </x:c>
    </x:row>
    <x:row r="210" ht="60">
      <x:c r="A210" s="12" t="str">
        <x:v>Voice Quality Detail</x:v>
      </x:c>
      <x:c r="B210" s="13" t="str">
        <x:v>Voice Recording Native?</x:v>
      </x:c>
      <x:c r="C210" s="8"/>
      <x:c r="D210" s="8"/>
      <x:c r="E210" s="8"/>
      <x:c r="F210" s="8"/>
      <x:c r="G210" s="8"/>
      <x:c r="H210" s="8"/>
      <x:c r="I210" s="8"/>
      <x:c r="J210" s="8"/>
      <x:c r="K210" s="8"/>
      <x:c r="L210" s="8" t="str">
        <x:v>No native recording</x:v>
      </x:c>
      <x:c r="M210" s="8"/>
      <x:c r="N210" s="8"/>
      <x:c r="O210" s="8"/>
      <x:c r="P210" s="8"/>
      <x:c r="Q210" s="8"/>
      <x:c r="R210" s="8"/>
      <x:c r="S210" s="8"/>
      <x:c r="T210" s="8"/>
      <x:c r="U210" s="8"/>
      <x:c r="V210" s="8"/>
      <x:c r="W210" s="8"/>
      <x:c r="X210" s="8"/>
      <x:c r="Y210" s="8"/>
      <x:c r="Z210" s="8"/>
      <x:c r="AA210" s="8"/>
      <x:c r="AB210" s="8"/>
      <x:c r="AC210" s="9"/>
      <x:c r="AD210" s="8"/>
      <x:c r="AE210" s="8"/>
      <x:c r="AF210" s="8"/>
      <x:c r="AG210" s="8"/>
      <x:c r="AH210" s="14" t="n">
        <x:v>28</x:v>
      </x:c>
      <x:c r="AI210" s="15" t="str">
        <x:v>Shared metric: Voice &amp; Audio: Voice Recording Native? | Voice Quality Detail: Voice Recording Native? | Media &amp; Limits: Voice Recording Native?</x:v>
      </x:c>
    </x:row>
    <x:row r="211" ht="60">
      <x:c r="A211" s="12" t="str">
        <x:v>Voice Quality Detail</x:v>
      </x:c>
      <x:c r="B211" s="13" t="str">
        <x:v>Voice Transcription Native?</x:v>
      </x:c>
      <x:c r="C211" s="8"/>
      <x:c r="D211" s="8"/>
      <x:c r="E211" s="8"/>
      <x:c r="F211" s="8"/>
      <x:c r="G211" s="8"/>
      <x:c r="H211" s="8"/>
      <x:c r="I211" s="8"/>
      <x:c r="J211" s="8"/>
      <x:c r="K211" s="8"/>
      <x:c r="L211" s="8" t="str">
        <x:v>No native transcription</x:v>
      </x:c>
      <x:c r="M211" s="8"/>
      <x:c r="N211" s="8"/>
      <x:c r="O211" s="8"/>
      <x:c r="P211" s="8" t="str">
        <x:v>Yes</x:v>
      </x:c>
      <x:c r="Q211" s="8" t="str">
        <x:v>Yes</x:v>
      </x:c>
      <x:c r="R211" s="8"/>
      <x:c r="S211" s="8"/>
      <x:c r="T211" s="8"/>
      <x:c r="U211" s="8"/>
      <x:c r="V211" s="8" t="str">
        <x:v>No</x:v>
      </x:c>
      <x:c r="W211" s="8"/>
      <x:c r="X211" s="8"/>
      <x:c r="Y211" s="8"/>
      <x:c r="Z211" s="8"/>
      <x:c r="AA211" s="8"/>
      <x:c r="AB211" s="8"/>
      <x:c r="AC211" s="9"/>
      <x:c r="AD211" s="8"/>
      <x:c r="AE211" s="8"/>
      <x:c r="AF211" s="8"/>
      <x:c r="AG211" s="8"/>
      <x:c r="AH211" s="14" t="n">
        <x:v>29</x:v>
      </x:c>
      <x:c r="AI211" s="15" t="str">
        <x:v>Shared metric: Voice &amp; Audio: Voice Transcription Native? | Voice Quality Detail: Voice Transcription Native? | Media &amp; Limits: Voice Transcription Native?</x:v>
      </x:c>
    </x:row>
    <x:row r="212" ht="30">
      <x:c r="A212" s="12" t="str">
        <x:v>Voice Quality Detail</x:v>
      </x:c>
      <x:c r="B212" s="13" t="str">
        <x:v>Voice Source URL</x:v>
      </x:c>
      <x:c r="C212" s="8" t="str">
        <x:v>https://support.discord.com/</x:v>
      </x:c>
      <x:c r="D212" s="8" t="str">
        <x:v>See Research Sources</x:v>
      </x:c>
      <x:c r="E212" s="8" t="str">
        <x:v>See Research Sources</x:v>
      </x:c>
      <x:c r="F212" s="8" t="str">
        <x:v>See Research Sources</x:v>
      </x:c>
      <x:c r="G212" s="8" t="str">
        <x:v>See Research Sources</x:v>
      </x:c>
      <x:c r="H212" s="8" t="str">
        <x:v>See Research Sources</x:v>
      </x:c>
      <x:c r="I212" s="8" t="str">
        <x:v>https://gamevox.com/</x:v>
      </x:c>
      <x:c r="J212" s="8" t="str">
        <x:v>See Research Sources</x:v>
      </x:c>
      <x:c r="K212" s="8" t="str">
        <x:v>See Research Sources</x:v>
      </x:c>
      <x:c r="L212" s="8"/>
      <x:c r="M212" s="8" t="str">
        <x:v>See Research Sources</x:v>
      </x:c>
      <x:c r="N212" s="8" t="str">
        <x:v>See Research Sources</x:v>
      </x:c>
      <x:c r="O212" s="8" t="str">
        <x:v>See Research Sources</x:v>
      </x:c>
      <x:c r="P212" s="8" t="str">
        <x:v>See Research Sources</x:v>
      </x:c>
      <x:c r="Q212" s="8" t="str">
        <x:v>See Research Sources</x:v>
      </x:c>
      <x:c r="R212" s="8" t="str">
        <x:v>See Research Sources</x:v>
      </x:c>
      <x:c r="S212" s="8" t="str">
        <x:v>See Research Sources</x:v>
      </x:c>
      <x:c r="T212" s="8" t="str">
        <x:v>See Research Sources</x:v>
      </x:c>
      <x:c r="U212" s="8" t="str">
        <x:v>See Research Sources</x:v>
      </x:c>
      <x:c r="V212" s="8" t="str">
        <x:v>https://therift.chat/plans/</x:v>
      </x:c>
      <x:c r="W212" s="8" t="str">
        <x:v>See Research Sources</x:v>
      </x:c>
      <x:c r="X212" s="8" t="str">
        <x:v>See Research Sources</x:v>
      </x:c>
      <x:c r="Y212" s="8" t="str">
        <x:v>See Research Sources</x:v>
      </x:c>
      <x:c r="Z212" s="8" t="str">
        <x:v>See Research Sources</x:v>
      </x:c>
      <x:c r="AA212" s="8" t="str">
        <x:v>See Research Sources</x:v>
      </x:c>
      <x:c r="AB212" s="8" t="str">
        <x:v>See Research Sources</x:v>
      </x:c>
      <x:c r="AC212" s="9" t="str">
        <x:v>See Research Sources</x:v>
      </x:c>
      <x:c r="AD212" s="8" t="str">
        <x:v>See Research Sources</x:v>
      </x:c>
      <x:c r="AE212" s="8" t="str">
        <x:v>See Research Sources</x:v>
      </x:c>
      <x:c r="AF212" s="8" t="str">
        <x:v>See Research Sources</x:v>
      </x:c>
      <x:c r="AG212" s="8" t="str">
        <x:v>See Research Sources</x:v>
      </x:c>
      <x:c r="AH212" s="14" t="n">
        <x:v>31</x:v>
      </x:c>
      <x:c r="AI212" s="15" t="str">
        <x:v>Canonical source for Voice Quality Detail!31</x:v>
      </x:c>
    </x:row>
    <x:row r="213" ht="135">
      <x:c r="A213" s="12" t="str">
        <x:v>Voice Quality Detail</x:v>
      </x:c>
      <x:c r="B213" s="13" t="str">
        <x:v>Voice Notes</x:v>
      </x:c>
      <x:c r="C213" s="8" t="str">
        <x:v>Voice/video/Go Live E2EE by default except Stage.</x:v>
      </x:c>
      <x:c r="D213" s="8" t="str">
        <x:v>Voice exists; detailed limits are not publicly documented.</x:v>
      </x:c>
      <x:c r="E213" s="8" t="str">
        <x:v>Media limits are software/operator-configurable rather than a paid tier.</x:v>
      </x:c>
      <x:c r="F213" s="8" t="str">
        <x:v>LiveKit-based voice/video/screen sharing.</x:v>
      </x:c>
      <x:c r="G213" s="8" t="str">
        <x:v>Alpha behavior/limits can change.</x:v>
      </x:c>
      <x:c r="H213" s="8" t="str">
        <x:v>Nothing is E2EE yet per Sep 13 privacy policy.</x:v>
      </x:c>
      <x:c r="I213" s="8" t="str">
        <x:v>Voice-first gaming platform.</x:v>
      </x:c>
      <x:c r="J213" s="8" t="str">
        <x:v>Media is early/incomplete.</x:v>
      </x:c>
      <x:c r="K213" s="8" t="str">
        <x:v>Media is peer-to-peer rather than server-room focused.</x:v>
      </x:c>
      <x:c r="L213" s="8" t="str">
        <x:v>LiveKit. Guild voice uses guild authority; DM calls use conversation/caller authority. Existing calls may continue during a federation outage, but new joins require the authority.</x:v>
      </x:c>
      <x:c r="M213" s="8" t="str">
        <x:v>Media limits not well documented.</x:v>
      </x:c>
      <x:c r="N213" s="8" t="str">
        <x:v>Voice/video/screen share are live in open beta.</x:v>
      </x:c>
      <x:c r="O213" s="8" t="str">
        <x:v>Media limits depend on the client, homeserver, and SFU deployment; Matrix has no universal platform limit.</x:v>
      </x:c>
      <x:c r="P213" s="8" t="str">
        <x:v>Native Calls supports screen share and meeting-style controls.</x:v>
      </x:c>
      <x:c r="Q213" s="8" t="str">
        <x:v>No paywall on voice/video quality claimed.</x:v>
      </x:c>
      <x:c r="R213" s="8" t="str">
        <x:v>Purpose-built voice; no webcam/screen-sharing core.</x:v>
      </x:c>
      <x:c r="S213" s="8" t="str">
        <x:v>public documentation emphasize chat more than media limits.</x:v>
      </x:c>
      <x:c r="T213" s="8" t="str">
        <x:v>Custom voice infrastructure is a headline feature.</x:v>
      </x:c>
      <x:c r="U213" s="8" t="str">
        <x:v>Persistent voice; P2P for small/DM calls; LiveKit for listed/larger hosted rooms. Hosted watch party has exceeded 100 participants.</x:v>
      </x:c>
      <x:c r="V213" s="8" t="str">
        <x:v>Yes</x:v>
      </x:c>
      <x:c r="W213" s="8" t="str">
        <x:v>Media calling varies by Rocket.Chat deployment; there is no single fixed platform profile.</x:v>
      </x:c>
      <x:c r="X213" s="8" t="str">
        <x:v>Text/community-gardening focus.</x:v>
      </x:c>
      <x:c r="Y213" s="8" t="str">
        <x:v>Mobile can view shared screens.</x:v>
      </x:c>
      <x:c r="Z213" s="8" t="str">
        <x:v>Voice is optional and disabled unless operator installs a compatible media implementation.</x:v>
      </x:c>
      <x:c r="AA213" s="8" t="str">
        <x:v>Screen sharing/video rolled out in 2026; exact plan limits are not comprehensively documented.</x:v>
      </x:c>
      <x:c r="AB213" s="8" t="str">
        <x:v>TS6 is beta, so limits/features are changing.</x:v>
      </x:c>
      <x:c r="AC213" s="9"/>
      <x:c r="AD213" s="8" t="str">
        <x:v>Media details sparse.</x:v>
      </x:c>
      <x:c r="AE213" s="8" t="str">
        <x:v>Designed around always-present game-room media.</x:v>
      </x:c>
      <x:c r="AF213" s="8" t="str">
        <x:v>Self-host resource capacity determines practical limits.</x:v>
      </x:c>
      <x:c r="AG213" s="8" t="str">
        <x:v>Voice/video are intentionally delegated to services such as Jitsi/Zoom/BigBlueButton.</x:v>
      </x:c>
      <x:c r="AH213" s="14" t="n">
        <x:v>32</x:v>
      </x:c>
      <x:c r="AI213" s="15" t="str">
        <x:v>Canonical source for Voice Quality Detail!32</x:v>
      </x:c>
    </x:row>
    <x:row r="214">
      <x:c r="A214" s="12" t="str">
        <x:v>Voice Quality Detail</x:v>
      </x:c>
      <x:c r="B214" s="13" t="str">
        <x:v>Voice Overlay?</x:v>
      </x:c>
      <x:c r="C214" s="8" t="str">
        <x:v>Yes</x:v>
      </x:c>
      <x:c r="D214" s="8"/>
      <x:c r="E214" s="8"/>
      <x:c r="F214" s="8"/>
      <x:c r="G214" s="8"/>
      <x:c r="H214" s="8"/>
      <x:c r="I214" s="8"/>
      <x:c r="J214" s="8"/>
      <x:c r="K214" s="8"/>
      <x:c r="L214" s="8"/>
      <x:c r="M214" s="8"/>
      <x:c r="N214" s="8"/>
      <x:c r="O214" s="8"/>
      <x:c r="P214" s="8"/>
      <x:c r="Q214" s="8"/>
      <x:c r="R214" s="8"/>
      <x:c r="S214" s="8"/>
      <x:c r="T214" s="8"/>
      <x:c r="U214" s="8"/>
      <x:c r="V214" s="8" t="str">
        <x:v>Yes</x:v>
      </x:c>
      <x:c r="W214" s="8"/>
      <x:c r="X214" s="8"/>
      <x:c r="Y214" s="8"/>
      <x:c r="Z214" s="8"/>
      <x:c r="AA214" s="8"/>
      <x:c r="AB214" s="8"/>
      <x:c r="AC214" s="9"/>
      <x:c r="AD214" s="8"/>
      <x:c r="AE214" s="8"/>
      <x:c r="AF214" s="8"/>
      <x:c r="AG214" s="8"/>
      <x:c r="AH214" s="14" t="n">
        <x:v>34</x:v>
      </x:c>
      <x:c r="AI214" s="15" t="str">
        <x:v>Canonical source for Voice Quality Detail!34</x:v>
      </x:c>
    </x:row>
    <x:row r="215" ht="60">
      <x:c r="A215" s="12" t="str">
        <x:v>Voice Quality Detail</x:v>
      </x:c>
      <x:c r="B215" s="13" t="str">
        <x:v>Temporary / Launcher Voice Rooms?</x:v>
      </x:c>
      <x:c r="C215" s="8" t="str">
        <x:v>No native</x:v>
      </x:c>
      <x:c r="D215" s="8"/>
      <x:c r="E215" s="8"/>
      <x:c r="F215" s="8"/>
      <x:c r="G215" s="8"/>
      <x:c r="H215" s="8"/>
      <x:c r="I215" s="8"/>
      <x:c r="J215" s="8"/>
      <x:c r="K215" s="8"/>
      <x:c r="L215" s="8" t="str">
        <x:v>No temporary/launcher voice-room workflow documented</x:v>
      </x:c>
      <x:c r="M215" s="8"/>
      <x:c r="N215" s="8"/>
      <x:c r="O215" s="8"/>
      <x:c r="P215" s="8"/>
      <x:c r="Q215" s="8"/>
      <x:c r="R215" s="8"/>
      <x:c r="S215" s="8"/>
      <x:c r="T215" s="8"/>
      <x:c r="U215" s="8"/>
      <x:c r="V215" s="8" t="str">
        <x:v>Yes</x:v>
      </x:c>
      <x:c r="W215" s="8"/>
      <x:c r="X215" s="8"/>
      <x:c r="Y215" s="8"/>
      <x:c r="Z215" s="8"/>
      <x:c r="AA215" s="8"/>
      <x:c r="AB215" s="8"/>
      <x:c r="AC215" s="9"/>
      <x:c r="AD215" s="8"/>
      <x:c r="AE215" s="8"/>
      <x:c r="AF215" s="8"/>
      <x:c r="AG215" s="8"/>
      <x:c r="AH215" s="14" t="n">
        <x:v>35</x:v>
      </x:c>
      <x:c r="AI215" s="15" t="str">
        <x:v>Canonical source for Voice Quality Detail!35</x:v>
      </x:c>
    </x:row>
    <x:row r="216" ht="75">
      <x:c r="A216" s="12" t="str">
        <x:v>Voice Quality Detail</x:v>
      </x:c>
      <x:c r="B216" s="13" t="str">
        <x:v>Music / High-Fidelity Mode?</x:v>
      </x:c>
      <x:c r="C216" s="8"/>
      <x:c r="D216" s="8"/>
      <x:c r="E216" s="8"/>
      <x:c r="F216" s="8"/>
      <x:c r="G216" s="8"/>
      <x:c r="H216" s="8"/>
      <x:c r="I216" s="8"/>
      <x:c r="J216" s="8"/>
      <x:c r="K216" s="8"/>
      <x:c r="L216" s="8" t="str">
        <x:v>Partial: browser 128 kbps Studio requests stereo/DTX-off; desktop remains processed mono</x:v>
      </x:c>
      <x:c r="M216" s="8"/>
      <x:c r="N216" s="8"/>
      <x:c r="O216" s="8"/>
      <x:c r="P216" s="8"/>
      <x:c r="Q216" s="8"/>
      <x:c r="R216" s="8"/>
      <x:c r="S216" s="8"/>
      <x:c r="T216" s="8"/>
      <x:c r="U216" s="8"/>
      <x:c r="V216" s="8" t="str">
        <x:v>Yes: Rift+ high-fidelity mode at 128 kbps</x:v>
      </x:c>
      <x:c r="W216" s="8"/>
      <x:c r="X216" s="8"/>
      <x:c r="Y216" s="8"/>
      <x:c r="Z216" s="8"/>
      <x:c r="AA216" s="8"/>
      <x:c r="AB216" s="8" t="str">
        <x:v>Configurable/codecs</x:v>
      </x:c>
      <x:c r="AC216" s="9"/>
      <x:c r="AD216" s="8"/>
      <x:c r="AE216" s="8"/>
      <x:c r="AF216" s="8"/>
      <x:c r="AG216" s="8"/>
      <x:c r="AH216" s="14" t="n">
        <x:v>36</x:v>
      </x:c>
      <x:c r="AI216" s="15" t="str">
        <x:v>Canonical source for Voice Quality Detail!36</x:v>
      </x:c>
    </x:row>
    <x:row r="217" ht="30">
      <x:c r="A217" s="12" t="str">
        <x:v>Voice Quality Detail</x:v>
      </x:c>
      <x:c r="B217" s="13" t="str">
        <x:v>Voice Changer Native?</x:v>
      </x:c>
      <x:c r="C217" s="8" t="str">
        <x:v>No</x:v>
      </x:c>
      <x:c r="D217" s="8"/>
      <x:c r="E217" s="8"/>
      <x:c r="F217" s="8"/>
      <x:c r="G217" s="8"/>
      <x:c r="H217" s="8"/>
      <x:c r="I217" s="8"/>
      <x:c r="J217" s="8"/>
      <x:c r="K217" s="8"/>
      <x:c r="L217" s="8" t="str">
        <x:v>No native voice changer documented</x:v>
      </x:c>
      <x:c r="M217" s="8"/>
      <x:c r="N217" s="8"/>
      <x:c r="O217" s="8"/>
      <x:c r="P217" s="8"/>
      <x:c r="Q217" s="8"/>
      <x:c r="R217" s="8"/>
      <x:c r="S217" s="8"/>
      <x:c r="T217" s="8"/>
      <x:c r="U217" s="8"/>
      <x:c r="V217" s="8" t="str">
        <x:v>Yes</x:v>
      </x:c>
      <x:c r="W217" s="8"/>
      <x:c r="X217" s="8"/>
      <x:c r="Y217" s="8"/>
      <x:c r="Z217" s="8"/>
      <x:c r="AA217" s="8"/>
      <x:c r="AB217" s="8"/>
      <x:c r="AC217" s="9"/>
      <x:c r="AD217" s="8"/>
      <x:c r="AE217" s="8"/>
      <x:c r="AF217" s="8"/>
      <x:c r="AG217" s="8"/>
      <x:c r="AH217" s="14" t="n">
        <x:v>37</x:v>
      </x:c>
      <x:c r="AI217" s="15" t="str">
        <x:v>Canonical source for Voice Quality Detail!37</x:v>
      </x:c>
    </x:row>
    <x:row r="218" ht="45">
      <x:c r="A218" s="12" t="str">
        <x:v>Video &amp; Screen Sharing</x:v>
      </x:c>
      <x:c r="B218" s="13" t="str">
        <x:v>Free Screen Share Max Resolution</x:v>
      </x:c>
      <x:c r="C218" s="8" t="str">
        <x:v>720p</x:v>
      </x:c>
      <x:c r="D218" s="8"/>
      <x:c r="E218" s="8" t="str">
        <x:v>Up to 4K theoretical/configurable</x:v>
      </x:c>
      <x:c r="F218" s="8"/>
      <x:c r="G218" s="8"/>
      <x:c r="H218" s="8" t="str">
        <x:v>720p</x:v>
      </x:c>
      <x:c r="I218" s="8" t="str">
        <x:v>1080p</x:v>
      </x:c>
      <x:c r="J218" s="8" t="str">
        <x:v>In development</x:v>
      </x:c>
      <x:c r="K218" s="8" t="str">
        <x:v>P2P/client dependent</x:v>
      </x:c>
      <x:c r="L218" s="8"/>
      <x:c r="M218" s="8"/>
      <x:c r="N218" s="8"/>
      <x:c r="O218" s="8" t="str">
        <x:v>Varies by client</x:v>
      </x:c>
      <x:c r="P218" s="8" t="str">
        <x:v>Provider/deployment dependent; native Calls screen share</x:v>
      </x:c>
      <x:c r="Q218" s="8" t="str">
        <x:v>Unlimited resolution claim</x:v>
      </x:c>
      <x:c r="R218" s="8" t="str">
        <x:v>N/A</x:v>
      </x:c>
      <x:c r="S218" s="8"/>
      <x:c r="T218" s="8"/>
      <x:c r="U218" s="8" t="str">
        <x:v>1080p</x:v>
      </x:c>
      <x:c r="V218" s="8" t="str">
        <x:v>1080p free</x:v>
      </x:c>
      <x:c r="W218" s="8" t="str">
        <x:v>Provider/deployment-dependent</x:v>
      </x:c>
      <x:c r="X218" s="8"/>
      <x:c r="Y218" s="8" t="str">
        <x:v>720p Game Mode / Source mode</x:v>
      </x:c>
      <x:c r="Z218" s="8" t="str">
        <x:v>Supported by recommended Pion voice implementation</x:v>
      </x:c>
      <x:c r="AA218" s="8" t="str">
        <x:v>720p</x:v>
      </x:c>
      <x:c r="AB218" s="8"/>
      <x:c r="AC218" s="9"/>
      <x:c r="AD218" s="8"/>
      <x:c r="AE218" s="8"/>
      <x:c r="AF218" s="8" t="str">
        <x:v>Up to 1440p included</x:v>
      </x:c>
      <x:c r="AG218" s="8" t="str">
        <x:v>External call provider-dependent</x:v>
      </x:c>
      <x:c r="AH218" s="14" t="n">
        <x:v>3</x:v>
      </x:c>
      <x:c r="AI218" s="15" t="str">
        <x:v>Canonical source for Video &amp; Screen Sharing!3</x:v>
      </x:c>
    </x:row>
    <x:row r="219" ht="75">
      <x:c r="A219" s="12" t="str">
        <x:v>Video &amp; Screen Sharing</x:v>
      </x:c>
      <x:c r="B219" s="13" t="str">
        <x:v>Free Screen Share Max FPS</x:v>
      </x:c>
      <x:c r="C219" s="8" t="str">
        <x:v>30 fps</x:v>
      </x:c>
      <x:c r="D219" s="8"/>
      <x:c r="E219" s="8" t="str">
        <x:v>Up to 60/120 depending documentation/version</x:v>
      </x:c>
      <x:c r="F219" s="8"/>
      <x:c r="G219" s="8"/>
      <x:c r="H219" s="8" t="str">
        <x:v>30 fps</x:v>
      </x:c>
      <x:c r="I219" s="8" t="str">
        <x:v>30 fps</x:v>
      </x:c>
      <x:c r="J219" s="8" t="str">
        <x:v>In development</x:v>
      </x:c>
      <x:c r="K219" s="8"/>
      <x:c r="L219" s="8" t="str">
        <x:v>30 FPS in current documented presets; developer questionnaire reported 60 FPS</x:v>
      </x:c>
      <x:c r="M219" s="8"/>
      <x:c r="N219" s="8"/>
      <x:c r="O219" s="8" t="str">
        <x:v>Varies by client</x:v>
      </x:c>
      <x:c r="P219" s="8"/>
      <x:c r="Q219" s="8"/>
      <x:c r="R219" s="8" t="str">
        <x:v>N/A</x:v>
      </x:c>
      <x:c r="S219" s="8"/>
      <x:c r="T219" s="8"/>
      <x:c r="U219" s="8" t="str">
        <x:v>Not publicly claimed</x:v>
      </x:c>
      <x:c r="V219" s="8" t="str">
        <x:v>60 FPS free</x:v>
      </x:c>
      <x:c r="W219" s="8"/>
      <x:c r="X219" s="8"/>
      <x:c r="Y219" s="8" t="str">
        <x:v>30 fps Game Mode / 5 fps Source mode</x:v>
      </x:c>
      <x:c r="Z219" s="8"/>
      <x:c r="AA219" s="8" t="str">
        <x:v>30 fps</x:v>
      </x:c>
      <x:c r="AB219" s="8"/>
      <x:c r="AC219" s="9"/>
      <x:c r="AD219" s="8"/>
      <x:c r="AE219" s="8"/>
      <x:c r="AF219" s="8"/>
      <x:c r="AG219" s="8" t="str">
        <x:v>Provider-dependent</x:v>
      </x:c>
      <x:c r="AH219" s="14" t="n">
        <x:v>4</x:v>
      </x:c>
      <x:c r="AI219" s="15" t="str">
        <x:v>Canonical source for Video &amp; Screen Sharing!4</x:v>
      </x:c>
    </x:row>
    <x:row r="220" ht="60">
      <x:c r="A220" s="12" t="str">
        <x:v>Video &amp; Screen Sharing</x:v>
      </x:c>
      <x:c r="B220" s="13" t="str">
        <x:v>Paid / Boost Screen Share Max</x:v>
      </x:c>
      <x:c r="C220" s="8" t="str">
        <x:v>Up to 4K/60 fps with Nitro/Nitro Classic</x:v>
      </x:c>
      <x:c r="D220" s="8"/>
      <x:c r="E220" s="8" t="str">
        <x:v>Operator-configurable</x:v>
      </x:c>
      <x:c r="F220" s="8"/>
      <x:c r="G220" s="8"/>
      <x:c r="H220" s="8" t="str">
        <x:v>Up to 4K/60 with Plutonium</x:v>
      </x:c>
      <x:c r="I220" s="8" t="str">
        <x:v>Up to 4K/60 Diamond</x:v>
      </x:c>
      <x:c r="J220" s="8" t="str">
        <x:v>N/A</x:v>
      </x:c>
      <x:c r="K220" s="8" t="str">
        <x:v>N/A</x:v>
      </x:c>
      <x:c r="L220" s="8" t="str">
        <x:v>No paid quality tier; documented presets are current/free</x:v>
      </x:c>
      <x:c r="M220" s="8"/>
      <x:c r="N220" s="8"/>
      <x:c r="O220" s="8" t="str">
        <x:v>Client/provider-dependent</x:v>
      </x:c>
      <x:c r="P220" s="8" t="str">
        <x:v>Plan/deployment-dependent</x:v>
      </x:c>
      <x:c r="Q220" s="8" t="str">
        <x:v>No paid cap claimed</x:v>
      </x:c>
      <x:c r="R220" s="8" t="str">
        <x:v>N/A</x:v>
      </x:c>
      <x:c r="S220" s="8"/>
      <x:c r="T220" s="8"/>
      <x:c r="U220" s="8" t="str">
        <x:v>No paid tier: 1080p free</x:v>
      </x:c>
      <x:c r="V220" s="8" t="str">
        <x:v>1440p60 with Rift+</x:v>
      </x:c>
      <x:c r="W220" s="8" t="str">
        <x:v>Provider-dependent</x:v>
      </x:c>
      <x:c r="X220" s="8" t="str">
        <x:v>N/A</x:v>
      </x:c>
      <x:c r="Y220" s="8" t="str">
        <x:v>Up to 1440p/60 with Sudo</x:v>
      </x:c>
      <x:c r="Z220" s="8" t="str">
        <x:v>Operator/config dependent</x:v>
      </x:c>
      <x:c r="AA220" s="8" t="str">
        <x:v>No separate paid screen-share entitlement publicly stated</x:v>
      </x:c>
      <x:c r="AB220" s="8"/>
      <x:c r="AC220" s="9"/>
      <x:c r="AD220" s="8"/>
      <x:c r="AE220" s="8" t="str">
        <x:v>Free/unmetered claim</x:v>
      </x:c>
      <x:c r="AF220" s="8" t="str">
        <x:v>Up to 1440p included</x:v>
      </x:c>
      <x:c r="AG220" s="8" t="str">
        <x:v>Provider-dependent</x:v>
      </x:c>
      <x:c r="AH220" s="14" t="n">
        <x:v>5</x:v>
      </x:c>
      <x:c r="AI220" s="15" t="str">
        <x:v>Shared metric: Video &amp; Screen Sharing: Paid / Boost Screen Share Max | Media &amp; Limits: Paid / Boost Screen Share Max</x:v>
      </x:c>
    </x:row>
    <x:row r="221" ht="45">
      <x:c r="A221" s="12" t="str">
        <x:v>Video &amp; Screen Sharing</x:v>
      </x:c>
      <x:c r="B221" s="13" t="str">
        <x:v>Webcam Grid Limit</x:v>
      </x:c>
      <x:c r="C221" s="8" t="str">
        <x:v>25 participants in a server voice channel when video is active</x:v>
      </x:c>
      <x:c r="D221" s="8"/>
      <x:c r="E221" s="8"/>
      <x:c r="F221" s="8"/>
      <x:c r="G221" s="8"/>
      <x:c r="H221" s="8"/>
      <x:c r="I221" s="8"/>
      <x:c r="J221" s="8"/>
      <x:c r="K221" s="8"/>
      <x:c r="L221" s="8" t="str">
        <x:v>Not documented</x:v>
      </x:c>
      <x:c r="M221" s="8"/>
      <x:c r="N221" s="8" t="str">
        <x:v>25+ grid claimed</x:v>
      </x:c>
      <x:c r="O221" s="8" t="str">
        <x:v>Varies by client</x:v>
      </x:c>
      <x:c r="P221" s="8" t="str">
        <x:v>Up to plan/deployment limit</x:v>
      </x:c>
      <x:c r="Q221" s="8"/>
      <x:c r="R221" s="8" t="str">
        <x:v>N/A</x:v>
      </x:c>
      <x:c r="S221" s="8"/>
      <x:c r="T221" s="8"/>
      <x:c r="U221" s="8" t="str">
        <x:v>Not publicly claimed; camera is available in DM calls</x:v>
      </x:c>
      <x:c r="V221" s="8" t="str">
        <x:v>U/K</x:v>
      </x:c>
      <x:c r="W221" s="8" t="str">
        <x:v>Provider-dependent</x:v>
      </x:c>
      <x:c r="X221" s="8" t="str">
        <x:v>N/A</x:v>
      </x:c>
      <x:c r="Y221" s="8"/>
      <x:c r="Z221" s="8"/>
      <x:c r="AA221" s="8" t="str">
        <x:v>No stated camera-per-call limit</x:v>
      </x:c>
      <x:c r="AB221" s="8"/>
      <x:c r="AC221" s="9"/>
      <x:c r="AD221" s="8"/>
      <x:c r="AE221" s="8"/>
      <x:c r="AF221" s="8"/>
      <x:c r="AG221" s="8" t="str">
        <x:v>Provider-dependent</x:v>
      </x:c>
      <x:c r="AH221" s="14" t="n">
        <x:v>9</x:v>
      </x:c>
      <x:c r="AI221" s="15" t="str">
        <x:v>Canonical source for Video &amp; Screen Sharing!9</x:v>
      </x:c>
    </x:row>
    <x:row r="222" ht="90">
      <x:c r="A222" s="12" t="str">
        <x:v>Video &amp; Screen Sharing</x:v>
      </x:c>
      <x:c r="B222" s="13" t="str">
        <x:v>Stage Presentation Mode</x:v>
      </x:c>
      <x:c r="C222" s="8" t="str">
        <x:v>Yes: Stage supports video/screen share; 1 shared screen at a time</x:v>
      </x:c>
      <x:c r="D222" s="8"/>
      <x:c r="E222" s="8"/>
      <x:c r="F222" s="8"/>
      <x:c r="G222" s="8"/>
      <x:c r="H222" s="8"/>
      <x:c r="I222" s="8"/>
      <x:c r="J222" s="8"/>
      <x:c r="K222" s="8"/>
      <x:c r="L222" s="8" t="str">
        <x:v>Yes: developer reports Stage channels; screen-share publication is separately permissioned</x:v>
      </x:c>
      <x:c r="M222" s="8"/>
      <x:c r="N222" s="8"/>
      <x:c r="O222" s="8" t="str">
        <x:v>Varies by client</x:v>
      </x:c>
      <x:c r="P222" s="8" t="str">
        <x:v>Presentation via Calls</x:v>
      </x:c>
      <x:c r="Q222" s="8"/>
      <x:c r="R222" s="8" t="str">
        <x:v>N/A</x:v>
      </x:c>
      <x:c r="S222" s="8"/>
      <x:c r="T222" s="8"/>
      <x:c r="U222" s="8" t="str">
        <x:v>No Stage</x:v>
      </x:c>
      <x:c r="V222" s="8" t="str">
        <x:v>No Stage</x:v>
      </x:c>
      <x:c r="W222" s="8" t="str">
        <x:v>Provider-dependent</x:v>
      </x:c>
      <x:c r="X222" s="8" t="str">
        <x:v>N/A</x:v>
      </x:c>
      <x:c r="Y222" s="8" t="str">
        <x:v>No dedicated Stage mode verified</x:v>
      </x:c>
      <x:c r="Z222" s="8"/>
      <x:c r="AA222" s="8"/>
      <x:c r="AB222" s="8"/>
      <x:c r="AC222" s="9"/>
      <x:c r="AD222" s="8"/>
      <x:c r="AE222" s="8" t="str">
        <x:v>Room stage supports media</x:v>
      </x:c>
      <x:c r="AF222" s="8"/>
      <x:c r="AG222" s="8" t="str">
        <x:v>Provider-dependent</x:v>
      </x:c>
      <x:c r="AH222" s="14" t="n">
        <x:v>10</x:v>
      </x:c>
      <x:c r="AI222" s="15" t="str">
        <x:v>Canonical source for Video &amp; Screen Sharing!10</x:v>
      </x:c>
    </x:row>
    <x:row r="223" ht="30">
      <x:c r="A223" s="12" t="str">
        <x:v>Screen Share Detail</x:v>
      </x:c>
      <x:c r="B223" s="13" t="str">
        <x:v>Webcam Video Available?</x:v>
      </x:c>
      <x:c r="C223" s="8" t="str">
        <x:v>Yes</x:v>
      </x:c>
      <x:c r="D223" s="8" t="str">
        <x:v>Yes</x:v>
      </x:c>
      <x:c r="E223" s="8"/>
      <x:c r="F223" s="8" t="str">
        <x:v>Yes</x:v>
      </x:c>
      <x:c r="G223" s="8" t="str">
        <x:v>Yes</x:v>
      </x:c>
      <x:c r="H223" s="8"/>
      <x:c r="I223" s="8" t="str">
        <x:v>Yes</x:v>
      </x:c>
      <x:c r="J223" s="8"/>
      <x:c r="K223" s="8" t="str">
        <x:v>No</x:v>
      </x:c>
      <x:c r="L223" s="8"/>
      <x:c r="M223" s="8"/>
      <x:c r="N223" s="8" t="str">
        <x:v>Yes</x:v>
      </x:c>
      <x:c r="O223" s="8" t="str">
        <x:v>Client-dependent</x:v>
      </x:c>
      <x:c r="P223" s="8" t="str">
        <x:v>Yes</x:v>
      </x:c>
      <x:c r="Q223" s="8" t="str">
        <x:v>Yes</x:v>
      </x:c>
      <x:c r="R223" s="8" t="str">
        <x:v>No</x:v>
      </x:c>
      <x:c r="S223" s="8"/>
      <x:c r="T223" s="8" t="str">
        <x:v>Yes</x:v>
      </x:c>
      <x:c r="U223" s="8" t="str">
        <x:v>Yes: camera in DM calls</x:v>
      </x:c>
      <x:c r="V223" s="8" t="str">
        <x:v>Yes</x:v>
      </x:c>
      <x:c r="W223" s="8" t="str">
        <x:v>Provider-dependent</x:v>
      </x:c>
      <x:c r="X223" s="8" t="str">
        <x:v>N/A</x:v>
      </x:c>
      <x:c r="Y223" s="8" t="str">
        <x:v>Yes</x:v>
      </x:c>
      <x:c r="Z223" s="8"/>
      <x:c r="AA223" s="8" t="str">
        <x:v>Yes: voice channels, DMs and group DMs</x:v>
      </x:c>
      <x:c r="AB223" s="8"/>
      <x:c r="AC223" s="9"/>
      <x:c r="AD223" s="8"/>
      <x:c r="AE223" s="8" t="str">
        <x:v>Yes</x:v>
      </x:c>
      <x:c r="AF223" s="8" t="str">
        <x:v>No</x:v>
      </x:c>
      <x:c r="AG223" s="8" t="str">
        <x:v>Provider-dependent</x:v>
      </x:c>
      <x:c r="AH223" s="14" t="n">
        <x:v>4</x:v>
      </x:c>
      <x:c r="AI223" s="15" t="str">
        <x:v>Canonical source for Screen Share Detail!4</x:v>
      </x:c>
    </x:row>
    <x:row r="224" ht="30">
      <x:c r="A224" s="12" t="str">
        <x:v>Screen Share Detail</x:v>
      </x:c>
      <x:c r="B224" s="13" t="str">
        <x:v>Screen Share Available?</x:v>
      </x:c>
      <x:c r="C224" s="8" t="str">
        <x:v>Yes</x:v>
      </x:c>
      <x:c r="D224" s="8" t="str">
        <x:v>Yes</x:v>
      </x:c>
      <x:c r="E224" s="8" t="str">
        <x:v>Yes</x:v>
      </x:c>
      <x:c r="F224" s="8" t="str">
        <x:v>Yes</x:v>
      </x:c>
      <x:c r="G224" s="8" t="str">
        <x:v>Yes</x:v>
      </x:c>
      <x:c r="H224" s="8" t="str">
        <x:v>Yes</x:v>
      </x:c>
      <x:c r="I224" s="8" t="str">
        <x:v>Yes</x:v>
      </x:c>
      <x:c r="J224" s="8" t="str">
        <x:v>In development</x:v>
      </x:c>
      <x:c r="K224" s="8" t="str">
        <x:v>Yes</x:v>
      </x:c>
      <x:c r="L224" s="8" t="str">
        <x:v>Yes</x:v>
      </x:c>
      <x:c r="M224" s="8" t="str">
        <x:v>Yes</x:v>
      </x:c>
      <x:c r="N224" s="8" t="str">
        <x:v>Yes</x:v>
      </x:c>
      <x:c r="O224" s="8" t="str">
        <x:v>Client-dependent</x:v>
      </x:c>
      <x:c r="P224" s="8" t="str">
        <x:v>Yes</x:v>
      </x:c>
      <x:c r="Q224" s="8" t="str">
        <x:v>Yes</x:v>
      </x:c>
      <x:c r="R224" s="8" t="str">
        <x:v>No</x:v>
      </x:c>
      <x:c r="S224" s="8"/>
      <x:c r="T224" s="8" t="str">
        <x:v>Yes</x:v>
      </x:c>
      <x:c r="U224" s="8" t="str">
        <x:v>Yes: browser screen share</x:v>
      </x:c>
      <x:c r="V224" s="8" t="str">
        <x:v>Yes</x:v>
      </x:c>
      <x:c r="W224" s="8" t="str">
        <x:v>Provider-dependent</x:v>
      </x:c>
      <x:c r="X224" s="8" t="str">
        <x:v>N/A</x:v>
      </x:c>
      <x:c r="Y224" s="8" t="str">
        <x:v>Yes</x:v>
      </x:c>
      <x:c r="Z224" s="8" t="str">
        <x:v>Yes with Pion implementation</x:v>
      </x:c>
      <x:c r="AA224" s="8" t="str">
        <x:v>Yes</x:v>
      </x:c>
      <x:c r="AB224" s="8" t="str">
        <x:v>Yes: TS6 beta / P2P</x:v>
      </x:c>
      <x:c r="AC224" s="9"/>
      <x:c r="AD224" s="8"/>
      <x:c r="AE224" s="8" t="str">
        <x:v>Yes</x:v>
      </x:c>
      <x:c r="AF224" s="8" t="str">
        <x:v>Yes</x:v>
      </x:c>
      <x:c r="AG224" s="8" t="str">
        <x:v>External provider</x:v>
      </x:c>
      <x:c r="AH224" s="14" t="n">
        <x:v>5</x:v>
      </x:c>
      <x:c r="AI224" s="15" t="str">
        <x:v>Canonical source for Screen Share Detail!5</x:v>
      </x:c>
    </x:row>
    <x:row r="225" ht="60">
      <x:c r="A225" s="12" t="str">
        <x:v>Screen Share Detail</x:v>
      </x:c>
      <x:c r="B225" s="13" t="str">
        <x:v>Screen Share Available on Free Plan?</x:v>
      </x:c>
      <x:c r="C225" s="8" t="str">
        <x:v>Yes</x:v>
      </x:c>
      <x:c r="D225" s="8" t="str">
        <x:v>Yes</x:v>
      </x:c>
      <x:c r="E225" s="8" t="str">
        <x:v>Yes</x:v>
      </x:c>
      <x:c r="F225" s="8" t="str">
        <x:v>Yes</x:v>
      </x:c>
      <x:c r="G225" s="8" t="str">
        <x:v>Yes</x:v>
      </x:c>
      <x:c r="H225" s="8" t="str">
        <x:v>Yes</x:v>
      </x:c>
      <x:c r="I225" s="8" t="str">
        <x:v>Yes</x:v>
      </x:c>
      <x:c r="J225" s="8" t="str">
        <x:v>No</x:v>
      </x:c>
      <x:c r="K225" s="8" t="str">
        <x:v>Yes</x:v>
      </x:c>
      <x:c r="L225" s="8" t="str">
        <x:v>Yes</x:v>
      </x:c>
      <x:c r="M225" s="8" t="str">
        <x:v>Yes</x:v>
      </x:c>
      <x:c r="N225" s="8" t="str">
        <x:v>Yes</x:v>
      </x:c>
      <x:c r="O225" s="8" t="str">
        <x:v>Yes</x:v>
      </x:c>
      <x:c r="P225" s="8" t="str">
        <x:v>Yes</x:v>
      </x:c>
      <x:c r="Q225" s="8" t="str">
        <x:v>Yes</x:v>
      </x:c>
      <x:c r="R225" s="8" t="str">
        <x:v>No</x:v>
      </x:c>
      <x:c r="S225" s="8"/>
      <x:c r="T225" s="8"/>
      <x:c r="U225" s="8" t="str">
        <x:v>Yes</x:v>
      </x:c>
      <x:c r="V225" s="8" t="str">
        <x:v>Yes</x:v>
      </x:c>
      <x:c r="W225" s="8" t="str">
        <x:v>Yes</x:v>
      </x:c>
      <x:c r="X225" s="8" t="str">
        <x:v>No</x:v>
      </x:c>
      <x:c r="Y225" s="8" t="str">
        <x:v>Yes</x:v>
      </x:c>
      <x:c r="Z225" s="8" t="str">
        <x:v>Yes</x:v>
      </x:c>
      <x:c r="AA225" s="8" t="str">
        <x:v>Yes</x:v>
      </x:c>
      <x:c r="AB225" s="8" t="str">
        <x:v>Yes with TS6 client/self-host context; exact hosting limits vary</x:v>
      </x:c>
      <x:c r="AC225" s="9"/>
      <x:c r="AD225" s="8"/>
      <x:c r="AE225" s="8" t="str">
        <x:v>Yes</x:v>
      </x:c>
      <x:c r="AF225" s="8" t="str">
        <x:v>Yes</x:v>
      </x:c>
      <x:c r="AG225" s="8" t="str">
        <x:v>Yes</x:v>
      </x:c>
      <x:c r="AH225" s="14" t="n">
        <x:v>6</x:v>
      </x:c>
      <x:c r="AI225" s="15" t="str">
        <x:v>Canonical source for Screen Share Detail!6</x:v>
      </x:c>
    </x:row>
    <x:row r="226">
      <x:c r="A226" s="12" t="str">
        <x:v>Screen Share Detail</x:v>
      </x:c>
      <x:c r="B226" s="13" t="str">
        <x:v>480p Available?</x:v>
      </x:c>
      <x:c r="C226" s="8" t="str">
        <x:v>Yes</x:v>
      </x:c>
      <x:c r="D226" s="8"/>
      <x:c r="E226" s="8"/>
      <x:c r="F226" s="8"/>
      <x:c r="G226" s="8"/>
      <x:c r="H226" s="8" t="str">
        <x:v>Yes</x:v>
      </x:c>
      <x:c r="I226" s="8" t="str">
        <x:v>Yes</x:v>
      </x:c>
      <x:c r="J226" s="8"/>
      <x:c r="K226" s="8"/>
      <x:c r="L226" s="8" t="str">
        <x:v>Yes</x:v>
      </x:c>
      <x:c r="M226" s="8"/>
      <x:c r="N226" s="8"/>
      <x:c r="O226" s="8"/>
      <x:c r="P226" s="8"/>
      <x:c r="Q226" s="8"/>
      <x:c r="R226" s="8"/>
      <x:c r="S226" s="8"/>
      <x:c r="T226" s="8"/>
      <x:c r="U226" s="8"/>
      <x:c r="V226" s="8" t="str">
        <x:v>Yes</x:v>
      </x:c>
      <x:c r="W226" s="8"/>
      <x:c r="X226" s="8"/>
      <x:c r="Y226" s="8"/>
      <x:c r="Z226" s="8"/>
      <x:c r="AA226" s="8"/>
      <x:c r="AB226" s="8"/>
      <x:c r="AC226" s="9"/>
      <x:c r="AD226" s="8"/>
      <x:c r="AE226" s="8"/>
      <x:c r="AF226" s="8"/>
      <x:c r="AG226" s="8"/>
      <x:c r="AH226" s="14" t="n">
        <x:v>8</x:v>
      </x:c>
      <x:c r="AI226" s="15" t="str">
        <x:v>Canonical source for Screen Share Detail!8</x:v>
      </x:c>
    </x:row>
    <x:row r="227">
      <x:c r="A227" s="12" t="str">
        <x:v>Screen Share Detail</x:v>
      </x:c>
      <x:c r="B227" s="13" t="str">
        <x:v>480p Access (Free / Paid / Configurable)</x:v>
      </x:c>
      <x:c r="C227" s="8" t="str">
        <x:v>Free</x:v>
      </x:c>
      <x:c r="D227" s="8"/>
      <x:c r="E227" s="8"/>
      <x:c r="F227" s="8"/>
      <x:c r="G227" s="8"/>
      <x:c r="H227" s="8" t="str">
        <x:v>Free/configurable</x:v>
      </x:c>
      <x:c r="I227" s="8" t="str">
        <x:v>Free/configurable</x:v>
      </x:c>
      <x:c r="J227" s="8"/>
      <x:c r="K227" s="8"/>
      <x:c r="L227" s="8" t="str">
        <x:v>Free/current</x:v>
      </x:c>
      <x:c r="M227" s="8"/>
      <x:c r="N227" s="8"/>
      <x:c r="O227" s="8"/>
      <x:c r="P227" s="8"/>
      <x:c r="Q227" s="8" t="str">
        <x:v>Free</x:v>
      </x:c>
      <x:c r="R227" s="8"/>
      <x:c r="S227" s="8"/>
      <x:c r="T227" s="8"/>
      <x:c r="U227" s="8"/>
      <x:c r="V227" s="8" t="str">
        <x:v>Free/configurable</x:v>
      </x:c>
      <x:c r="W227" s="8"/>
      <x:c r="X227" s="8"/>
      <x:c r="Y227" s="8"/>
      <x:c r="Z227" s="8"/>
      <x:c r="AA227" s="8"/>
      <x:c r="AB227" s="8"/>
      <x:c r="AC227" s="9"/>
      <x:c r="AD227" s="8"/>
      <x:c r="AE227" s="8"/>
      <x:c r="AF227" s="8"/>
      <x:c r="AG227" s="8"/>
      <x:c r="AH227" s="14" t="n">
        <x:v>9</x:v>
      </x:c>
      <x:c r="AI227" s="15" t="str">
        <x:v>Canonical source for Screen Share Detail!9</x:v>
      </x:c>
    </x:row>
    <x:row r="228">
      <x:c r="A228" s="12" t="str">
        <x:v>Screen Share Detail</x:v>
      </x:c>
      <x:c r="B228" s="13" t="str">
        <x:v>720p Available?</x:v>
      </x:c>
      <x:c r="C228" s="8" t="str">
        <x:v>Yes</x:v>
      </x:c>
      <x:c r="D228" s="8"/>
      <x:c r="E228" s="8"/>
      <x:c r="F228" s="8"/>
      <x:c r="G228" s="8"/>
      <x:c r="H228" s="8" t="str">
        <x:v>Yes</x:v>
      </x:c>
      <x:c r="I228" s="8" t="str">
        <x:v>Yes</x:v>
      </x:c>
      <x:c r="J228" s="8"/>
      <x:c r="K228" s="8"/>
      <x:c r="L228" s="8" t="str">
        <x:v>Yes</x:v>
      </x:c>
      <x:c r="M228" s="8"/>
      <x:c r="N228" s="8"/>
      <x:c r="O228" s="8"/>
      <x:c r="P228" s="8"/>
      <x:c r="Q228" s="8"/>
      <x:c r="R228" s="8"/>
      <x:c r="S228" s="8"/>
      <x:c r="T228" s="8"/>
      <x:c r="U228" s="8" t="str">
        <x:v>Yes</x:v>
      </x:c>
      <x:c r="V228" s="8" t="str">
        <x:v>Yes</x:v>
      </x:c>
      <x:c r="W228" s="8"/>
      <x:c r="X228" s="8"/>
      <x:c r="Y228" s="8" t="str">
        <x:v>Yes</x:v>
      </x:c>
      <x:c r="Z228" s="8"/>
      <x:c r="AA228" s="8" t="str">
        <x:v>Yes</x:v>
      </x:c>
      <x:c r="AB228" s="8" t="str">
        <x:v>Yes</x:v>
      </x:c>
      <x:c r="AC228" s="9"/>
      <x:c r="AD228" s="8"/>
      <x:c r="AE228" s="8"/>
      <x:c r="AF228" s="8"/>
      <x:c r="AG228" s="8"/>
      <x:c r="AH228" s="14" t="n">
        <x:v>10</x:v>
      </x:c>
      <x:c r="AI228" s="15" t="str">
        <x:v>Canonical source for Screen Share Detail!10</x:v>
      </x:c>
    </x:row>
    <x:row r="229">
      <x:c r="A229" s="12" t="str">
        <x:v>Screen Share Detail</x:v>
      </x:c>
      <x:c r="B229" s="13" t="str">
        <x:v>720p Access (Free / Paid / Configurable)</x:v>
      </x:c>
      <x:c r="C229" s="8" t="str">
        <x:v>Free</x:v>
      </x:c>
      <x:c r="D229" s="8"/>
      <x:c r="E229" s="8"/>
      <x:c r="F229" s="8"/>
      <x:c r="G229" s="8"/>
      <x:c r="H229" s="8" t="str">
        <x:v>Free</x:v>
      </x:c>
      <x:c r="I229" s="8" t="str">
        <x:v>Free</x:v>
      </x:c>
      <x:c r="J229" s="8"/>
      <x:c r="K229" s="8"/>
      <x:c r="L229" s="8" t="str">
        <x:v>Free/current</x:v>
      </x:c>
      <x:c r="M229" s="8"/>
      <x:c r="N229" s="8"/>
      <x:c r="O229" s="8"/>
      <x:c r="P229" s="8"/>
      <x:c r="Q229" s="8" t="str">
        <x:v>Free</x:v>
      </x:c>
      <x:c r="R229" s="8"/>
      <x:c r="S229" s="8"/>
      <x:c r="T229" s="8"/>
      <x:c r="U229" s="8" t="str">
        <x:v>Free</x:v>
      </x:c>
      <x:c r="V229" s="8" t="str">
        <x:v>Free</x:v>
      </x:c>
      <x:c r="W229" s="8"/>
      <x:c r="X229" s="8"/>
      <x:c r="Y229" s="8" t="str">
        <x:v>Free + Sudo selectable</x:v>
      </x:c>
      <x:c r="Z229" s="8"/>
      <x:c r="AA229" s="8" t="str">
        <x:v>Free / current default</x:v>
      </x:c>
      <x:c r="AB229" s="8" t="str">
        <x:v>Configurable/P2P</x:v>
      </x:c>
      <x:c r="AC229" s="9"/>
      <x:c r="AD229" s="8"/>
      <x:c r="AE229" s="8" t="str">
        <x:v>Free</x:v>
      </x:c>
      <x:c r="AF229" s="8"/>
      <x:c r="AG229" s="8"/>
      <x:c r="AH229" s="14" t="n">
        <x:v>11</x:v>
      </x:c>
      <x:c r="AI229" s="15" t="str">
        <x:v>Canonical source for Screen Share Detail!11</x:v>
      </x:c>
    </x:row>
    <x:row r="230">
      <x:c r="A230" s="12" t="str">
        <x:v>Screen Share Detail</x:v>
      </x:c>
      <x:c r="B230" s="13" t="str">
        <x:v>720p Max FPS</x:v>
      </x:c>
      <x:c r="C230" s="8" t="str">
        <x:v>30</x:v>
      </x:c>
      <x:c r="D230" s="8"/>
      <x:c r="E230" s="8"/>
      <x:c r="F230" s="8"/>
      <x:c r="G230" s="8"/>
      <x:c r="H230" s="8" t="str">
        <x:v>30</x:v>
      </x:c>
      <x:c r="I230" s="8" t="str">
        <x:v>30</x:v>
      </x:c>
      <x:c r="J230" s="8"/>
      <x:c r="K230" s="8"/>
      <x:c r="L230" s="8" t="str">
        <x:v>30</x:v>
      </x:c>
      <x:c r="M230" s="8"/>
      <x:c r="N230" s="8"/>
      <x:c r="O230" s="8"/>
      <x:c r="P230" s="8"/>
      <x:c r="Q230" s="8"/>
      <x:c r="R230" s="8"/>
      <x:c r="S230" s="8"/>
      <x:c r="T230" s="8"/>
      <x:c r="U230" s="8"/>
      <x:c r="V230" s="8" t="str">
        <x:v>60</x:v>
      </x:c>
      <x:c r="W230" s="8"/>
      <x:c r="X230" s="8"/>
      <x:c r="Y230" s="8"/>
      <x:c r="Z230" s="8"/>
      <x:c r="AA230" s="8" t="n">
        <x:v>30</x:v>
      </x:c>
      <x:c r="AB230" s="8"/>
      <x:c r="AC230" s="9"/>
      <x:c r="AD230" s="8"/>
      <x:c r="AE230" s="8"/>
      <x:c r="AF230" s="8"/>
      <x:c r="AG230" s="8"/>
      <x:c r="AH230" s="14" t="n">
        <x:v>12</x:v>
      </x:c>
      <x:c r="AI230" s="15" t="str">
        <x:v>Canonical source for Screen Share Detail!12</x:v>
      </x:c>
    </x:row>
    <x:row r="231">
      <x:c r="A231" s="12" t="str">
        <x:v>Screen Share Detail</x:v>
      </x:c>
      <x:c r="B231" s="13" t="str">
        <x:v>1080p Available?</x:v>
      </x:c>
      <x:c r="C231" s="8" t="str">
        <x:v>Yes</x:v>
      </x:c>
      <x:c r="D231" s="8"/>
      <x:c r="E231" s="8"/>
      <x:c r="F231" s="8"/>
      <x:c r="G231" s="8"/>
      <x:c r="H231" s="8" t="str">
        <x:v>Yes</x:v>
      </x:c>
      <x:c r="I231" s="8" t="str">
        <x:v>Yes</x:v>
      </x:c>
      <x:c r="J231" s="8"/>
      <x:c r="K231" s="8"/>
      <x:c r="L231" s="8" t="str">
        <x:v>Yes</x:v>
      </x:c>
      <x:c r="M231" s="8"/>
      <x:c r="N231" s="8"/>
      <x:c r="O231" s="8"/>
      <x:c r="P231" s="8"/>
      <x:c r="Q231" s="8"/>
      <x:c r="R231" s="8"/>
      <x:c r="S231" s="8"/>
      <x:c r="T231" s="8"/>
      <x:c r="U231" s="8" t="str">
        <x:v>Yes</x:v>
      </x:c>
      <x:c r="V231" s="8" t="str">
        <x:v>Yes</x:v>
      </x:c>
      <x:c r="W231" s="8"/>
      <x:c r="X231" s="8"/>
      <x:c r="Y231" s="8" t="str">
        <x:v>Yes</x:v>
      </x:c>
      <x:c r="Z231" s="8"/>
      <x:c r="AA231" s="8"/>
      <x:c r="AB231" s="8" t="str">
        <x:v>Yes</x:v>
      </x:c>
      <x:c r="AC231" s="9"/>
      <x:c r="AD231" s="8"/>
      <x:c r="AE231" s="8"/>
      <x:c r="AF231" s="8"/>
      <x:c r="AG231" s="8"/>
      <x:c r="AH231" s="14" t="n">
        <x:v>13</x:v>
      </x:c>
      <x:c r="AI231" s="15" t="str">
        <x:v>Canonical source for Screen Share Detail!13</x:v>
      </x:c>
    </x:row>
    <x:row r="232" ht="30">
      <x:c r="A232" s="12" t="str">
        <x:v>Screen Share Detail</x:v>
      </x:c>
      <x:c r="B232" s="13" t="str">
        <x:v>1080p Access (Free / Paid / Configurable)</x:v>
      </x:c>
      <x:c r="C232" s="8" t="str">
        <x:v>Paid: Nitro</x:v>
      </x:c>
      <x:c r="D232" s="8"/>
      <x:c r="E232" s="8"/>
      <x:c r="F232" s="8"/>
      <x:c r="G232" s="8"/>
      <x:c r="H232" s="8" t="str">
        <x:v>Paid: Plutonium</x:v>
      </x:c>
      <x:c r="I232" s="8" t="str">
        <x:v>Free 30 FPS; Gold+ 60 FPS</x:v>
      </x:c>
      <x:c r="J232" s="8"/>
      <x:c r="K232" s="8"/>
      <x:c r="L232" s="8" t="str">
        <x:v>Free/current</x:v>
      </x:c>
      <x:c r="M232" s="8"/>
      <x:c r="N232" s="8"/>
      <x:c r="O232" s="8"/>
      <x:c r="P232" s="8"/>
      <x:c r="Q232" s="8" t="str">
        <x:v>Free</x:v>
      </x:c>
      <x:c r="R232" s="8"/>
      <x:c r="S232" s="8"/>
      <x:c r="T232" s="8"/>
      <x:c r="U232" s="8" t="str">
        <x:v>Free</x:v>
      </x:c>
      <x:c r="V232" s="8" t="str">
        <x:v>Free</x:v>
      </x:c>
      <x:c r="W232" s="8"/>
      <x:c r="X232" s="8"/>
      <x:c r="Y232" s="8" t="str">
        <x:v>Paid: Sudo</x:v>
      </x:c>
      <x:c r="Z232" s="8"/>
      <x:c r="AA232" s="8"/>
      <x:c r="AB232" s="8" t="str">
        <x:v>Configurable/P2P</x:v>
      </x:c>
      <x:c r="AC232" s="9"/>
      <x:c r="AD232" s="8"/>
      <x:c r="AE232" s="8" t="str">
        <x:v>Free if supported</x:v>
      </x:c>
      <x:c r="AF232" s="8"/>
      <x:c r="AG232" s="8"/>
      <x:c r="AH232" s="14" t="n">
        <x:v>14</x:v>
      </x:c>
      <x:c r="AI232" s="15" t="str">
        <x:v>Canonical source for Screen Share Detail!14</x:v>
      </x:c>
    </x:row>
    <x:row r="233" ht="45">
      <x:c r="A233" s="12" t="str">
        <x:v>Screen Share Detail</x:v>
      </x:c>
      <x:c r="B233" s="13" t="str">
        <x:v>1080p Max FPS</x:v>
      </x:c>
      <x:c r="C233" s="8" t="str">
        <x:v>60</x:v>
      </x:c>
      <x:c r="D233" s="8"/>
      <x:c r="E233" s="8"/>
      <x:c r="F233" s="8"/>
      <x:c r="G233" s="8"/>
      <x:c r="H233" s="8" t="str">
        <x:v>60</x:v>
      </x:c>
      <x:c r="I233" s="8" t="str">
        <x:v>60</x:v>
      </x:c>
      <x:c r="J233" s="8"/>
      <x:c r="K233" s="8"/>
      <x:c r="L233" s="8" t="str">
        <x:v>30</x:v>
      </x:c>
      <x:c r="M233" s="8"/>
      <x:c r="N233" s="8"/>
      <x:c r="O233" s="8"/>
      <x:c r="P233" s="8"/>
      <x:c r="Q233" s="8"/>
      <x:c r="R233" s="8"/>
      <x:c r="S233" s="8"/>
      <x:c r="T233" s="8"/>
      <x:c r="U233" s="8" t="str">
        <x:v>Not publicly claimed</x:v>
      </x:c>
      <x:c r="V233" s="8" t="str">
        <x:v>60</x:v>
      </x:c>
      <x:c r="W233" s="8"/>
      <x:c r="X233" s="8"/>
      <x:c r="Y233" s="8" t="str">
        <x:v>60</x:v>
      </x:c>
      <x:c r="Z233" s="8"/>
      <x:c r="AA233" s="8"/>
      <x:c r="AB233" s="8" t="str">
        <x:v>60 observed/configurable</x:v>
      </x:c>
      <x:c r="AC233" s="9"/>
      <x:c r="AD233" s="8"/>
      <x:c r="AE233" s="8"/>
      <x:c r="AF233" s="8"/>
      <x:c r="AG233" s="8"/>
      <x:c r="AH233" s="14" t="n">
        <x:v>15</x:v>
      </x:c>
      <x:c r="AI233" s="15" t="str">
        <x:v>Canonical source for Screen Share Detail!15</x:v>
      </x:c>
    </x:row>
    <x:row r="234" ht="60">
      <x:c r="A234" s="12" t="str">
        <x:v>Screen Share Detail</x:v>
      </x:c>
      <x:c r="B234" s="13" t="str">
        <x:v>1440p Available?</x:v>
      </x:c>
      <x:c r="C234" s="8"/>
      <x:c r="D234" s="8"/>
      <x:c r="E234" s="8"/>
      <x:c r="F234" s="8"/>
      <x:c r="G234" s="8"/>
      <x:c r="H234" s="8" t="str">
        <x:v>Yes (within paid max)</x:v>
      </x:c>
      <x:c r="I234" s="8" t="str">
        <x:v>Yes</x:v>
      </x:c>
      <x:c r="J234" s="8"/>
      <x:c r="K234" s="8"/>
      <x:c r="L234" s="8" t="str">
        <x:v>Yes</x:v>
      </x:c>
      <x:c r="M234" s="8"/>
      <x:c r="N234" s="8"/>
      <x:c r="O234" s="8"/>
      <x:c r="P234" s="8"/>
      <x:c r="Q234" s="8"/>
      <x:c r="R234" s="8"/>
      <x:c r="S234" s="8"/>
      <x:c r="T234" s="8"/>
      <x:c r="U234" s="8" t="str">
        <x:v>No: current published hosted range tops out at 1080p</x:v>
      </x:c>
      <x:c r="V234" s="8" t="str">
        <x:v>Yes</x:v>
      </x:c>
      <x:c r="W234" s="8"/>
      <x:c r="X234" s="8"/>
      <x:c r="Y234" s="8" t="str">
        <x:v>Yes</x:v>
      </x:c>
      <x:c r="Z234" s="8"/>
      <x:c r="AA234" s="8"/>
      <x:c r="AB234" s="8"/>
      <x:c r="AC234" s="9"/>
      <x:c r="AD234" s="8"/>
      <x:c r="AE234" s="8"/>
      <x:c r="AF234" s="8"/>
      <x:c r="AG234" s="8"/>
      <x:c r="AH234" s="14" t="n">
        <x:v>16</x:v>
      </x:c>
      <x:c r="AI234" s="15" t="str">
        <x:v>Canonical source for Screen Share Detail!16</x:v>
      </x:c>
    </x:row>
    <x:row r="235" ht="30">
      <x:c r="A235" s="12" t="str">
        <x:v>Screen Share Detail</x:v>
      </x:c>
      <x:c r="B235" s="13" t="str">
        <x:v>1440p Access (Free / Paid / Configurable)</x:v>
      </x:c>
      <x:c r="C235" s="8"/>
      <x:c r="D235" s="8"/>
      <x:c r="E235" s="8"/>
      <x:c r="F235" s="8"/>
      <x:c r="G235" s="8"/>
      <x:c r="H235" s="8" t="str">
        <x:v>Paid: Plutonium</x:v>
      </x:c>
      <x:c r="I235" s="8" t="str">
        <x:v>Paid: Diamond</x:v>
      </x:c>
      <x:c r="J235" s="8"/>
      <x:c r="K235" s="8"/>
      <x:c r="L235" s="8" t="str">
        <x:v>Free/current</x:v>
      </x:c>
      <x:c r="M235" s="8"/>
      <x:c r="N235" s="8"/>
      <x:c r="O235" s="8"/>
      <x:c r="P235" s="8"/>
      <x:c r="Q235" s="8" t="str">
        <x:v>Free if supported; no paywall</x:v>
      </x:c>
      <x:c r="R235" s="8"/>
      <x:c r="S235" s="8"/>
      <x:c r="T235" s="8"/>
      <x:c r="U235" s="8" t="str">
        <x:v>No</x:v>
      </x:c>
      <x:c r="V235" s="8" t="str">
        <x:v>Paid: Rift+</x:v>
      </x:c>
      <x:c r="W235" s="8"/>
      <x:c r="X235" s="8"/>
      <x:c r="Y235" s="8" t="str">
        <x:v>Paid: Sudo</x:v>
      </x:c>
      <x:c r="Z235" s="8"/>
      <x:c r="AA235" s="8"/>
      <x:c r="AB235" s="8"/>
      <x:c r="AC235" s="9"/>
      <x:c r="AD235" s="8"/>
      <x:c r="AE235" s="8" t="str">
        <x:v>Free if supported</x:v>
      </x:c>
      <x:c r="AF235" s="8"/>
      <x:c r="AG235" s="8"/>
      <x:c r="AH235" s="14" t="n">
        <x:v>17</x:v>
      </x:c>
      <x:c r="AI235" s="15" t="str">
        <x:v>Canonical source for Screen Share Detail!17</x:v>
      </x:c>
    </x:row>
    <x:row r="236">
      <x:c r="A236" s="12" t="str">
        <x:v>Screen Share Detail</x:v>
      </x:c>
      <x:c r="B236" s="13" t="str">
        <x:v>1440p Max FPS</x:v>
      </x:c>
      <x:c r="C236" s="8"/>
      <x:c r="D236" s="8"/>
      <x:c r="E236" s="8"/>
      <x:c r="F236" s="8"/>
      <x:c r="G236" s="8"/>
      <x:c r="H236" s="8" t="str">
        <x:v>60</x:v>
      </x:c>
      <x:c r="I236" s="8" t="str">
        <x:v>60</x:v>
      </x:c>
      <x:c r="J236" s="8"/>
      <x:c r="K236" s="8"/>
      <x:c r="L236" s="8" t="str">
        <x:v>30</x:v>
      </x:c>
      <x:c r="M236" s="8"/>
      <x:c r="N236" s="8"/>
      <x:c r="O236" s="8"/>
      <x:c r="P236" s="8"/>
      <x:c r="Q236" s="8"/>
      <x:c r="R236" s="8"/>
      <x:c r="S236" s="8"/>
      <x:c r="T236" s="8"/>
      <x:c r="U236" s="8" t="str">
        <x:v>N/A</x:v>
      </x:c>
      <x:c r="V236" s="8" t="str">
        <x:v>60</x:v>
      </x:c>
      <x:c r="W236" s="8"/>
      <x:c r="X236" s="8"/>
      <x:c r="Y236" s="8" t="str">
        <x:v>60</x:v>
      </x:c>
      <x:c r="Z236" s="8"/>
      <x:c r="AA236" s="8"/>
      <x:c r="AB236" s="8"/>
      <x:c r="AC236" s="9"/>
      <x:c r="AD236" s="8"/>
      <x:c r="AE236" s="8"/>
      <x:c r="AF236" s="8"/>
      <x:c r="AG236" s="8"/>
      <x:c r="AH236" s="14" t="n">
        <x:v>18</x:v>
      </x:c>
      <x:c r="AI236" s="15" t="str">
        <x:v>Canonical source for Screen Share Detail!18</x:v>
      </x:c>
    </x:row>
    <x:row r="237" ht="60">
      <x:c r="A237" s="12" t="str">
        <x:v>Screen Share Detail</x:v>
      </x:c>
      <x:c r="B237" s="13" t="str">
        <x:v>4K Available?</x:v>
      </x:c>
      <x:c r="C237" s="8" t="str">
        <x:v>Yes</x:v>
      </x:c>
      <x:c r="D237" s="8"/>
      <x:c r="E237" s="8"/>
      <x:c r="F237" s="8"/>
      <x:c r="G237" s="8"/>
      <x:c r="H237" s="8" t="str">
        <x:v>Yes</x:v>
      </x:c>
      <x:c r="I237" s="8" t="str">
        <x:v>Yes</x:v>
      </x:c>
      <x:c r="J237" s="8"/>
      <x:c r="K237" s="8"/>
      <x:c r="L237" s="8" t="str">
        <x:v>Yes</x:v>
      </x:c>
      <x:c r="M237" s="8"/>
      <x:c r="N237" s="8"/>
      <x:c r="O237" s="8"/>
      <x:c r="P237" s="8"/>
      <x:c r="Q237" s="8"/>
      <x:c r="R237" s="8"/>
      <x:c r="S237" s="8"/>
      <x:c r="T237" s="8"/>
      <x:c r="U237" s="8" t="str">
        <x:v>No: current published hosted range tops out at 1080p</x:v>
      </x:c>
      <x:c r="V237" s="8" t="str">
        <x:v>Unavailable</x:v>
      </x:c>
      <x:c r="W237" s="8"/>
      <x:c r="X237" s="8"/>
      <x:c r="Y237" s="8" t="str">
        <x:v>No documented</x:v>
      </x:c>
      <x:c r="Z237" s="8"/>
      <x:c r="AA237" s="8"/>
      <x:c r="AB237" s="8"/>
      <x:c r="AC237" s="9"/>
      <x:c r="AD237" s="8"/>
      <x:c r="AE237" s="8"/>
      <x:c r="AF237" s="8"/>
      <x:c r="AG237" s="8"/>
      <x:c r="AH237" s="14" t="n">
        <x:v>19</x:v>
      </x:c>
      <x:c r="AI237" s="15" t="str">
        <x:v>Canonical source for Screen Share Detail!19</x:v>
      </x:c>
    </x:row>
    <x:row r="238" ht="30">
      <x:c r="A238" s="12" t="str">
        <x:v>Screen Share Detail</x:v>
      </x:c>
      <x:c r="B238" s="13" t="str">
        <x:v>4K Access (Free / Paid / Configurable)</x:v>
      </x:c>
      <x:c r="C238" s="8" t="str">
        <x:v>Paid: Nitro</x:v>
      </x:c>
      <x:c r="D238" s="8"/>
      <x:c r="E238" s="8"/>
      <x:c r="F238" s="8"/>
      <x:c r="G238" s="8"/>
      <x:c r="H238" s="8" t="str">
        <x:v>Paid: Plutonium</x:v>
      </x:c>
      <x:c r="I238" s="8" t="str">
        <x:v>Paid: Diamond</x:v>
      </x:c>
      <x:c r="J238" s="8"/>
      <x:c r="K238" s="8"/>
      <x:c r="L238" s="8" t="str">
        <x:v>Free/current</x:v>
      </x:c>
      <x:c r="M238" s="8"/>
      <x:c r="N238" s="8"/>
      <x:c r="O238" s="8"/>
      <x:c r="P238" s="8"/>
      <x:c r="Q238" s="8" t="str">
        <x:v>Free if supported; no paywall</x:v>
      </x:c>
      <x:c r="R238" s="8"/>
      <x:c r="S238" s="8"/>
      <x:c r="T238" s="8"/>
      <x:c r="U238" s="8" t="str">
        <x:v>No</x:v>
      </x:c>
      <x:c r="V238" s="8" t="str">
        <x:v>N/A</x:v>
      </x:c>
      <x:c r="W238" s="8"/>
      <x:c r="X238" s="8"/>
      <x:c r="Y238" s="8" t="str">
        <x:v>N/A</x:v>
      </x:c>
      <x:c r="Z238" s="8"/>
      <x:c r="AA238" s="8"/>
      <x:c r="AB238" s="8"/>
      <x:c r="AC238" s="9"/>
      <x:c r="AD238" s="8"/>
      <x:c r="AE238" s="8" t="str">
        <x:v>Free if supported</x:v>
      </x:c>
      <x:c r="AF238" s="8"/>
      <x:c r="AG238" s="8"/>
      <x:c r="AH238" s="14" t="n">
        <x:v>20</x:v>
      </x:c>
      <x:c r="AI238" s="15" t="str">
        <x:v>Canonical source for Screen Share Detail!20</x:v>
      </x:c>
    </x:row>
    <x:row r="239">
      <x:c r="A239" s="12" t="str">
        <x:v>Screen Share Detail</x:v>
      </x:c>
      <x:c r="B239" s="13" t="str">
        <x:v>4K Max FPS</x:v>
      </x:c>
      <x:c r="C239" s="8" t="str">
        <x:v>60</x:v>
      </x:c>
      <x:c r="D239" s="8"/>
      <x:c r="E239" s="8"/>
      <x:c r="F239" s="8"/>
      <x:c r="G239" s="8"/>
      <x:c r="H239" s="8" t="str">
        <x:v>60</x:v>
      </x:c>
      <x:c r="I239" s="8" t="str">
        <x:v>60</x:v>
      </x:c>
      <x:c r="J239" s="8"/>
      <x:c r="K239" s="8"/>
      <x:c r="L239" s="8" t="str">
        <x:v>30</x:v>
      </x:c>
      <x:c r="M239" s="8"/>
      <x:c r="N239" s="8"/>
      <x:c r="O239" s="8"/>
      <x:c r="P239" s="8"/>
      <x:c r="Q239" s="8"/>
      <x:c r="R239" s="8"/>
      <x:c r="S239" s="8"/>
      <x:c r="T239" s="8"/>
      <x:c r="U239" s="8" t="str">
        <x:v>N/A</x:v>
      </x:c>
      <x:c r="V239" s="8" t="str">
        <x:v>N/A</x:v>
      </x:c>
      <x:c r="W239" s="8"/>
      <x:c r="X239" s="8"/>
      <x:c r="Y239" s="8" t="str">
        <x:v>N/A</x:v>
      </x:c>
      <x:c r="Z239" s="8"/>
      <x:c r="AA239" s="8"/>
      <x:c r="AB239" s="8"/>
      <x:c r="AC239" s="9"/>
      <x:c r="AD239" s="8"/>
      <x:c r="AE239" s="8"/>
      <x:c r="AF239" s="8"/>
      <x:c r="AG239" s="8"/>
      <x:c r="AH239" s="14" t="n">
        <x:v>21</x:v>
      </x:c>
      <x:c r="AI239" s="15" t="str">
        <x:v>Canonical source for Screen Share Detail!21</x:v>
      </x:c>
    </x:row>
    <x:row r="240">
      <x:c r="A240" s="12" t="str">
        <x:v>Screen Share Detail</x:v>
      </x:c>
      <x:c r="B240" s="13" t="str">
        <x:v>30 FPS Available?</x:v>
      </x:c>
      <x:c r="C240" s="8" t="str">
        <x:v>Yes</x:v>
      </x:c>
      <x:c r="D240" s="8"/>
      <x:c r="E240" s="8"/>
      <x:c r="F240" s="8"/>
      <x:c r="G240" s="8"/>
      <x:c r="H240" s="8" t="str">
        <x:v>Yes</x:v>
      </x:c>
      <x:c r="I240" s="8" t="str">
        <x:v>Yes</x:v>
      </x:c>
      <x:c r="J240" s="8"/>
      <x:c r="K240" s="8"/>
      <x:c r="L240" s="8" t="str">
        <x:v>Yes</x:v>
      </x:c>
      <x:c r="M240" s="8"/>
      <x:c r="N240" s="8"/>
      <x:c r="O240" s="8"/>
      <x:c r="P240" s="8"/>
      <x:c r="Q240" s="8"/>
      <x:c r="R240" s="8"/>
      <x:c r="S240" s="8"/>
      <x:c r="T240" s="8"/>
      <x:c r="U240" s="8" t="str">
        <x:v>Not publicly claimed</x:v>
      </x:c>
      <x:c r="V240" s="8" t="str">
        <x:v>Yes</x:v>
      </x:c>
      <x:c r="W240" s="8"/>
      <x:c r="X240" s="8"/>
      <x:c r="Y240" s="8" t="str">
        <x:v>Yes</x:v>
      </x:c>
      <x:c r="Z240" s="8"/>
      <x:c r="AA240" s="8" t="str">
        <x:v>Yes</x:v>
      </x:c>
      <x:c r="AB240" s="8"/>
      <x:c r="AC240" s="9"/>
      <x:c r="AD240" s="8"/>
      <x:c r="AE240" s="8"/>
      <x:c r="AF240" s="8"/>
      <x:c r="AG240" s="8"/>
      <x:c r="AH240" s="14" t="n">
        <x:v>23</x:v>
      </x:c>
      <x:c r="AI240" s="15" t="str">
        <x:v>Canonical source for Screen Share Detail!23</x:v>
      </x:c>
    </x:row>
    <x:row r="241">
      <x:c r="A241" s="12" t="str">
        <x:v>Screen Share Detail</x:v>
      </x:c>
      <x:c r="B241" s="13" t="str">
        <x:v>30 FPS Access</x:v>
      </x:c>
      <x:c r="C241" s="8" t="str">
        <x:v>Free</x:v>
      </x:c>
      <x:c r="D241" s="8"/>
      <x:c r="E241" s="8"/>
      <x:c r="F241" s="8"/>
      <x:c r="G241" s="8"/>
      <x:c r="H241" s="8" t="str">
        <x:v>Free</x:v>
      </x:c>
      <x:c r="I241" s="8" t="str">
        <x:v>Free</x:v>
      </x:c>
      <x:c r="J241" s="8"/>
      <x:c r="K241" s="8"/>
      <x:c r="L241" s="8" t="str">
        <x:v>Free/current</x:v>
      </x:c>
      <x:c r="M241" s="8"/>
      <x:c r="N241" s="8"/>
      <x:c r="O241" s="8"/>
      <x:c r="P241" s="8"/>
      <x:c r="Q241" s="8" t="str">
        <x:v>Free if supported</x:v>
      </x:c>
      <x:c r="R241" s="8"/>
      <x:c r="S241" s="8"/>
      <x:c r="T241" s="8"/>
      <x:c r="U241" s="8"/>
      <x:c r="V241" s="8" t="str">
        <x:v>Free</x:v>
      </x:c>
      <x:c r="W241" s="8"/>
      <x:c r="X241" s="8"/>
      <x:c r="Y241" s="8" t="str">
        <x:v>Free / paid selectable</x:v>
      </x:c>
      <x:c r="Z241" s="8"/>
      <x:c r="AA241" s="8" t="str">
        <x:v>Free / current default</x:v>
      </x:c>
      <x:c r="AB241" s="8" t="str">
        <x:v>Configurable</x:v>
      </x:c>
      <x:c r="AC241" s="9"/>
      <x:c r="AD241" s="8"/>
      <x:c r="AE241" s="8" t="str">
        <x:v>Free if supported</x:v>
      </x:c>
      <x:c r="AF241" s="8"/>
      <x:c r="AG241" s="8"/>
      <x:c r="AH241" s="14" t="n">
        <x:v>24</x:v>
      </x:c>
      <x:c r="AI241" s="15" t="str">
        <x:v>Canonical source for Screen Share Detail!24</x:v>
      </x:c>
    </x:row>
    <x:row r="242" ht="75">
      <x:c r="A242" s="12" t="str">
        <x:v>Screen Share Detail</x:v>
      </x:c>
      <x:c r="B242" s="13" t="str">
        <x:v>60 FPS Available?</x:v>
      </x:c>
      <x:c r="C242" s="8" t="str">
        <x:v>Yes</x:v>
      </x:c>
      <x:c r="D242" s="8"/>
      <x:c r="E242" s="8" t="str">
        <x:v>Yes</x:v>
      </x:c>
      <x:c r="F242" s="8"/>
      <x:c r="G242" s="8"/>
      <x:c r="H242" s="8" t="str">
        <x:v>Yes</x:v>
      </x:c>
      <x:c r="I242" s="8" t="str">
        <x:v>Yes</x:v>
      </x:c>
      <x:c r="J242" s="8"/>
      <x:c r="K242" s="8"/>
      <x:c r="L242" s="8" t="str">
        <x:v>No in the current documented quality presets; developer questionnaire reported 4K60</x:v>
      </x:c>
      <x:c r="M242" s="8"/>
      <x:c r="N242" s="8"/>
      <x:c r="O242" s="8"/>
      <x:c r="P242" s="8"/>
      <x:c r="Q242" s="8"/>
      <x:c r="R242" s="8"/>
      <x:c r="S242" s="8"/>
      <x:c r="T242" s="8"/>
      <x:c r="U242" s="8" t="str">
        <x:v>Not publicly claimed</x:v>
      </x:c>
      <x:c r="V242" s="8" t="str">
        <x:v>Yes</x:v>
      </x:c>
      <x:c r="W242" s="8"/>
      <x:c r="X242" s="8"/>
      <x:c r="Y242" s="8" t="str">
        <x:v>Yes</x:v>
      </x:c>
      <x:c r="Z242" s="8"/>
      <x:c r="AA242" s="8"/>
      <x:c r="AB242" s="8"/>
      <x:c r="AC242" s="9"/>
      <x:c r="AD242" s="8"/>
      <x:c r="AE242" s="8"/>
      <x:c r="AF242" s="8"/>
      <x:c r="AG242" s="8"/>
      <x:c r="AH242" s="14" t="n">
        <x:v>25</x:v>
      </x:c>
      <x:c r="AI242" s="15" t="str">
        <x:v>Canonical source for Screen Share Detail!25</x:v>
      </x:c>
    </x:row>
    <x:row r="243" ht="75">
      <x:c r="A243" s="12" t="str">
        <x:v>Screen Share Detail</x:v>
      </x:c>
      <x:c r="B243" s="13" t="str">
        <x:v>60 FPS Access</x:v>
      </x:c>
      <x:c r="C243" s="8" t="str">
        <x:v>Paid: Nitro</x:v>
      </x:c>
      <x:c r="D243" s="8"/>
      <x:c r="E243" s="8"/>
      <x:c r="F243" s="8"/>
      <x:c r="G243" s="8"/>
      <x:c r="H243" s="8" t="str">
        <x:v>Paid: Plutonium</x:v>
      </x:c>
      <x:c r="I243" s="8" t="str">
        <x:v>Gold+ / Diamond</x:v>
      </x:c>
      <x:c r="J243" s="8"/>
      <x:c r="K243" s="8"/>
      <x:c r="L243" s="8" t="str">
        <x:v>Developer-reported 4K60 claim; public documentation currently document 30 FPS presets</x:v>
      </x:c>
      <x:c r="M243" s="8"/>
      <x:c r="N243" s="8"/>
      <x:c r="O243" s="8"/>
      <x:c r="P243" s="8"/>
      <x:c r="Q243" s="8" t="str">
        <x:v>Free if supported</x:v>
      </x:c>
      <x:c r="R243" s="8"/>
      <x:c r="S243" s="8"/>
      <x:c r="T243" s="8"/>
      <x:c r="U243" s="8"/>
      <x:c r="V243" s="8" t="str">
        <x:v>Free through 1080p; 1440p60 with Rift+</x:v>
      </x:c>
      <x:c r="W243" s="8"/>
      <x:c r="X243" s="8"/>
      <x:c r="Y243" s="8" t="str">
        <x:v>Paid: Sudo</x:v>
      </x:c>
      <x:c r="Z243" s="8"/>
      <x:c r="AA243" s="8"/>
      <x:c r="AB243" s="8" t="str">
        <x:v>Configurable</x:v>
      </x:c>
      <x:c r="AC243" s="9"/>
      <x:c r="AD243" s="8"/>
      <x:c r="AE243" s="8" t="str">
        <x:v>Free if supported</x:v>
      </x:c>
      <x:c r="AF243" s="8"/>
      <x:c r="AG243" s="8"/>
      <x:c r="AH243" s="14" t="n">
        <x:v>26</x:v>
      </x:c>
      <x:c r="AI243" s="15" t="str">
        <x:v>Canonical source for Screen Share Detail!26</x:v>
      </x:c>
    </x:row>
    <x:row r="244" ht="30">
      <x:c r="A244" s="12" t="str">
        <x:v>Screen Share Detail</x:v>
      </x:c>
      <x:c r="B244" s="13" t="str">
        <x:v>120 FPS Available?</x:v>
      </x:c>
      <x:c r="C244" s="8" t="str">
        <x:v>No</x:v>
      </x:c>
      <x:c r="D244" s="8"/>
      <x:c r="E244" s="8" t="str">
        <x:v>Yes</x:v>
      </x:c>
      <x:c r="F244" s="8"/>
      <x:c r="G244" s="8"/>
      <x:c r="H244" s="8" t="str">
        <x:v>No</x:v>
      </x:c>
      <x:c r="I244" s="8" t="str">
        <x:v>No</x:v>
      </x:c>
      <x:c r="J244" s="8"/>
      <x:c r="K244" s="8"/>
      <x:c r="L244" s="8" t="str">
        <x:v>No documented 120 FPS mode</x:v>
      </x:c>
      <x:c r="M244" s="8"/>
      <x:c r="N244" s="8"/>
      <x:c r="O244" s="8"/>
      <x:c r="P244" s="8"/>
      <x:c r="Q244" s="8"/>
      <x:c r="R244" s="8"/>
      <x:c r="S244" s="8"/>
      <x:c r="T244" s="8"/>
      <x:c r="U244" s="8"/>
      <x:c r="V244" s="8" t="str">
        <x:v>N/A</x:v>
      </x:c>
      <x:c r="W244" s="8"/>
      <x:c r="X244" s="8"/>
      <x:c r="Y244" s="8" t="str">
        <x:v>No</x:v>
      </x:c>
      <x:c r="Z244" s="8"/>
      <x:c r="AA244" s="8"/>
      <x:c r="AB244" s="8"/>
      <x:c r="AC244" s="9"/>
      <x:c r="AD244" s="8"/>
      <x:c r="AE244" s="8"/>
      <x:c r="AF244" s="8"/>
      <x:c r="AG244" s="8"/>
      <x:c r="AH244" s="14" t="n">
        <x:v>27</x:v>
      </x:c>
      <x:c r="AI244" s="15" t="str">
        <x:v>Canonical source for Screen Share Detail!27</x:v>
      </x:c>
    </x:row>
    <x:row r="245" ht="30">
      <x:c r="A245" s="12" t="str">
        <x:v>Screen Share Detail</x:v>
      </x:c>
      <x:c r="B245" s="13" t="str">
        <x:v>120 FPS Access</x:v>
      </x:c>
      <x:c r="C245" s="8" t="str">
        <x:v>No documented</x:v>
      </x:c>
      <x:c r="D245" s="8"/>
      <x:c r="E245" s="8"/>
      <x:c r="F245" s="8"/>
      <x:c r="G245" s="8"/>
      <x:c r="H245" s="8" t="str">
        <x:v>No documented</x:v>
      </x:c>
      <x:c r="I245" s="8" t="str">
        <x:v>No documented</x:v>
      </x:c>
      <x:c r="J245" s="8"/>
      <x:c r="K245" s="8"/>
      <x:c r="L245" s="8" t="str">
        <x:v>No documented 120 FPS mode</x:v>
      </x:c>
      <x:c r="M245" s="8"/>
      <x:c r="N245" s="8"/>
      <x:c r="O245" s="8"/>
      <x:c r="P245" s="8"/>
      <x:c r="Q245" s="8"/>
      <x:c r="R245" s="8"/>
      <x:c r="S245" s="8"/>
      <x:c r="T245" s="8"/>
      <x:c r="U245" s="8"/>
      <x:c r="V245" s="8" t="str">
        <x:v>N/A</x:v>
      </x:c>
      <x:c r="W245" s="8"/>
      <x:c r="X245" s="8"/>
      <x:c r="Y245" s="8" t="str">
        <x:v>No documented</x:v>
      </x:c>
      <x:c r="Z245" s="8"/>
      <x:c r="AA245" s="8"/>
      <x:c r="AB245" s="8"/>
      <x:c r="AC245" s="9"/>
      <x:c r="AD245" s="8"/>
      <x:c r="AE245" s="8"/>
      <x:c r="AF245" s="8"/>
      <x:c r="AG245" s="8"/>
      <x:c r="AH245" s="14" t="n">
        <x:v>28</x:v>
      </x:c>
      <x:c r="AI245" s="15" t="str">
        <x:v>Canonical source for Screen Share Detail!28</x:v>
      </x:c>
    </x:row>
    <x:row r="246" ht="120">
      <x:c r="A246" s="12" t="str">
        <x:v>Screen Share Detail</x:v>
      </x:c>
      <x:c r="B246" s="13" t="str">
        <x:v>Free Max Resolution</x:v>
      </x:c>
      <x:c r="C246" s="8" t="str">
        <x:v>720p</x:v>
      </x:c>
      <x:c r="D246" s="8"/>
      <x:c r="E246" s="8" t="str">
        <x:v>Up to 4K</x:v>
      </x:c>
      <x:c r="F246" s="8"/>
      <x:c r="G246" s="8"/>
      <x:c r="H246" s="8" t="str">
        <x:v>720p</x:v>
      </x:c>
      <x:c r="I246" s="8" t="str">
        <x:v>1080p</x:v>
      </x:c>
      <x:c r="J246" s="8" t="str">
        <x:v>N/A</x:v>
      </x:c>
      <x:c r="K246" s="8"/>
      <x:c r="L246" s="8" t="str">
        <x:v>4K native Source preset at 30 FPS is publicly documented; browser Source has an 8K defensive bound. Developer questionnaire reported 4K60.</x:v>
      </x:c>
      <x:c r="M246" s="8"/>
      <x:c r="N246" s="8"/>
      <x:c r="O246" s="8" t="str">
        <x:v>Client-dependent</x:v>
      </x:c>
      <x:c r="P246" s="8" t="str">
        <x:v>Deployment/plan dependent</x:v>
      </x:c>
      <x:c r="Q246" s="8"/>
      <x:c r="R246" s="8" t="str">
        <x:v>N/A</x:v>
      </x:c>
      <x:c r="S246" s="8"/>
      <x:c r="T246" s="8"/>
      <x:c r="U246" s="8" t="str">
        <x:v>1080p</x:v>
      </x:c>
      <x:c r="V246" s="8" t="str">
        <x:v>1080p free</x:v>
      </x:c>
      <x:c r="W246" s="8" t="str">
        <x:v>Provider-dependent</x:v>
      </x:c>
      <x:c r="X246" s="8" t="str">
        <x:v>N/A</x:v>
      </x:c>
      <x:c r="Y246" s="8" t="str">
        <x:v>720p game / Source text mode</x:v>
      </x:c>
      <x:c r="Z246" s="8" t="str">
        <x:v>Operator/config dependent</x:v>
      </x:c>
      <x:c r="AA246" s="8" t="str">
        <x:v>720p</x:v>
      </x:c>
      <x:c r="AB246" s="8"/>
      <x:c r="AC246" s="9"/>
      <x:c r="AD246" s="8"/>
      <x:c r="AE246" s="8"/>
      <x:c r="AF246" s="8" t="str">
        <x:v>Up to 1440p</x:v>
      </x:c>
      <x:c r="AG246" s="8" t="str">
        <x:v>Provider-dependent</x:v>
      </x:c>
      <x:c r="AH246" s="14" t="n">
        <x:v>30</x:v>
      </x:c>
      <x:c r="AI246" s="15" t="str">
        <x:v>Canonical source for Screen Share Detail!30</x:v>
      </x:c>
    </x:row>
    <x:row r="247" ht="75">
      <x:c r="A247" s="12" t="str">
        <x:v>Screen Share Detail</x:v>
      </x:c>
      <x:c r="B247" s="13" t="str">
        <x:v>Free Max FPS</x:v>
      </x:c>
      <x:c r="C247" s="8" t="str">
        <x:v>30</x:v>
      </x:c>
      <x:c r="D247" s="8"/>
      <x:c r="E247" s="8" t="str">
        <x:v>Up to 60/120 by version/config</x:v>
      </x:c>
      <x:c r="F247" s="8"/>
      <x:c r="G247" s="8"/>
      <x:c r="H247" s="8" t="str">
        <x:v>30</x:v>
      </x:c>
      <x:c r="I247" s="8" t="str">
        <x:v>30</x:v>
      </x:c>
      <x:c r="J247" s="8" t="str">
        <x:v>N/A</x:v>
      </x:c>
      <x:c r="K247" s="8"/>
      <x:c r="L247" s="8" t="str">
        <x:v>30 FPS in current documented presets; developer questionnaire reported 60 FPS</x:v>
      </x:c>
      <x:c r="M247" s="8"/>
      <x:c r="N247" s="8"/>
      <x:c r="O247" s="8" t="str">
        <x:v>Client-dependent</x:v>
      </x:c>
      <x:c r="P247" s="8" t="str">
        <x:v>Deployment/plan dependent</x:v>
      </x:c>
      <x:c r="Q247" s="8"/>
      <x:c r="R247" s="8" t="str">
        <x:v>N/A</x:v>
      </x:c>
      <x:c r="S247" s="8"/>
      <x:c r="T247" s="8"/>
      <x:c r="U247" s="8" t="str">
        <x:v>Not publicly claimed</x:v>
      </x:c>
      <x:c r="V247" s="8" t="str">
        <x:v>60</x:v>
      </x:c>
      <x:c r="W247" s="8" t="str">
        <x:v>Provider-dependent</x:v>
      </x:c>
      <x:c r="X247" s="8" t="str">
        <x:v>N/A</x:v>
      </x:c>
      <x:c r="Y247" s="8" t="str">
        <x:v>30 game / 5 source</x:v>
      </x:c>
      <x:c r="Z247" s="8"/>
      <x:c r="AA247" s="8" t="n">
        <x:v>30</x:v>
      </x:c>
      <x:c r="AB247" s="8"/>
      <x:c r="AC247" s="9"/>
      <x:c r="AD247" s="8"/>
      <x:c r="AE247" s="8"/>
      <x:c r="AF247" s="8"/>
      <x:c r="AG247" s="8" t="str">
        <x:v>Provider-dependent</x:v>
      </x:c>
      <x:c r="AH247" s="14" t="n">
        <x:v>31</x:v>
      </x:c>
      <x:c r="AI247" s="15" t="str">
        <x:v>Canonical source for Screen Share Detail!31</x:v>
      </x:c>
    </x:row>
    <x:row r="248" ht="120">
      <x:c r="A248" s="12" t="str">
        <x:v>Screen Share Detail</x:v>
      </x:c>
      <x:c r="B248" s="13" t="str">
        <x:v>Absolute Max Resolution</x:v>
      </x:c>
      <x:c r="C248" s="8" t="str">
        <x:v>4K</x:v>
      </x:c>
      <x:c r="D248" s="8"/>
      <x:c r="E248" s="8"/>
      <x:c r="F248" s="8"/>
      <x:c r="G248" s="8"/>
      <x:c r="H248" s="8" t="str">
        <x:v>4K</x:v>
      </x:c>
      <x:c r="I248" s="8" t="str">
        <x:v>4K</x:v>
      </x:c>
      <x:c r="J248" s="8"/>
      <x:c r="K248" s="8"/>
      <x:c r="L248" s="8" t="str">
        <x:v>4K native Source preset at 30 FPS is publicly documented; browser Source has an 8K defensive bound. Developer questionnaire reported 4K60.</x:v>
      </x:c>
      <x:c r="M248" s="8"/>
      <x:c r="N248" s="8"/>
      <x:c r="O248" s="8"/>
      <x:c r="P248" s="8"/>
      <x:c r="Q248" s="8"/>
      <x:c r="R248" s="8"/>
      <x:c r="S248" s="8"/>
      <x:c r="T248" s="8"/>
      <x:c r="U248" s="8" t="str">
        <x:v>1080p</x:v>
      </x:c>
      <x:c r="V248" s="8" t="str">
        <x:v>1440p</x:v>
      </x:c>
      <x:c r="W248" s="8"/>
      <x:c r="X248" s="8"/>
      <x:c r="Y248" s="8" t="str">
        <x:v>1440p</x:v>
      </x:c>
      <x:c r="Z248" s="8"/>
      <x:c r="AA248" s="8" t="str">
        <x:v>720p currently published</x:v>
      </x:c>
      <x:c r="AB248" s="8"/>
      <x:c r="AC248" s="9"/>
      <x:c r="AD248" s="8"/>
      <x:c r="AE248" s="8"/>
      <x:c r="AF248" s="8"/>
      <x:c r="AG248" s="8"/>
      <x:c r="AH248" s="14" t="n">
        <x:v>32</x:v>
      </x:c>
      <x:c r="AI248" s="15" t="str">
        <x:v>Canonical source for Screen Share Detail!32</x:v>
      </x:c>
    </x:row>
    <x:row r="249" ht="75">
      <x:c r="A249" s="12" t="str">
        <x:v>Screen Share Detail</x:v>
      </x:c>
      <x:c r="B249" s="13" t="str">
        <x:v>Absolute Max FPS</x:v>
      </x:c>
      <x:c r="C249" s="8" t="str">
        <x:v>60</x:v>
      </x:c>
      <x:c r="D249" s="8"/>
      <x:c r="E249" s="8"/>
      <x:c r="F249" s="8"/>
      <x:c r="G249" s="8"/>
      <x:c r="H249" s="8" t="str">
        <x:v>60</x:v>
      </x:c>
      <x:c r="I249" s="8" t="str">
        <x:v>60</x:v>
      </x:c>
      <x:c r="J249" s="8"/>
      <x:c r="K249" s="8"/>
      <x:c r="L249" s="8" t="str">
        <x:v>30 FPS in current documented presets; developer questionnaire reported 60 FPS</x:v>
      </x:c>
      <x:c r="M249" s="8"/>
      <x:c r="N249" s="8"/>
      <x:c r="O249" s="8"/>
      <x:c r="P249" s="8"/>
      <x:c r="Q249" s="8"/>
      <x:c r="R249" s="8"/>
      <x:c r="S249" s="8"/>
      <x:c r="T249" s="8"/>
      <x:c r="U249" s="8" t="str">
        <x:v>Not publicly claimed</x:v>
      </x:c>
      <x:c r="V249" s="8" t="str">
        <x:v>60</x:v>
      </x:c>
      <x:c r="W249" s="8"/>
      <x:c r="X249" s="8"/>
      <x:c r="Y249" s="8" t="str">
        <x:v>60</x:v>
      </x:c>
      <x:c r="Z249" s="8"/>
      <x:c r="AA249" s="8" t="n">
        <x:v>30</x:v>
      </x:c>
      <x:c r="AB249" s="8"/>
      <x:c r="AC249" s="9"/>
      <x:c r="AD249" s="8"/>
      <x:c r="AE249" s="8"/>
      <x:c r="AF249" s="8"/>
      <x:c r="AG249" s="8"/>
      <x:c r="AH249" s="14" t="n">
        <x:v>33</x:v>
      </x:c>
      <x:c r="AI249" s="15" t="str">
        <x:v>Canonical source for Screen Share Detail!33</x:v>
      </x:c>
    </x:row>
    <x:row r="250" ht="45">
      <x:c r="A250" s="12" t="str">
        <x:v>Screen Share Detail</x:v>
      </x:c>
      <x:c r="B250" s="13" t="str">
        <x:v>Paid Tier Needed for Absolute Max</x:v>
      </x:c>
      <x:c r="C250" s="8" t="str">
        <x:v>Nitro</x:v>
      </x:c>
      <x:c r="D250" s="8"/>
      <x:c r="E250" s="8"/>
      <x:c r="F250" s="8"/>
      <x:c r="G250" s="8"/>
      <x:c r="H250" s="8" t="str">
        <x:v>Plutonium</x:v>
      </x:c>
      <x:c r="I250" s="8" t="str">
        <x:v>Diamond</x:v>
      </x:c>
      <x:c r="J250" s="8"/>
      <x:c r="K250" s="8"/>
      <x:c r="L250" s="8" t="str">
        <x:v>No paid tier</x:v>
      </x:c>
      <x:c r="M250" s="8"/>
      <x:c r="N250" s="8"/>
      <x:c r="O250" s="8"/>
      <x:c r="P250" s="8"/>
      <x:c r="Q250" s="8" t="str">
        <x:v>None</x:v>
      </x:c>
      <x:c r="R250" s="8"/>
      <x:c r="S250" s="8"/>
      <x:c r="T250" s="8"/>
      <x:c r="U250" s="8" t="str">
        <x:v>No</x:v>
      </x:c>
      <x:c r="V250" s="8" t="str">
        <x:v>Rift +</x:v>
      </x:c>
      <x:c r="W250" s="8"/>
      <x:c r="X250" s="8"/>
      <x:c r="Y250" s="8" t="str">
        <x:v>Sudo</x:v>
      </x:c>
      <x:c r="Z250" s="8"/>
      <x:c r="AA250" s="8" t="str">
        <x:v>No separate tier stated</x:v>
      </x:c>
      <x:c r="AB250" s="8"/>
      <x:c r="AC250" s="9"/>
      <x:c r="AD250" s="8"/>
      <x:c r="AE250" s="8" t="str">
        <x:v>None for core voice/video/screen share</x:v>
      </x:c>
      <x:c r="AF250" s="8"/>
      <x:c r="AG250" s="8"/>
      <x:c r="AH250" s="14" t="n">
        <x:v>34</x:v>
      </x:c>
      <x:c r="AI250" s="15" t="str">
        <x:v>Canonical source for Screen Share Detail!34</x:v>
      </x:c>
    </x:row>
    <x:row r="251" ht="120">
      <x:c r="A251" s="12" t="str">
        <x:v>Screen Share Detail</x:v>
      </x:c>
      <x:c r="B251" s="13" t="str">
        <x:v>Application Audio Capture?</x:v>
      </x:c>
      <x:c r="C251" s="8" t="str">
        <x:v>Yes: Windows, macOS, Chrome, mobile; Linux audio sharing unavailable</x:v>
      </x:c>
      <x:c r="D251" s="8"/>
      <x:c r="E251" s="8" t="str">
        <x:v>Yes</x:v>
      </x:c>
      <x:c r="F251" s="8" t="str">
        <x:v>Yes</x:v>
      </x:c>
      <x:c r="G251" s="8" t="str">
        <x:v>Yes: screen sharing exists in alpha</x:v>
      </x:c>
      <x:c r="H251" s="8" t="str">
        <x:v>Yes</x:v>
      </x:c>
      <x:c r="I251" s="8" t="str">
        <x:v>Yes</x:v>
      </x:c>
      <x:c r="J251" s="8"/>
      <x:c r="K251" s="8" t="str">
        <x:v>Yes on supported desktop platforms; per-app capture documented for Windows/Linux</x:v>
      </x:c>
      <x:c r="L251" s="8" t="str">
        <x:v>Browser audio capture depends on the browser and shared surface. Native desktop system-audio loopback is disabled. Android and iOS screen share excludes system audio.</x:v>
      </x:c>
      <x:c r="M251" s="8"/>
      <x:c r="N251" s="8" t="str">
        <x:v>Yes</x:v>
      </x:c>
      <x:c r="O251" s="8" t="str">
        <x:v>Varies by client</x:v>
      </x:c>
      <x:c r="P251" s="8" t="str">
        <x:v>Yes</x:v>
      </x:c>
      <x:c r="Q251" s="8" t="str">
        <x:v>Yes</x:v>
      </x:c>
      <x:c r="R251" s="8" t="str">
        <x:v>N/A</x:v>
      </x:c>
      <x:c r="S251" s="8"/>
      <x:c r="T251" s="8" t="str">
        <x:v>Yes</x:v>
      </x:c>
      <x:c r="U251" s="8" t="str">
        <x:v>Yes: browser tab audio</x:v>
      </x:c>
      <x:c r="V251" s="8" t="str">
        <x:v>Yes</x:v>
      </x:c>
      <x:c r="W251" s="8" t="str">
        <x:v>Provider-dependent</x:v>
      </x:c>
      <x:c r="X251" s="8" t="str">
        <x:v>N/A</x:v>
      </x:c>
      <x:c r="Y251" s="8" t="str">
        <x:v>Yes: share stream audio</x:v>
      </x:c>
      <x:c r="Z251" s="8" t="str">
        <x:v>Go Live supported by recommended Pion implementation</x:v>
      </x:c>
      <x:c r="AA251" s="8" t="str">
        <x:v>Yes: whole-screen and window audio</x:v>
      </x:c>
      <x:c r="AB251" s="8" t="str">
        <x:v>Yes</x:v>
      </x:c>
      <x:c r="AC251" s="9"/>
      <x:c r="AD251" s="8"/>
      <x:c r="AE251" s="8" t="str">
        <x:v>Yes</x:v>
      </x:c>
      <x:c r="AF251" s="8" t="str">
        <x:v>Yes: screen share with audio</x:v>
      </x:c>
      <x:c r="AG251" s="8" t="str">
        <x:v>Provider-dependent</x:v>
      </x:c>
      <x:c r="AH251" s="14" t="n">
        <x:v>36</x:v>
      </x:c>
      <x:c r="AI251" s="15" t="str">
        <x:v>Shared metric: Video &amp; Screen Sharing: Application Audio Capture | Video &amp; Screen Sharing: Application Audio Capture? | Screen Share Detail: Application Audio Capture? | Media &amp; Limits: Application Audio Capture</x:v>
      </x:c>
    </x:row>
    <x:row r="252" ht="120">
      <x:c r="A252" s="12" t="str">
        <x:v>Screen Share Detail</x:v>
      </x:c>
      <x:c r="B252" s="13" t="str">
        <x:v>System Audio Capture?</x:v>
      </x:c>
      <x:c r="C252" s="8" t="str">
        <x:v>Yes on supported platforms</x:v>
      </x:c>
      <x:c r="D252" s="8"/>
      <x:c r="E252" s="8"/>
      <x:c r="F252" s="8"/>
      <x:c r="G252" s="8"/>
      <x:c r="H252" s="8" t="str">
        <x:v>Yes on supported desktop paths</x:v>
      </x:c>
      <x:c r="I252" s="8"/>
      <x:c r="J252" s="8"/>
      <x:c r="K252" s="8"/>
      <x:c r="L252" s="8" t="str">
        <x:v>Browser audio capture depends on the browser and shared surface. Native desktop system-audio loopback is disabled. Android and iOS screen share excludes system audio.</x:v>
      </x:c>
      <x:c r="M252" s="8"/>
      <x:c r="N252" s="8"/>
      <x:c r="O252" s="8" t="str">
        <x:v>Varies by client</x:v>
      </x:c>
      <x:c r="P252" s="8" t="str">
        <x:v>Yes</x:v>
      </x:c>
      <x:c r="Q252" s="8"/>
      <x:c r="R252" s="8" t="str">
        <x:v>N/A</x:v>
      </x:c>
      <x:c r="S252" s="8"/>
      <x:c r="T252" s="8"/>
      <x:c r="U252" s="8" t="str">
        <x:v>Browser tab audio supported; full system-audio capture not publicly claimed</x:v>
      </x:c>
      <x:c r="V252" s="8" t="str">
        <x:v>Yes</x:v>
      </x:c>
      <x:c r="W252" s="8" t="str">
        <x:v>Provider-dependent</x:v>
      </x:c>
      <x:c r="X252" s="8" t="str">
        <x:v>N/A</x:v>
      </x:c>
      <x:c r="Y252" s="8" t="str">
        <x:v>Yes on supported desktop</x:v>
      </x:c>
      <x:c r="Z252" s="8"/>
      <x:c r="AA252" s="8" t="str">
        <x:v>Yes: whole-screen/window audio; Wayland audio can be unreliable</x:v>
      </x:c>
      <x:c r="AB252" s="8"/>
      <x:c r="AC252" s="9"/>
      <x:c r="AD252" s="8"/>
      <x:c r="AE252" s="8"/>
      <x:c r="AF252" s="8"/>
      <x:c r="AG252" s="8" t="str">
        <x:v>Provider-dependent</x:v>
      </x:c>
      <x:c r="AH252" s="14" t="n">
        <x:v>37</x:v>
      </x:c>
      <x:c r="AI252" s="15" t="str">
        <x:v>Shared metric: Video &amp; Screen Sharing: System Audio Capture | Video &amp; Screen Sharing: System Audio Capture? | Screen Share Detail: System Audio Capture? | Media &amp; Limits: System Audio Capture</x:v>
      </x:c>
    </x:row>
    <x:row r="253" ht="75">
      <x:c r="A253" s="12" t="str">
        <x:v>Screen Share Detail</x:v>
      </x:c>
      <x:c r="B253" s="13" t="str">
        <x:v>Linux Screen Audio?</x:v>
      </x:c>
      <x:c r="C253" s="8" t="str">
        <x:v>Linux audio-share limitations</x:v>
      </x:c>
      <x:c r="D253" s="8"/>
      <x:c r="E253" s="8"/>
      <x:c r="F253" s="8"/>
      <x:c r="G253" s="8"/>
      <x:c r="H253" s="8"/>
      <x:c r="I253" s="8"/>
      <x:c r="J253" s="8"/>
      <x:c r="K253" s="8"/>
      <x:c r="L253" s="8" t="str">
        <x:v>No: current native desktop common mixer contract is not enabled; browser may provide surface audio</x:v>
      </x:c>
      <x:c r="M253" s="8"/>
      <x:c r="N253" s="8"/>
      <x:c r="O253" s="8" t="str">
        <x:v>Client-dependent</x:v>
      </x:c>
      <x:c r="P253" s="8" t="str">
        <x:v>Depends desktop/Linux support</x:v>
      </x:c>
      <x:c r="Q253" s="8"/>
      <x:c r="R253" s="8" t="str">
        <x:v>N/A</x:v>
      </x:c>
      <x:c r="S253" s="8"/>
      <x:c r="T253" s="8"/>
      <x:c r="U253" s="8" t="str">
        <x:v>Not publicly claimed separately</x:v>
      </x:c>
      <x:c r="V253" s="8" t="str">
        <x:v>Yes</x:v>
      </x:c>
      <x:c r="W253" s="8" t="str">
        <x:v>Provider-dependent</x:v>
      </x:c>
      <x:c r="X253" s="8" t="str">
        <x:v>N/A</x:v>
      </x:c>
      <x:c r="Y253" s="8"/>
      <x:c r="Z253" s="8"/>
      <x:c r="AA253" s="8" t="str">
        <x:v>Yes: Wayland sound broadcasting may be unreliable</x:v>
      </x:c>
      <x:c r="AB253" s="8"/>
      <x:c r="AC253" s="9"/>
      <x:c r="AD253" s="8" t="str">
        <x:v>Linux mic I/O known rough edge</x:v>
      </x:c>
      <x:c r="AE253" s="8"/>
      <x:c r="AF253" s="8"/>
      <x:c r="AG253" s="8" t="str">
        <x:v>Provider-dependent</x:v>
      </x:c>
      <x:c r="AH253" s="14" t="n">
        <x:v>38</x:v>
      </x:c>
      <x:c r="AI253" s="15" t="str">
        <x:v>Shared metric: Video &amp; Screen Sharing: Linux Screen Audio? | Screen Share Detail: Linux Screen Audio?</x:v>
      </x:c>
    </x:row>
    <x:row r="254" ht="60">
      <x:c r="A254" s="12" t="str">
        <x:v>Screen Share Detail</x:v>
      </x:c>
      <x:c r="B254" s="13" t="str">
        <x:v>Mobile Screen Share?</x:v>
      </x:c>
      <x:c r="C254" s="8" t="str">
        <x:v>Mobile screen share supported</x:v>
      </x:c>
      <x:c r="D254" s="8"/>
      <x:c r="E254" s="8"/>
      <x:c r="F254" s="8"/>
      <x:c r="G254" s="8"/>
      <x:c r="H254" s="8"/>
      <x:c r="I254" s="8"/>
      <x:c r="J254" s="8"/>
      <x:c r="K254" s="8"/>
      <x:c r="L254" s="8" t="str">
        <x:v>Yes: Android MediaProjection and iOS ReplayKit paths documented</x:v>
      </x:c>
      <x:c r="M254" s="8"/>
      <x:c r="N254" s="8"/>
      <x:c r="O254" s="8" t="str">
        <x:v>Client-dependent</x:v>
      </x:c>
      <x:c r="P254" s="8" t="str">
        <x:v>Mobile behavior varies</x:v>
      </x:c>
      <x:c r="Q254" s="8"/>
      <x:c r="R254" s="8" t="str">
        <x:v>N/A</x:v>
      </x:c>
      <x:c r="S254" s="8"/>
      <x:c r="T254" s="8"/>
      <x:c r="U254" s="8"/>
      <x:c r="V254" s="8" t="str">
        <x:v>Yes - App or Screen</x:v>
      </x:c>
      <x:c r="W254" s="8" t="str">
        <x:v>Provider-dependent</x:v>
      </x:c>
      <x:c r="X254" s="8" t="str">
        <x:v>N/A</x:v>
      </x:c>
      <x:c r="Y254" s="8" t="str">
        <x:v>No sharing from mobile</x:v>
      </x:c>
      <x:c r="Z254" s="8"/>
      <x:c r="AA254" s="8" t="str">
        <x:v>Yes: mobile web, iOS TestFlight and Android</x:v>
      </x:c>
      <x:c r="AB254" s="8"/>
      <x:c r="AC254" s="9"/>
      <x:c r="AD254" s="8"/>
      <x:c r="AE254" s="8"/>
      <x:c r="AF254" s="8"/>
      <x:c r="AG254" s="8" t="str">
        <x:v>Provider-dependent</x:v>
      </x:c>
      <x:c r="AH254" s="14" t="n">
        <x:v>39</x:v>
      </x:c>
      <x:c r="AI254" s="15" t="str">
        <x:v>Shared metric: Video &amp; Screen Sharing: Mobile Screen Share? | Screen Share Detail: Mobile Screen Share?</x:v>
      </x:c>
    </x:row>
    <x:row r="255" ht="45">
      <x:c r="A255" s="12" t="str">
        <x:v>Screen Share Detail</x:v>
      </x:c>
      <x:c r="B255" s="13" t="str">
        <x:v>Multiple Concurrent Screen Shares?</x:v>
      </x:c>
      <x:c r="C255" s="8"/>
      <x:c r="D255" s="8"/>
      <x:c r="E255" s="8"/>
      <x:c r="F255" s="8"/>
      <x:c r="G255" s="8"/>
      <x:c r="H255" s="8"/>
      <x:c r="I255" s="8"/>
      <x:c r="J255" s="8"/>
      <x:c r="K255" s="8" t="str">
        <x:v>P2P</x:v>
      </x:c>
      <x:c r="L255" s="8" t="str">
        <x:v>Not documented</x:v>
      </x:c>
      <x:c r="M255" s="8"/>
      <x:c r="N255" s="8"/>
      <x:c r="O255" s="8" t="str">
        <x:v>Client/provider-dependent</x:v>
      </x:c>
      <x:c r="P255" s="8" t="str">
        <x:v>Plan-dependent</x:v>
      </x:c>
      <x:c r="Q255" s="8"/>
      <x:c r="R255" s="8" t="str">
        <x:v>N/A</x:v>
      </x:c>
      <x:c r="S255" s="8"/>
      <x:c r="T255" s="8"/>
      <x:c r="U255" s="8" t="str">
        <x:v>Yes: 2 in smaller rooms, 4 in big rooms</x:v>
      </x:c>
      <x:c r="V255" s="8" t="str">
        <x:v>Yes</x:v>
      </x:c>
      <x:c r="W255" s="8" t="str">
        <x:v>Provider-dependent</x:v>
      </x:c>
      <x:c r="X255" s="8" t="str">
        <x:v>N/A</x:v>
      </x:c>
      <x:c r="Y255" s="8"/>
      <x:c r="Z255" s="8" t="str">
        <x:v>Implementation-dependent</x:v>
      </x:c>
      <x:c r="AA255" s="8" t="str">
        <x:v>Yes: no stated limit</x:v>
      </x:c>
      <x:c r="AB255" s="8"/>
      <x:c r="AC255" s="9"/>
      <x:c r="AD255" s="8"/>
      <x:c r="AE255" s="8"/>
      <x:c r="AF255" s="8"/>
      <x:c r="AG255" s="8" t="str">
        <x:v>Provider-dependent</x:v>
      </x:c>
      <x:c r="AH255" s="14" t="n">
        <x:v>40</x:v>
      </x:c>
      <x:c r="AI255" s="15" t="str">
        <x:v>Shared metric: Video &amp; Screen Sharing: Multiple Concurrent Screen Shares? | Screen Share Detail: Multiple Concurrent Screen Shares?</x:v>
      </x:c>
    </x:row>
    <x:row r="256" ht="30">
      <x:c r="A256" s="12" t="str">
        <x:v>Screen Share Detail</x:v>
      </x:c>
      <x:c r="B256" s="13" t="str">
        <x:v>Max Concurrent Screen Shares</x:v>
      </x:c>
      <x:c r="C256" s="8"/>
      <x:c r="D256" s="8"/>
      <x:c r="E256" s="8"/>
      <x:c r="F256" s="8"/>
      <x:c r="G256" s="8"/>
      <x:c r="H256" s="8"/>
      <x:c r="I256" s="8"/>
      <x:c r="J256" s="8"/>
      <x:c r="K256" s="8"/>
      <x:c r="L256" s="8" t="str">
        <x:v>Not documented</x:v>
      </x:c>
      <x:c r="M256" s="8"/>
      <x:c r="N256" s="8"/>
      <x:c r="O256" s="8"/>
      <x:c r="P256" s="8"/>
      <x:c r="Q256" s="8"/>
      <x:c r="R256" s="8"/>
      <x:c r="S256" s="8"/>
      <x:c r="T256" s="8"/>
      <x:c r="U256" s="8" t="str">
        <x:v>4 in big rooms; 2 in smaller rooms</x:v>
      </x:c>
      <x:c r="V256" s="8"/>
      <x:c r="W256" s="8"/>
      <x:c r="X256" s="8"/>
      <x:c r="Y256" s="8"/>
      <x:c r="Z256" s="8"/>
      <x:c r="AA256" s="8" t="str">
        <x:v>No stated limit</x:v>
      </x:c>
      <x:c r="AB256" s="8"/>
      <x:c r="AC256" s="9"/>
      <x:c r="AD256" s="8"/>
      <x:c r="AE256" s="8"/>
      <x:c r="AF256" s="8"/>
      <x:c r="AG256" s="8"/>
      <x:c r="AH256" s="14" t="n">
        <x:v>41</x:v>
      </x:c>
      <x:c r="AI256" s="15" t="str">
        <x:v>Canonical source for Screen Share Detail!41</x:v>
      </x:c>
    </x:row>
    <x:row r="257" ht="75">
      <x:c r="A257" s="12" t="str">
        <x:v>Screen Share Detail</x:v>
      </x:c>
      <x:c r="B257" s="13" t="str">
        <x:v>Simultaneous Multi-Stream Viewing?</x:v>
      </x:c>
      <x:c r="C257" s="8" t="str">
        <x:v>Yes</x:v>
      </x:c>
      <x:c r="D257" s="8"/>
      <x:c r="E257" s="8"/>
      <x:c r="F257" s="8" t="str">
        <x:v>Yes</x:v>
      </x:c>
      <x:c r="G257" s="8" t="str">
        <x:v>Yes</x:v>
      </x:c>
      <x:c r="H257" s="8" t="str">
        <x:v>Yes</x:v>
      </x:c>
      <x:c r="I257" s="8" t="str">
        <x:v>Yes</x:v>
      </x:c>
      <x:c r="J257" s="8"/>
      <x:c r="K257" s="8"/>
      <x:c r="L257" s="8" t="str">
        <x:v>Not documented</x:v>
      </x:c>
      <x:c r="M257" s="8"/>
      <x:c r="N257" s="8" t="str">
        <x:v>Yes</x:v>
      </x:c>
      <x:c r="O257" s="8" t="str">
        <x:v>Varies by client</x:v>
      </x:c>
      <x:c r="P257" s="8" t="str">
        <x:v>Yes</x:v>
      </x:c>
      <x:c r="Q257" s="8" t="str">
        <x:v>Yes</x:v>
      </x:c>
      <x:c r="R257" s="8" t="str">
        <x:v>N/A</x:v>
      </x:c>
      <x:c r="S257" s="8"/>
      <x:c r="T257" s="8" t="str">
        <x:v>Yes</x:v>
      </x:c>
      <x:c r="U257" s="8" t="str">
        <x:v>Yes: 2 presenters in smaller rooms, 4 in big rooms</x:v>
      </x:c>
      <x:c r="V257" s="8" t="str">
        <x:v>Yes</x:v>
      </x:c>
      <x:c r="W257" s="8" t="str">
        <x:v>Provider-dependent</x:v>
      </x:c>
      <x:c r="X257" s="8" t="str">
        <x:v>N/A</x:v>
      </x:c>
      <x:c r="Y257" s="8" t="str">
        <x:v>Yes</x:v>
      </x:c>
      <x:c r="Z257" s="8"/>
      <x:c r="AA257" s="8" t="str">
        <x:v>Yes: no stated limit on simultaneous shared screens</x:v>
      </x:c>
      <x:c r="AB257" s="8" t="str">
        <x:v>Yes</x:v>
      </x:c>
      <x:c r="AC257" s="9"/>
      <x:c r="AD257" s="8"/>
      <x:c r="AE257" s="8" t="str">
        <x:v>Yes</x:v>
      </x:c>
      <x:c r="AF257" s="8"/>
      <x:c r="AG257" s="8" t="str">
        <x:v>Provider-dependent</x:v>
      </x:c>
      <x:c r="AH257" s="14" t="n">
        <x:v>42</x:v>
      </x:c>
      <x:c r="AI257" s="15" t="str">
        <x:v>Shared metric: Video &amp; Screen Sharing: Simultaneous Multi-Stream Viewing | Video &amp; Screen Sharing: Simultaneous Multi-Stream Viewing? | Screen Share Detail: Simultaneous Multi-Stream Viewing?</x:v>
      </x:c>
    </x:row>
    <x:row r="258" ht="45">
      <x:c r="A258" s="12" t="str">
        <x:v>Screen Share Detail</x:v>
      </x:c>
      <x:c r="B258" s="13" t="str">
        <x:v>Webcam Participant Limit</x:v>
      </x:c>
      <x:c r="C258" s="8" t="str">
        <x:v>25 when video active in server voice</x:v>
      </x:c>
      <x:c r="D258" s="8"/>
      <x:c r="E258" s="8"/>
      <x:c r="F258" s="8"/>
      <x:c r="G258" s="8"/>
      <x:c r="H258" s="8"/>
      <x:c r="I258" s="8"/>
      <x:c r="J258" s="8"/>
      <x:c r="K258" s="8" t="str">
        <x:v>No</x:v>
      </x:c>
      <x:c r="L258" s="8" t="str">
        <x:v>Not documented</x:v>
      </x:c>
      <x:c r="M258" s="8"/>
      <x:c r="N258" s="8"/>
      <x:c r="O258" s="8" t="str">
        <x:v>Client-dependent</x:v>
      </x:c>
      <x:c r="P258" s="8" t="str">
        <x:v>Yes</x:v>
      </x:c>
      <x:c r="Q258" s="8"/>
      <x:c r="R258" s="8" t="str">
        <x:v>No</x:v>
      </x:c>
      <x:c r="S258" s="8"/>
      <x:c r="T258" s="8"/>
      <x:c r="U258" s="8"/>
      <x:c r="V258" s="8"/>
      <x:c r="W258" s="8" t="str">
        <x:v>Provider-dependent</x:v>
      </x:c>
      <x:c r="X258" s="8" t="str">
        <x:v>N/A</x:v>
      </x:c>
      <x:c r="Y258" s="8"/>
      <x:c r="Z258" s="8"/>
      <x:c r="AA258" s="8" t="str">
        <x:v>No stated camera-per-call limit</x:v>
      </x:c>
      <x:c r="AB258" s="8"/>
      <x:c r="AC258" s="9"/>
      <x:c r="AD258" s="8"/>
      <x:c r="AE258" s="8"/>
      <x:c r="AF258" s="8" t="str">
        <x:v>No</x:v>
      </x:c>
      <x:c r="AG258" s="8" t="str">
        <x:v>Provider-dependent</x:v>
      </x:c>
      <x:c r="AH258" s="14" t="n">
        <x:v>43</x:v>
      </x:c>
      <x:c r="AI258" s="15" t="str">
        <x:v>Shared metric: Community Limits: Webcam Participant Limit | Screen Share Detail: Webcam Participant Limit</x:v>
      </x:c>
    </x:row>
    <x:row r="259" ht="90">
      <x:c r="A259" s="12" t="str">
        <x:v>Screen Share Detail</x:v>
      </x:c>
      <x:c r="B259" s="13" t="str">
        <x:v>Stage / Presentation Mode?</x:v>
      </x:c>
      <x:c r="C259" s="8"/>
      <x:c r="D259" s="8"/>
      <x:c r="E259" s="8"/>
      <x:c r="F259" s="8"/>
      <x:c r="G259" s="8"/>
      <x:c r="H259" s="8"/>
      <x:c r="I259" s="8"/>
      <x:c r="J259" s="8"/>
      <x:c r="K259" s="8"/>
      <x:c r="L259" s="8" t="str">
        <x:v>Yes: developer reports Stage channels; screen-share publication is separately permissioned</x:v>
      </x:c>
      <x:c r="M259" s="8"/>
      <x:c r="N259" s="8"/>
      <x:c r="O259" s="8"/>
      <x:c r="P259" s="8"/>
      <x:c r="Q259" s="8"/>
      <x:c r="R259" s="8"/>
      <x:c r="S259" s="8"/>
      <x:c r="T259" s="8"/>
      <x:c r="U259" s="8"/>
      <x:c r="V259" s="8"/>
      <x:c r="W259" s="8"/>
      <x:c r="X259" s="8"/>
      <x:c r="Y259" s="8"/>
      <x:c r="Z259" s="8"/>
      <x:c r="AA259" s="8"/>
      <x:c r="AB259" s="8"/>
      <x:c r="AC259" s="9"/>
      <x:c r="AD259" s="8"/>
      <x:c r="AE259" s="8"/>
      <x:c r="AF259" s="8"/>
      <x:c r="AG259" s="8"/>
      <x:c r="AH259" s="14" t="n">
        <x:v>44</x:v>
      </x:c>
      <x:c r="AI259" s="15" t="str">
        <x:v>Shared metric: Video &amp; Screen Sharing: Stage / Presentation Mode? | Screen Share Detail: Stage / Presentation Mode?</x:v>
      </x:c>
    </x:row>
    <x:row r="260" ht="105">
      <x:c r="A260" s="12" t="str">
        <x:v>Screen Share Detail</x:v>
      </x:c>
      <x:c r="B260" s="13" t="str">
        <x:v>Screen Share Source URL</x:v>
      </x:c>
      <x:c r="C260" s="8" t="str">
        <x:v>https://support.discord.com/hc/en-us/articles/360040816151-Go-Live-and-Screen-Share</x:v>
      </x:c>
      <x:c r="D260" s="8"/>
      <x:c r="E260" s="8"/>
      <x:c r="F260" s="8"/>
      <x:c r="G260" s="8"/>
      <x:c r="H260" s="8" t="str">
        <x:v>https://fluxer.app/plutonium</x:v>
      </x:c>
      <x:c r="I260" s="8" t="str">
        <x:v>https://gamevox.com/</x:v>
      </x:c>
      <x:c r="J260" s="8"/>
      <x:c r="K260" s="8"/>
      <x:c r="L260" s="8" t="str">
        <x:v>https://github.com/CookieNom/KaedeChat/blob/main/docs/screen-sharing-quality.md</x:v>
      </x:c>
      <x:c r="M260" s="8"/>
      <x:c r="N260" s="8"/>
      <x:c r="O260" s="8"/>
      <x:c r="P260" s="8"/>
      <x:c r="Q260" s="8" t="str">
        <x:v>https://mezon.ai/docs/user/resources/FAQ/</x:v>
      </x:c>
      <x:c r="R260" s="8"/>
      <x:c r="S260" s="8"/>
      <x:c r="T260" s="8"/>
      <x:c r="U260" s="8" t="str">
        <x:v>https://pqp.gg/</x:v>
      </x:c>
      <x:c r="V260" s="8" t="str">
        <x:v>https://therift.chat/de/plans/</x:v>
      </x:c>
      <x:c r="W260" s="8"/>
      <x:c r="X260" s="8"/>
      <x:c r="Y260" s="8" t="str">
        <x:v>https://support.rootapp.com/docs/sudo/get-started/sudo-faqs/</x:v>
      </x:c>
      <x:c r="Z260" s="8"/>
      <x:c r="AA260" s="8" t="str">
        <x:v>https://stoat.chat/release-notes/93eb1f4ec77444ca9fb13617e0e6c0b1</x:v>
      </x:c>
      <x:c r="AB260" s="8" t="str">
        <x:v>https://community.teamspeak.com/t/teamspeak-6-0-0-beta1-screen-camera-sharing-communities-design-overhaul/54925</x:v>
      </x:c>
      <x:c r="AC260" s="9"/>
      <x:c r="AD260" s="8"/>
      <x:c r="AE260" s="8" t="str">
        <x:v>https://weered.ca/alternatives/discord</x:v>
      </x:c>
      <x:c r="AF260" s="8"/>
      <x:c r="AG260" s="8"/>
      <x:c r="AH260" s="14" t="n">
        <x:v>46</x:v>
      </x:c>
      <x:c r="AI260" s="15" t="str">
        <x:v>Canonical source for Screen Share Detail!46</x:v>
      </x:c>
    </x:row>
    <x:row r="261" ht="150">
      <x:c r="A261" s="12" t="str">
        <x:v>Screen Share Detail</x:v>
      </x:c>
      <x:c r="B261" s="13" t="str">
        <x:v>Screen Share Notes</x:v>
      </x:c>
      <x:c r="C261" s="8" t="str">
        <x:v>Voice/video/Go Live E2EE by default except Stage.</x:v>
      </x:c>
      <x:c r="D261" s="8" t="str">
        <x:v>Voice exists; detailed limits are not publicly documented.</x:v>
      </x:c>
      <x:c r="E261" s="8" t="str">
        <x:v>Media limits are software/operator-configurable rather than a paid tier.</x:v>
      </x:c>
      <x:c r="F261" s="8" t="str">
        <x:v>LiveKit-based voice/video/screen sharing.</x:v>
      </x:c>
      <x:c r="G261" s="8" t="str">
        <x:v>Alpha behavior/limits can change.</x:v>
      </x:c>
      <x:c r="H261" s="8" t="str">
        <x:v>Nothing is E2EE yet per Sep 13 privacy policy.</x:v>
      </x:c>
      <x:c r="I261" s="8" t="str">
        <x:v>Voice-first gaming platform.</x:v>
      </x:c>
      <x:c r="J261" s="8" t="str">
        <x:v>Media is early/incomplete.</x:v>
      </x:c>
      <x:c r="K261" s="8" t="str">
        <x:v>Media is peer-to-peer rather than server-room focused.</x:v>
      </x:c>
      <x:c r="L261" s="8" t="str">
        <x:v>Current public documentation: 720p15/30, 1080p30, Source up to 4K native at 30 FPS; audio-capture behavior varies by platform. Developer questionnaire separately reported 4K60 + audio capture.</x:v>
      </x:c>
      <x:c r="M261" s="8" t="str">
        <x:v>Media limits not well documented.</x:v>
      </x:c>
      <x:c r="N261" s="8" t="str">
        <x:v>Voice/video/screen share are live in open beta.</x:v>
      </x:c>
      <x:c r="O261" s="8" t="str">
        <x:v>Media limits depend on the client, homeserver, and SFU deployment; Matrix has no universal platform limit.</x:v>
      </x:c>
      <x:c r="P261" s="8" t="str">
        <x:v>Native Calls supports screen share and meeting-style controls.</x:v>
      </x:c>
      <x:c r="Q261" s="8" t="str">
        <x:v>No paywall on voice/video quality claimed.</x:v>
      </x:c>
      <x:c r="R261" s="8" t="str">
        <x:v>Purpose-built voice; no webcam/screen-sharing core.</x:v>
      </x:c>
      <x:c r="S261" s="8" t="str">
        <x:v>public documentation emphasize chat more than media limits.</x:v>
      </x:c>
      <x:c r="T261" s="8" t="str">
        <x:v>Custom voice infrastructure is a headline feature.</x:v>
      </x:c>
      <x:c r="U261" s="8" t="str">
        <x:v>Browser screen share supports tab audio at 360p-1080p. Smaller rooms allow 2 presenters; big rooms allow 4. A hosted watch party has exceeded 100 participants.</x:v>
      </x:c>
      <x:c r="V261" s="8" t="str">
        <x:v>Rift's current pricing page lists 1080p free, 1440p Rift+ Pricing page used as authority.</x:v>
      </x:c>
      <x:c r="W261" s="8" t="str">
        <x:v>Media calling varies by Rocket.Chat deployment; there is no single fixed platform profile.</x:v>
      </x:c>
      <x:c r="X261" s="8" t="str">
        <x:v>Text/community-gardening focus.</x:v>
      </x:c>
      <x:c r="Y261" s="8" t="str">
        <x:v>Mobile can view shared screens.</x:v>
      </x:c>
      <x:c r="Z261" s="8" t="str">
        <x:v>Voice is optional and disabled unless operator installs a compatible media implementation.</x:v>
      </x:c>
      <x:c r="AA261" s="8" t="str">
        <x:v>Video chat and screen share launched 2026-07-17. Current quality: 720p30. Supports full-screen/window sharing with audio on desktop, browser, and mobile. No screen/camera count limit is stated.</x:v>
      </x:c>
      <x:c r="AB261" s="8" t="str">
        <x:v>TS6 screen sharing is still evolving; server-side streaming has lagged behind P2P. No stable official resolution-tier table was found.</x:v>
      </x:c>
      <x:c r="AC261" s="9"/>
      <x:c r="AD261" s="8" t="str">
        <x:v>Media details sparse.</x:v>
      </x:c>
      <x:c r="AE261" s="8" t="str">
        <x:v>Designed around always-present game-room media.</x:v>
      </x:c>
      <x:c r="AF261" s="8" t="str">
        <x:v>Self-host resource capacity determines practical limits.</x:v>
      </x:c>
      <x:c r="AG261" s="8" t="str">
        <x:v>Voice/video are intentionally delegated to services such as Jitsi/Zoom/BigBlueButton.</x:v>
      </x:c>
      <x:c r="AH261" s="14" t="n">
        <x:v>47</x:v>
      </x:c>
      <x:c r="AI261" s="15" t="str">
        <x:v>Canonical source for Screen Share Detail!47</x:v>
      </x:c>
    </x:row>
    <x:row r="262" ht="45">
      <x:c r="A262" s="12" t="str">
        <x:v>Screen Share Detail</x:v>
      </x:c>
      <x:c r="B262" s="13" t="str">
        <x:v>Picture-in-Picture / Pop-Out Viewing?</x:v>
      </x:c>
      <x:c r="C262" s="8"/>
      <x:c r="D262" s="8"/>
      <x:c r="E262" s="8"/>
      <x:c r="F262" s="8"/>
      <x:c r="G262" s="8"/>
      <x:c r="H262" s="8"/>
      <x:c r="I262" s="8"/>
      <x:c r="J262" s="8"/>
      <x:c r="K262" s="8"/>
      <x:c r="L262" s="8" t="str">
        <x:v>Yes: mobile and desktop PiP/pop-out behavior documented</x:v>
      </x:c>
      <x:c r="M262" s="8"/>
      <x:c r="N262" s="8"/>
      <x:c r="O262" s="8"/>
      <x:c r="P262" s="8"/>
      <x:c r="Q262" s="8"/>
      <x:c r="R262" s="8"/>
      <x:c r="S262" s="8"/>
      <x:c r="T262" s="8"/>
      <x:c r="U262" s="8"/>
      <x:c r="V262" s="8" t="str">
        <x:v>Yes</x:v>
      </x:c>
      <x:c r="W262" s="8"/>
      <x:c r="X262" s="8"/>
      <x:c r="Y262" s="8"/>
      <x:c r="Z262" s="8"/>
      <x:c r="AA262" s="8"/>
      <x:c r="AB262" s="8"/>
      <x:c r="AC262" s="9"/>
      <x:c r="AD262" s="8"/>
      <x:c r="AE262" s="8"/>
      <x:c r="AF262" s="8"/>
      <x:c r="AG262" s="8"/>
      <x:c r="AH262" s="14" t="n">
        <x:v>49</x:v>
      </x:c>
      <x:c r="AI262" s="15" t="str">
        <x:v>Canonical source for Screen Share Detail!49</x:v>
      </x:c>
    </x:row>
    <x:row r="263" ht="60">
      <x:c r="A263" s="12" t="str">
        <x:v>Screen Share Detail</x:v>
      </x:c>
      <x:c r="B263" s="13" t="str">
        <x:v>Adaptive Quality / Congestion Control?</x:v>
      </x:c>
      <x:c r="C263" s="8"/>
      <x:c r="D263" s="8"/>
      <x:c r="E263" s="8"/>
      <x:c r="F263" s="8"/>
      <x:c r="G263" s="8"/>
      <x:c r="H263" s="8"/>
      <x:c r="I263" s="8"/>
      <x:c r="J263" s="8"/>
      <x:c r="K263" s="8"/>
      <x:c r="L263" s="8" t="str">
        <x:v>Yes: WebRTC may reduce resolution/frame rate under congestion</x:v>
      </x:c>
      <x:c r="M263" s="8"/>
      <x:c r="N263" s="8"/>
      <x:c r="O263" s="8"/>
      <x:c r="P263" s="8"/>
      <x:c r="Q263" s="8"/>
      <x:c r="R263" s="8"/>
      <x:c r="S263" s="8"/>
      <x:c r="T263" s="8"/>
      <x:c r="U263" s="8"/>
      <x:c r="V263" s="8" t="str">
        <x:v>Yes</x:v>
      </x:c>
      <x:c r="W263" s="8"/>
      <x:c r="X263" s="8"/>
      <x:c r="Y263" s="8"/>
      <x:c r="Z263" s="8"/>
      <x:c r="AA263" s="8"/>
      <x:c r="AB263" s="8"/>
      <x:c r="AC263" s="9"/>
      <x:c r="AD263" s="8"/>
      <x:c r="AE263" s="8"/>
      <x:c r="AF263" s="8"/>
      <x:c r="AG263" s="8"/>
      <x:c r="AH263" s="14" t="n">
        <x:v>50</x:v>
      </x:c>
      <x:c r="AI263" s="15" t="str">
        <x:v>Canonical source for Screen Share Detail!50</x:v>
      </x:c>
    </x:row>
    <x:row r="264" ht="30">
      <x:c r="A264" s="12" t="str">
        <x:v>Screen Share Detail</x:v>
      </x:c>
      <x:c r="B264" s="13" t="str">
        <x:v>Hardware-Accelerated Encoding?</x:v>
      </x:c>
      <x:c r="C264" s="8" t="str">
        <x:v>Client/platform dependent</x:v>
      </x:c>
      <x:c r="D264" s="8"/>
      <x:c r="E264" s="8"/>
      <x:c r="F264" s="8"/>
      <x:c r="G264" s="8"/>
      <x:c r="H264" s="8"/>
      <x:c r="I264" s="8"/>
      <x:c r="J264" s="8"/>
      <x:c r="K264" s="8"/>
      <x:c r="L264" s="8" t="str">
        <x:v>Not explicitly documented</x:v>
      </x:c>
      <x:c r="M264" s="8"/>
      <x:c r="N264" s="8"/>
      <x:c r="O264" s="8"/>
      <x:c r="P264" s="8"/>
      <x:c r="Q264" s="8"/>
      <x:c r="R264" s="8"/>
      <x:c r="S264" s="8"/>
      <x:c r="T264" s="8"/>
      <x:c r="U264" s="8"/>
      <x:c r="V264" s="8" t="str">
        <x:v>Yes - Nvidia</x:v>
      </x:c>
      <x:c r="W264" s="8"/>
      <x:c r="X264" s="8"/>
      <x:c r="Y264" s="8"/>
      <x:c r="Z264" s="8"/>
      <x:c r="AA264" s="8"/>
      <x:c r="AB264" s="8"/>
      <x:c r="AC264" s="9"/>
      <x:c r="AD264" s="8"/>
      <x:c r="AE264" s="8"/>
      <x:c r="AF264" s="8"/>
      <x:c r="AG264" s="8"/>
      <x:c r="AH264" s="14" t="n">
        <x:v>51</x:v>
      </x:c>
      <x:c r="AI264" s="15" t="str">
        <x:v>Canonical source for Screen Share Detail!51</x:v>
      </x:c>
    </x:row>
    <x:row r="265" ht="45">
      <x:c r="A265" s="12" t="str">
        <x:v>Screen Share Detail</x:v>
      </x:c>
      <x:c r="B265" s="13" t="str">
        <x:v>Synchronized Watch Party?</x:v>
      </x:c>
      <x:c r="C265" s="8" t="str">
        <x:v>Via Activities</x:v>
      </x:c>
      <x:c r="D265" s="8"/>
      <x:c r="E265" s="8"/>
      <x:c r="F265" s="8"/>
      <x:c r="G265" s="8"/>
      <x:c r="H265" s="8"/>
      <x:c r="I265" s="8"/>
      <x:c r="J265" s="8"/>
      <x:c r="K265" s="8"/>
      <x:c r="L265" s="8" t="str">
        <x:v>No synchronized watch-party feature documented</x:v>
      </x:c>
      <x:c r="M265" s="8"/>
      <x:c r="N265" s="8"/>
      <x:c r="O265" s="8"/>
      <x:c r="P265" s="8"/>
      <x:c r="Q265" s="8"/>
      <x:c r="R265" s="8"/>
      <x:c r="S265" s="8"/>
      <x:c r="T265" s="8"/>
      <x:c r="U265" s="8" t="str">
        <x:v>Yes</x:v>
      </x:c>
      <x:c r="V265" s="8" t="str">
        <x:v>Yes: YouTube/Twitch Portal Watch Party</x:v>
      </x:c>
      <x:c r="W265" s="8"/>
      <x:c r="X265" s="8"/>
      <x:c r="Y265" s="8"/>
      <x:c r="Z265" s="8"/>
      <x:c r="AA265" s="8"/>
      <x:c r="AB265" s="8"/>
      <x:c r="AC265" s="9"/>
      <x:c r="AD265" s="8"/>
      <x:c r="AE265" s="8"/>
      <x:c r="AF265" s="8"/>
      <x:c r="AG265" s="8"/>
      <x:c r="AH265" s="14" t="n">
        <x:v>52</x:v>
      </x:c>
      <x:c r="AI265" s="15" t="str">
        <x:v>Canonical source for Screen Share Detail!52</x:v>
      </x:c>
    </x:row>
    <x:row r="266" ht="45">
      <x:c r="A266" s="12" t="str">
        <x:v>Media &amp; Limits</x:v>
      </x:c>
      <x:c r="B266" s="13" t="str">
        <x:v>Persistent Voice Rooms</x:v>
      </x:c>
      <x:c r="C266" s="8" t="str">
        <x:v>Yes: persistent server voice channels</x:v>
      </x:c>
      <x:c r="D266" s="8" t="str">
        <x:v>Yes</x:v>
      </x:c>
      <x:c r="E266" s="8" t="str">
        <x:v>Yes</x:v>
      </x:c>
      <x:c r="F266" s="8" t="str">
        <x:v>Yes</x:v>
      </x:c>
      <x:c r="G266" s="8" t="str">
        <x:v>Yes</x:v>
      </x:c>
      <x:c r="H266" s="8" t="str">
        <x:v>Yes</x:v>
      </x:c>
      <x:c r="I266" s="8" t="str">
        <x:v>Yes</x:v>
      </x:c>
      <x:c r="J266" s="8" t="str">
        <x:v>Yes: LiveKit voice channels</x:v>
      </x:c>
      <x:c r="K266" s="8" t="str">
        <x:v>No persistent voice-room model verified</x:v>
      </x:c>
      <x:c r="L266" s="8" t="str">
        <x:v>Yes</x:v>
      </x:c>
      <x:c r="M266" s="8" t="str">
        <x:v>Yes</x:v>
      </x:c>
      <x:c r="N266" s="8" t="str">
        <x:v>Yes</x:v>
      </x:c>
      <x:c r="O266" s="8" t="str">
        <x:v>Client-dependent; many clients support calls/rooms</x:v>
      </x:c>
      <x:c r="P266" s="8" t="str">
        <x:v>Calls available; not Discord-style always-on voice-first UX</x:v>
      </x:c>
      <x:c r="Q266" s="8" t="str">
        <x:v>Yes</x:v>
      </x:c>
      <x:c r="R266" s="8" t="str">
        <x:v>Yes: voice channels are the core product</x:v>
      </x:c>
      <x:c r="S266" s="8"/>
      <x:c r="T266" s="8" t="str">
        <x:v>Yes</x:v>
      </x:c>
      <x:c r="U266" s="8" t="str">
        <x:v>Yes</x:v>
      </x:c>
      <x:c r="V266" s="8" t="str">
        <x:v>Yes</x:v>
      </x:c>
      <x:c r="W266" s="8" t="str">
        <x:v>Voice/video deployment/provider-dependent</x:v>
      </x:c>
      <x:c r="X266" s="8" t="str">
        <x:v>No mature voice verified</x:v>
      </x:c>
      <x:c r="Y266" s="8" t="str">
        <x:v>Yes</x:v>
      </x:c>
      <x:c r="Z266" s="8" t="str">
        <x:v>Yes when optional voice package is installed</x:v>
      </x:c>
      <x:c r="AA266" s="8" t="str">
        <x:v>Yes: persistent server voice channels</x:v>
      </x:c>
      <x:c r="AB266" s="8" t="str">
        <x:v>Yes</x:v>
      </x:c>
      <x:c r="AC266" s="9" t="str">
        <x:v>Yes</x:v>
      </x:c>
      <x:c r="AD266" s="8"/>
      <x:c r="AE266" s="8" t="str">
        <x:v>Yes: voice in rooms</x:v>
      </x:c>
      <x:c r="AF266" s="8" t="str">
        <x:v>Yes</x:v>
      </x:c>
      <x:c r="AG266" s="8" t="str">
        <x:v>No native persistent voice rooms</x:v>
      </x:c>
      <x:c r="AH266" s="14" t="n">
        <x:v>3</x:v>
      </x:c>
      <x:c r="AI266" s="15" t="str">
        <x:v>Shared metric: At a Glance: Persistent Voice Rooms | Media &amp; Limits: Persistent Voice Rooms</x:v>
      </x:c>
    </x:row>
    <x:row r="267" ht="30">
      <x:c r="A267" s="12" t="str">
        <x:v>Media &amp; Limits</x:v>
      </x:c>
      <x:c r="B267" s="13" t="str">
        <x:v>DM Calls</x:v>
      </x:c>
      <x:c r="C267" s="8" t="str">
        <x:v>Yes</x:v>
      </x:c>
      <x:c r="D267" s="8"/>
      <x:c r="E267" s="8"/>
      <x:c r="F267" s="8" t="str">
        <x:v>Yes</x:v>
      </x:c>
      <x:c r="G267" s="8" t="str">
        <x:v>Yes</x:v>
      </x:c>
      <x:c r="H267" s="8" t="str">
        <x:v>Yes</x:v>
      </x:c>
      <x:c r="I267" s="8"/>
      <x:c r="J267" s="8"/>
      <x:c r="K267" s="8" t="str">
        <x:v>Yes calls</x:v>
      </x:c>
      <x:c r="L267" s="8" t="str">
        <x:v>Yes</x:v>
      </x:c>
      <x:c r="M267" s="8"/>
      <x:c r="N267" s="8" t="str">
        <x:v>Yes</x:v>
      </x:c>
      <x:c r="O267" s="8" t="str">
        <x:v>Client-dependent</x:v>
      </x:c>
      <x:c r="P267" s="8" t="str">
        <x:v>Yes</x:v>
      </x:c>
      <x:c r="Q267" s="8" t="str">
        <x:v>Yes</x:v>
      </x:c>
      <x:c r="R267" s="8" t="str">
        <x:v>No persistent DM call model</x:v>
      </x:c>
      <x:c r="S267" s="8"/>
      <x:c r="T267" s="8"/>
      <x:c r="U267" s="8" t="str">
        <x:v>Yes</x:v>
      </x:c>
      <x:c r="V267" s="8" t="str">
        <x:v>Yes - Encrypted</x:v>
      </x:c>
      <x:c r="W267" s="8" t="str">
        <x:v>Provider/deployment dependent</x:v>
      </x:c>
      <x:c r="X267" s="8"/>
      <x:c r="Y267" s="8" t="str">
        <x:v>Yes</x:v>
      </x:c>
      <x:c r="Z267" s="8" t="str">
        <x:v>Yes</x:v>
      </x:c>
      <x:c r="AA267" s="8"/>
      <x:c r="AB267" s="8"/>
      <x:c r="AC267" s="9"/>
      <x:c r="AD267" s="8"/>
      <x:c r="AE267" s="8" t="str">
        <x:v>Yes</x:v>
      </x:c>
      <x:c r="AF267" s="8"/>
      <x:c r="AG267" s="8" t="str">
        <x:v>External provider</x:v>
      </x:c>
      <x:c r="AH267" s="14" t="n">
        <x:v>4</x:v>
      </x:c>
      <x:c r="AI267" s="15" t="str">
        <x:v>Canonical source for Media &amp; Limits!4</x:v>
      </x:c>
    </x:row>
    <x:row r="268" ht="45">
      <x:c r="A268" s="12" t="str">
        <x:v>Media &amp; Limits</x:v>
      </x:c>
      <x:c r="B268" s="13" t="str">
        <x:v>Group Calls</x:v>
      </x:c>
      <x:c r="C268" s="8" t="str">
        <x:v>Yes</x:v>
      </x:c>
      <x:c r="D268" s="8"/>
      <x:c r="E268" s="8"/>
      <x:c r="F268" s="8" t="str">
        <x:v>Yes</x:v>
      </x:c>
      <x:c r="G268" s="8" t="str">
        <x:v>Yes</x:v>
      </x:c>
      <x:c r="H268" s="8" t="str">
        <x:v>Yes</x:v>
      </x:c>
      <x:c r="I268" s="8"/>
      <x:c r="J268" s="8"/>
      <x:c r="K268" s="8"/>
      <x:c r="L268" s="8" t="str">
        <x:v>Yes</x:v>
      </x:c>
      <x:c r="M268" s="8"/>
      <x:c r="N268" s="8" t="str">
        <x:v>Yes</x:v>
      </x:c>
      <x:c r="O268" s="8" t="str">
        <x:v>Client-dependent</x:v>
      </x:c>
      <x:c r="P268" s="8" t="str">
        <x:v>Yes</x:v>
      </x:c>
      <x:c r="Q268" s="8" t="str">
        <x:v>Yes</x:v>
      </x:c>
      <x:c r="R268" s="8" t="str">
        <x:v>No group call model separate from channels</x:v>
      </x:c>
      <x:c r="S268" s="8"/>
      <x:c r="T268" s="8"/>
      <x:c r="U268" s="8" t="str">
        <x:v>Yes</x:v>
      </x:c>
      <x:c r="V268" s="8" t="str">
        <x:v>No</x:v>
      </x:c>
      <x:c r="W268" s="8" t="str">
        <x:v>Provider/deployment dependent</x:v>
      </x:c>
      <x:c r="X268" s="8"/>
      <x:c r="Y268" s="8" t="str">
        <x:v>Yes</x:v>
      </x:c>
      <x:c r="Z268" s="8" t="str">
        <x:v>Yes</x:v>
      </x:c>
      <x:c r="AA268" s="8"/>
      <x:c r="AB268" s="8"/>
      <x:c r="AC268" s="9"/>
      <x:c r="AD268" s="8"/>
      <x:c r="AE268" s="8" t="str">
        <x:v>Yes</x:v>
      </x:c>
      <x:c r="AF268" s="8"/>
      <x:c r="AG268" s="8" t="str">
        <x:v>External provider</x:v>
      </x:c>
      <x:c r="AH268" s="14" t="n">
        <x:v>5</x:v>
      </x:c>
      <x:c r="AI268" s="15" t="str">
        <x:v>Canonical source for Media &amp; Limits!5</x:v>
      </x:c>
    </x:row>
    <x:row r="269" ht="60">
      <x:c r="A269" s="12" t="str">
        <x:v>Media &amp; Limits</x:v>
      </x:c>
      <x:c r="B269" s="13" t="str">
        <x:v>Media Backend / SFU</x:v>
      </x:c>
      <x:c r="C269" s="8" t="str">
        <x:v>Discord media infrastructure / DAVE</x:v>
      </x:c>
      <x:c r="D269" s="8"/>
      <x:c r="E269" s="8" t="str">
        <x:v>LiveKit</x:v>
      </x:c>
      <x:c r="F269" s="8" t="str">
        <x:v>LiveKit</x:v>
      </x:c>
      <x:c r="G269" s="8" t="str">
        <x:v>LiveKit</x:v>
      </x:c>
      <x:c r="H269" s="8" t="str">
        <x:v>LiveKit + Fluxer media stack</x:v>
      </x:c>
      <x:c r="I269" s="8" t="str">
        <x:v>GameVox media stack</x:v>
      </x:c>
      <x:c r="J269" s="8" t="str">
        <x:v>LiveKit</x:v>
      </x:c>
      <x:c r="K269" s="8" t="str">
        <x:v>P2P WebRTC + TURN fallback</x:v>
      </x:c>
      <x:c r="L269" s="8" t="str">
        <x:v>LiveKit</x:v>
      </x:c>
      <x:c r="M269" s="8"/>
      <x:c r="N269" s="8" t="str">
        <x:v>LiveKit</x:v>
      </x:c>
      <x:c r="O269" s="8" t="str">
        <x:v>MatrixRTC + deployment SFU(s), or legacy/provider integrations</x:v>
      </x:c>
      <x:c r="P269" s="8" t="str">
        <x:v>Mattermost Calls WebRTC/SFU</x:v>
      </x:c>
      <x:c r="Q269" s="8" t="str">
        <x:v>Custom WebRTC SFU</x:v>
      </x:c>
      <x:c r="R269" s="8" t="str">
        <x:v>Mumble server mixes/routes voice</x:v>
      </x:c>
      <x:c r="S269" s="8"/>
      <x:c r="T269" s="8" t="str">
        <x:v>Custom media infrastructure</x:v>
      </x:c>
      <x:c r="U269" s="8" t="str">
        <x:v>Small rooms/DM calls may be P2P; listed/larger hosted rooms use LiveKit</x:v>
      </x:c>
      <x:c r="V269" s="8"/>
      <x:c r="W269" s="8" t="str">
        <x:v>Deployment/integration dependent</x:v>
      </x:c>
      <x:c r="X269" s="8" t="str">
        <x:v>N/A</x:v>
      </x:c>
      <x:c r="Y269" s="8"/>
      <x:c r="Z269" s="8" t="str">
        <x:v>Optional Pion/Medooze/Mediasoup WebRTC implementations</x:v>
      </x:c>
      <x:c r="AA269" s="8" t="str">
        <x:v>LiveKit</x:v>
      </x:c>
      <x:c r="AB269" s="8" t="str">
        <x:v>TeamSpeak media server</x:v>
      </x:c>
      <x:c r="AC269" s="9" t="str">
        <x:v>LiveKit</x:v>
      </x:c>
      <x:c r="AD269" s="8"/>
      <x:c r="AE269" s="8" t="str">
        <x:v>LiveKit</x:v>
      </x:c>
      <x:c r="AF269" s="8" t="str">
        <x:v>Self-host media</x:v>
      </x:c>
      <x:c r="AG269" s="8" t="str">
        <x:v>External integration/provider</x:v>
      </x:c>
      <x:c r="AH269" s="14" t="n">
        <x:v>6</x:v>
      </x:c>
      <x:c r="AI269" s="15" t="str">
        <x:v>Canonical source for Media &amp; Limits!6</x:v>
      </x:c>
    </x:row>
    <x:row r="270" ht="45">
      <x:c r="A270" s="12" t="str">
        <x:v>Media &amp; Limits</x:v>
      </x:c>
      <x:c r="B270" s="13" t="str">
        <x:v>Free / Base Audio Bitrate</x:v>
      </x:c>
      <x:c r="C270" s="8" t="str">
        <x:v>96 kbps base server voice</x:v>
      </x:c>
      <x:c r="D270" s="8"/>
      <x:c r="E270" s="8"/>
      <x:c r="F270" s="8"/>
      <x:c r="G270" s="8"/>
      <x:c r="H270" s="8"/>
      <x:c r="I270" s="8"/>
      <x:c r="J270" s="8"/>
      <x:c r="K270" s="8"/>
      <x:c r="L270" s="8" t="str">
        <x:v>24 / 48 / 96 / 128 kbps selectable Opus ceilings</x:v>
      </x:c>
      <x:c r="M270" s="8"/>
      <x:c r="N270" s="8"/>
      <x:c r="O270" s="8" t="str">
        <x:v>Client/provider-dependent</x:v>
      </x:c>
      <x:c r="P270" s="8"/>
      <x:c r="Q270" s="8"/>
      <x:c r="R270" s="8" t="str">
        <x:v>Server configured</x:v>
      </x:c>
      <x:c r="S270" s="8"/>
      <x:c r="T270" s="8"/>
      <x:c r="U270" s="8" t="str">
        <x:v>Not publicly claimed</x:v>
      </x:c>
      <x:c r="V270" s="8" t="str">
        <x:v>96 kbps</x:v>
      </x:c>
      <x:c r="W270" s="8"/>
      <x:c r="X270" s="8" t="str">
        <x:v>N/A</x:v>
      </x:c>
      <x:c r="Y270" s="8"/>
      <x:c r="Z270" s="8"/>
      <x:c r="AA270" s="8"/>
      <x:c r="AB270" s="8"/>
      <x:c r="AC270" s="9"/>
      <x:c r="AD270" s="8"/>
      <x:c r="AE270" s="8"/>
      <x:c r="AF270" s="8"/>
      <x:c r="AG270" s="8" t="str">
        <x:v>Provider-dependent</x:v>
      </x:c>
      <x:c r="AH270" s="14" t="n">
        <x:v>8</x:v>
      </x:c>
      <x:c r="AI270" s="15" t="str">
        <x:v>Canonical source for Media &amp; Limits!8</x:v>
      </x:c>
    </x:row>
    <x:row r="271" ht="30">
      <x:c r="A271" s="12" t="str">
        <x:v>Media &amp; Limits</x:v>
      </x:c>
      <x:c r="B271" s="13" t="str">
        <x:v>Maximum Audio Bitrate</x:v>
      </x:c>
      <x:c r="C271" s="8" t="str">
        <x:v>384 kbps boosted</x:v>
      </x:c>
      <x:c r="D271" s="8"/>
      <x:c r="E271" s="8" t="str">
        <x:v>Configurable up to very high</x:v>
      </x:c>
      <x:c r="F271" s="8"/>
      <x:c r="G271" s="8"/>
      <x:c r="H271" s="8"/>
      <x:c r="I271" s="8"/>
      <x:c r="J271" s="8"/>
      <x:c r="K271" s="8"/>
      <x:c r="L271" s="8" t="str">
        <x:v>128 kbps</x:v>
      </x:c>
      <x:c r="M271" s="8"/>
      <x:c r="N271" s="8"/>
      <x:c r="O271" s="8" t="str">
        <x:v>Client/provider-dependent</x:v>
      </x:c>
      <x:c r="P271" s="8"/>
      <x:c r="Q271" s="8"/>
      <x:c r="R271" s="8" t="str">
        <x:v>Server configured</x:v>
      </x:c>
      <x:c r="S271" s="8"/>
      <x:c r="T271" s="8"/>
      <x:c r="U271" s="8" t="str">
        <x:v>Not publicly claimed</x:v>
      </x:c>
      <x:c r="V271" s="8" t="str">
        <x:v>192 kbps (Forge Shard)</x:v>
      </x:c>
      <x:c r="W271" s="8"/>
      <x:c r="X271" s="8" t="str">
        <x:v>N/A</x:v>
      </x:c>
      <x:c r="Y271" s="8"/>
      <x:c r="Z271" s="8"/>
      <x:c r="AA271" s="8"/>
      <x:c r="AB271" s="8"/>
      <x:c r="AC271" s="9"/>
      <x:c r="AD271" s="8"/>
      <x:c r="AE271" s="8"/>
      <x:c r="AF271" s="8"/>
      <x:c r="AG271" s="8" t="str">
        <x:v>Provider-dependent</x:v>
      </x:c>
      <x:c r="AH271" s="14" t="n">
        <x:v>9</x:v>
      </x:c>
      <x:c r="AI271" s="15" t="str">
        <x:v>Canonical source for Media &amp; Limits!9</x:v>
      </x:c>
    </x:row>
    <x:row r="272">
      <x:c r="A272" s="12" t="str">
        <x:v>Media &amp; Limits</x:v>
      </x:c>
      <x:c r="B272" s="13" t="str">
        <x:v>Push-to-Talk</x:v>
      </x:c>
      <x:c r="C272" s="8" t="str">
        <x:v>Yes</x:v>
      </x:c>
      <x:c r="D272" s="8"/>
      <x:c r="E272" s="8"/>
      <x:c r="F272" s="8"/>
      <x:c r="G272" s="8" t="str">
        <x:v>Yes</x:v>
      </x:c>
      <x:c r="H272" s="8" t="str">
        <x:v>Yes</x:v>
      </x:c>
      <x:c r="I272" s="8" t="str">
        <x:v>Yes</x:v>
      </x:c>
      <x:c r="J272" s="8"/>
      <x:c r="K272" s="8"/>
      <x:c r="L272" s="8" t="str">
        <x:v>Yes</x:v>
      </x:c>
      <x:c r="M272" s="8"/>
      <x:c r="N272" s="8" t="str">
        <x:v>Yes</x:v>
      </x:c>
      <x:c r="O272" s="8" t="str">
        <x:v>Client-dependent</x:v>
      </x:c>
      <x:c r="P272" s="8"/>
      <x:c r="Q272" s="8"/>
      <x:c r="R272" s="8" t="str">
        <x:v>Yes</x:v>
      </x:c>
      <x:c r="S272" s="8"/>
      <x:c r="T272" s="8"/>
      <x:c r="U272" s="8" t="str">
        <x:v>Yes</x:v>
      </x:c>
      <x:c r="V272" s="8" t="str">
        <x:v>Yes</x:v>
      </x:c>
      <x:c r="W272" s="8"/>
      <x:c r="X272" s="8" t="str">
        <x:v>N/A</x:v>
      </x:c>
      <x:c r="Y272" s="8" t="str">
        <x:v>Yes</x:v>
      </x:c>
      <x:c r="Z272" s="8" t="str">
        <x:v>Client-dependent</x:v>
      </x:c>
      <x:c r="AA272" s="8" t="str">
        <x:v>Yes</x:v>
      </x:c>
      <x:c r="AB272" s="8" t="str">
        <x:v>Yes</x:v>
      </x:c>
      <x:c r="AC272" s="9"/>
      <x:c r="AD272" s="8"/>
      <x:c r="AE272" s="8" t="str">
        <x:v>Yes</x:v>
      </x:c>
      <x:c r="AF272" s="8"/>
      <x:c r="AG272" s="8" t="str">
        <x:v>Provider-dependent</x:v>
      </x:c>
      <x:c r="AH272" s="14" t="n">
        <x:v>10</x:v>
      </x:c>
      <x:c r="AI272" s="15" t="str">
        <x:v>Canonical source for Media &amp; Limits!10</x:v>
      </x:c>
    </x:row>
    <x:row r="273">
      <x:c r="A273" s="12" t="str">
        <x:v>Media &amp; Limits</x:v>
      </x:c>
      <x:c r="B273" s="13" t="str">
        <x:v>Per-User Volume</x:v>
      </x:c>
      <x:c r="C273" s="8" t="str">
        <x:v>Yes</x:v>
      </x:c>
      <x:c r="D273" s="8"/>
      <x:c r="E273" s="8"/>
      <x:c r="F273" s="8"/>
      <x:c r="G273" s="8" t="str">
        <x:v>Yes</x:v>
      </x:c>
      <x:c r="H273" s="8" t="str">
        <x:v>Yes</x:v>
      </x:c>
      <x:c r="I273" s="8" t="str">
        <x:v>Yes</x:v>
      </x:c>
      <x:c r="J273" s="8"/>
      <x:c r="K273" s="8"/>
      <x:c r="L273" s="8"/>
      <x:c r="M273" s="8"/>
      <x:c r="N273" s="8" t="str">
        <x:v>Yes</x:v>
      </x:c>
      <x:c r="O273" s="8" t="str">
        <x:v>Client-dependent</x:v>
      </x:c>
      <x:c r="P273" s="8" t="str">
        <x:v>Yes</x:v>
      </x:c>
      <x:c r="Q273" s="8"/>
      <x:c r="R273" s="8" t="str">
        <x:v>Yes</x:v>
      </x:c>
      <x:c r="S273" s="8"/>
      <x:c r="T273" s="8"/>
      <x:c r="U273" s="8" t="str">
        <x:v>Yes</x:v>
      </x:c>
      <x:c r="V273" s="8" t="str">
        <x:v>Yes</x:v>
      </x:c>
      <x:c r="W273" s="8"/>
      <x:c r="X273" s="8" t="str">
        <x:v>N/A</x:v>
      </x:c>
      <x:c r="Y273" s="8" t="str">
        <x:v>Yes</x:v>
      </x:c>
      <x:c r="Z273" s="8" t="str">
        <x:v>Client-dependent</x:v>
      </x:c>
      <x:c r="AA273" s="8" t="str">
        <x:v>Yes</x:v>
      </x:c>
      <x:c r="AB273" s="8" t="str">
        <x:v>Yes</x:v>
      </x:c>
      <x:c r="AC273" s="9"/>
      <x:c r="AD273" s="8"/>
      <x:c r="AE273" s="8"/>
      <x:c r="AF273" s="8"/>
      <x:c r="AG273" s="8" t="str">
        <x:v>Provider-dependent</x:v>
      </x:c>
      <x:c r="AH273" s="14" t="n">
        <x:v>11</x:v>
      </x:c>
      <x:c r="AI273" s="15" t="str">
        <x:v>Canonical source for Media &amp; Limits!11</x:v>
      </x:c>
    </x:row>
    <x:row r="274" ht="75">
      <x:c r="A274" s="12" t="str">
        <x:v>Media &amp; Limits</x:v>
      </x:c>
      <x:c r="B274" s="13" t="str">
        <x:v>Noise Suppression</x:v>
      </x:c>
      <x:c r="C274" s="8" t="str">
        <x:v>Krisp</x:v>
      </x:c>
      <x:c r="D274" s="8"/>
      <x:c r="E274" s="8" t="str">
        <x:v>Noise/echo cancellation</x:v>
      </x:c>
      <x:c r="F274" s="8" t="str">
        <x:v>Echo cancellation/noise suppression/auto gain</x:v>
      </x:c>
      <x:c r="G274" s="8" t="str">
        <x:v>DeepFilterNet3/local processing</x:v>
      </x:c>
      <x:c r="H274" s="8" t="str">
        <x:v>DeepFilterNet3</x:v>
      </x:c>
      <x:c r="I274" s="8" t="str">
        <x:v>Built-in processing</x:v>
      </x:c>
      <x:c r="J274" s="8"/>
      <x:c r="K274" s="8"/>
      <x:c r="L274" s="8" t="str">
        <x:v>Yes: desktop/mobile; web suppression unavailable per developer report</x:v>
      </x:c>
      <x:c r="M274" s="8"/>
      <x:c r="N274" s="8" t="str">
        <x:v>Noise suppression</x:v>
      </x:c>
      <x:c r="O274" s="8" t="str">
        <x:v>Client-dependent</x:v>
      </x:c>
      <x:c r="P274" s="8" t="str">
        <x:v>WebRTC processing</x:v>
      </x:c>
      <x:c r="Q274" s="8"/>
      <x:c r="R274" s="8" t="str">
        <x:v>Built-in processing</x:v>
      </x:c>
      <x:c r="S274" s="8"/>
      <x:c r="T274" s="8"/>
      <x:c r="U274" s="8" t="str">
        <x:v>No branded/public engine claim</x:v>
      </x:c>
      <x:c r="V274" s="8" t="str">
        <x:v>Yes</x:v>
      </x:c>
      <x:c r="W274" s="8" t="str">
        <x:v>Provider-dependent</x:v>
      </x:c>
      <x:c r="X274" s="8" t="str">
        <x:v>N/A</x:v>
      </x:c>
      <x:c r="Y274" s="8"/>
      <x:c r="Z274" s="8"/>
      <x:c r="AA274" s="8" t="str">
        <x:v>RNNoise</x:v>
      </x:c>
      <x:c r="AB274" s="8" t="str">
        <x:v>Built-in</x:v>
      </x:c>
      <x:c r="AC274" s="9"/>
      <x:c r="AD274" s="8"/>
      <x:c r="AE274" s="8"/>
      <x:c r="AF274" s="8"/>
      <x:c r="AG274" s="8" t="str">
        <x:v>Provider-dependent</x:v>
      </x:c>
      <x:c r="AH274" s="14" t="n">
        <x:v>12</x:v>
      </x:c>
      <x:c r="AI274" s="15" t="str">
        <x:v>Canonical source for Media &amp; Limits!12</x:v>
      </x:c>
    </x:row>
    <x:row r="275" ht="30">
      <x:c r="A275" s="12" t="str">
        <x:v>Media &amp; Limits</x:v>
      </x:c>
      <x:c r="B275" s="13" t="str">
        <x:v>Spatial / Proximity Audio</x:v>
      </x:c>
      <x:c r="C275" s="8" t="str">
        <x:v>No native proximity</x:v>
      </x:c>
      <x:c r="D275" s="8" t="str">
        <x:v>No</x:v>
      </x:c>
      <x:c r="E275" s="8" t="str">
        <x:v>No</x:v>
      </x:c>
      <x:c r="F275" s="8" t="str">
        <x:v>No</x:v>
      </x:c>
      <x:c r="G275" s="8" t="str">
        <x:v>No</x:v>
      </x:c>
      <x:c r="H275" s="8" t="str">
        <x:v>No</x:v>
      </x:c>
      <x:c r="I275" s="8" t="str">
        <x:v>GameLink spatial audio</x:v>
      </x:c>
      <x:c r="J275" s="8" t="str">
        <x:v>No</x:v>
      </x:c>
      <x:c r="K275" s="8" t="str">
        <x:v>No</x:v>
      </x:c>
      <x:c r="L275" s="8"/>
      <x:c r="M275" s="8" t="str">
        <x:v>No</x:v>
      </x:c>
      <x:c r="N275" s="8" t="str">
        <x:v>No</x:v>
      </x:c>
      <x:c r="O275" s="8" t="str">
        <x:v>Client-dependent</x:v>
      </x:c>
      <x:c r="P275" s="8" t="str">
        <x:v>No</x:v>
      </x:c>
      <x:c r="Q275" s="8" t="str">
        <x:v>No</x:v>
      </x:c>
      <x:c r="R275" s="8" t="str">
        <x:v>Yes: positional audio</x:v>
      </x:c>
      <x:c r="S275" s="8" t="str">
        <x:v>No</x:v>
      </x:c>
      <x:c r="T275" s="8" t="str">
        <x:v>No</x:v>
      </x:c>
      <x:c r="U275" s="8" t="str">
        <x:v>No</x:v>
      </x:c>
      <x:c r="V275" s="8" t="str">
        <x:v>No</x:v>
      </x:c>
      <x:c r="W275" s="8" t="str">
        <x:v>No</x:v>
      </x:c>
      <x:c r="X275" s="8" t="str">
        <x:v>N/A</x:v>
      </x:c>
      <x:c r="Y275" s="8" t="str">
        <x:v>No</x:v>
      </x:c>
      <x:c r="Z275" s="8" t="str">
        <x:v>No</x:v>
      </x:c>
      <x:c r="AA275" s="8" t="str">
        <x:v>No</x:v>
      </x:c>
      <x:c r="AB275" s="8" t="str">
        <x:v>3D/positional support historically</x:v>
      </x:c>
      <x:c r="AC275" s="9" t="str">
        <x:v>No</x:v>
      </x:c>
      <x:c r="AD275" s="8" t="str">
        <x:v>No</x:v>
      </x:c>
      <x:c r="AE275" s="8" t="str">
        <x:v>No</x:v>
      </x:c>
      <x:c r="AF275" s="8" t="str">
        <x:v>Yes: spatial/proximity</x:v>
      </x:c>
      <x:c r="AG275" s="8" t="str">
        <x:v>No</x:v>
      </x:c>
      <x:c r="AH275" s="14" t="n">
        <x:v>13</x:v>
      </x:c>
      <x:c r="AI275" s="15" t="str">
        <x:v>Canonical source for Media &amp; Limits!13</x:v>
      </x:c>
    </x:row>
    <x:row r="276" ht="60">
      <x:c r="A276" s="12" t="str">
        <x:v>Media &amp; Limits</x:v>
      </x:c>
      <x:c r="B276" s="13" t="str">
        <x:v>Stage / Broadcast Mode</x:v>
      </x:c>
      <x:c r="C276" s="8" t="str">
        <x:v>Yes: Stage</x:v>
      </x:c>
      <x:c r="D276" s="8"/>
      <x:c r="E276" s="8" t="str">
        <x:v>No</x:v>
      </x:c>
      <x:c r="F276" s="8" t="str">
        <x:v>No</x:v>
      </x:c>
      <x:c r="G276" s="8" t="str">
        <x:v>Nested voice/host-broadcasting direction</x:v>
      </x:c>
      <x:c r="H276" s="8"/>
      <x:c r="I276" s="8" t="str">
        <x:v>No Stage verified</x:v>
      </x:c>
      <x:c r="J276" s="8" t="str">
        <x:v>No</x:v>
      </x:c>
      <x:c r="K276" s="8" t="str">
        <x:v>No</x:v>
      </x:c>
      <x:c r="L276" s="8" t="str">
        <x:v>Developer-reported Stage channels</x:v>
      </x:c>
      <x:c r="M276" s="8" t="str">
        <x:v>No</x:v>
      </x:c>
      <x:c r="N276" s="8" t="str">
        <x:v>Stage/channel model</x:v>
      </x:c>
      <x:c r="O276" s="8" t="str">
        <x:v>Client-dependent</x:v>
      </x:c>
      <x:c r="P276" s="8" t="str">
        <x:v>Call presentation</x:v>
      </x:c>
      <x:c r="Q276" s="8"/>
      <x:c r="R276" s="8" t="str">
        <x:v>No</x:v>
      </x:c>
      <x:c r="S276" s="8" t="str">
        <x:v>No</x:v>
      </x:c>
      <x:c r="T276" s="8" t="str">
        <x:v>No Stage verified</x:v>
      </x:c>
      <x:c r="U276" s="8" t="str">
        <x:v>No</x:v>
      </x:c>
      <x:c r="V276" s="8" t="str">
        <x:v>No dedicated Stage; announcements + permissions / voice launchers</x:v>
      </x:c>
      <x:c r="W276" s="8" t="str">
        <x:v>Provider-dependent</x:v>
      </x:c>
      <x:c r="X276" s="8" t="str">
        <x:v>N/A</x:v>
      </x:c>
      <x:c r="Y276" s="8" t="str">
        <x:v>No dedicated stage</x:v>
      </x:c>
      <x:c r="Z276" s="8"/>
      <x:c r="AA276" s="8" t="str">
        <x:v>No verified</x:v>
      </x:c>
      <x:c r="AB276" s="8" t="str">
        <x:v>No Discord stage equivalent</x:v>
      </x:c>
      <x:c r="AC276" s="9" t="str">
        <x:v>No</x:v>
      </x:c>
      <x:c r="AD276" s="8" t="str">
        <x:v>No</x:v>
      </x:c>
      <x:c r="AE276" s="8" t="str">
        <x:v>Room stage/media surface</x:v>
      </x:c>
      <x:c r="AF276" s="8" t="str">
        <x:v>No</x:v>
      </x:c>
      <x:c r="AG276" s="8" t="str">
        <x:v>Provider-dependent</x:v>
      </x:c>
      <x:c r="AH276" s="14" t="n">
        <x:v>14</x:v>
      </x:c>
      <x:c r="AI276" s="15" t="str">
        <x:v>Canonical source for Media &amp; Limits!14</x:v>
      </x:c>
    </x:row>
    <x:row r="277">
      <x:c r="A277" s="12" t="str">
        <x:v>Media &amp; Limits</x:v>
      </x:c>
      <x:c r="B277" s="13" t="str">
        <x:v>Raise Hand / Speaker Requests</x:v>
      </x:c>
      <x:c r="C277" s="8" t="str">
        <x:v>Yes</x:v>
      </x:c>
      <x:c r="D277" s="8"/>
      <x:c r="E277" s="8"/>
      <x:c r="F277" s="8"/>
      <x:c r="G277" s="8"/>
      <x:c r="H277" s="8"/>
      <x:c r="I277" s="8"/>
      <x:c r="J277" s="8"/>
      <x:c r="K277" s="8" t="str">
        <x:v>No</x:v>
      </x:c>
      <x:c r="L277" s="8" t="str">
        <x:v>Not documented</x:v>
      </x:c>
      <x:c r="M277" s="8"/>
      <x:c r="N277" s="8"/>
      <x:c r="O277" s="8" t="str">
        <x:v>Client-dependent</x:v>
      </x:c>
      <x:c r="P277" s="8" t="str">
        <x:v>Yes</x:v>
      </x:c>
      <x:c r="Q277" s="8"/>
      <x:c r="R277" s="8" t="str">
        <x:v>No</x:v>
      </x:c>
      <x:c r="S277" s="8"/>
      <x:c r="T277" s="8"/>
      <x:c r="U277" s="8"/>
      <x:c r="V277" s="8" t="str">
        <x:v>No</x:v>
      </x:c>
      <x:c r="W277" s="8" t="str">
        <x:v>Provider-dependent</x:v>
      </x:c>
      <x:c r="X277" s="8" t="str">
        <x:v>N/A</x:v>
      </x:c>
      <x:c r="Y277" s="8"/>
      <x:c r="Z277" s="8"/>
      <x:c r="AA277" s="8"/>
      <x:c r="AB277" s="8"/>
      <x:c r="AC277" s="9"/>
      <x:c r="AD277" s="8"/>
      <x:c r="AE277" s="8"/>
      <x:c r="AF277" s="8" t="str">
        <x:v>No</x:v>
      </x:c>
      <x:c r="AG277" s="8" t="str">
        <x:v>Provider-dependent</x:v>
      </x:c>
      <x:c r="AH277" s="14" t="n">
        <x:v>15</x:v>
      </x:c>
      <x:c r="AI277" s="15" t="str">
        <x:v>Canonical source for Media &amp; Limits!15</x:v>
      </x:c>
    </x:row>
    <x:row r="278" ht="30">
      <x:c r="A278" s="12" t="str">
        <x:v>Media &amp; Limits</x:v>
      </x:c>
      <x:c r="B278" s="13" t="str">
        <x:v>Webcam Video</x:v>
      </x:c>
      <x:c r="C278" s="8" t="str">
        <x:v>Yes</x:v>
      </x:c>
      <x:c r="D278" s="8"/>
      <x:c r="E278" s="8"/>
      <x:c r="F278" s="8" t="str">
        <x:v>Yes</x:v>
      </x:c>
      <x:c r="G278" s="8" t="str">
        <x:v>Yes</x:v>
      </x:c>
      <x:c r="H278" s="8" t="str">
        <x:v>Yes</x:v>
      </x:c>
      <x:c r="I278" s="8" t="str">
        <x:v>Yes</x:v>
      </x:c>
      <x:c r="J278" s="8" t="str">
        <x:v>In development</x:v>
      </x:c>
      <x:c r="K278" s="8"/>
      <x:c r="L278" s="8" t="str">
        <x:v>Yes</x:v>
      </x:c>
      <x:c r="M278" s="8"/>
      <x:c r="N278" s="8" t="str">
        <x:v>Yes</x:v>
      </x:c>
      <x:c r="O278" s="8" t="str">
        <x:v>Client-dependent</x:v>
      </x:c>
      <x:c r="P278" s="8" t="str">
        <x:v>Yes</x:v>
      </x:c>
      <x:c r="Q278" s="8" t="str">
        <x:v>Yes</x:v>
      </x:c>
      <x:c r="R278" s="8" t="str">
        <x:v>No</x:v>
      </x:c>
      <x:c r="S278" s="8"/>
      <x:c r="T278" s="8" t="str">
        <x:v>Yes</x:v>
      </x:c>
      <x:c r="U278" s="8" t="str">
        <x:v>Yes: camera in DM calls</x:v>
      </x:c>
      <x:c r="V278" s="8" t="str">
        <x:v>Yes</x:v>
      </x:c>
      <x:c r="W278" s="8" t="str">
        <x:v>Provider-dependent</x:v>
      </x:c>
      <x:c r="X278" s="8" t="str">
        <x:v>N/A</x:v>
      </x:c>
      <x:c r="Y278" s="8" t="str">
        <x:v>Yes</x:v>
      </x:c>
      <x:c r="Z278" s="8" t="str">
        <x:v>Yes with Pion implementation</x:v>
      </x:c>
      <x:c r="AA278" s="8" t="str">
        <x:v>Yes/rollout</x:v>
      </x:c>
      <x:c r="AB278" s="8"/>
      <x:c r="AC278" s="9"/>
      <x:c r="AD278" s="8"/>
      <x:c r="AE278" s="8" t="str">
        <x:v>Yes</x:v>
      </x:c>
      <x:c r="AF278" s="8"/>
      <x:c r="AG278" s="8" t="str">
        <x:v>External provider</x:v>
      </x:c>
      <x:c r="AH278" s="14" t="n">
        <x:v>16</x:v>
      </x:c>
      <x:c r="AI278" s="15" t="str">
        <x:v>Canonical source for Media &amp; Limits!16</x:v>
      </x:c>
    </x:row>
    <x:row r="279" ht="30">
      <x:c r="A279" s="12" t="str">
        <x:v>Media &amp; Limits</x:v>
      </x:c>
      <x:c r="B279" s="13" t="str">
        <x:v>Screen Sharing</x:v>
      </x:c>
      <x:c r="C279" s="8" t="str">
        <x:v>Yes</x:v>
      </x:c>
      <x:c r="D279" s="8"/>
      <x:c r="E279" s="8" t="str">
        <x:v>Yes</x:v>
      </x:c>
      <x:c r="F279" s="8" t="str">
        <x:v>Yes</x:v>
      </x:c>
      <x:c r="G279" s="8" t="str">
        <x:v>Yes</x:v>
      </x:c>
      <x:c r="H279" s="8" t="str">
        <x:v>Yes</x:v>
      </x:c>
      <x:c r="I279" s="8" t="str">
        <x:v>Yes</x:v>
      </x:c>
      <x:c r="J279" s="8" t="str">
        <x:v>In development</x:v>
      </x:c>
      <x:c r="K279" s="8"/>
      <x:c r="L279" s="8" t="str">
        <x:v>Yes</x:v>
      </x:c>
      <x:c r="M279" s="8" t="str">
        <x:v>Yes: screen share advertised</x:v>
      </x:c>
      <x:c r="N279" s="8" t="str">
        <x:v>Yes</x:v>
      </x:c>
      <x:c r="O279" s="8" t="str">
        <x:v>Client-dependent</x:v>
      </x:c>
      <x:c r="P279" s="8" t="str">
        <x:v>Yes</x:v>
      </x:c>
      <x:c r="Q279" s="8" t="str">
        <x:v>Yes</x:v>
      </x:c>
      <x:c r="R279" s="8" t="str">
        <x:v>No</x:v>
      </x:c>
      <x:c r="S279" s="8"/>
      <x:c r="T279" s="8" t="str">
        <x:v>Yes</x:v>
      </x:c>
      <x:c r="U279" s="8" t="str">
        <x:v>Yes: browser screen share</x:v>
      </x:c>
      <x:c r="V279" s="8" t="str">
        <x:v>Yes</x:v>
      </x:c>
      <x:c r="W279" s="8" t="str">
        <x:v>Provider-dependent</x:v>
      </x:c>
      <x:c r="X279" s="8" t="str">
        <x:v>N/A</x:v>
      </x:c>
      <x:c r="Y279" s="8" t="str">
        <x:v>Yes</x:v>
      </x:c>
      <x:c r="Z279" s="8" t="str">
        <x:v>Yes: Go Live with Pion</x:v>
      </x:c>
      <x:c r="AA279" s="8" t="str">
        <x:v>Yes/rollout</x:v>
      </x:c>
      <x:c r="AB279" s="8" t="str">
        <x:v>Yes: TS6</x:v>
      </x:c>
      <x:c r="AC279" s="9"/>
      <x:c r="AD279" s="8"/>
      <x:c r="AE279" s="8" t="str">
        <x:v>Yes</x:v>
      </x:c>
      <x:c r="AF279" s="8" t="str">
        <x:v>Yes</x:v>
      </x:c>
      <x:c r="AG279" s="8" t="str">
        <x:v>External provider</x:v>
      </x:c>
      <x:c r="AH279" s="14" t="n">
        <x:v>17</x:v>
      </x:c>
      <x:c r="AI279" s="15" t="str">
        <x:v>Canonical source for Media &amp; Limits!17</x:v>
      </x:c>
    </x:row>
    <x:row r="280" ht="120">
      <x:c r="A280" s="12" t="str">
        <x:v>Media &amp; Limits</x:v>
      </x:c>
      <x:c r="B280" s="13" t="str">
        <x:v>Free Screen Share Resolution</x:v>
      </x:c>
      <x:c r="C280" s="8" t="str">
        <x:v>720p</x:v>
      </x:c>
      <x:c r="D280" s="8"/>
      <x:c r="E280" s="8" t="str">
        <x:v>Up to 4K</x:v>
      </x:c>
      <x:c r="F280" s="8"/>
      <x:c r="G280" s="8"/>
      <x:c r="H280" s="8" t="str">
        <x:v>720p</x:v>
      </x:c>
      <x:c r="I280" s="8" t="str">
        <x:v>1080p</x:v>
      </x:c>
      <x:c r="J280" s="8" t="str">
        <x:v>N/A</x:v>
      </x:c>
      <x:c r="K280" s="8"/>
      <x:c r="L280" s="8" t="str">
        <x:v>4K native Source preset at 30 FPS is publicly documented; browser Source has an 8K defensive bound. Developer questionnaire reported 4K60.</x:v>
      </x:c>
      <x:c r="M280" s="8"/>
      <x:c r="N280" s="8"/>
      <x:c r="O280" s="8" t="str">
        <x:v>Client-dependent</x:v>
      </x:c>
      <x:c r="P280" s="8" t="str">
        <x:v>Deployment/plan dependent</x:v>
      </x:c>
      <x:c r="Q280" s="8" t="str">
        <x:v>Unlimited-resolution claim</x:v>
      </x:c>
      <x:c r="R280" s="8" t="str">
        <x:v>N/A</x:v>
      </x:c>
      <x:c r="S280" s="8"/>
      <x:c r="T280" s="8"/>
      <x:c r="U280" s="8" t="str">
        <x:v>1080p</x:v>
      </x:c>
      <x:c r="V280" s="8" t="str">
        <x:v>1080p free</x:v>
      </x:c>
      <x:c r="W280" s="8" t="str">
        <x:v>Provider-dependent</x:v>
      </x:c>
      <x:c r="X280" s="8" t="str">
        <x:v>N/A</x:v>
      </x:c>
      <x:c r="Y280" s="8" t="str">
        <x:v>720p game / Source text mode</x:v>
      </x:c>
      <x:c r="Z280" s="8" t="str">
        <x:v>Operator/config dependent</x:v>
      </x:c>
      <x:c r="AA280" s="8"/>
      <x:c r="AB280" s="8"/>
      <x:c r="AC280" s="9"/>
      <x:c r="AD280" s="8"/>
      <x:c r="AE280" s="8"/>
      <x:c r="AF280" s="8" t="str">
        <x:v>Up to 1440p</x:v>
      </x:c>
      <x:c r="AG280" s="8" t="str">
        <x:v>Provider-dependent</x:v>
      </x:c>
      <x:c r="AH280" s="14" t="n">
        <x:v>18</x:v>
      </x:c>
      <x:c r="AI280" s="15" t="str">
        <x:v>Canonical source for Media &amp; Limits!18</x:v>
      </x:c>
    </x:row>
    <x:row r="281" ht="30">
      <x:c r="A281" s="12" t="str">
        <x:v>Media &amp; Limits</x:v>
      </x:c>
      <x:c r="B281" s="13" t="str">
        <x:v>Free Screen Share FPS</x:v>
      </x:c>
      <x:c r="C281" s="8" t="str">
        <x:v>30</x:v>
      </x:c>
      <x:c r="D281" s="8"/>
      <x:c r="E281" s="8" t="str">
        <x:v>Up to 60/120 by version/config</x:v>
      </x:c>
      <x:c r="F281" s="8"/>
      <x:c r="G281" s="8"/>
      <x:c r="H281" s="8" t="str">
        <x:v>30</x:v>
      </x:c>
      <x:c r="I281" s="8" t="str">
        <x:v>30</x:v>
      </x:c>
      <x:c r="J281" s="8" t="str">
        <x:v>N/A</x:v>
      </x:c>
      <x:c r="K281" s="8"/>
      <x:c r="L281" s="8"/>
      <x:c r="M281" s="8"/>
      <x:c r="N281" s="8"/>
      <x:c r="O281" s="8" t="str">
        <x:v>Client-dependent</x:v>
      </x:c>
      <x:c r="P281" s="8" t="str">
        <x:v>Deployment/plan dependent</x:v>
      </x:c>
      <x:c r="Q281" s="8"/>
      <x:c r="R281" s="8" t="str">
        <x:v>N/A</x:v>
      </x:c>
      <x:c r="S281" s="8"/>
      <x:c r="T281" s="8"/>
      <x:c r="U281" s="8" t="str">
        <x:v>Not publicly claimed</x:v>
      </x:c>
      <x:c r="V281" s="8" t="str">
        <x:v>60 FPS free</x:v>
      </x:c>
      <x:c r="W281" s="8" t="str">
        <x:v>Provider-dependent</x:v>
      </x:c>
      <x:c r="X281" s="8" t="str">
        <x:v>N/A</x:v>
      </x:c>
      <x:c r="Y281" s="8" t="str">
        <x:v>30 game / 5 source</x:v>
      </x:c>
      <x:c r="Z281" s="8"/>
      <x:c r="AA281" s="8"/>
      <x:c r="AB281" s="8"/>
      <x:c r="AC281" s="9"/>
      <x:c r="AD281" s="8"/>
      <x:c r="AE281" s="8"/>
      <x:c r="AF281" s="8"/>
      <x:c r="AG281" s="8" t="str">
        <x:v>Provider-dependent</x:v>
      </x:c>
      <x:c r="AH281" s="14" t="n">
        <x:v>19</x:v>
      </x:c>
      <x:c r="AI281" s="15" t="str">
        <x:v>Canonical source for Media &amp; Limits!19</x:v>
      </x:c>
    </x:row>
    <x:row r="282" ht="75">
      <x:c r="A282" s="12" t="str">
        <x:v>Media &amp; Limits</x:v>
      </x:c>
      <x:c r="B282" s="13" t="str">
        <x:v>Linux Screen Audio</x:v>
      </x:c>
      <x:c r="C282" s="8" t="str">
        <x:v>Linux audio-share limitations</x:v>
      </x:c>
      <x:c r="D282" s="8"/>
      <x:c r="E282" s="8"/>
      <x:c r="F282" s="8"/>
      <x:c r="G282" s="8"/>
      <x:c r="H282" s="8"/>
      <x:c r="I282" s="8"/>
      <x:c r="J282" s="8"/>
      <x:c r="K282" s="8"/>
      <x:c r="L282" s="8" t="str">
        <x:v>No: current native desktop common mixer contract is not enabled; browser may provide surface audio</x:v>
      </x:c>
      <x:c r="M282" s="8"/>
      <x:c r="N282" s="8"/>
      <x:c r="O282" s="8" t="str">
        <x:v>Client-dependent</x:v>
      </x:c>
      <x:c r="P282" s="8" t="str">
        <x:v>Depends desktop/Linux support</x:v>
      </x:c>
      <x:c r="Q282" s="8"/>
      <x:c r="R282" s="8" t="str">
        <x:v>N/A</x:v>
      </x:c>
      <x:c r="S282" s="8"/>
      <x:c r="T282" s="8"/>
      <x:c r="U282" s="8" t="str">
        <x:v>Linux supported</x:v>
      </x:c>
      <x:c r="V282" s="8" t="str">
        <x:v>Yes</x:v>
      </x:c>
      <x:c r="W282" s="8" t="str">
        <x:v>Provider-dependent</x:v>
      </x:c>
      <x:c r="X282" s="8" t="str">
        <x:v>N/A</x:v>
      </x:c>
      <x:c r="Y282" s="8"/>
      <x:c r="Z282" s="8"/>
      <x:c r="AA282" s="8"/>
      <x:c r="AB282" s="8"/>
      <x:c r="AC282" s="9"/>
      <x:c r="AD282" s="8" t="str">
        <x:v>Linux mic I/O known rough edge</x:v>
      </x:c>
      <x:c r="AE282" s="8"/>
      <x:c r="AF282" s="8"/>
      <x:c r="AG282" s="8" t="str">
        <x:v>Provider-dependent</x:v>
      </x:c>
      <x:c r="AH282" s="14" t="n">
        <x:v>23</x:v>
      </x:c>
      <x:c r="AI282" s="15" t="str">
        <x:v>Canonical source for Media &amp; Limits!23</x:v>
      </x:c>
    </x:row>
    <x:row r="283" ht="45">
      <x:c r="A283" s="12" t="str">
        <x:v>Media &amp; Limits</x:v>
      </x:c>
      <x:c r="B283" s="13" t="str">
        <x:v>Mobile Screen Share</x:v>
      </x:c>
      <x:c r="C283" s="8" t="str">
        <x:v>Mobile screen share supported</x:v>
      </x:c>
      <x:c r="D283" s="8"/>
      <x:c r="E283" s="8"/>
      <x:c r="F283" s="8"/>
      <x:c r="G283" s="8"/>
      <x:c r="H283" s="8"/>
      <x:c r="I283" s="8"/>
      <x:c r="J283" s="8"/>
      <x:c r="K283" s="8"/>
      <x:c r="L283" s="8" t="str">
        <x:v>Yes</x:v>
      </x:c>
      <x:c r="M283" s="8"/>
      <x:c r="N283" s="8"/>
      <x:c r="O283" s="8" t="str">
        <x:v>Client-dependent</x:v>
      </x:c>
      <x:c r="P283" s="8" t="str">
        <x:v>Mobile behavior varies</x:v>
      </x:c>
      <x:c r="Q283" s="8"/>
      <x:c r="R283" s="8" t="str">
        <x:v>N/A</x:v>
      </x:c>
      <x:c r="S283" s="8"/>
      <x:c r="T283" s="8"/>
      <x:c r="U283" s="8"/>
      <x:c r="V283" s="8" t="str">
        <x:v>Yes: mobile calls/screen documented</x:v>
      </x:c>
      <x:c r="W283" s="8" t="str">
        <x:v>Provider-dependent</x:v>
      </x:c>
      <x:c r="X283" s="8" t="str">
        <x:v>N/A</x:v>
      </x:c>
      <x:c r="Y283" s="8" t="str">
        <x:v>No sharing from mobile</x:v>
      </x:c>
      <x:c r="Z283" s="8"/>
      <x:c r="AA283" s="8"/>
      <x:c r="AB283" s="8"/>
      <x:c r="AC283" s="9"/>
      <x:c r="AD283" s="8"/>
      <x:c r="AE283" s="8"/>
      <x:c r="AF283" s="8"/>
      <x:c r="AG283" s="8" t="str">
        <x:v>Provider-dependent</x:v>
      </x:c>
      <x:c r="AH283" s="14" t="n">
        <x:v>24</x:v>
      </x:c>
      <x:c r="AI283" s="15" t="str">
        <x:v>Canonical source for Media &amp; Limits!24</x:v>
      </x:c>
    </x:row>
    <x:row r="284" ht="30">
      <x:c r="A284" s="12" t="str">
        <x:v>Media &amp; Limits</x:v>
      </x:c>
      <x:c r="B284" s="13" t="str">
        <x:v>Multiple Concurrent Screen Shares</x:v>
      </x:c>
      <x:c r="C284" s="8"/>
      <x:c r="D284" s="8"/>
      <x:c r="E284" s="8"/>
      <x:c r="F284" s="8"/>
      <x:c r="G284" s="8"/>
      <x:c r="H284" s="8"/>
      <x:c r="I284" s="8"/>
      <x:c r="J284" s="8"/>
      <x:c r="K284" s="8" t="str">
        <x:v>P2P</x:v>
      </x:c>
      <x:c r="L284" s="8" t="str">
        <x:v>Not documented</x:v>
      </x:c>
      <x:c r="M284" s="8"/>
      <x:c r="N284" s="8"/>
      <x:c r="O284" s="8" t="str">
        <x:v>Client/provider-dependent</x:v>
      </x:c>
      <x:c r="P284" s="8" t="str">
        <x:v>Plan-dependent</x:v>
      </x:c>
      <x:c r="Q284" s="8"/>
      <x:c r="R284" s="8" t="str">
        <x:v>N/A</x:v>
      </x:c>
      <x:c r="S284" s="8"/>
      <x:c r="T284" s="8"/>
      <x:c r="U284" s="8" t="str">
        <x:v>2 in smaller rooms; 4 in big rooms</x:v>
      </x:c>
      <x:c r="V284" s="8" t="str">
        <x:v>Yes</x:v>
      </x:c>
      <x:c r="W284" s="8" t="str">
        <x:v>Provider-dependent</x:v>
      </x:c>
      <x:c r="X284" s="8" t="str">
        <x:v>N/A</x:v>
      </x:c>
      <x:c r="Y284" s="8"/>
      <x:c r="Z284" s="8" t="str">
        <x:v>Implementation-dependent</x:v>
      </x:c>
      <x:c r="AA284" s="8"/>
      <x:c r="AB284" s="8"/>
      <x:c r="AC284" s="9"/>
      <x:c r="AD284" s="8"/>
      <x:c r="AE284" s="8"/>
      <x:c r="AF284" s="8"/>
      <x:c r="AG284" s="8" t="str">
        <x:v>Provider-dependent</x:v>
      </x:c>
      <x:c r="AH284" s="14" t="n">
        <x:v>25</x:v>
      </x:c>
      <x:c r="AI284" s="15" t="str">
        <x:v>Canonical source for Media &amp; Limits!25</x:v>
      </x:c>
    </x:row>
    <x:row r="285">
      <x:c r="A285" s="12" t="str">
        <x:v>Media &amp; Limits</x:v>
      </x:c>
      <x:c r="B285" s="13" t="str">
        <x:v>Multi-Stream Viewing</x:v>
      </x:c>
      <x:c r="C285" s="8" t="str">
        <x:v>Yes</x:v>
      </x:c>
      <x:c r="D285" s="8"/>
      <x:c r="E285" s="8"/>
      <x:c r="F285" s="8" t="str">
        <x:v>Yes</x:v>
      </x:c>
      <x:c r="G285" s="8"/>
      <x:c r="H285" s="8" t="str">
        <x:v>Yes</x:v>
      </x:c>
      <x:c r="I285" s="8" t="str">
        <x:v>Yes</x:v>
      </x:c>
      <x:c r="J285" s="8"/>
      <x:c r="K285" s="8"/>
      <x:c r="L285" s="8"/>
      <x:c r="M285" s="8"/>
      <x:c r="N285" s="8" t="str">
        <x:v>Yes</x:v>
      </x:c>
      <x:c r="O285" s="8" t="str">
        <x:v>Client-dependent</x:v>
      </x:c>
      <x:c r="P285" s="8" t="str">
        <x:v>Yes</x:v>
      </x:c>
      <x:c r="Q285" s="8" t="str">
        <x:v>Yes</x:v>
      </x:c>
      <x:c r="R285" s="8" t="str">
        <x:v>N/A</x:v>
      </x:c>
      <x:c r="S285" s="8"/>
      <x:c r="T285" s="8" t="str">
        <x:v>Yes</x:v>
      </x:c>
      <x:c r="U285" s="8" t="str">
        <x:v>Yes</x:v>
      </x:c>
      <x:c r="V285" s="8" t="str">
        <x:v>Yes</x:v>
      </x:c>
      <x:c r="W285" s="8" t="str">
        <x:v>Provider-dependent</x:v>
      </x:c>
      <x:c r="X285" s="8" t="str">
        <x:v>N/A</x:v>
      </x:c>
      <x:c r="Y285" s="8" t="str">
        <x:v>Yes</x:v>
      </x:c>
      <x:c r="Z285" s="8"/>
      <x:c r="AA285" s="8"/>
      <x:c r="AB285" s="8"/>
      <x:c r="AC285" s="9"/>
      <x:c r="AD285" s="8"/>
      <x:c r="AE285" s="8" t="str">
        <x:v>Yes</x:v>
      </x:c>
      <x:c r="AF285" s="8"/>
      <x:c r="AG285" s="8" t="str">
        <x:v>Provider-dependent</x:v>
      </x:c>
      <x:c r="AH285" s="14" t="n">
        <x:v>26</x:v>
      </x:c>
      <x:c r="AI285" s="15" t="str">
        <x:v>Canonical source for Media &amp; Limits!26</x:v>
      </x:c>
    </x:row>
    <x:row r="286" ht="105">
      <x:c r="A286" s="12" t="str">
        <x:v>Media &amp; Limits</x:v>
      </x:c>
      <x:c r="B286" s="13" t="str">
        <x:v>Media Notes</x:v>
      </x:c>
      <x:c r="C286" s="8" t="str">
        <x:v>Voice/video/Go Live E2EE by default except Stage.</x:v>
      </x:c>
      <x:c r="D286" s="8" t="str">
        <x:v>Voice exists; detailed limits are not publicly documented.</x:v>
      </x:c>
      <x:c r="E286" s="8" t="str">
        <x:v>Media limits are software/operator-configurable rather than a paid tier.</x:v>
      </x:c>
      <x:c r="F286" s="8" t="str">
        <x:v>LiveKit-based voice/video/screen sharing.</x:v>
      </x:c>
      <x:c r="G286" s="8" t="str">
        <x:v>Alpha behavior/limits can change.</x:v>
      </x:c>
      <x:c r="H286" s="8" t="str">
        <x:v>Nothing is E2EE yet per Sep 13 privacy policy.</x:v>
      </x:c>
      <x:c r="I286" s="8" t="str">
        <x:v>Voice-first gaming platform.</x:v>
      </x:c>
      <x:c r="J286" s="8" t="str">
        <x:v>Media is early/incomplete.</x:v>
      </x:c>
      <x:c r="K286" s="8" t="str">
        <x:v>Media is peer-to-peer rather than server-room focused.</x:v>
      </x:c>
      <x:c r="L286" s="8"/>
      <x:c r="M286" s="8" t="str">
        <x:v>Media limits not well documented.</x:v>
      </x:c>
      <x:c r="N286" s="8" t="str">
        <x:v>Voice/video/screen share are live in open beta.</x:v>
      </x:c>
      <x:c r="O286" s="8" t="str">
        <x:v>Media limits depend on the client, homeserver, and SFU deployment; Matrix has no universal platform limit.</x:v>
      </x:c>
      <x:c r="P286" s="8" t="str">
        <x:v>Native Calls supports screen share and meeting-style controls.</x:v>
      </x:c>
      <x:c r="Q286" s="8" t="str">
        <x:v>No paywall on voice/video quality claimed.</x:v>
      </x:c>
      <x:c r="R286" s="8" t="str">
        <x:v>Purpose-built voice; no webcam/screen-sharing core.</x:v>
      </x:c>
      <x:c r="S286" s="8" t="str">
        <x:v>public documentation emphasize chat more than media limits.</x:v>
      </x:c>
      <x:c r="T286" s="8" t="str">
        <x:v>Custom voice infrastructure is a headline feature.</x:v>
      </x:c>
      <x:c r="U286" s="8" t="str">
        <x:v>Persistent voice; P2P small/DM media; LiveKit for listed/larger hosted rooms. Hosted watch party has exceeded 100 participants.</x:v>
      </x:c>
      <x:c r="V286" s="8" t="str">
        <x:v>Yes</x:v>
      </x:c>
      <x:c r="W286" s="8" t="str">
        <x:v>Media calling varies by Rocket.Chat deployment; there is no single fixed platform profile.</x:v>
      </x:c>
      <x:c r="X286" s="8" t="str">
        <x:v>Text/community-gardening focus.</x:v>
      </x:c>
      <x:c r="Y286" s="8" t="str">
        <x:v>Mobile can view shared screens.</x:v>
      </x:c>
      <x:c r="Z286" s="8" t="str">
        <x:v>Voice is optional and disabled unless operator installs a compatible media implementation.</x:v>
      </x:c>
      <x:c r="AA286" s="8" t="str">
        <x:v>Screen sharing/video rolled out in 2026; exact plan limits are not comprehensively documented.</x:v>
      </x:c>
      <x:c r="AB286" s="8" t="str">
        <x:v>TS6 is beta, so limits/features are changing.</x:v>
      </x:c>
      <x:c r="AC286" s="9"/>
      <x:c r="AD286" s="8" t="str">
        <x:v>Media details sparse.</x:v>
      </x:c>
      <x:c r="AE286" s="8" t="str">
        <x:v>Designed around always-present game-room media.</x:v>
      </x:c>
      <x:c r="AF286" s="8" t="str">
        <x:v>Self-host resource capacity determines practical limits.</x:v>
      </x:c>
      <x:c r="AG286" s="8" t="str">
        <x:v>Voice/video are intentionally delegated to services such as Jitsi/Zoom/BigBlueButton.</x:v>
      </x:c>
      <x:c r="AH286" s="14" t="n">
        <x:v>27</x:v>
      </x:c>
      <x:c r="AI286" s="15" t="str">
        <x:v>Canonical source for Media &amp; Limits!27</x:v>
      </x:c>
    </x:row>
    <x:row r="287" ht="45">
      <x:c r="A287" s="12" t="str">
        <x:v>Media &amp; Limits</x:v>
      </x:c>
      <x:c r="B287" s="13" t="str">
        <x:v>Voice Room Launcher / Auto-Delete Rooms</x:v>
      </x:c>
      <x:c r="C287" s="8" t="str">
        <x:v>No native</x:v>
      </x:c>
      <x:c r="D287" s="8"/>
      <x:c r="E287" s="8"/>
      <x:c r="F287" s="8"/>
      <x:c r="G287" s="8"/>
      <x:c r="H287" s="8"/>
      <x:c r="I287" s="8"/>
      <x:c r="J287" s="8"/>
      <x:c r="K287" s="8"/>
      <x:c r="L287" s="8" t="str">
        <x:v>No launcher/auto-delete voice-room model documented</x:v>
      </x:c>
      <x:c r="M287" s="8"/>
      <x:c r="N287" s="8"/>
      <x:c r="O287" s="8"/>
      <x:c r="P287" s="8"/>
      <x:c r="Q287" s="8"/>
      <x:c r="R287" s="8"/>
      <x:c r="S287" s="8"/>
      <x:c r="T287" s="8"/>
      <x:c r="U287" s="8"/>
      <x:c r="V287" s="8" t="str">
        <x:v>Yes</x:v>
      </x:c>
      <x:c r="W287" s="8"/>
      <x:c r="X287" s="8"/>
      <x:c r="Y287" s="8"/>
      <x:c r="Z287" s="8"/>
      <x:c r="AA287" s="8"/>
      <x:c r="AB287" s="8"/>
      <x:c r="AC287" s="9"/>
      <x:c r="AD287" s="8"/>
      <x:c r="AE287" s="8"/>
      <x:c r="AF287" s="8"/>
      <x:c r="AG287" s="8"/>
      <x:c r="AH287" s="14" t="n">
        <x:v>29</x:v>
      </x:c>
      <x:c r="AI287" s="15" t="str">
        <x:v>Canonical source for Media &amp; Limits!29</x:v>
      </x:c>
    </x:row>
    <x:row r="288" ht="45">
      <x:c r="A288" s="12" t="str">
        <x:v>Media &amp; Limits</x:v>
      </x:c>
      <x:c r="B288" s="13" t="str">
        <x:v>Watch Party / Synchronized Co-Watching</x:v>
      </x:c>
      <x:c r="C288" s="8" t="str">
        <x:v>Activities can provide co-watching</x:v>
      </x:c>
      <x:c r="D288" s="8"/>
      <x:c r="E288" s="8"/>
      <x:c r="F288" s="8"/>
      <x:c r="G288" s="8"/>
      <x:c r="H288" s="8"/>
      <x:c r="I288" s="8"/>
      <x:c r="J288" s="8"/>
      <x:c r="K288" s="8"/>
      <x:c r="L288" s="8" t="str">
        <x:v>No watch-party system documented</x:v>
      </x:c>
      <x:c r="M288" s="8"/>
      <x:c r="N288" s="8"/>
      <x:c r="O288" s="8"/>
      <x:c r="P288" s="8"/>
      <x:c r="Q288" s="8"/>
      <x:c r="R288" s="8"/>
      <x:c r="S288" s="8"/>
      <x:c r="T288" s="8"/>
      <x:c r="U288" s="8" t="str">
        <x:v>Yes</x:v>
      </x:c>
      <x:c r="V288" s="8" t="str">
        <x:v>Yes: YouTube/Twitch Watch Party</x:v>
      </x:c>
      <x:c r="W288" s="8"/>
      <x:c r="X288" s="8"/>
      <x:c r="Y288" s="8"/>
      <x:c r="Z288" s="8"/>
      <x:c r="AA288" s="8"/>
      <x:c r="AB288" s="8"/>
      <x:c r="AC288" s="9"/>
      <x:c r="AD288" s="8"/>
      <x:c r="AE288" s="8"/>
      <x:c r="AF288" s="8"/>
      <x:c r="AG288" s="8"/>
      <x:c r="AH288" s="14" t="n">
        <x:v>32</x:v>
      </x:c>
      <x:c r="AI288" s="15" t="str">
        <x:v>Canonical source for Media &amp; Limits!32</x:v>
      </x:c>
    </x:row>
    <x:row r="289" ht="60">
      <x:c r="A289" s="12" t="str">
        <x:v>Media &amp; Limits</x:v>
      </x:c>
      <x:c r="B289" s="13" t="str">
        <x:v>High-Fidelity / Music Mode</x:v>
      </x:c>
      <x:c r="C289" s="8"/>
      <x:c r="D289" s="8"/>
      <x:c r="E289" s="8"/>
      <x:c r="F289" s="8"/>
      <x:c r="G289" s="8"/>
      <x:c r="H289" s="8"/>
      <x:c r="I289" s="8"/>
      <x:c r="J289" s="8"/>
      <x:c r="K289" s="8"/>
      <x:c r="L289" s="8" t="str">
        <x:v>Partial: browser 128 kbps Studio; desktop uses processed mono voice graph</x:v>
      </x:c>
      <x:c r="M289" s="8"/>
      <x:c r="N289" s="8"/>
      <x:c r="O289" s="8"/>
      <x:c r="P289" s="8"/>
      <x:c r="Q289" s="8"/>
      <x:c r="R289" s="8"/>
      <x:c r="S289" s="8"/>
      <x:c r="T289" s="8"/>
      <x:c r="U289" s="8"/>
      <x:c r="V289" s="8" t="str">
        <x:v>Yes: Rift+ high-fidelity mode at 128 kbps</x:v>
      </x:c>
      <x:c r="W289" s="8"/>
      <x:c r="X289" s="8"/>
      <x:c r="Y289" s="8"/>
      <x:c r="Z289" s="8"/>
      <x:c r="AA289" s="8"/>
      <x:c r="AB289" s="8" t="str">
        <x:v>Codec/settings dependent</x:v>
      </x:c>
      <x:c r="AC289" s="9"/>
      <x:c r="AD289" s="8"/>
      <x:c r="AE289" s="8"/>
      <x:c r="AF289" s="8"/>
      <x:c r="AG289" s="8"/>
      <x:c r="AH289" s="14" t="n">
        <x:v>33</x:v>
      </x:c>
      <x:c r="AI289" s="15" t="str">
        <x:v>Canonical source for Media &amp; Limits!33</x:v>
      </x:c>
    </x:row>
    <x:row r="290">
      <x:c r="A290" s="12" t="str">
        <x:v>Files &amp; Storage</x:v>
      </x:c>
      <x:c r="B290" s="13" t="str">
        <x:v>File Uploads Supported?</x:v>
      </x:c>
      <x:c r="C290" s="8" t="str">
        <x:v>Yes</x:v>
      </x:c>
      <x:c r="D290" s="8" t="str">
        <x:v>Yes</x:v>
      </x:c>
      <x:c r="E290" s="8" t="str">
        <x:v>Yes</x:v>
      </x:c>
      <x:c r="F290" s="8" t="str">
        <x:v>Yes</x:v>
      </x:c>
      <x:c r="G290" s="8" t="str">
        <x:v>Yes</x:v>
      </x:c>
      <x:c r="H290" s="8" t="str">
        <x:v>Yes</x:v>
      </x:c>
      <x:c r="I290" s="8" t="str">
        <x:v>Yes</x:v>
      </x:c>
      <x:c r="J290" s="8" t="str">
        <x:v>Yes</x:v>
      </x:c>
      <x:c r="K290" s="8" t="str">
        <x:v>Yes</x:v>
      </x:c>
      <x:c r="L290" s="8" t="str">
        <x:v>Yes</x:v>
      </x:c>
      <x:c r="M290" s="8" t="str">
        <x:v>Yes</x:v>
      </x:c>
      <x:c r="N290" s="8" t="str">
        <x:v>Yes</x:v>
      </x:c>
      <x:c r="O290" s="8" t="str">
        <x:v>Yes</x:v>
      </x:c>
      <x:c r="P290" s="8" t="str">
        <x:v>Yes</x:v>
      </x:c>
      <x:c r="Q290" s="8" t="str">
        <x:v>Yes</x:v>
      </x:c>
      <x:c r="R290" s="8" t="str">
        <x:v>No</x:v>
      </x:c>
      <x:c r="S290" s="8" t="str">
        <x:v>Yes</x:v>
      </x:c>
      <x:c r="T290" s="8" t="str">
        <x:v>Yes</x:v>
      </x:c>
      <x:c r="U290" s="8" t="str">
        <x:v>Yes</x:v>
      </x:c>
      <x:c r="V290" s="8" t="str">
        <x:v>Yes</x:v>
      </x:c>
      <x:c r="W290" s="8" t="str">
        <x:v>Yes</x:v>
      </x:c>
      <x:c r="X290" s="8" t="str">
        <x:v>Yes</x:v>
      </x:c>
      <x:c r="Y290" s="8" t="str">
        <x:v>Yes</x:v>
      </x:c>
      <x:c r="Z290" s="8" t="str">
        <x:v>Yes</x:v>
      </x:c>
      <x:c r="AA290" s="8" t="str">
        <x:v>Yes</x:v>
      </x:c>
      <x:c r="AB290" s="8"/>
      <x:c r="AC290" s="9" t="str">
        <x:v>Yes</x:v>
      </x:c>
      <x:c r="AD290" s="8" t="str">
        <x:v>Yes</x:v>
      </x:c>
      <x:c r="AE290" s="8" t="str">
        <x:v>Yes</x:v>
      </x:c>
      <x:c r="AF290" s="8" t="str">
        <x:v>Yes</x:v>
      </x:c>
      <x:c r="AG290" s="8" t="str">
        <x:v>Yes</x:v>
      </x:c>
      <x:c r="AH290" s="14" t="n">
        <x:v>4</x:v>
      </x:c>
      <x:c r="AI290" s="15" t="str">
        <x:v>Canonical source for Files &amp; Storage!4</x:v>
      </x:c>
    </x:row>
    <x:row r="291" ht="60">
      <x:c r="A291" s="12" t="str">
        <x:v>Files &amp; Storage</x:v>
      </x:c>
      <x:c r="B291" s="13" t="str">
        <x:v>Free Max File Upload (MB)</x:v>
      </x:c>
      <x:c r="C291" s="8" t="n">
        <x:v>20</x:v>
      </x:c>
      <x:c r="D291" s="8"/>
      <x:c r="E291" s="8"/>
      <x:c r="F291" s="8"/>
      <x:c r="G291" s="8"/>
      <x:c r="H291" s="8" t="str">
        <x:v>25</x:v>
      </x:c>
      <x:c r="I291" s="8" t="str">
        <x:v>500</x:v>
      </x:c>
      <x:c r="J291" s="8" t="n">
        <x:v>8</x:v>
      </x:c>
      <x:c r="K291" s="8"/>
      <x:c r="L291" s="8" t="str">
        <x:v>15</x:v>
      </x:c>
      <x:c r="M291" s="8"/>
      <x:c r="N291" s="8"/>
      <x:c r="O291" s="8"/>
      <x:c r="P291" s="8" t="str">
        <x:v>100 MB hard limit; configurable</x:v>
      </x:c>
      <x:c r="Q291" s="8" t="str">
        <x:v>100 for video/other; images 50</x:v>
      </x:c>
      <x:c r="R291" s="8"/>
      <x:c r="S291" s="8"/>
      <x:c r="T291" s="8"/>
      <x:c r="U291" s="8" t="str">
        <x:v>Not publicly claimed</x:v>
      </x:c>
      <x:c r="V291" s="8" t="str">
        <x:v>50</x:v>
      </x:c>
      <x:c r="W291" s="8" t="str">
        <x:v>Configurable by workspace; self-managed can use -1 for no app-level limit</x:v>
      </x:c>
      <x:c r="X291" s="8"/>
      <x:c r="Y291" s="8" t="str">
        <x:v>25</x:v>
      </x:c>
      <x:c r="Z291" s="8"/>
      <x:c r="AA291" s="8"/>
      <x:c r="AB291" s="8" t="n">
        <x:v>10</x:v>
      </x:c>
      <x:c r="AC291" s="9"/>
      <x:c r="AD291" s="8"/>
      <x:c r="AE291" s="8"/>
      <x:c r="AF291" s="8" t="str">
        <x:v>Configurable by server operator</x:v>
      </x:c>
      <x:c r="AG291" s="8"/>
      <x:c r="AH291" s="14" t="n">
        <x:v>5</x:v>
      </x:c>
      <x:c r="AI291" s="15" t="str">
        <x:v>Shared metric: At a Glance: Max Free File Upload Size (MB unless noted) | Files &amp; Storage: Free Max File Upload (MB)</x:v>
      </x:c>
    </x:row>
    <x:row r="292" ht="45">
      <x:c r="A292" s="12" t="str">
        <x:v>Files &amp; Storage</x:v>
      </x:c>
      <x:c r="B292" s="13" t="str">
        <x:v>Paid Max File Upload (MB)</x:v>
      </x:c>
      <x:c r="C292" s="8" t="str">
        <x:v>500</x:v>
      </x:c>
      <x:c r="D292" s="8"/>
      <x:c r="E292" s="8"/>
      <x:c r="F292" s="8"/>
      <x:c r="G292" s="8"/>
      <x:c r="H292" s="8" t="str">
        <x:v>500</x:v>
      </x:c>
      <x:c r="I292" s="8" t="str">
        <x:v>10240</x:v>
      </x:c>
      <x:c r="J292" s="8"/>
      <x:c r="K292" s="8"/>
      <x:c r="L292" s="8" t="str">
        <x:v>No paid upload tier; self-host quotas are configurable</x:v>
      </x:c>
      <x:c r="M292" s="8"/>
      <x:c r="N292" s="8"/>
      <x:c r="O292" s="8"/>
      <x:c r="P292" s="8"/>
      <x:c r="Q292" s="8" t="str">
        <x:v>N/A: no paid tier</x:v>
      </x:c>
      <x:c r="R292" s="8"/>
      <x:c r="S292" s="8"/>
      <x:c r="T292" s="8"/>
      <x:c r="U292" s="8" t="str">
        <x:v>No paid tier; hard limit not publicly claimed</x:v>
      </x:c>
      <x:c r="V292" s="8" t="str">
        <x:v>300MB personal / 100MB community-member cap</x:v>
      </x:c>
      <x:c r="W292" s="8"/>
      <x:c r="X292" s="8"/>
      <x:c r="Y292" s="8"/>
      <x:c r="Z292" s="8"/>
      <x:c r="AA292" s="8"/>
      <x:c r="AB292" s="8"/>
      <x:c r="AC292" s="9"/>
      <x:c r="AD292" s="8"/>
      <x:c r="AE292" s="8"/>
      <x:c r="AF292" s="8"/>
      <x:c r="AG292" s="8"/>
      <x:c r="AH292" s="14" t="n">
        <x:v>6</x:v>
      </x:c>
      <x:c r="AI292" s="15" t="str">
        <x:v>Canonical source for Files &amp; Storage!6</x:v>
      </x:c>
    </x:row>
    <x:row r="293" ht="75">
      <x:c r="A293" s="12" t="str">
        <x:v>Files &amp; Storage</x:v>
      </x:c>
      <x:c r="B293" s="13" t="str">
        <x:v>Absolute Max File Upload (MB)</x:v>
      </x:c>
      <x:c r="C293" s="8" t="str">
        <x:v>500</x:v>
      </x:c>
      <x:c r="D293" s="8"/>
      <x:c r="E293" s="8"/>
      <x:c r="F293" s="8"/>
      <x:c r="G293" s="8"/>
      <x:c r="H293" s="8" t="str">
        <x:v>500</x:v>
      </x:c>
      <x:c r="I293" s="8" t="str">
        <x:v>10240</x:v>
      </x:c>
      <x:c r="J293" s="8"/>
      <x:c r="K293" s="8"/>
      <x:c r="L293" s="8" t="str">
        <x:v>Configurable by self-host operator; official instance developer-reported limit is 15 MB</x:v>
      </x:c>
      <x:c r="M293" s="8"/>
      <x:c r="N293" s="8"/>
      <x:c r="O293" s="8"/>
      <x:c r="P293" s="8"/>
      <x:c r="Q293" s="8" t="str">
        <x:v>100 verified</x:v>
      </x:c>
      <x:c r="R293" s="8"/>
      <x:c r="S293" s="8"/>
      <x:c r="T293" s="8"/>
      <x:c r="U293" s="8" t="str">
        <x:v>Not publicly claimed</x:v>
      </x:c>
      <x:c r="V293" s="8" t="n">
        <x:v>300</x:v>
      </x:c>
      <x:c r="W293" s="8"/>
      <x:c r="X293" s="8"/>
      <x:c r="Y293" s="8" t="str">
        <x:v>25 verified</x:v>
      </x:c>
      <x:c r="Z293" s="8"/>
      <x:c r="AA293" s="8"/>
      <x:c r="AB293" s="8"/>
      <x:c r="AC293" s="9"/>
      <x:c r="AD293" s="8"/>
      <x:c r="AE293" s="8"/>
      <x:c r="AF293" s="8"/>
      <x:c r="AG293" s="8"/>
      <x:c r="AH293" s="14" t="n">
        <x:v>7</x:v>
      </x:c>
      <x:c r="AI293" s="15" t="str">
        <x:v>Canonical source for Files &amp; Storage!7</x:v>
      </x:c>
    </x:row>
    <x:row r="294">
      <x:c r="A294" s="12" t="str">
        <x:v>Files &amp; Storage</x:v>
      </x:c>
      <x:c r="B294" s="13" t="str">
        <x:v>Max Files Per Message</x:v>
      </x:c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  <x:c r="M294" s="8"/>
      <x:c r="N294" s="8"/>
      <x:c r="O294" s="8"/>
      <x:c r="P294" s="8"/>
      <x:c r="Q294" s="8"/>
      <x:c r="R294" s="8"/>
      <x:c r="S294" s="8"/>
      <x:c r="T294" s="8"/>
      <x:c r="U294" s="8"/>
      <x:c r="V294" s="8" t="str">
        <x:v>U/K</x:v>
      </x:c>
      <x:c r="W294" s="8"/>
      <x:c r="X294" s="8"/>
      <x:c r="Y294" s="8" t="str">
        <x:v>10</x:v>
      </x:c>
      <x:c r="Z294" s="8"/>
      <x:c r="AA294" s="8"/>
      <x:c r="AB294" s="8"/>
      <x:c r="AC294" s="9"/>
      <x:c r="AD294" s="8"/>
      <x:c r="AE294" s="8"/>
      <x:c r="AF294" s="8"/>
      <x:c r="AG294" s="8"/>
      <x:c r="AH294" s="14" t="n">
        <x:v>8</x:v>
      </x:c>
      <x:c r="AI294" s="15" t="str">
        <x:v>Canonical source for Files &amp; Storage!8</x:v>
      </x:c>
    </x:row>
    <x:row r="295">
      <x:c r="A295" s="12" t="str">
        <x:v>Files &amp; Storage</x:v>
      </x:c>
      <x:c r="B295" s="13" t="str">
        <x:v>Image Upload Max (MB)</x:v>
      </x:c>
      <x:c r="C295" s="8"/>
      <x:c r="D295" s="8"/>
      <x:c r="E295" s="8"/>
      <x:c r="F295" s="8"/>
      <x:c r="G295" s="8"/>
      <x:c r="H295" s="8"/>
      <x:c r="I295" s="8"/>
      <x:c r="J295" s="8"/>
      <x:c r="K295" s="8"/>
      <x:c r="L295" s="8" t="str">
        <x:v>15</x:v>
      </x:c>
      <x:c r="M295" s="8"/>
      <x:c r="N295" s="8"/>
      <x:c r="O295" s="8"/>
      <x:c r="P295" s="8"/>
      <x:c r="Q295" s="8" t="str">
        <x:v>50</x:v>
      </x:c>
      <x:c r="R295" s="8"/>
      <x:c r="S295" s="8"/>
      <x:c r="T295" s="8"/>
      <x:c r="U295" s="8"/>
      <x:c r="V295" s="8" t="str">
        <x:v>50 Free / 300 Rift+</x:v>
      </x:c>
      <x:c r="W295" s="8"/>
      <x:c r="X295" s="8"/>
      <x:c r="Y295" s="8"/>
      <x:c r="Z295" s="8"/>
      <x:c r="AA295" s="8"/>
      <x:c r="AB295" s="8"/>
      <x:c r="AC295" s="9"/>
      <x:c r="AD295" s="8"/>
      <x:c r="AE295" s="8"/>
      <x:c r="AF295" s="8"/>
      <x:c r="AG295" s="8"/>
      <x:c r="AH295" s="14" t="n">
        <x:v>9</x:v>
      </x:c>
      <x:c r="AI295" s="15" t="str">
        <x:v>Canonical source for Files &amp; Storage!9</x:v>
      </x:c>
    </x:row>
    <x:row r="296">
      <x:c r="A296" s="12" t="str">
        <x:v>Files &amp; Storage</x:v>
      </x:c>
      <x:c r="B296" s="13" t="str">
        <x:v>Video Upload Max (MB)</x:v>
      </x:c>
      <x:c r="C296" s="8"/>
      <x:c r="D296" s="8"/>
      <x:c r="E296" s="8"/>
      <x:c r="F296" s="8"/>
      <x:c r="G296" s="8"/>
      <x:c r="H296" s="8"/>
      <x:c r="I296" s="8"/>
      <x:c r="J296" s="8"/>
      <x:c r="K296" s="8"/>
      <x:c r="L296" s="8" t="str">
        <x:v>15</x:v>
      </x:c>
      <x:c r="M296" s="8"/>
      <x:c r="N296" s="8"/>
      <x:c r="O296" s="8"/>
      <x:c r="P296" s="8"/>
      <x:c r="Q296" s="8" t="str">
        <x:v>100</x:v>
      </x:c>
      <x:c r="R296" s="8"/>
      <x:c r="S296" s="8"/>
      <x:c r="T296" s="8"/>
      <x:c r="U296" s="8"/>
      <x:c r="V296" s="8" t="str">
        <x:v>50 Free / 300 Rift+</x:v>
      </x:c>
      <x:c r="W296" s="8"/>
      <x:c r="X296" s="8"/>
      <x:c r="Y296" s="8"/>
      <x:c r="Z296" s="8"/>
      <x:c r="AA296" s="8"/>
      <x:c r="AB296" s="8"/>
      <x:c r="AC296" s="9"/>
      <x:c r="AD296" s="8"/>
      <x:c r="AE296" s="8"/>
      <x:c r="AF296" s="8"/>
      <x:c r="AG296" s="8"/>
      <x:c r="AH296" s="14" t="n">
        <x:v>10</x:v>
      </x:c>
      <x:c r="AI296" s="15" t="str">
        <x:v>Canonical source for Files &amp; Storage!10</x:v>
      </x:c>
    </x:row>
    <x:row r="297">
      <x:c r="A297" s="12" t="str">
        <x:v>Files &amp; Storage</x:v>
      </x:c>
      <x:c r="B297" s="13" t="str">
        <x:v>Other File Upload Max (MB)</x:v>
      </x:c>
      <x:c r="C297" s="8"/>
      <x:c r="D297" s="8"/>
      <x:c r="E297" s="8"/>
      <x:c r="F297" s="8"/>
      <x:c r="G297" s="8"/>
      <x:c r="H297" s="8"/>
      <x:c r="I297" s="8"/>
      <x:c r="J297" s="8"/>
      <x:c r="K297" s="8"/>
      <x:c r="L297" s="8" t="str">
        <x:v>15</x:v>
      </x:c>
      <x:c r="M297" s="8"/>
      <x:c r="N297" s="8"/>
      <x:c r="O297" s="8"/>
      <x:c r="P297" s="8"/>
      <x:c r="Q297" s="8" t="str">
        <x:v>100</x:v>
      </x:c>
      <x:c r="R297" s="8"/>
      <x:c r="S297" s="8"/>
      <x:c r="T297" s="8"/>
      <x:c r="U297" s="8"/>
      <x:c r="V297" s="8" t="str">
        <x:v>50 Free / 300 Rift+</x:v>
      </x:c>
      <x:c r="W297" s="8"/>
      <x:c r="X297" s="8"/>
      <x:c r="Y297" s="8"/>
      <x:c r="Z297" s="8"/>
      <x:c r="AA297" s="8"/>
      <x:c r="AB297" s="8"/>
      <x:c r="AC297" s="9"/>
      <x:c r="AD297" s="8"/>
      <x:c r="AE297" s="8"/>
      <x:c r="AF297" s="8"/>
      <x:c r="AG297" s="8"/>
      <x:c r="AH297" s="14" t="n">
        <x:v>11</x:v>
      </x:c>
      <x:c r="AI297" s="15" t="str">
        <x:v>Canonical source for Files &amp; Storage!11</x:v>
      </x:c>
    </x:row>
    <x:row r="298">
      <x:c r="A298" s="12" t="str">
        <x:v>Files &amp; Storage</x:v>
      </x:c>
      <x:c r="B298" s="13" t="str">
        <x:v>Soundboard Clip Max (MB)</x:v>
      </x:c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  <x:c r="M298" s="8"/>
      <x:c r="N298" s="8"/>
      <x:c r="O298" s="8"/>
      <x:c r="P298" s="8"/>
      <x:c r="Q298" s="8"/>
      <x:c r="R298" s="8"/>
      <x:c r="S298" s="8"/>
      <x:c r="T298" s="8"/>
      <x:c r="U298" s="8"/>
      <x:c r="V298" s="8" t="str">
        <x:v>8 seconds or shorter</x:v>
      </x:c>
      <x:c r="W298" s="8"/>
      <x:c r="X298" s="8"/>
      <x:c r="Y298" s="8"/>
      <x:c r="Z298" s="8"/>
      <x:c r="AA298" s="8"/>
      <x:c r="AB298" s="8"/>
      <x:c r="AC298" s="9"/>
      <x:c r="AD298" s="8"/>
      <x:c r="AE298" s="8"/>
      <x:c r="AF298" s="8"/>
      <x:c r="AG298" s="8"/>
      <x:c r="AH298" s="14" t="n">
        <x:v>12</x:v>
      </x:c>
      <x:c r="AI298" s="15" t="str">
        <x:v>Canonical source for Files &amp; Storage!12</x:v>
      </x:c>
    </x:row>
    <x:row r="299" ht="30">
      <x:c r="A299" s="12" t="str">
        <x:v>Files &amp; Storage</x:v>
      </x:c>
      <x:c r="B299" s="13" t="str">
        <x:v>Free Total Storage</x:v>
      </x:c>
      <x:c r="C299" s="8"/>
      <x:c r="D299" s="8"/>
      <x:c r="E299" s="8"/>
      <x:c r="F299" s="8"/>
      <x:c r="G299" s="8"/>
      <x:c r="H299" s="8"/>
      <x:c r="I299" s="8" t="str">
        <x:v>2 GB per Standard server</x:v>
      </x:c>
      <x:c r="J299" s="8"/>
      <x:c r="K299" s="8"/>
      <x:c r="L299" s="8"/>
      <x:c r="M299" s="8"/>
      <x:c r="N299" s="8"/>
      <x:c r="O299" s="8"/>
      <x:c r="P299" s="8"/>
      <x:c r="Q299" s="8"/>
      <x:c r="R299" s="8"/>
      <x:c r="S299" s="8"/>
      <x:c r="T299" s="8"/>
      <x:c r="U299" s="8"/>
      <x:c r="V299" s="8"/>
      <x:c r="W299" s="8"/>
      <x:c r="X299" s="8"/>
      <x:c r="Y299" s="8"/>
      <x:c r="Z299" s="8"/>
      <x:c r="AA299" s="8"/>
      <x:c r="AB299" s="8"/>
      <x:c r="AC299" s="9"/>
      <x:c r="AD299" s="8"/>
      <x:c r="AE299" s="8"/>
      <x:c r="AF299" s="8"/>
      <x:c r="AG299" s="8" t="str">
        <x:v>5 GB total (Zulip Cloud Free)</x:v>
      </x:c>
      <x:c r="AH299" s="14" t="n">
        <x:v>14</x:v>
      </x:c>
      <x:c r="AI299" s="15" t="str">
        <x:v>Canonical source for Files &amp; Storage!14</x:v>
      </x:c>
    </x:row>
    <x:row r="300" ht="30">
      <x:c r="A300" s="12" t="str">
        <x:v>Files &amp; Storage</x:v>
      </x:c>
      <x:c r="B300" s="13" t="str">
        <x:v>Paid Total Storage</x:v>
      </x:c>
      <x:c r="C300" s="8"/>
      <x:c r="D300" s="8"/>
      <x:c r="E300" s="8"/>
      <x:c r="F300" s="8"/>
      <x:c r="G300" s="8"/>
      <x:c r="H300" s="8"/>
      <x:c r="I300" s="8" t="str">
        <x:v>Up to 200 GB / tier-dependent</x:v>
      </x:c>
      <x:c r="J300" s="8"/>
      <x:c r="K300" s="8"/>
      <x:c r="L300" s="8"/>
      <x:c r="M300" s="8"/>
      <x:c r="N300" s="8"/>
      <x:c r="O300" s="8"/>
      <x:c r="P300" s="8"/>
      <x:c r="Q300" s="8"/>
      <x:c r="R300" s="8"/>
      <x:c r="S300" s="8"/>
      <x:c r="T300" s="8"/>
      <x:c r="U300" s="8"/>
      <x:c r="V300" s="8"/>
      <x:c r="W300" s="8"/>
      <x:c r="X300" s="8"/>
      <x:c r="Y300" s="8"/>
      <x:c r="Z300" s="8"/>
      <x:c r="AA300" s="8"/>
      <x:c r="AB300" s="8"/>
      <x:c r="AC300" s="9"/>
      <x:c r="AD300" s="8"/>
      <x:c r="AE300" s="8"/>
      <x:c r="AF300" s="8"/>
      <x:c r="AG300" s="8" t="str">
        <x:v>5 GB/user Standard; 25 GB/user Plus</x:v>
      </x:c>
      <x:c r="AH300" s="14" t="n">
        <x:v>15</x:v>
      </x:c>
      <x:c r="AI300" s="15" t="str">
        <x:v>Canonical source for Files &amp; Storage!15</x:v>
      </x:c>
    </x:row>
    <x:row r="301" ht="75">
      <x:c r="A301" s="12" t="str">
        <x:v>Files &amp; Storage</x:v>
      </x:c>
      <x:c r="B301" s="13" t="str">
        <x:v>Per-User Storage Quota</x:v>
      </x:c>
      <x:c r="C301" s="8"/>
      <x:c r="D301" s="8"/>
      <x:c r="E301" s="8"/>
      <x:c r="F301" s="8"/>
      <x:c r="G301" s="8"/>
      <x:c r="H301" s="8"/>
      <x:c r="I301" s="8"/>
      <x:c r="J301" s="8"/>
      <x:c r="K301" s="8"/>
      <x:c r="L301" s="8" t="str">
        <x:v>Configurable by self-host operator; official instance developer-reported limit is 15 MB</x:v>
      </x:c>
      <x:c r="M301" s="8"/>
      <x:c r="N301" s="8"/>
      <x:c r="O301" s="8"/>
      <x:c r="P301" s="8"/>
      <x:c r="Q301" s="8"/>
      <x:c r="R301" s="8"/>
      <x:c r="S301" s="8"/>
      <x:c r="T301" s="8"/>
      <x:c r="U301" s="8"/>
      <x:c r="V301" s="8"/>
      <x:c r="W301" s="8"/>
      <x:c r="X301" s="8"/>
      <x:c r="Y301" s="8"/>
      <x:c r="Z301" s="8"/>
      <x:c r="AA301" s="8"/>
      <x:c r="AB301" s="8"/>
      <x:c r="AC301" s="9"/>
      <x:c r="AD301" s="8"/>
      <x:c r="AE301" s="8"/>
      <x:c r="AF301" s="8"/>
      <x:c r="AG301" s="8" t="str">
        <x:v>5 GB Standard / 25 GB Plus</x:v>
      </x:c>
      <x:c r="AH301" s="14" t="n">
        <x:v>16</x:v>
      </x:c>
      <x:c r="AI301" s="15" t="str">
        <x:v>Canonical source for Files &amp; Storage!16</x:v>
      </x:c>
    </x:row>
    <x:row r="302" ht="75">
      <x:c r="A302" s="12" t="str">
        <x:v>Files &amp; Storage</x:v>
      </x:c>
      <x:c r="B302" s="13" t="str">
        <x:v>Per-Community Storage Quota</x:v>
      </x:c>
      <x:c r="C302" s="8"/>
      <x:c r="D302" s="8"/>
      <x:c r="E302" s="8"/>
      <x:c r="F302" s="8"/>
      <x:c r="G302" s="8"/>
      <x:c r="H302" s="8"/>
      <x:c r="I302" s="8"/>
      <x:c r="J302" s="8"/>
      <x:c r="K302" s="8"/>
      <x:c r="L302" s="8" t="str">
        <x:v>Configurable by self-host operator; official instance developer-reported limit is 15 MB</x:v>
      </x:c>
      <x:c r="M302" s="8"/>
      <x:c r="N302" s="8"/>
      <x:c r="O302" s="8"/>
      <x:c r="P302" s="8"/>
      <x:c r="Q302" s="8"/>
      <x:c r="R302" s="8"/>
      <x:c r="S302" s="8"/>
      <x:c r="T302" s="8"/>
      <x:c r="U302" s="8"/>
      <x:c r="V302" s="8"/>
      <x:c r="W302" s="8"/>
      <x:c r="X302" s="8"/>
      <x:c r="Y302" s="8"/>
      <x:c r="Z302" s="8"/>
      <x:c r="AA302" s="8"/>
      <x:c r="AB302" s="8"/>
      <x:c r="AC302" s="9"/>
      <x:c r="AD302" s="8"/>
      <x:c r="AE302" s="8"/>
      <x:c r="AF302" s="8"/>
      <x:c r="AG302" s="8"/>
      <x:c r="AH302" s="14" t="n">
        <x:v>17</x:v>
      </x:c>
      <x:c r="AI302" s="15" t="str">
        <x:v>Canonical source for Files &amp; Storage!17</x:v>
      </x:c>
    </x:row>
    <x:row r="303">
      <x:c r="A303" s="12" t="str">
        <x:v>Files &amp; Storage</x:v>
      </x:c>
      <x:c r="B303" s="13" t="str">
        <x:v>Storage Quota Self-Host Configurable?</x:v>
      </x:c>
      <x:c r="C303" s="8"/>
      <x:c r="D303" s="8"/>
      <x:c r="E303" s="8"/>
      <x:c r="F303" s="8"/>
      <x:c r="G303" s="8"/>
      <x:c r="H303" s="8"/>
      <x:c r="I303" s="8"/>
      <x:c r="J303" s="8"/>
      <x:c r="K303" s="8"/>
      <x:c r="L303" s="8" t="str">
        <x:v>Yes</x:v>
      </x:c>
      <x:c r="M303" s="8"/>
      <x:c r="N303" s="8"/>
      <x:c r="O303" s="8"/>
      <x:c r="P303" s="8"/>
      <x:c r="Q303" s="8"/>
      <x:c r="R303" s="8"/>
      <x:c r="S303" s="8"/>
      <x:c r="T303" s="8"/>
      <x:c r="U303" s="8"/>
      <x:c r="V303" s="8"/>
      <x:c r="W303" s="8"/>
      <x:c r="X303" s="8"/>
      <x:c r="Y303" s="8"/>
      <x:c r="Z303" s="8"/>
      <x:c r="AA303" s="8"/>
      <x:c r="AB303" s="8"/>
      <x:c r="AC303" s="9"/>
      <x:c r="AD303" s="8"/>
      <x:c r="AE303" s="8"/>
      <x:c r="AF303" s="8"/>
      <x:c r="AG303" s="8"/>
      <x:c r="AH303" s="14" t="n">
        <x:v>18</x:v>
      </x:c>
      <x:c r="AI303" s="15" t="str">
        <x:v>Canonical source for Files &amp; Storage!18</x:v>
      </x:c>
    </x:row>
    <x:row r="304" ht="105">
      <x:c r="A304" s="12" t="str">
        <x:v>Files &amp; Storage</x:v>
      </x:c>
      <x:c r="B304" s="13" t="str">
        <x:v>Free Message History Limit</x:v>
      </x:c>
      <x:c r="C304" s="8"/>
      <x:c r="D304" s="8"/>
      <x:c r="E304" s="8"/>
      <x:c r="F304" s="8"/>
      <x:c r="G304" s="8"/>
      <x:c r="H304" s="8"/>
      <x:c r="I304" s="8"/>
      <x:c r="J304" s="8"/>
      <x:c r="K304" s="8"/>
      <x:c r="L304" s="8" t="str">
        <x:v>Unlimited message-search depth per developer report; plaintext history/search is not artificially depth-limited</x:v>
      </x:c>
      <x:c r="M304" s="8"/>
      <x:c r="N304" s="8"/>
      <x:c r="O304" s="8"/>
      <x:c r="P304" s="8"/>
      <x:c r="Q304" s="8"/>
      <x:c r="R304" s="8"/>
      <x:c r="S304" s="8"/>
      <x:c r="T304" s="8"/>
      <x:c r="U304" s="8"/>
      <x:c r="V304" s="8"/>
      <x:c r="W304" s="8"/>
      <x:c r="X304" s="8"/>
      <x:c r="Y304" s="8"/>
      <x:c r="Z304" s="8"/>
      <x:c r="AA304" s="8"/>
      <x:c r="AB304" s="8"/>
      <x:c r="AC304" s="9"/>
      <x:c r="AD304" s="8"/>
      <x:c r="AE304" s="8"/>
      <x:c r="AF304" s="8"/>
      <x:c r="AG304" s="8" t="str">
        <x:v>10,000 messages searchable</x:v>
      </x:c>
      <x:c r="AH304" s="14" t="n">
        <x:v>20</x:v>
      </x:c>
      <x:c r="AI304" s="15" t="str">
        <x:v>Canonical source for Files &amp; Storage!20</x:v>
      </x:c>
    </x:row>
    <x:row r="305" ht="105">
      <x:c r="A305" s="12" t="str">
        <x:v>Files &amp; Storage</x:v>
      </x:c>
      <x:c r="B305" s="13" t="str">
        <x:v>Paid Message History Limit</x:v>
      </x:c>
      <x:c r="C305" s="8"/>
      <x:c r="D305" s="8"/>
      <x:c r="E305" s="8"/>
      <x:c r="F305" s="8"/>
      <x:c r="G305" s="8"/>
      <x:c r="H305" s="8"/>
      <x:c r="I305" s="8"/>
      <x:c r="J305" s="8"/>
      <x:c r="K305" s="8"/>
      <x:c r="L305" s="8" t="str">
        <x:v>Unlimited message-search depth per developer report; plaintext history/search is not artificially depth-limited</x:v>
      </x:c>
      <x:c r="M305" s="8"/>
      <x:c r="N305" s="8"/>
      <x:c r="O305" s="8"/>
      <x:c r="P305" s="8"/>
      <x:c r="Q305" s="8"/>
      <x:c r="R305" s="8"/>
      <x:c r="S305" s="8"/>
      <x:c r="T305" s="8"/>
      <x:c r="U305" s="8"/>
      <x:c r="V305" s="8"/>
      <x:c r="W305" s="8"/>
      <x:c r="X305" s="8"/>
      <x:c r="Y305" s="8"/>
      <x:c r="Z305" s="8"/>
      <x:c r="AA305" s="8"/>
      <x:c r="AB305" s="8"/>
      <x:c r="AC305" s="9"/>
      <x:c r="AD305" s="8"/>
      <x:c r="AE305" s="8"/>
      <x:c r="AF305" s="8"/>
      <x:c r="AG305" s="8" t="str">
        <x:v>Unlimited search history</x:v>
      </x:c>
      <x:c r="AH305" s="14" t="n">
        <x:v>21</x:v>
      </x:c>
      <x:c r="AI305" s="15" t="str">
        <x:v>Canonical source for Files &amp; Storage!21</x:v>
      </x:c>
    </x:row>
    <x:row r="306" ht="135">
      <x:c r="A306" s="12" t="str">
        <x:v>Files &amp; Storage</x:v>
      </x:c>
      <x:c r="B306" s="13" t="str">
        <x:v>Attachment Retention</x:v>
      </x:c>
      <x:c r="C306" s="8"/>
      <x:c r="D306" s="8"/>
      <x:c r="E306" s="8"/>
      <x:c r="F306" s="8"/>
      <x:c r="G306" s="8"/>
      <x:c r="H306" s="8"/>
      <x:c r="I306" s="8"/>
      <x:c r="J306" s="8"/>
      <x:c r="K306" s="8"/>
      <x:c r="L306" s="8" t="str">
        <x:v>Retained until user deletes/requests deletion on official instance per developer report; operators can configure retention/purge behavior</x:v>
      </x:c>
      <x:c r="M306" s="8"/>
      <x:c r="N306" s="8"/>
      <x:c r="O306" s="8"/>
      <x:c r="P306" s="8"/>
      <x:c r="Q306" s="8"/>
      <x:c r="R306" s="8"/>
      <x:c r="S306" s="8"/>
      <x:c r="T306" s="8"/>
      <x:c r="U306" s="8"/>
      <x:c r="V306" s="8"/>
      <x:c r="W306" s="8"/>
      <x:c r="X306" s="8"/>
      <x:c r="Y306" s="8"/>
      <x:c r="Z306" s="8"/>
      <x:c r="AA306" s="8"/>
      <x:c r="AB306" s="8"/>
      <x:c r="AC306" s="9"/>
      <x:c r="AD306" s="8"/>
      <x:c r="AE306" s="8"/>
      <x:c r="AF306" s="8"/>
      <x:c r="AG306" s="8"/>
      <x:c r="AH306" s="14" t="n">
        <x:v>22</x:v>
      </x:c>
      <x:c r="AI306" s="15" t="str">
        <x:v>Canonical source for Files &amp; Storage!22</x:v>
      </x:c>
    </x:row>
    <x:row r="307" ht="75">
      <x:c r="A307" s="12" t="str">
        <x:v>Files &amp; Storage</x:v>
      </x:c>
      <x:c r="B307" s="13" t="str">
        <x:v>Deleted Attachment Retention</x:v>
      </x:c>
      <x:c r="C307" s="8"/>
      <x:c r="D307" s="8"/>
      <x:c r="E307" s="8"/>
      <x:c r="F307" s="8"/>
      <x:c r="G307" s="8"/>
      <x:c r="H307" s="8"/>
      <x:c r="I307" s="8"/>
      <x:c r="J307" s="8"/>
      <x:c r="K307" s="8"/>
      <x:c r="L307" s="8" t="str">
        <x:v>Deletion/purge jobs are documented; no fixed public deleted-attachment retention interval found</x:v>
      </x:c>
      <x:c r="M307" s="8"/>
      <x:c r="N307" s="8"/>
      <x:c r="O307" s="8"/>
      <x:c r="P307" s="8"/>
      <x:c r="Q307" s="8"/>
      <x:c r="R307" s="8"/>
      <x:c r="S307" s="8"/>
      <x:c r="T307" s="8"/>
      <x:c r="U307" s="8"/>
      <x:c r="V307" s="8"/>
      <x:c r="W307" s="8"/>
      <x:c r="X307" s="8"/>
      <x:c r="Y307" s="8"/>
      <x:c r="Z307" s="8"/>
      <x:c r="AA307" s="8"/>
      <x:c r="AB307" s="8"/>
      <x:c r="AC307" s="9"/>
      <x:c r="AD307" s="8"/>
      <x:c r="AE307" s="8"/>
      <x:c r="AF307" s="8"/>
      <x:c r="AG307" s="8"/>
      <x:c r="AH307" s="14" t="n">
        <x:v>23</x:v>
      </x:c>
      <x:c r="AI307" s="15" t="str">
        <x:v>Canonical source for Files &amp; Storage!23</x:v>
      </x:c>
    </x:row>
    <x:row r="308" ht="75">
      <x:c r="A308" s="12" t="str">
        <x:v>Files &amp; Storage</x:v>
      </x:c>
      <x:c r="B308" s="13" t="str">
        <x:v>CDN / Media Proxy?</x:v>
      </x:c>
      <x:c r="C308" s="8" t="str">
        <x:v>Yes / CDN</x:v>
      </x:c>
      <x:c r="D308" s="8"/>
      <x:c r="E308" s="8"/>
      <x:c r="F308" s="8"/>
      <x:c r="G308" s="8"/>
      <x:c r="H308" s="8" t="str">
        <x:v>Yes / CDN</x:v>
      </x:c>
      <x:c r="I308" s="8"/>
      <x:c r="J308" s="8"/>
      <x:c r="K308" s="8"/>
      <x:c r="L308" s="8" t="str">
        <x:v>Private S3-compatible media via short-lived presigned URLs; Garage default, external S3 supported</x:v>
      </x:c>
      <x:c r="M308" s="8"/>
      <x:c r="N308" s="8"/>
      <x:c r="O308" s="8"/>
      <x:c r="P308" s="8"/>
      <x:c r="Q308" s="8"/>
      <x:c r="R308" s="8"/>
      <x:c r="S308" s="8"/>
      <x:c r="T308" s="8"/>
      <x:c r="U308" s="8"/>
      <x:c r="V308" s="8" t="str">
        <x:v>Yes: media proxy</x:v>
      </x:c>
      <x:c r="W308" s="8"/>
      <x:c r="X308" s="8"/>
      <x:c r="Y308" s="8" t="str">
        <x:v>Yes / CDN</x:v>
      </x:c>
      <x:c r="Z308" s="8"/>
      <x:c r="AA308" s="8"/>
      <x:c r="AB308" s="8"/>
      <x:c r="AC308" s="9"/>
      <x:c r="AD308" s="8"/>
      <x:c r="AE308" s="8"/>
      <x:c r="AF308" s="8"/>
      <x:c r="AG308" s="8"/>
      <x:c r="AH308" s="14" t="n">
        <x:v>25</x:v>
      </x:c>
      <x:c r="AI308" s="15" t="str">
        <x:v>Canonical source for Files &amp; Storage!25</x:v>
      </x:c>
    </x:row>
    <x:row r="309" ht="45">
      <x:c r="A309" s="12" t="str">
        <x:v>Files &amp; Storage</x:v>
      </x:c>
      <x:c r="B309" s="13" t="str">
        <x:v>EXIF Scrubbing?</x:v>
      </x:c>
      <x:c r="C309" s="8"/>
      <x:c r="D309" s="8"/>
      <x:c r="E309" s="8"/>
      <x:c r="F309" s="8"/>
      <x:c r="G309" s="8"/>
      <x:c r="H309" s="8"/>
      <x:c r="I309" s="8"/>
      <x:c r="J309" s="8"/>
      <x:c r="K309" s="8"/>
      <x:c r="L309" s="8" t="str">
        <x:v>Not explicitly documented</x:v>
      </x:c>
      <x:c r="M309" s="8"/>
      <x:c r="N309" s="8"/>
      <x:c r="O309" s="8" t="str">
        <x:v>Client/server-dependent</x:v>
      </x:c>
      <x:c r="P309" s="8"/>
      <x:c r="Q309" s="8"/>
      <x:c r="R309" s="8" t="str">
        <x:v>N/A</x:v>
      </x:c>
      <x:c r="S309" s="8"/>
      <x:c r="T309" s="8"/>
      <x:c r="U309" s="8"/>
      <x:c r="V309" s="8" t="str">
        <x:v>Yes: automatic EXIF stripping</x:v>
      </x:c>
      <x:c r="W309" s="8"/>
      <x:c r="X309" s="8"/>
      <x:c r="Y309" s="8"/>
      <x:c r="Z309" s="8"/>
      <x:c r="AA309" s="8"/>
      <x:c r="AB309" s="8"/>
      <x:c r="AC309" s="9"/>
      <x:c r="AD309" s="8"/>
      <x:c r="AE309" s="8"/>
      <x:c r="AF309" s="8"/>
      <x:c r="AG309" s="8"/>
      <x:c r="AH309" s="14" t="n">
        <x:v>26</x:v>
      </x:c>
      <x:c r="AI309" s="15" t="str">
        <x:v>Shared metric: Files &amp; Storage: EXIF Scrubbing? | Security &amp; Privacy: EXIF Scrubbing? | Security Matrix: EXIF Scrubbing?</x:v>
      </x:c>
    </x:row>
    <x:row r="310" ht="75">
      <x:c r="A310" s="12" t="str">
        <x:v>Files &amp; Storage</x:v>
      </x:c>
      <x:c r="B310" s="13" t="str">
        <x:v>Attachment Export?</x:v>
      </x:c>
      <x:c r="C310" s="8" t="str">
        <x:v>ZIP / JSON-heavy Data Package</x:v>
      </x:c>
      <x:c r="D310" s="8" t="str">
        <x:v>Nostr events</x:v>
      </x:c>
      <x:c r="E310" s="8" t="str">
        <x:v>DCTS export</x:v>
      </x:c>
      <x:c r="F310" s="8"/>
      <x:c r="G310" s="8"/>
      <x:c r="H310" s="8"/>
      <x:c r="I310" s="8"/>
      <x:c r="J310" s="8"/>
      <x:c r="K310" s="8" t="str">
        <x:v>Encrypted .hollow/local formats</x:v>
      </x:c>
      <x:c r="L310" s="8" t="str">
        <x:v>Direct downloads supported; no bulk attachment/account export workflow documented</x:v>
      </x:c>
      <x:c r="M310" s="8"/>
      <x:c r="N310" s="8"/>
      <x:c r="O310" s="8" t="str">
        <x:v>Client/provider-dependent</x:v>
      </x:c>
      <x:c r="P310" s="8" t="str">
        <x:v>Bulk/export formats</x:v>
      </x:c>
      <x:c r="Q310" s="8"/>
      <x:c r="R310" s="8" t="str">
        <x:v>N/A</x:v>
      </x:c>
      <x:c r="S310" s="8"/>
      <x:c r="T310" s="8"/>
      <x:c r="U310" s="8"/>
      <x:c r="V310" s="8" t="str">
        <x:v>Direct downloads supported</x:v>
      </x:c>
      <x:c r="W310" s="8" t="str">
        <x:v>Export/backup deployment-dependent</x:v>
      </x:c>
      <x:c r="X310" s="8" t="str">
        <x:v>ATProto records</x:v>
      </x:c>
      <x:c r="Y310" s="8"/>
      <x:c r="Z310" s="8"/>
      <x:c r="AA310" s="8"/>
      <x:c r="AB310" s="8"/>
      <x:c r="AC310" s="9"/>
      <x:c r="AD310" s="8"/>
      <x:c r="AE310" s="8"/>
      <x:c r="AF310" s="8"/>
      <x:c r="AG310" s="8" t="str">
        <x:v>Zulip export archives</x:v>
      </x:c>
      <x:c r="AH310" s="14" t="n">
        <x:v>27</x:v>
      </x:c>
      <x:c r="AI310" s="15" t="str">
        <x:v>Canonical source for Files &amp; Storage!27</x:v>
      </x:c>
    </x:row>
    <x:row r="311" ht="75">
      <x:c r="A311" s="12" t="str">
        <x:v>Files &amp; Storage</x:v>
      </x:c>
      <x:c r="B311" s="13" t="str">
        <x:v>Inline Preview?</x:v>
      </x:c>
      <x:c r="C311" s="8" t="str">
        <x:v>Yes</x:v>
      </x:c>
      <x:c r="D311" s="8"/>
      <x:c r="E311" s="8"/>
      <x:c r="F311" s="8"/>
      <x:c r="G311" s="8"/>
      <x:c r="H311" s="8" t="str">
        <x:v>Yes</x:v>
      </x:c>
      <x:c r="I311" s="8" t="str">
        <x:v>Yes</x:v>
      </x:c>
      <x:c r="J311" s="8"/>
      <x:c r="K311" s="8"/>
      <x:c r="L311" s="8" t="str">
        <x:v>Yes: clean image/video derivatives and previews are produced after scan</x:v>
      </x:c>
      <x:c r="M311" s="8"/>
      <x:c r="N311" s="8"/>
      <x:c r="O311" s="8"/>
      <x:c r="P311" s="8" t="str">
        <x:v>Yes</x:v>
      </x:c>
      <x:c r="Q311" s="8" t="str">
        <x:v>Yes</x:v>
      </x:c>
      <x:c r="R311" s="8"/>
      <x:c r="S311" s="8"/>
      <x:c r="T311" s="8"/>
      <x:c r="U311" s="8"/>
      <x:c r="V311" s="8" t="str">
        <x:v>Yes</x:v>
      </x:c>
      <x:c r="W311" s="8" t="str">
        <x:v>Yes</x:v>
      </x:c>
      <x:c r="X311" s="8"/>
      <x:c r="Y311" s="8" t="str">
        <x:v>Yes</x:v>
      </x:c>
      <x:c r="Z311" s="8"/>
      <x:c r="AA311" s="8"/>
      <x:c r="AB311" s="8"/>
      <x:c r="AC311" s="9"/>
      <x:c r="AD311" s="8"/>
      <x:c r="AE311" s="8"/>
      <x:c r="AF311" s="8"/>
      <x:c r="AG311" s="8" t="str">
        <x:v>Yes</x:v>
      </x:c>
      <x:c r="AH311" s="14" t="n">
        <x:v>28</x:v>
      </x:c>
      <x:c r="AI311" s="15" t="str">
        <x:v>Canonical source for Files &amp; Storage!28</x:v>
      </x:c>
    </x:row>
    <x:row r="312" ht="75">
      <x:c r="A312" s="12" t="str">
        <x:v>Files &amp; Storage</x:v>
      </x:c>
      <x:c r="B312" s="13" t="str">
        <x:v>File / Storage Source URL</x:v>
      </x:c>
      <x:c r="C312" s="8" t="str">
        <x:v>https://support.discord.com/hc/en-us/articles/25444343291031-File-Attachments-FAQ</x:v>
      </x:c>
      <x:c r="D312" s="8"/>
      <x:c r="E312" s="8"/>
      <x:c r="F312" s="8"/>
      <x:c r="G312" s="8"/>
      <x:c r="H312" s="8" t="str">
        <x:v>https://fluxer.app/plutonium</x:v>
      </x:c>
      <x:c r="I312" s="8" t="str">
        <x:v>https://gamevox.com/blog/gamevox-vs-discord/</x:v>
      </x:c>
      <x:c r="J312" s="8"/>
      <x:c r="K312" s="8"/>
      <x:c r="L312" s="8" t="str">
        <x:v>https://github.com/CookieNom/KaedeChat/blob/main/docs/architecture.md</x:v>
      </x:c>
      <x:c r="M312" s="8"/>
      <x:c r="N312" s="8"/>
      <x:c r="O312" s="8"/>
      <x:c r="P312" s="8"/>
      <x:c r="Q312" s="8" t="str">
        <x:v>https://mezon.ai/docs/user/resources/FAQ/</x:v>
      </x:c>
      <x:c r="R312" s="8"/>
      <x:c r="S312" s="8"/>
      <x:c r="T312" s="8"/>
      <x:c r="U312" s="8"/>
      <x:c r="V312" s="29" t="str">
        <x:v>https://therift.chat/plans/</x:v>
      </x:c>
      <x:c r="W312" s="8"/>
      <x:c r="X312" s="8"/>
      <x:c r="Y312" s="8" t="str">
        <x:v>https://support.rootapp.com/docs/leader/channel-files/overview/</x:v>
      </x:c>
      <x:c r="Z312" s="8"/>
      <x:c r="AA312" s="8"/>
      <x:c r="AB312" s="8"/>
      <x:c r="AC312" s="9"/>
      <x:c r="AD312" s="8"/>
      <x:c r="AE312" s="8"/>
      <x:c r="AF312" s="8"/>
      <x:c r="AG312" s="8" t="str">
        <x:v>https://zulip.com/plans/</x:v>
      </x:c>
      <x:c r="AH312" s="14" t="n">
        <x:v>30</x:v>
      </x:c>
      <x:c r="AI312" s="15" t="str">
        <x:v>Canonical source for Files &amp; Storage!30</x:v>
      </x:c>
    </x:row>
    <x:row r="313" ht="165">
      <x:c r="A313" s="12" t="str">
        <x:v>Files &amp; Storage</x:v>
      </x:c>
      <x:c r="B313" s="13" t="str">
        <x:v>File / Storage Notes</x:v>
      </x:c>
      <x:c r="C313" s="8" t="str">
        <x:v>20 MB free; 50 MB Nitro Basic; 500 MB Nitro.</x:v>
      </x:c>
      <x:c r="D313" s="8" t="str">
        <x:v>Relay-dependent</x:v>
      </x:c>
      <x:c r="E313" s="8" t="str">
        <x:v>Operator configured</x:v>
      </x:c>
      <x:c r="F313" s="8"/>
      <x:c r="G313" s="8"/>
      <x:c r="H313" s="8" t="str">
        <x:v>25 MB free; 500 MB with Plutonium.</x:v>
      </x:c>
      <x:c r="I313" s="8" t="str">
        <x:v>500 MB free; Silver 1 GB/file; Gold 2 GB/file; Diamond 10 GB/file.</x:v>
      </x:c>
      <x:c r="J313" s="8"/>
      <x:c r="K313" s="8" t="str">
        <x:v>Local/device storage</x:v>
      </x:c>
      <x:c r="L313" s="8" t="str">
        <x:v>Three private buckets; exact-length upload tickets; magic validation; ClamAV scanning; safe WebP/video derivatives; remote media is origin-authenticated and re-scanned before local cache.</x:v>
      </x:c>
      <x:c r="M313" s="8"/>
      <x:c r="N313" s="8"/>
      <x:c r="O313" s="8" t="str">
        <x:v>Homeserver-dependent</x:v>
      </x:c>
      <x:c r="P313" s="8" t="str">
        <x:v>Admin-configurable</x:v>
      </x:c>
      <x:c r="Q313" s="8" t="str">
        <x:v>All features free; images max 50 MB, video/other max 100 MB.</x:v>
      </x:c>
      <x:c r="R313" s="8" t="str">
        <x:v>N/A</x:v>
      </x:c>
      <x:c r="S313" s="8"/>
      <x:c r="T313" s="8"/>
      <x:c r="U313" s="8"/>
      <x:c r="V313" s="8" t="str">
        <x:v>Free 50 MB; Rift+ 300 MB; Ember 75 MB/member; Forge 100 MB/member.</x:v>
      </x:c>
      <x:c r="W313" s="8" t="str">
        <x:v>Admin-configurable</x:v>
      </x:c>
      <x:c r="X313" s="8"/>
      <x:c r="Y313" s="8" t="str">
        <x:v>Root documentation verify 25 MB max and 10 files/upload; no higher paid file cap verified.</x:v>
      </x:c>
      <x:c r="Z313" s="8" t="str">
        <x:v>Operator-configurable</x:v>
      </x:c>
      <x:c r="AA313" s="8"/>
      <x:c r="AB313" s="8" t="str">
        <x:v>A 5 MB attachment limit is widely documented in current comparisons; official primary limit was not re-verified in this pass.</x:v>
      </x:c>
      <x:c r="AC313" s="9"/>
      <x:c r="AD313" s="8"/>
      <x:c r="AE313" s="8"/>
      <x:c r="AF313" s="8" t="str">
        <x:v>Server-configurable</x:v>
      </x:c>
      <x:c r="AG313" s="8" t="str">
        <x:v>Plan/server configurable</x:v>
      </x:c>
      <x:c r="AH313" s="14" t="n">
        <x:v>31</x:v>
      </x:c>
      <x:c r="AI313" s="15" t="str">
        <x:v>Canonical source for Files &amp; Storage!31</x:v>
      </x:c>
    </x:row>
    <x:row r="314" ht="75">
      <x:c r="A314" s="12" t="str">
        <x:v>Files &amp; Storage</x:v>
      </x:c>
      <x:c r="B314" s="13" t="str">
        <x:v>Malware / Virus Scanning?</x:v>
      </x:c>
      <x:c r="C314" s="8"/>
      <x:c r="D314" s="8"/>
      <x:c r="E314" s="8"/>
      <x:c r="F314" s="8"/>
      <x:c r="G314" s="8"/>
      <x:c r="H314" s="8"/>
      <x:c r="I314" s="8"/>
      <x:c r="J314" s="8"/>
      <x:c r="K314" s="8"/>
      <x:c r="L314" s="8" t="str">
        <x:v>Yes: magic validation + ClamAV malware scan before originals become available</x:v>
      </x:c>
      <x:c r="M314" s="8"/>
      <x:c r="N314" s="8"/>
      <x:c r="O314" s="8"/>
      <x:c r="P314" s="8" t="str">
        <x:v>Deployment/integration dependent</x:v>
      </x:c>
      <x:c r="Q314" s="8"/>
      <x:c r="R314" s="8"/>
      <x:c r="S314" s="8"/>
      <x:c r="T314" s="8"/>
      <x:c r="U314" s="8"/>
      <x:c r="V314" s="8"/>
      <x:c r="W314" s="8"/>
      <x:c r="X314" s="8"/>
      <x:c r="Y314" s="8"/>
      <x:c r="Z314" s="8"/>
      <x:c r="AA314" s="8"/>
      <x:c r="AB314" s="8"/>
      <x:c r="AC314" s="9"/>
      <x:c r="AD314" s="8"/>
      <x:c r="AE314" s="8"/>
      <x:c r="AF314" s="8"/>
      <x:c r="AG314" s="8"/>
      <x:c r="AH314" s="14" t="n">
        <x:v>33</x:v>
      </x:c>
      <x:c r="AI314" s="15" t="str">
        <x:v>Canonical source for Files &amp; Storage!33</x:v>
      </x:c>
    </x:row>
    <x:row r="315" ht="90">
      <x:c r="A315" s="12" t="str">
        <x:v>Files &amp; Storage</x:v>
      </x:c>
      <x:c r="B315" s="13" t="str">
        <x:v>File Type Restrictions Configurable?</x:v>
      </x:c>
      <x:c r="C315" s="8" t="str">
        <x:v>Platform-controlled</x:v>
      </x:c>
      <x:c r="D315" s="8"/>
      <x:c r="E315" s="8"/>
      <x:c r="F315" s="8"/>
      <x:c r="G315" s="8"/>
      <x:c r="H315" s="8"/>
      <x:c r="I315" s="8"/>
      <x:c r="J315" s="8"/>
      <x:c r="K315" s="8"/>
      <x:c r="L315" s="8" t="str">
        <x:v>MIME/type validation is enforced; operator-configurable restriction policy was not separately documented</x:v>
      </x:c>
      <x:c r="M315" s="8"/>
      <x:c r="N315" s="8"/>
      <x:c r="O315" s="8"/>
      <x:c r="P315" s="8" t="str">
        <x:v>Admin/deployment dependent</x:v>
      </x:c>
      <x:c r="Q315" s="8"/>
      <x:c r="R315" s="8"/>
      <x:c r="S315" s="8"/>
      <x:c r="T315" s="8"/>
      <x:c r="U315" s="8"/>
      <x:c r="V315" s="8"/>
      <x:c r="W315" s="8"/>
      <x:c r="X315" s="8"/>
      <x:c r="Y315" s="8"/>
      <x:c r="Z315" s="8"/>
      <x:c r="AA315" s="8"/>
      <x:c r="AB315" s="8"/>
      <x:c r="AC315" s="9"/>
      <x:c r="AD315" s="8"/>
      <x:c r="AE315" s="8"/>
      <x:c r="AF315" s="8"/>
      <x:c r="AG315" s="8"/>
      <x:c r="AH315" s="14" t="n">
        <x:v>34</x:v>
      </x:c>
      <x:c r="AI315" s="15" t="str">
        <x:v>Canonical source for Files &amp; Storage!34</x:v>
      </x:c>
    </x:row>
    <x:row r="316" ht="60">
      <x:c r="A316" s="12" t="str">
        <x:v>Files &amp; Storage</x:v>
      </x:c>
      <x:c r="B316" s="13" t="str">
        <x:v>Per-Channel Retention Policy?</x:v>
      </x:c>
      <x:c r="C316" s="8" t="str">
        <x:v>No general native retention timer</x:v>
      </x:c>
      <x:c r="D316" s="8"/>
      <x:c r="E316" s="8"/>
      <x:c r="F316" s="8"/>
      <x:c r="G316" s="8"/>
      <x:c r="H316" s="8"/>
      <x:c r="I316" s="8"/>
      <x:c r="J316" s="8"/>
      <x:c r="K316" s="8"/>
      <x:c r="L316" s="8" t="str">
        <x:v>Not documented</x:v>
      </x:c>
      <x:c r="M316" s="8"/>
      <x:c r="N316" s="8"/>
      <x:c r="O316" s="8"/>
      <x:c r="P316" s="8" t="str">
        <x:v>Enterprise/deployment dependent</x:v>
      </x:c>
      <x:c r="Q316" s="8"/>
      <x:c r="R316" s="8"/>
      <x:c r="S316" s="8"/>
      <x:c r="T316" s="8"/>
      <x:c r="U316" s="8" t="str">
        <x:v>Message retention controls available; exact granularity not stated</x:v>
      </x:c>
      <x:c r="V316" s="8" t="str">
        <x:v>Yes: disappearing messages per channel</x:v>
      </x:c>
      <x:c r="W316" s="8" t="str">
        <x:v>Deployment/settings dependent</x:v>
      </x:c>
      <x:c r="X316" s="8"/>
      <x:c r="Y316" s="8"/>
      <x:c r="Z316" s="8"/>
      <x:c r="AA316" s="8"/>
      <x:c r="AB316" s="8"/>
      <x:c r="AC316" s="9"/>
      <x:c r="AD316" s="8"/>
      <x:c r="AE316" s="8"/>
      <x:c r="AF316" s="8"/>
      <x:c r="AG316" s="8"/>
      <x:c r="AH316" s="14" t="n">
        <x:v>35</x:v>
      </x:c>
      <x:c r="AI316" s="15" t="str">
        <x:v>Canonical source for Files &amp; Storage!35</x:v>
      </x:c>
    </x:row>
    <x:row r="317" ht="45">
      <x:c r="A317" s="12" t="str">
        <x:v>Files &amp; Storage</x:v>
      </x:c>
      <x:c r="B317" s="13" t="str">
        <x:v>Object Storage Backend Self-Host Configurable?</x:v>
      </x:c>
      <x:c r="C317" s="8"/>
      <x:c r="D317" s="8"/>
      <x:c r="E317" s="8"/>
      <x:c r="F317" s="8"/>
      <x:c r="G317" s="8"/>
      <x:c r="H317" s="8" t="str">
        <x:v>Yes / recommended</x:v>
      </x:c>
      <x:c r="I317" s="8"/>
      <x:c r="J317" s="8"/>
      <x:c r="K317" s="8"/>
      <x:c r="L317" s="8" t="str">
        <x:v>Yes: Garage or external S3-compatible storage</x:v>
      </x:c>
      <x:c r="M317" s="8"/>
      <x:c r="N317" s="8"/>
      <x:c r="O317" s="8"/>
      <x:c r="P317" s="8" t="str">
        <x:v>Yes / recommended</x:v>
      </x:c>
      <x:c r="Q317" s="8"/>
      <x:c r="R317" s="8"/>
      <x:c r="S317" s="8"/>
      <x:c r="T317" s="8"/>
      <x:c r="U317" s="8"/>
      <x:c r="V317" s="8"/>
      <x:c r="W317" s="8" t="str">
        <x:v>Yes / recommended</x:v>
      </x:c>
      <x:c r="X317" s="8"/>
      <x:c r="Y317" s="8"/>
      <x:c r="Z317" s="8"/>
      <x:c r="AA317" s="8" t="str">
        <x:v>Yes / recommended</x:v>
      </x:c>
      <x:c r="AB317" s="8"/>
      <x:c r="AC317" s="9"/>
      <x:c r="AD317" s="8"/>
      <x:c r="AE317" s="8"/>
      <x:c r="AF317" s="8"/>
      <x:c r="AG317" s="8"/>
      <x:c r="AH317" s="14" t="n">
        <x:v>36</x:v>
      </x:c>
      <x:c r="AI317" s="15" t="str">
        <x:v>Canonical source for Files &amp; Storage!36</x:v>
      </x:c>
    </x:row>
    <x:row r="318" ht="45">
      <x:c r="A318" s="12" t="str">
        <x:v>Platform Model &amp; Ecosystem</x:v>
      </x:c>
      <x:c r="B318" s="13" t="str">
        <x:v>Platform / Protocol Identity</x:v>
      </x:c>
      <x:c r="C318" s="8" t="str">
        <x:v>Discord</x:v>
      </x:c>
      <x:c r="D318" s="8" t="str">
        <x:v>Armada</x:v>
      </x:c>
      <x:c r="E318" s="8" t="str">
        <x:v>DCTS</x:v>
      </x:c>
      <x:c r="F318" s="8" t="str">
        <x:v>Echon</x:v>
      </x:c>
      <x:c r="G318" s="8" t="str">
        <x:v>Fenrid</x:v>
      </x:c>
      <x:c r="H318" s="8" t="str">
        <x:v>Fluxer</x:v>
      </x:c>
      <x:c r="I318" s="8" t="str">
        <x:v>GameVox</x:v>
      </x:c>
      <x:c r="J318" s="8" t="str">
        <x:v>Harmony</x:v>
      </x:c>
      <x:c r="K318" s="8" t="str">
        <x:v>Hollow</x:v>
      </x:c>
      <x:c r="L318" s="8" t="str">
        <x:v>Federated self-hosted Discord-style chat platform</x:v>
      </x:c>
      <x:c r="M318" s="8" t="str">
        <x:v>Kloak</x:v>
      </x:c>
      <x:c r="N318" s="8" t="str">
        <x:v>Loqa</x:v>
      </x:c>
      <x:c r="O318" s="8" t="str">
        <x:v>Matrix</x:v>
      </x:c>
      <x:c r="P318" s="8" t="str">
        <x:v>Mattermost</x:v>
      </x:c>
      <x:c r="Q318" s="8" t="str">
        <x:v>Mezon</x:v>
      </x:c>
      <x:c r="R318" s="8" t="str">
        <x:v>Mumble</x:v>
      </x:c>
      <x:c r="S318" s="8" t="str">
        <x:v>Nerimity</x:v>
      </x:c>
      <x:c r="T318" s="8" t="str">
        <x:v>Osmium</x:v>
      </x:c>
      <x:c r="U318" s="8" t="str">
        <x:v>pqp.gg</x:v>
      </x:c>
      <x:c r="V318" s="8" t="str">
        <x:v>Rift</x:v>
      </x:c>
      <x:c r="W318" s="8" t="str">
        <x:v>Rocket.Chat</x:v>
      </x:c>
      <x:c r="X318" s="8" t="str">
        <x:v>Roomy</x:v>
      </x:c>
      <x:c r="Y318" s="8" t="str">
        <x:v>Root</x:v>
      </x:c>
      <x:c r="Z318" s="8" t="str">
        <x:v>Spacebar</x:v>
      </x:c>
      <x:c r="AA318" s="8" t="str">
        <x:v>Stoat (formerly Revolt)</x:v>
      </x:c>
      <x:c r="AB318" s="8" t="str">
        <x:v>TeamSpeak</x:v>
      </x:c>
      <x:c r="AC318" s="9" t="str">
        <x:v>Valour</x:v>
      </x:c>
      <x:c r="AD318" s="8" t="str">
        <x:v>Venta</x:v>
      </x:c>
      <x:c r="AE318" s="8" t="str">
        <x:v>Weered</x:v>
      </x:c>
      <x:c r="AF318" s="8" t="str">
        <x:v>Yapper</x:v>
      </x:c>
      <x:c r="AG318" s="8" t="str">
        <x:v>Zulip</x:v>
      </x:c>
      <x:c r="AH318" s="14" t="n">
        <x:v>3</x:v>
      </x:c>
      <x:c r="AI318" s="15" t="str">
        <x:v>Canonical source for Platform Model &amp; Ecosystem!3</x:v>
      </x:c>
    </x:row>
    <x:row r="319" ht="75">
      <x:c r="A319" s="12" t="str">
        <x:v>Platform Model &amp; Ecosystem</x:v>
      </x:c>
      <x:c r="B319" s="13" t="str">
        <x:v>Product Type</x:v>
      </x:c>
      <x:c r="C319" s="8" t="str">
        <x:v>Centralized proprietary communication service</x:v>
      </x:c>
      <x:c r="D319" s="8" t="str">
        <x:v>Serverless/federated-style E2EE community client built on Nostr</x:v>
      </x:c>
      <x:c r="E319" s="8" t="str">
        <x:v>Self-hosted-only decentralized chat software + key-based messenger</x:v>
      </x:c>
      <x:c r="F319" s="8" t="str">
        <x:v>Centralized Discord-like voice/chat service</x:v>
      </x:c>
      <x:c r="G319" s="8" t="str">
        <x:v>Centralized hosted community platform</x:v>
      </x:c>
      <x:c r="H319" s="8" t="str">
        <x:v>Hosted + self-hostable Discord-like service</x:v>
      </x:c>
      <x:c r="I319" s="8" t="str">
        <x:v>Hosted + self-hostable gaming community platform</x:v>
      </x:c>
      <x:c r="J319" s="8" t="str">
        <x:v>Hosted + self-hostable open-source community/chat platform</x:v>
      </x:c>
      <x:c r="K319" s="8" t="str">
        <x:v>Local-first distributed encrypted messenger/community app</x:v>
      </x:c>
      <x:c r="L319" s="8" t="str">
        <x:v>Federated self-hosted chat application</x:v>
      </x:c>
      <x:c r="M319" s="8" t="str">
        <x:v>Centralized privacy-focused community platform</x:v>
      </x:c>
      <x:c r="N319" s="8" t="str">
        <x:v>Discord-like hosted/self-host/federation-oriented community platform</x:v>
      </x:c>
      <x:c r="O319" s="8" t="str">
        <x:v>Open federated communication protocol/ecosystem</x:v>
      </x:c>
      <x:c r="P319" s="8" t="str">
        <x:v>Enterprise collaboration application; cloud or self-host</x:v>
      </x:c>
      <x:c r="Q319" s="8" t="str">
        <x:v>Hosted all-in-one community/work platform</x:v>
      </x:c>
      <x:c r="R319" s="8" t="str">
        <x:v>Self-hosted low-latency voice protocol/application</x:v>
      </x:c>
      <x:c r="S319" s="8" t="str">
        <x:v>Open-source centralized community chat application</x:v>
      </x:c>
      <x:c r="T319" s="8" t="str">
        <x:v>Centralized distributed-region community platform</x:v>
      </x:c>
      <x:c r="U319" s="8" t="str">
        <x:v>Centralized hosted service + self-hostable AGPL community chat</x:v>
      </x:c>
      <x:c r="V319" s="8" t="str">
        <x:v>Centralized proprietary community/chat platform</x:v>
      </x:c>
      <x:c r="W319" s="8" t="str">
        <x:v>Collaboration platform; cloud/self-host with optional federation</x:v>
      </x:c>
      <x:c r="X319" s="8" t="str">
        <x:v>ATProto-based group chat/community app</x:v>
      </x:c>
      <x:c r="Y319" s="8" t="str">
        <x:v>Centralized proprietary community platform</x:v>
      </x:c>
      <x:c r="Z319" s="8" t="str">
        <x:v>Self-hosted Discord-compatible service implementation</x:v>
      </x:c>
      <x:c r="AA319" s="8" t="str">
        <x:v>Hosted + self-hostable Discord-like service</x:v>
      </x:c>
      <x:c r="AB319" s="8" t="str">
        <x:v>Commercial self-hosted/hosted voice communication platform</x:v>
      </x:c>
      <x:c r="AC319" s="9" t="str">
        <x:v>Open-source community platform with hosted + self-host nodes</x:v>
      </x:c>
      <x:c r="AD319" s="8" t="str">
        <x:v>Discord-like platform moving from centralized to open-source/self-host/federated</x:v>
      </x:c>
      <x:c r="AE319" s="8" t="str">
        <x:v>Centralized lobby-first gaming social platform</x:v>
      </x:c>
      <x:c r="AF319" s="8" t="str">
        <x:v>Self-hosted voice/chat collaboration platform</x:v>
      </x:c>
      <x:c r="AG319" s="8" t="str">
        <x:v>Hosted + self-hosted team chat application</x:v>
      </x:c>
      <x:c r="AH319" s="14" t="n">
        <x:v>4</x:v>
      </x:c>
      <x:c r="AI319" s="15" t="str">
        <x:v>Shared metric: At a Glance: Product Type | Platform Model &amp; Ecosystem: Product Type</x:v>
      </x:c>
    </x:row>
    <x:row r="320" ht="75">
      <x:c r="A320" s="12" t="str">
        <x:v>Platform Model &amp; Ecosystem</x:v>
      </x:c>
      <x:c r="B320" s="13" t="str">
        <x:v>Reference / First-Party Client(s)</x:v>
      </x:c>
      <x:c r="C320" s="8" t="str">
        <x:v>Discord official web/desktop/mobile clients</x:v>
      </x:c>
      <x:c r="D320" s="8" t="str">
        <x:v>Armada client</x:v>
      </x:c>
      <x:c r="E320" s="8" t="str">
        <x:v>DCTS web/desktop/Android clients</x:v>
      </x:c>
      <x:c r="F320" s="8" t="str">
        <x:v>Echon web/native clients</x:v>
      </x:c>
      <x:c r="G320" s="8" t="str">
        <x:v>Fenrid web/PWA alpha</x:v>
      </x:c>
      <x:c r="H320" s="8" t="str">
        <x:v>Fluxer Web/PWA, Electron desktop, Flutter mobile beta</x:v>
      </x:c>
      <x:c r="I320" s="8" t="str">
        <x:v>GameVox native/web clients</x:v>
      </x:c>
      <x:c r="J320" s="8" t="str">
        <x:v>Fermi is the current primary client</x:v>
      </x:c>
      <x:c r="K320" s="8" t="str">
        <x:v>Hollow native client</x:v>
      </x:c>
      <x:c r="L320" s="8" t="str">
        <x:v>Web (SvelteKit), Tauri desktop, Flutter mobile</x:v>
      </x:c>
      <x:c r="M320" s="8" t="str">
        <x:v>Kloak web/client</x:v>
      </x:c>
      <x:c r="N320" s="8" t="str">
        <x:v>Loqa web client</x:v>
      </x:c>
      <x:c r="O320" s="8" t="str">
        <x:v>No single official client. Element/Element X are example clients, not Matrix itself.</x:v>
      </x:c>
      <x:c r="P320" s="8" t="str">
        <x:v>Mattermost web/desktop/mobile</x:v>
      </x:c>
      <x:c r="Q320" s="8" t="str">
        <x:v>Mezon web/desktop/mobile</x:v>
      </x:c>
      <x:c r="R320" s="8" t="str">
        <x:v>Mumble desktop client</x:v>
      </x:c>
      <x:c r="S320" s="8" t="str">
        <x:v>Nerimity Web/Desktop/Android</x:v>
      </x:c>
      <x:c r="T320" s="8" t="str">
        <x:v>Osmium web/desktop/mobile</x:v>
      </x:c>
      <x:c r="U320" s="8" t="str">
        <x:v>Web React/Vite; desktop Electron; iOS TestFlight; Android APK</x:v>
      </x:c>
      <x:c r="V320" s="8" t="str">
        <x:v>Rift client/web/mobile</x:v>
      </x:c>
      <x:c r="W320" s="8" t="str">
        <x:v>Rocket.Chat web/desktop/mobile</x:v>
      </x:c>
      <x:c r="X320" s="8" t="str">
        <x:v>Roomy web app</x:v>
      </x:c>
      <x:c r="Y320" s="8" t="str">
        <x:v>Root desktop/mobile/web surfaces</x:v>
      </x:c>
      <x:c r="Z320" s="8" t="str">
        <x:v>Spacebar-aware client(s); compatibility with Discord-style clients is a project goal</x:v>
      </x:c>
      <x:c r="AA320" s="8" t="str">
        <x:v>Stoat Web/PWA, Desktop, Android; iOS project</x:v>
      </x:c>
      <x:c r="AB320" s="8" t="str">
        <x:v>TeamSpeak official clients</x:v>
      </x:c>
      <x:c r="AC320" s="9" t="str">
        <x:v>Valour web/Windows/Android</x:v>
      </x:c>
      <x:c r="AD320" s="8" t="str">
        <x:v>Venta client</x:v>
      </x:c>
      <x:c r="AE320" s="8" t="str">
        <x:v>Weered web/Tauri client</x:v>
      </x:c>
      <x:c r="AF320" s="8" t="str">
        <x:v>Yapper browser/client</x:v>
      </x:c>
      <x:c r="AG320" s="8" t="str">
        <x:v>Zulip web/desktop/mobile</x:v>
      </x:c>
      <x:c r="AH320" s="14" t="n">
        <x:v>5</x:v>
      </x:c>
      <x:c r="AI320" s="15" t="str">
        <x:v>Shared metric: At a Glance: Reference / First-Party Client(s) | Platform Model &amp; Ecosystem: Reference / First-Party Client(s)</x:v>
      </x:c>
    </x:row>
    <x:row r="321" ht="75">
      <x:c r="A321" s="12" t="str">
        <x:v>Platform Model &amp; Ecosystem</x:v>
      </x:c>
      <x:c r="B321" s="13" t="str">
        <x:v>Examples of Other Clients</x:v>
      </x:c>
      <x:c r="C321" s="8" t="str">
        <x:v>Third-party clients generally not supported</x:v>
      </x:c>
      <x:c r="D321" s="8" t="str">
        <x:v>Other Nostr clients do not automatically implement Armada/Concord semantics</x:v>
      </x:c>
      <x:c r="E321" s="8" t="str">
        <x:v>Open source allows custom clients</x:v>
      </x:c>
      <x:c r="F321" s="8" t="str">
        <x:v>No third-party clients verified</x:v>
      </x:c>
      <x:c r="G321" s="8" t="str">
        <x:v>No established third-party client ecosystem</x:v>
      </x:c>
      <x:c r="H321" s="8" t="str">
        <x:v>No mature third-party client ecosystem verified</x:v>
      </x:c>
      <x:c r="I321" s="8" t="str">
        <x:v>No interchangeable third-party client ecosystem verified</x:v>
      </x:c>
      <x:c r="J321" s="8" t="str">
        <x:v>Anyone can build clients against Harmony API</x:v>
      </x:c>
      <x:c r="K321" s="8"/>
      <x:c r="L321" s="8"/>
      <x:c r="M321" s="8" t="str">
        <x:v>No third-party clients verified</x:v>
      </x:c>
      <x:c r="N321" s="8"/>
      <x:c r="O321" s="8" t="str">
        <x:v>Cinny, FluffyChat, Nheko, Fractal, Commet and many others</x:v>
      </x:c>
      <x:c r="P321" s="8" t="str">
        <x:v>Custom clients/integrations possible; not interchangeable protocol clients</x:v>
      </x:c>
      <x:c r="Q321" s="8"/>
      <x:c r="R321" s="8" t="str">
        <x:v>Third-party mobile clients</x:v>
      </x:c>
      <x:c r="S321" s="8" t="str">
        <x:v>Forks/custom clients possible via open API/code</x:v>
      </x:c>
      <x:c r="T321" s="8" t="str">
        <x:v>No interchangeable client ecosystem verified</x:v>
      </x:c>
      <x:c r="U321" s="8" t="str">
        <x:v>Open source but no third-party client protocol ecosystem verified</x:v>
      </x:c>
      <x:c r="V321" s="8" t="str">
        <x:v>No third-party client ecosystem</x:v>
      </x:c>
      <x:c r="W321" s="8" t="str">
        <x:v>API/custom clients possible</x:v>
      </x:c>
      <x:c r="X321" s="8"/>
      <x:c r="Y321" s="8" t="str">
        <x:v>No third-party client ecosystem</x:v>
      </x:c>
      <x:c r="Z321" s="8" t="str">
        <x:v>Potential compatible/community clients</x:v>
      </x:c>
      <x:c r="AA321" s="8" t="str">
        <x:v>Community clients exist</x:v>
      </x:c>
      <x:c r="AB321" s="8" t="str">
        <x:v>Third-party client support limited by proprietary ecosystem</x:v>
      </x:c>
      <x:c r="AC321" s="9" t="str">
        <x:v>Open API; independent clients possible</x:v>
      </x:c>
      <x:c r="AD321" s="8"/>
      <x:c r="AE321" s="8" t="str">
        <x:v>No third-party clients verified</x:v>
      </x:c>
      <x:c r="AF321" s="8" t="str">
        <x:v>No third-party clients verified</x:v>
      </x:c>
      <x:c r="AG321" s="8" t="str">
        <x:v>API clients/bots; not interchangeable end-user clients in Matrix sense</x:v>
      </x:c>
      <x:c r="AH321" s="14" t="n">
        <x:v>6</x:v>
      </x:c>
      <x:c r="AI321" s="15" t="str">
        <x:v>Canonical source for Platform Model &amp; Ecosystem!6</x:v>
      </x:c>
    </x:row>
    <x:row r="322" ht="90">
      <x:c r="A322" s="12" t="str">
        <x:v>Platform Model &amp; Ecosystem</x:v>
      </x:c>
      <x:c r="B322" s="13" t="str">
        <x:v>Client Interchangeability</x:v>
      </x:c>
      <x:c r="C322" s="8" t="str">
        <x:v>No</x:v>
      </x:c>
      <x:c r="D322" s="8" t="str">
        <x:v>Partial</x:v>
      </x:c>
      <x:c r="E322" s="8" t="str">
        <x:v>Yes for messenger/home server identity</x:v>
      </x:c>
      <x:c r="F322" s="8" t="str">
        <x:v>No</x:v>
      </x:c>
      <x:c r="G322" s="8" t="str">
        <x:v>No</x:v>
      </x:c>
      <x:c r="H322" s="8" t="str">
        <x:v>Limited</x:v>
      </x:c>
      <x:c r="I322" s="8" t="str">
        <x:v>No</x:v>
      </x:c>
      <x:c r="J322" s="8" t="str">
        <x:v>Yes in principle</x:v>
      </x:c>
      <x:c r="K322" s="8" t="str">
        <x:v>Identity portable across relays</x:v>
      </x:c>
      <x:c r="L322" s="8" t="str">
        <x:v>Possible through documented APIs/protocol; no established third-party client ecosystem yet</x:v>
      </x:c>
      <x:c r="M322" s="8" t="str">
        <x:v>No</x:v>
      </x:c>
      <x:c r="N322" s="8"/>
      <x:c r="O322" s="8" t="str">
        <x:v>Yes: core architectural feature</x:v>
      </x:c>
      <x:c r="P322" s="8" t="str">
        <x:v>Limited</x:v>
      </x:c>
      <x:c r="Q322" s="8"/>
      <x:c r="R322" s="8" t="str">
        <x:v>Yes within Mumble protocol compatibility</x:v>
      </x:c>
      <x:c r="S322" s="8" t="str">
        <x:v>Limited</x:v>
      </x:c>
      <x:c r="T322" s="8" t="str">
        <x:v>No</x:v>
      </x:c>
      <x:c r="U322" s="8" t="str">
        <x:v>Limited</x:v>
      </x:c>
      <x:c r="V322" s="8" t="str">
        <x:v>No</x:v>
      </x:c>
      <x:c r="W322" s="8" t="str">
        <x:v>Limited</x:v>
      </x:c>
      <x:c r="X322" s="8" t="str">
        <x:v>Partial</x:v>
      </x:c>
      <x:c r="Y322" s="8" t="str">
        <x:v>No</x:v>
      </x:c>
      <x:c r="Z322" s="8" t="str">
        <x:v>Potentially, within compatibility limits</x:v>
      </x:c>
      <x:c r="AA322" s="8" t="str">
        <x:v>Limited: official clients do not all support arbitrary self-hosted instances</x:v>
      </x:c>
      <x:c r="AB322" s="8" t="str">
        <x:v>Limited</x:v>
      </x:c>
      <x:c r="AC322" s="9" t="str">
        <x:v>Partial</x:v>
      </x:c>
      <x:c r="AD322" s="8"/>
      <x:c r="AE322" s="8" t="str">
        <x:v>No</x:v>
      </x:c>
      <x:c r="AF322" s="8" t="str">
        <x:v>No</x:v>
      </x:c>
      <x:c r="AG322" s="8" t="str">
        <x:v>Limited</x:v>
      </x:c>
      <x:c r="AH322" s="14" t="n">
        <x:v>7</x:v>
      </x:c>
      <x:c r="AI322" s="15" t="str">
        <x:v>Shared metric: At a Glance: Client Interchangeability | Platform Model &amp; Ecosystem: Client Interchangeability</x:v>
      </x:c>
    </x:row>
    <x:row r="323" ht="60">
      <x:c r="A323" s="12" t="str">
        <x:v>Platform Model &amp; Ecosystem</x:v>
      </x:c>
      <x:c r="B323" s="13" t="str">
        <x:v>Account / Identity Hosted By</x:v>
      </x:c>
      <x:c r="C323" s="8" t="str">
        <x:v>Discord</x:v>
      </x:c>
      <x:c r="D323" s="8" t="str">
        <x:v>Nostr keypair</x:v>
      </x:c>
      <x:c r="E323" s="8" t="str">
        <x:v>Chosen DCTS instance or key-based messenger</x:v>
      </x:c>
      <x:c r="F323" s="8" t="str">
        <x:v>Echon</x:v>
      </x:c>
      <x:c r="G323" s="8" t="str">
        <x:v>Fenrid</x:v>
      </x:c>
      <x:c r="H323" s="8" t="str">
        <x:v>Fluxer hosted or self-host operator</x:v>
      </x:c>
      <x:c r="I323" s="8" t="str">
        <x:v>GameVox account / self-host server</x:v>
      </x:c>
      <x:c r="J323" s="8" t="str">
        <x:v>Per-instance</x:v>
      </x:c>
      <x:c r="K323" s="8" t="str">
        <x:v>User Ed25519 keypair</x:v>
      </x:c>
      <x:c r="L323" s="8" t="str">
        <x:v>Chosen home instance; identity is username@domain</x:v>
      </x:c>
      <x:c r="M323" s="8" t="str">
        <x:v>Kloak</x:v>
      </x:c>
      <x:c r="N323" s="8"/>
      <x:c r="O323" s="8" t="str">
        <x:v>Chosen Matrix homeserver/provider</x:v>
      </x:c>
      <x:c r="P323" s="8" t="str">
        <x:v>Mattermost Cloud or chosen self-host server</x:v>
      </x:c>
      <x:c r="Q323" s="8" t="str">
        <x:v>Mezon account</x:v>
      </x:c>
      <x:c r="R323" s="8" t="str">
        <x:v>Chosen Mumble server</x:v>
      </x:c>
      <x:c r="S323" s="8" t="str">
        <x:v>Nerimity hosted service</x:v>
      </x:c>
      <x:c r="T323" s="8" t="str">
        <x:v>Osmium</x:v>
      </x:c>
      <x:c r="U323" s="8" t="str">
        <x:v>Clerk on the hosted service; self-host operator controls deployment</x:v>
      </x:c>
      <x:c r="V323" s="8" t="str">
        <x:v>Rift</x:v>
      </x:c>
      <x:c r="W323" s="8" t="str">
        <x:v>Rocket.Chat Cloud or chosen server</x:v>
      </x:c>
      <x:c r="X323" s="8" t="str">
        <x:v>Bluesky/ATProto identity</x:v>
      </x:c>
      <x:c r="Y323" s="8" t="str">
        <x:v>Root</x:v>
      </x:c>
      <x:c r="Z323" s="8" t="str">
        <x:v>Each Spacebar instance operator</x:v>
      </x:c>
      <x:c r="AA323" s="8" t="str">
        <x:v>Hosted Stoat or self-host operator</x:v>
      </x:c>
      <x:c r="AB323" s="8" t="str">
        <x:v>Chosen TeamSpeak server / provider</x:v>
      </x:c>
      <x:c r="AC323" s="9" t="str">
        <x:v>Valour account</x:v>
      </x:c>
      <x:c r="AD323" s="8" t="str">
        <x:v>Venta identity intended to span federated servers</x:v>
      </x:c>
      <x:c r="AE323" s="8" t="str">
        <x:v>Weered</x:v>
      </x:c>
      <x:c r="AF323" s="8" t="str">
        <x:v>Yapper account/license + chosen server</x:v>
      </x:c>
      <x:c r="AG323" s="8" t="str">
        <x:v>Zulip Cloud or chosen self-host server</x:v>
      </x:c>
      <x:c r="AH323" s="14" t="n">
        <x:v>8</x:v>
      </x:c>
      <x:c r="AI323" s="15" t="str">
        <x:v>Canonical source for Platform Model &amp; Ecosystem!8</x:v>
      </x:c>
    </x:row>
    <x:row r="324" ht="75">
      <x:c r="A324" s="12" t="str">
        <x:v>Platform Model &amp; Ecosystem</x:v>
      </x:c>
      <x:c r="B324" s="13" t="str">
        <x:v>Server / Homeserver Implementation(s)</x:v>
      </x:c>
      <x:c r="C324" s="8" t="str">
        <x:v>Discord proprietary backend</x:v>
      </x:c>
      <x:c r="D324" s="8" t="str">
        <x:v>Nostr relays / Concord</x:v>
      </x:c>
      <x:c r="E324" s="8" t="str">
        <x:v>DCTS server</x:v>
      </x:c>
      <x:c r="F324" s="8" t="str">
        <x:v>Private Rust backend</x:v>
      </x:c>
      <x:c r="G324" s="8" t="str">
        <x:v>Private hosted backend</x:v>
      </x:c>
      <x:c r="H324" s="8" t="str">
        <x:v>Fluxer open-source backend/services</x:v>
      </x:c>
      <x:c r="I324" s="8" t="str">
        <x:v>Proprietary GameVox server</x:v>
      </x:c>
      <x:c r="J324" s="8" t="str">
        <x:v>Harmony server</x:v>
      </x:c>
      <x:c r="K324" s="8" t="str">
        <x:v>Stateless/ephemeral relay servers</x:v>
      </x:c>
      <x:c r="L324" s="8" t="str">
        <x:v>Kaede Chat server (FastAPI + PostgreSQL + Dragonfly + S3-compatible storage + LiveKit)</x:v>
      </x:c>
      <x:c r="M324" s="8" t="str">
        <x:v>Proprietary backend</x:v>
      </x:c>
      <x:c r="N324" s="8" t="str">
        <x:v>Loqa backend</x:v>
      </x:c>
      <x:c r="O324" s="8" t="str">
        <x:v>Synapse, Dendrite/other Matrix homeservers</x:v>
      </x:c>
      <x:c r="P324" s="8" t="str">
        <x:v>Mattermost server</x:v>
      </x:c>
      <x:c r="Q324" s="8" t="str">
        <x:v>Mezon native backend</x:v>
      </x:c>
      <x:c r="R324" s="8" t="str">
        <x:v>Murmur/Mumble server</x:v>
      </x:c>
      <x:c r="S324" s="8" t="str">
        <x:v>Nerimity server</x:v>
      </x:c>
      <x:c r="T324" s="8" t="str">
        <x:v>Proprietary/partly open backend components</x:v>
      </x:c>
      <x:c r="U324" s="8" t="str">
        <x:v>pqp AGPL server; hosted API on Fly.io in São Paulo</x:v>
      </x:c>
      <x:c r="V324" s="8" t="str">
        <x:v>Rift proprietary backend</x:v>
      </x:c>
      <x:c r="W324" s="8" t="str">
        <x:v>Rocket.Chat server</x:v>
      </x:c>
      <x:c r="X324" s="8" t="str">
        <x:v>ATProto/PDS + Roomy services</x:v>
      </x:c>
      <x:c r="Y324" s="8" t="str">
        <x:v>Root proprietary cloud backend</x:v>
      </x:c>
      <x:c r="Z324" s="8" t="str">
        <x:v>Spacebar API/Gateway/CDN services</x:v>
      </x:c>
      <x:c r="AA324" s="8" t="str">
        <x:v>Stoat Rust backend</x:v>
      </x:c>
      <x:c r="AB324" s="8" t="str">
        <x:v>Proprietary TeamSpeak server</x:v>
      </x:c>
      <x:c r="AC324" s="9" t="str">
        <x:v>Valour node-based backend</x:v>
      </x:c>
      <x:c r="AD324" s="8" t="str">
        <x:v>AlpineBackend</x:v>
      </x:c>
      <x:c r="AE324" s="8" t="str">
        <x:v>Private/source-available backend</x:v>
      </x:c>
      <x:c r="AF324" s="8" t="str">
        <x:v>Yapper server software</x:v>
      </x:c>
      <x:c r="AG324" s="8" t="str">
        <x:v>Zulip server/web application</x:v>
      </x:c>
      <x:c r="AH324" s="14" t="n">
        <x:v>9</x:v>
      </x:c>
      <x:c r="AI324" s="15" t="str">
        <x:v>Canonical source for Platform Model &amp; Ecosystem!9</x:v>
      </x:c>
    </x:row>
    <x:row r="325" ht="60">
      <x:c r="A325" s="12" t="str">
        <x:v>Platform Model &amp; Ecosystem</x:v>
      </x:c>
      <x:c r="B325" s="13" t="str">
        <x:v>First-Party Hosted Service</x:v>
      </x:c>
      <x:c r="C325" s="8" t="str">
        <x:v>Yes: discord.com</x:v>
      </x:c>
      <x:c r="D325" s="8" t="str">
        <x:v>No central host required</x:v>
      </x:c>
      <x:c r="E325" s="8" t="str">
        <x:v>Official public instance exists, but project is self-hosting-first</x:v>
      </x:c>
      <x:c r="F325" s="8" t="str">
        <x:v>Yes</x:v>
      </x:c>
      <x:c r="G325" s="8" t="str">
        <x:v>Yes</x:v>
      </x:c>
      <x:c r="H325" s="8" t="str">
        <x:v>Yes</x:v>
      </x:c>
      <x:c r="I325" s="8" t="str">
        <x:v>Yes</x:v>
      </x:c>
      <x:c r="J325" s="8" t="str">
        <x:v>fermi.chat hosted instance</x:v>
      </x:c>
      <x:c r="K325" s="8" t="str">
        <x:v>Official relay exists</x:v>
      </x:c>
      <x:c r="L325" s="8" t="str">
        <x:v>Yes: kaede.chat</x:v>
      </x:c>
      <x:c r="M325" s="8" t="str">
        <x:v>Yes</x:v>
      </x:c>
      <x:c r="N325" s="8" t="str">
        <x:v>Yes</x:v>
      </x:c>
      <x:c r="O325" s="8" t="str">
        <x:v>matrix.org is one Foundation-operated homeserver; many other providers exist</x:v>
      </x:c>
      <x:c r="P325" s="8" t="str">
        <x:v>Yes: cloud offering</x:v>
      </x:c>
      <x:c r="Q325" s="8" t="str">
        <x:v>Yes</x:v>
      </x:c>
      <x:c r="R325" s="8" t="str">
        <x:v>No central service</x:v>
      </x:c>
      <x:c r="S325" s="8" t="str">
        <x:v>Yes</x:v>
      </x:c>
      <x:c r="T325" s="8" t="str">
        <x:v>Yes</x:v>
      </x:c>
      <x:c r="U325" s="8" t="str">
        <x:v>Yes: API on Fly.io in São Paulo; SPA on Cloudflare Pages</x:v>
      </x:c>
      <x:c r="V325" s="8" t="str">
        <x:v>Yes</x:v>
      </x:c>
      <x:c r="W325" s="8" t="str">
        <x:v>Yes</x:v>
      </x:c>
      <x:c r="X325" s="8" t="str">
        <x:v>roomy.space</x:v>
      </x:c>
      <x:c r="Y325" s="8" t="str">
        <x:v>Yes</x:v>
      </x:c>
      <x:c r="Z325" s="8" t="str">
        <x:v>No canonical global first-party hosted network required</x:v>
      </x:c>
      <x:c r="AA325" s="8" t="str">
        <x:v>Yes</x:v>
      </x:c>
      <x:c r="AB325" s="8" t="str">
        <x:v>Hosted options exist; many self-host</x:v>
      </x:c>
      <x:c r="AC325" s="9" t="str">
        <x:v>Yes</x:v>
      </x:c>
      <x:c r="AD325" s="8" t="str">
        <x:v>Yes</x:v>
      </x:c>
      <x:c r="AE325" s="8" t="str">
        <x:v>Yes</x:v>
      </x:c>
      <x:c r="AF325" s="8" t="str">
        <x:v>Optional managed hosting</x:v>
      </x:c>
      <x:c r="AG325" s="8" t="str">
        <x:v>Yes: Zulip Cloud</x:v>
      </x:c>
      <x:c r="AH325" s="14" t="n">
        <x:v>10</x:v>
      </x:c>
      <x:c r="AI325" s="15" t="str">
        <x:v>Canonical source for Platform Model &amp; Ecosystem!10</x:v>
      </x:c>
    </x:row>
    <x:row r="326" ht="75">
      <x:c r="A326" s="12" t="str">
        <x:v>Platform Model &amp; Ecosystem</x:v>
      </x:c>
      <x:c r="B326" s="13" t="str">
        <x:v>Self-Hosting Supported</x:v>
      </x:c>
      <x:c r="C326" s="8" t="str">
        <x:v>No</x:v>
      </x:c>
      <x:c r="D326" s="8" t="str">
        <x:v>Yes: relays/self-host</x:v>
      </x:c>
      <x:c r="E326" s="8" t="str">
        <x:v>Yes</x:v>
      </x:c>
      <x:c r="F326" s="8" t="str">
        <x:v>No</x:v>
      </x:c>
      <x:c r="G326" s="8" t="str">
        <x:v>No currently</x:v>
      </x:c>
      <x:c r="H326" s="8" t="str">
        <x:v>Yes</x:v>
      </x:c>
      <x:c r="I326" s="8" t="str">
        <x:v>Yes</x:v>
      </x:c>
      <x:c r="J326" s="8" t="str">
        <x:v>Yes</x:v>
      </x:c>
      <x:c r="K326" s="8" t="str">
        <x:v>Yes</x:v>
      </x:c>
      <x:c r="L326" s="8" t="str">
        <x:v>Yes</x:v>
      </x:c>
      <x:c r="M326" s="8" t="str">
        <x:v>No</x:v>
      </x:c>
      <x:c r="N326" s="8" t="str">
        <x:v>Yes</x:v>
      </x:c>
      <x:c r="O326" s="8" t="str">
        <x:v>Yes</x:v>
      </x:c>
      <x:c r="P326" s="8" t="str">
        <x:v>Yes</x:v>
      </x:c>
      <x:c r="Q326" s="8"/>
      <x:c r="R326" s="8" t="str">
        <x:v>Yes</x:v>
      </x:c>
      <x:c r="S326" s="8" t="str">
        <x:v>Technically possible but explicitly not intended/supported</x:v>
      </x:c>
      <x:c r="T326" s="8" t="str">
        <x:v>No</x:v>
      </x:c>
      <x:c r="U326" s="8" t="str">
        <x:v>Yes: AGPL-3.0; documentation in repository</x:v>
      </x:c>
      <x:c r="V326" s="8" t="str">
        <x:v>No</x:v>
      </x:c>
      <x:c r="W326" s="8" t="str">
        <x:v>Yes</x:v>
      </x:c>
      <x:c r="X326" s="8" t="str">
        <x:v>Partially via ATProto/PDS model</x:v>
      </x:c>
      <x:c r="Y326" s="8" t="str">
        <x:v>No</x:v>
      </x:c>
      <x:c r="Z326" s="8" t="str">
        <x:v>Yes</x:v>
      </x:c>
      <x:c r="AA326" s="8" t="str">
        <x:v>Yes</x:v>
      </x:c>
      <x:c r="AB326" s="8" t="str">
        <x:v>Yes</x:v>
      </x:c>
      <x:c r="AC326" s="9" t="str">
        <x:v>Yes</x:v>
      </x:c>
      <x:c r="AD326" s="8" t="str">
        <x:v>In development</x:v>
      </x:c>
      <x:c r="AE326" s="8" t="str">
        <x:v>No</x:v>
      </x:c>
      <x:c r="AF326" s="8" t="str">
        <x:v>Yes</x:v>
      </x:c>
      <x:c r="AG326" s="8" t="str">
        <x:v>Yes</x:v>
      </x:c>
      <x:c r="AH326" s="14" t="n">
        <x:v>11</x:v>
      </x:c>
      <x:c r="AI326" s="15" t="str">
        <x:v>Shared metric: At a Glance: Self-Hosting Supported | Platform Model &amp; Ecosystem: Self-Hosting Supported | Architecture &amp; Licensing: Self-Hosting Supported? | Deployment Detail: Self-Hosting Supported?</x:v>
      </x:c>
    </x:row>
    <x:row r="327" ht="45">
      <x:c r="A327" s="12" t="str">
        <x:v>Platform Model &amp; Ecosystem</x:v>
      </x:c>
      <x:c r="B327" s="13" t="str">
        <x:v>Independent Instances</x:v>
      </x:c>
      <x:c r="C327" s="8" t="str">
        <x:v>No</x:v>
      </x:c>
      <x:c r="D327" s="8" t="str">
        <x:v>Yes</x:v>
      </x:c>
      <x:c r="E327" s="8" t="str">
        <x:v>Yes</x:v>
      </x:c>
      <x:c r="F327" s="8" t="str">
        <x:v>No</x:v>
      </x:c>
      <x:c r="G327" s="8" t="str">
        <x:v>No</x:v>
      </x:c>
      <x:c r="H327" s="8" t="str">
        <x:v>Yes</x:v>
      </x:c>
      <x:c r="I327" s="8" t="str">
        <x:v>Yes</x:v>
      </x:c>
      <x:c r="J327" s="8" t="str">
        <x:v>Yes</x:v>
      </x:c>
      <x:c r="K327" s="8" t="str">
        <x:v>Yes</x:v>
      </x:c>
      <x:c r="L327" s="8" t="str">
        <x:v>Yes</x:v>
      </x:c>
      <x:c r="M327" s="8" t="str">
        <x:v>No</x:v>
      </x:c>
      <x:c r="N327" s="8" t="str">
        <x:v>Yes</x:v>
      </x:c>
      <x:c r="O327" s="8" t="str">
        <x:v>Yes</x:v>
      </x:c>
      <x:c r="P327" s="8" t="str">
        <x:v>Yes</x:v>
      </x:c>
      <x:c r="Q327" s="8"/>
      <x:c r="R327" s="8" t="str">
        <x:v>Yes</x:v>
      </x:c>
      <x:c r="S327" s="8" t="str">
        <x:v>Possible independent deployments</x:v>
      </x:c>
      <x:c r="T327" s="8" t="str">
        <x:v>No</x:v>
      </x:c>
      <x:c r="U327" s="8" t="str">
        <x:v>Yes</x:v>
      </x:c>
      <x:c r="V327" s="8" t="str">
        <x:v>No</x:v>
      </x:c>
      <x:c r="W327" s="8" t="str">
        <x:v>Yes</x:v>
      </x:c>
      <x:c r="X327" s="8" t="str">
        <x:v>Yes/distributed data ownership model</x:v>
      </x:c>
      <x:c r="Y327" s="8" t="str">
        <x:v>No</x:v>
      </x:c>
      <x:c r="Z327" s="8" t="str">
        <x:v>Yes</x:v>
      </x:c>
      <x:c r="AA327" s="8" t="str">
        <x:v>Yes</x:v>
      </x:c>
      <x:c r="AB327" s="8" t="str">
        <x:v>Yes</x:v>
      </x:c>
      <x:c r="AC327" s="9" t="str">
        <x:v>Yes</x:v>
      </x:c>
      <x:c r="AD327" s="8" t="str">
        <x:v>In development</x:v>
      </x:c>
      <x:c r="AE327" s="8" t="str">
        <x:v>No</x:v>
      </x:c>
      <x:c r="AF327" s="8" t="str">
        <x:v>Yes</x:v>
      </x:c>
      <x:c r="AG327" s="8" t="str">
        <x:v>Yes</x:v>
      </x:c>
      <x:c r="AH327" s="14" t="n">
        <x:v>12</x:v>
      </x:c>
      <x:c r="AI327" s="15" t="str">
        <x:v>Shared metric: Platform Model &amp; Ecosystem: Independent Instances | Deployment Detail: Independent Instances?</x:v>
      </x:c>
    </x:row>
    <x:row r="328" ht="90">
      <x:c r="A328" s="12" t="str">
        <x:v>Platform Model &amp; Ecosystem</x:v>
      </x:c>
      <x:c r="B328" s="13" t="str">
        <x:v>Federation Between Independent Instances</x:v>
      </x:c>
      <x:c r="C328" s="8" t="str">
        <x:v>No</x:v>
      </x:c>
      <x:c r="D328" s="8" t="str">
        <x:v>Nostr relay interoperability</x:v>
      </x:c>
      <x:c r="E328" s="8" t="str">
        <x:v>Yes for messenger/server communication features; full federation evolving</x:v>
      </x:c>
      <x:c r="F328" s="8" t="str">
        <x:v>No</x:v>
      </x:c>
      <x:c r="G328" s="8" t="str">
        <x:v>No</x:v>
      </x:c>
      <x:c r="H328" s="8" t="str">
        <x:v>Not yet: on roadmap</x:v>
      </x:c>
      <x:c r="I328" s="8" t="str">
        <x:v>No federation verified</x:v>
      </x:c>
      <x:c r="J328" s="8" t="str">
        <x:v>Federation planned</x:v>
      </x:c>
      <x:c r="K328" s="8" t="str">
        <x:v>Relay choice but not Matrix-style federated server state</x:v>
      </x:c>
      <x:c r="L328" s="8" t="str">
        <x:v>Yes: kaede-fed/1</x:v>
      </x:c>
      <x:c r="M328" s="8" t="str">
        <x:v>No</x:v>
      </x:c>
      <x:c r="N328" s="8" t="str">
        <x:v>Federation advertised</x:v>
      </x:c>
      <x:c r="O328" s="8" t="str">
        <x:v>Yes: core feature</x:v>
      </x:c>
      <x:c r="P328" s="8" t="str">
        <x:v>No general federation</x:v>
      </x:c>
      <x:c r="Q328" s="8" t="str">
        <x:v>No federation verified</x:v>
      </x:c>
      <x:c r="R328" s="8" t="str">
        <x:v>No</x:v>
      </x:c>
      <x:c r="S328" s="8" t="str">
        <x:v>No</x:v>
      </x:c>
      <x:c r="T328" s="8" t="str">
        <x:v>No</x:v>
      </x:c>
      <x:c r="U328" s="8" t="str">
        <x:v>No federation</x:v>
      </x:c>
      <x:c r="V328" s="8" t="str">
        <x:v>No</x:v>
      </x:c>
      <x:c r="W328" s="8" t="str">
        <x:v>Yes: Matrix-based federation feature set, with limitations</x:v>
      </x:c>
      <x:c r="X328" s="8" t="str">
        <x:v>ATProto federation ecosystem</x:v>
      </x:c>
      <x:c r="Y328" s="8" t="str">
        <x:v>No</x:v>
      </x:c>
      <x:c r="Z328" s="8" t="str">
        <x:v>No</x:v>
      </x:c>
      <x:c r="AA328" s="8" t="str">
        <x:v>No</x:v>
      </x:c>
      <x:c r="AB328" s="8" t="str">
        <x:v>No</x:v>
      </x:c>
      <x:c r="AC328" s="9" t="str">
        <x:v>Node/federation model for migrating communities; exact cross-instance federation scope evolving</x:v>
      </x:c>
      <x:c r="AD328" s="8" t="str">
        <x:v>Planned/in development</x:v>
      </x:c>
      <x:c r="AE328" s="8" t="str">
        <x:v>No</x:v>
      </x:c>
      <x:c r="AF328" s="8" t="str">
        <x:v>No</x:v>
      </x:c>
      <x:c r="AG328" s="8" t="str">
        <x:v>No</x:v>
      </x:c>
      <x:c r="AH328" s="14" t="n">
        <x:v>13</x:v>
      </x:c>
      <x:c r="AI328" s="15" t="str">
        <x:v>Shared metric: At a Glance: Federation Between Independent Instances | Platform Model &amp; Ecosystem: Federation Between Independent Instances</x:v>
      </x:c>
    </x:row>
    <x:row r="329" ht="75">
      <x:c r="A329" s="12" t="str">
        <x:v>Platform Model &amp; Ecosystem</x:v>
      </x:c>
      <x:c r="B329" s="13" t="str">
        <x:v>Cross-Instance Rooms / Communities</x:v>
      </x:c>
      <x:c r="C329" s="8" t="str">
        <x:v>No</x:v>
      </x:c>
      <x:c r="D329" s="8" t="str">
        <x:v>Communities can use multiple relays</x:v>
      </x:c>
      <x:c r="E329" s="8" t="str">
        <x:v>Cross-server messenger works</x:v>
      </x:c>
      <x:c r="F329" s="8" t="str">
        <x:v>No</x:v>
      </x:c>
      <x:c r="G329" s="8" t="str">
        <x:v>No</x:v>
      </x:c>
      <x:c r="H329" s="8" t="str">
        <x:v>Not yet</x:v>
      </x:c>
      <x:c r="I329" s="8" t="str">
        <x:v>No</x:v>
      </x:c>
      <x:c r="J329" s="8" t="str">
        <x:v>Planned</x:v>
      </x:c>
      <x:c r="K329" s="8" t="str">
        <x:v>Peers communicate across relays/home servers as designed</x:v>
      </x:c>
      <x:c r="L329" s="8" t="str">
        <x:v>Yes: users on one home can join guilds, DM and call users/resources on other homes</x:v>
      </x:c>
      <x:c r="M329" s="8" t="str">
        <x:v>No</x:v>
      </x:c>
      <x:c r="N329" s="8" t="str">
        <x:v>Federated communities intended</x:v>
      </x:c>
      <x:c r="O329" s="8" t="str">
        <x:v>Yes: rooms can span homeservers</x:v>
      </x:c>
      <x:c r="P329" s="8" t="str">
        <x:v>No</x:v>
      </x:c>
      <x:c r="Q329" s="8" t="str">
        <x:v>No</x:v>
      </x:c>
      <x:c r="R329" s="8" t="str">
        <x:v>No</x:v>
      </x:c>
      <x:c r="S329" s="8" t="str">
        <x:v>No</x:v>
      </x:c>
      <x:c r="T329" s="8" t="str">
        <x:v>No</x:v>
      </x:c>
      <x:c r="U329" s="8" t="str">
        <x:v>No</x:v>
      </x:c>
      <x:c r="V329" s="8" t="str">
        <x:v>No</x:v>
      </x:c>
      <x:c r="W329" s="8" t="str">
        <x:v>Yes for supported federated rooms</x:v>
      </x:c>
      <x:c r="X329" s="8" t="str">
        <x:v>ATProto-linked spaces</x:v>
      </x:c>
      <x:c r="Y329" s="8" t="str">
        <x:v>No</x:v>
      </x:c>
      <x:c r="Z329" s="8" t="str">
        <x:v>No</x:v>
      </x:c>
      <x:c r="AA329" s="8" t="str">
        <x:v>No</x:v>
      </x:c>
      <x:c r="AB329" s="8" t="str">
        <x:v>No</x:v>
      </x:c>
      <x:c r="AC329" s="9" t="str">
        <x:v>Limited/evolving</x:v>
      </x:c>
      <x:c r="AD329" s="8" t="str">
        <x:v>Planned</x:v>
      </x:c>
      <x:c r="AE329" s="8" t="str">
        <x:v>No</x:v>
      </x:c>
      <x:c r="AF329" s="8" t="str">
        <x:v>No</x:v>
      </x:c>
      <x:c r="AG329" s="8" t="str">
        <x:v>No</x:v>
      </x:c>
      <x:c r="AH329" s="14" t="n">
        <x:v>14</x:v>
      </x:c>
      <x:c r="AI329" s="15" t="str">
        <x:v>Shared metric: Platform Model &amp; Ecosystem: Cross-Instance Rooms / Communities | Deployment Detail: Cross-Instance Rooms / Communities?</x:v>
      </x:c>
    </x:row>
    <x:row r="330" ht="90">
      <x:c r="A330" s="12" t="str">
        <x:v>Platform Model &amp; Ecosystem</x:v>
      </x:c>
      <x:c r="B330" s="13" t="str">
        <x:v>Cross-Instance Identity / Account Portability</x:v>
      </x:c>
      <x:c r="C330" s="8" t="str">
        <x:v>No</x:v>
      </x:c>
      <x:c r="D330" s="8" t="str">
        <x:v>Identity is portable by keypair</x:v>
      </x:c>
      <x:c r="E330" s="8" t="str">
        <x:v>Yes: messenger global ID/key and account export</x:v>
      </x:c>
      <x:c r="F330" s="8" t="str">
        <x:v>No</x:v>
      </x:c>
      <x:c r="G330" s="8" t="str">
        <x:v>No</x:v>
      </x:c>
      <x:c r="H330" s="8" t="str">
        <x:v>No current portable cross-instance identity</x:v>
      </x:c>
      <x:c r="I330" s="8" t="str">
        <x:v>No</x:v>
      </x:c>
      <x:c r="J330" s="8" t="str">
        <x:v>Planned</x:v>
      </x:c>
      <x:c r="K330" s="8" t="str">
        <x:v>Yes: identity key portable</x:v>
      </x:c>
      <x:c r="L330" s="8" t="str">
        <x:v>Federated identity works across instances; moving an account's home is not documented</x:v>
      </x:c>
      <x:c r="M330" s="8" t="str">
        <x:v>No</x:v>
      </x:c>
      <x:c r="N330" s="8"/>
      <x:c r="O330" s="8" t="str">
        <x:v>Identity is namespaced to a homeserver; clients are portable, account migration is not universally seamless</x:v>
      </x:c>
      <x:c r="P330" s="8" t="str">
        <x:v>No</x:v>
      </x:c>
      <x:c r="Q330" s="8" t="str">
        <x:v>No</x:v>
      </x:c>
      <x:c r="R330" s="8" t="str">
        <x:v>Certificate/user identity can be reused manually; no global portable identity layer</x:v>
      </x:c>
      <x:c r="S330" s="8" t="str">
        <x:v>No</x:v>
      </x:c>
      <x:c r="T330" s="8" t="str">
        <x:v>No</x:v>
      </x:c>
      <x:c r="U330" s="8" t="str">
        <x:v>No</x:v>
      </x:c>
      <x:c r="V330" s="8" t="str">
        <x:v>No</x:v>
      </x:c>
      <x:c r="W330" s="8" t="str">
        <x:v>Limited; not equivalent to universal account migration</x:v>
      </x:c>
      <x:c r="X330" s="8" t="str">
        <x:v>Identity via ATProto</x:v>
      </x:c>
      <x:c r="Y330" s="8" t="str">
        <x:v>No</x:v>
      </x:c>
      <x:c r="Z330" s="8" t="str">
        <x:v>No</x:v>
      </x:c>
      <x:c r="AA330" s="8" t="str">
        <x:v>No seamless portable identity</x:v>
      </x:c>
      <x:c r="AB330" s="8" t="str">
        <x:v>No global federated identity</x:v>
      </x:c>
      <x:c r="AC330" s="9" t="str">
        <x:v>Account survives community node moves per documentation</x:v>
      </x:c>
      <x:c r="AD330" s="8" t="str">
        <x:v>Planned</x:v>
      </x:c>
      <x:c r="AE330" s="8" t="str">
        <x:v>No</x:v>
      </x:c>
      <x:c r="AF330" s="8" t="str">
        <x:v>No</x:v>
      </x:c>
      <x:c r="AG330" s="8" t="str">
        <x:v>No seamless cross-server identity</x:v>
      </x:c>
      <x:c r="AH330" s="14" t="n">
        <x:v>15</x:v>
      </x:c>
      <x:c r="AI330" s="15" t="str">
        <x:v>Canonical source for Platform Model &amp; Ecosystem!15</x:v>
      </x:c>
    </x:row>
    <x:row r="331" ht="90">
      <x:c r="A331" s="12" t="str">
        <x:v>Platform Model &amp; Ecosystem</x:v>
      </x:c>
      <x:c r="B331" s="13" t="str">
        <x:v>Public Protocol / Standard</x:v>
      </x:c>
      <x:c r="C331" s="8" t="str">
        <x:v>Proprietary public developer APIs, not an open protocol</x:v>
      </x:c>
      <x:c r="D331" s="8" t="str">
        <x:v>Nostr + Concord/NIP-29</x:v>
      </x:c>
      <x:c r="E331" s="8" t="str">
        <x:v>Custom protocol</x:v>
      </x:c>
      <x:c r="F331" s="8" t="str">
        <x:v>Proprietary</x:v>
      </x:c>
      <x:c r="G331" s="8" t="str">
        <x:v>No open interoperability standard</x:v>
      </x:c>
      <x:c r="H331" s="8" t="str">
        <x:v>Public API/Gateway inspired by Discord; not a federation standard</x:v>
      </x:c>
      <x:c r="I331" s="8" t="str">
        <x:v>Proprietary API/service</x:v>
      </x:c>
      <x:c r="J331" s="8" t="str">
        <x:v>Discord-compatible API</x:v>
      </x:c>
      <x:c r="K331" s="8" t="str">
        <x:v>Custom open protocol/code</x:v>
      </x:c>
      <x:c r="L331" s="8" t="str">
        <x:v>Public project protocol: kaede-fed/1</x:v>
      </x:c>
      <x:c r="M331" s="8" t="str">
        <x:v>Proprietary</x:v>
      </x:c>
      <x:c r="N331" s="8" t="str">
        <x:v>Discord-compatible API + federation work</x:v>
      </x:c>
      <x:c r="O331" s="8" t="str">
        <x:v>Open Matrix specification: Client-Server + Server-Server/Federation APIs</x:v>
      </x:c>
      <x:c r="P331" s="8" t="str">
        <x:v>Open APIs, not a general federation standard</x:v>
      </x:c>
      <x:c r="Q331" s="8" t="str">
        <x:v>Custom APIs</x:v>
      </x:c>
      <x:c r="R331" s="8" t="str">
        <x:v>Open Mumble protocol/source</x:v>
      </x:c>
      <x:c r="S331" s="8" t="str">
        <x:v>Public app/API code, not a federation standard</x:v>
      </x:c>
      <x:c r="T331" s="8" t="str">
        <x:v>Proprietary service APIs</x:v>
      </x:c>
      <x:c r="U331" s="8" t="str">
        <x:v>Session-only application API; Discord-compatible incoming webhooks; no public bot/third-party API</x:v>
      </x:c>
      <x:c r="V331" s="8" t="str">
        <x:v>Proprietary</x:v>
      </x:c>
      <x:c r="W331" s="8" t="str">
        <x:v>REST/realtime APIs + federation components</x:v>
      </x:c>
      <x:c r="X331" s="8" t="str">
        <x:v>AT Protocol</x:v>
      </x:c>
      <x:c r="Y331" s="8" t="str">
        <x:v>Proprietary Root APIs/SDK</x:v>
      </x:c>
      <x:c r="Z331" s="8" t="str">
        <x:v>Discord-compatible REST/Gateway reimplementation</x:v>
      </x:c>
      <x:c r="AA331" s="8" t="str">
        <x:v>Public REST/WebSocket API, but not a federation standard</x:v>
      </x:c>
      <x:c r="AB331" s="8" t="str">
        <x:v>Proprietary protocol/API</x:v>
      </x:c>
      <x:c r="AC331" s="9" t="str">
        <x:v>Valour API/node protocol</x:v>
      </x:c>
      <x:c r="AD331" s="8" t="str">
        <x:v>Custom open-source federation protocol</x:v>
      </x:c>
      <x:c r="AE331" s="8" t="str">
        <x:v>Proprietary/application API</x:v>
      </x:c>
      <x:c r="AF331" s="8"/>
      <x:c r="AG331" s="8" t="str">
        <x:v>Open REST/realtime APIs</x:v>
      </x:c>
      <x:c r="AH331" s="14" t="n">
        <x:v>16</x:v>
      </x:c>
      <x:c r="AI331" s="15" t="str">
        <x:v>Shared metric: At a Glance: Public Protocol / Standard | Platform Model &amp; Ecosystem: Public Protocol / Standard</x:v>
      </x:c>
    </x:row>
    <x:row r="332" ht="45">
      <x:c r="A332" s="12" t="str">
        <x:v>Platform Model &amp; Ecosystem</x:v>
      </x:c>
      <x:c r="B332" s="13" t="str">
        <x:v>Discord API Compatibility</x:v>
      </x:c>
      <x:c r="C332" s="8" t="str">
        <x:v>No</x:v>
      </x:c>
      <x:c r="D332" s="8" t="str">
        <x:v>No</x:v>
      </x:c>
      <x:c r="E332" s="8" t="str">
        <x:v>No</x:v>
      </x:c>
      <x:c r="F332" s="8" t="str">
        <x:v>No</x:v>
      </x:c>
      <x:c r="G332" s="8" t="str">
        <x:v>No</x:v>
      </x:c>
      <x:c r="H332" s="8" t="str">
        <x:v>Partial Discord wire/API compatibility goals</x:v>
      </x:c>
      <x:c r="I332" s="8" t="str">
        <x:v>No</x:v>
      </x:c>
      <x:c r="J332" s="8" t="str">
        <x:v>Yes</x:v>
      </x:c>
      <x:c r="K332" s="8" t="str">
        <x:v>No</x:v>
      </x:c>
      <x:c r="L332" s="8" t="str">
        <x:v>No</x:v>
      </x:c>
      <x:c r="M332" s="8" t="str">
        <x:v>No</x:v>
      </x:c>
      <x:c r="N332" s="8" t="str">
        <x:v>Yes: Discord-like bot compatibility</x:v>
      </x:c>
      <x:c r="O332" s="8" t="str">
        <x:v>No</x:v>
      </x:c>
      <x:c r="P332" s="8" t="str">
        <x:v>No</x:v>
      </x:c>
      <x:c r="Q332" s="8" t="str">
        <x:v>No</x:v>
      </x:c>
      <x:c r="R332" s="8" t="str">
        <x:v>No</x:v>
      </x:c>
      <x:c r="S332" s="8" t="str">
        <x:v>No</x:v>
      </x:c>
      <x:c r="T332" s="8" t="str">
        <x:v>No</x:v>
      </x:c>
      <x:c r="U332" s="8" t="str">
        <x:v>No</x:v>
      </x:c>
      <x:c r="V332" s="8" t="str">
        <x:v>No</x:v>
      </x:c>
      <x:c r="W332" s="8" t="str">
        <x:v>No</x:v>
      </x:c>
      <x:c r="X332" s="8" t="str">
        <x:v>No</x:v>
      </x:c>
      <x:c r="Y332" s="8" t="str">
        <x:v>No</x:v>
      </x:c>
      <x:c r="Z332" s="8" t="str">
        <x:v>Yes: major design goal</x:v>
      </x:c>
      <x:c r="AA332" s="8" t="str">
        <x:v>No</x:v>
      </x:c>
      <x:c r="AB332" s="8" t="str">
        <x:v>No</x:v>
      </x:c>
      <x:c r="AC332" s="9" t="str">
        <x:v>No</x:v>
      </x:c>
      <x:c r="AD332" s="8" t="str">
        <x:v>No</x:v>
      </x:c>
      <x:c r="AE332" s="8" t="str">
        <x:v>No</x:v>
      </x:c>
      <x:c r="AF332" s="8" t="str">
        <x:v>No</x:v>
      </x:c>
      <x:c r="AG332" s="8" t="str">
        <x:v>No</x:v>
      </x:c>
      <x:c r="AH332" s="14" t="n">
        <x:v>17</x:v>
      </x:c>
      <x:c r="AI332" s="15" t="str">
        <x:v>Canonical source for Platform Model &amp; Ecosystem!17</x:v>
      </x:c>
    </x:row>
    <x:row r="333" ht="60">
      <x:c r="A333" s="12" t="str">
        <x:v>Platform Model &amp; Ecosystem</x:v>
      </x:c>
      <x:c r="B333" s="13" t="str">
        <x:v>Open-Source Scope</x:v>
      </x:c>
      <x:c r="C333" s="8" t="str">
        <x:v>Closed-source core service/client</x:v>
      </x:c>
      <x:c r="D333" s="8" t="str">
        <x:v>Open source</x:v>
      </x:c>
      <x:c r="E333" s="8" t="str">
        <x:v>AGPL-3.0 open source</x:v>
      </x:c>
      <x:c r="F333" s="8" t="str">
        <x:v>Closed source currently</x:v>
      </x:c>
      <x:c r="G333" s="8" t="str">
        <x:v>Closed source during alpha; full source release planned</x:v>
      </x:c>
      <x:c r="H333" s="8" t="str">
        <x:v>AGPL-3.0 open-source stack</x:v>
      </x:c>
      <x:c r="I333" s="8" t="str">
        <x:v>Closed source</x:v>
      </x:c>
      <x:c r="J333" s="8" t="str">
        <x:v>Open source</x:v>
      </x:c>
      <x:c r="K333" s="8" t="str">
        <x:v>Open source</x:v>
      </x:c>
      <x:c r="L333" s="8" t="str">
        <x:v>MIT original code</x:v>
      </x:c>
      <x:c r="M333" s="8" t="str">
        <x:v>Closed source</x:v>
      </x:c>
      <x:c r="N333" s="8"/>
      <x:c r="O333" s="8" t="str">
        <x:v>Protocol/spec open; implementations vary; many are FOSS</x:v>
      </x:c>
      <x:c r="P333" s="8" t="str">
        <x:v>Open-source/community code plus commercial editions</x:v>
      </x:c>
      <x:c r="Q333" s="8" t="str">
        <x:v>Open-source repository</x:v>
      </x:c>
      <x:c r="R333" s="8" t="str">
        <x:v>BSD-style open source</x:v>
      </x:c>
      <x:c r="S333" s="8" t="str">
        <x:v>Open-source client/server</x:v>
      </x:c>
      <x:c r="T333" s="8" t="str">
        <x:v>Mixed/partial open source</x:v>
      </x:c>
      <x:c r="U333" s="8" t="str">
        <x:v>AGPL-3.0</x:v>
      </x:c>
      <x:c r="V333" s="8" t="str">
        <x:v>Closed source</x:v>
      </x:c>
      <x:c r="W333" s="8" t="str">
        <x:v>MIT/open-source core + enterprise portions</x:v>
      </x:c>
      <x:c r="X333" s="8" t="str">
        <x:v>MPL-2.0 open source</x:v>
      </x:c>
      <x:c r="Y333" s="8" t="str">
        <x:v>Closed-source core platform; developer SDK/API public</x:v>
      </x:c>
      <x:c r="Z333" s="8" t="str">
        <x:v>FOSS / AGPL-3.0 project</x:v>
      </x:c>
      <x:c r="AA333" s="8" t="str">
        <x:v>Backend/web/self-host stack largely FOSS (AGPL-3.0; components vary)</x:v>
      </x:c>
      <x:c r="AB333" s="8" t="str">
        <x:v>Proprietary core</x:v>
      </x:c>
      <x:c r="AC333" s="9" t="str">
        <x:v>AGPL-3.0 client/server</x:v>
      </x:c>
      <x:c r="AD333" s="8" t="str">
        <x:v>Backend open; client planned</x:v>
      </x:c>
      <x:c r="AE333" s="8" t="str">
        <x:v>Source-available</x:v>
      </x:c>
      <x:c r="AF333" s="8"/>
      <x:c r="AG333" s="8" t="str">
        <x:v>Apache-2.0 open source</x:v>
      </x:c>
      <x:c r="AH333" s="14" t="n">
        <x:v>18</x:v>
      </x:c>
      <x:c r="AI333" s="15" t="str">
        <x:v>Shared metric: At a Glance: Open-Source Scope | Platform Model &amp; Ecosystem: Open-Source Scope</x:v>
      </x:c>
    </x:row>
    <x:row r="334" ht="60">
      <x:c r="A334" s="12" t="str">
        <x:v>Platform Model &amp; Ecosystem</x:v>
      </x:c>
      <x:c r="B334" s="13" t="str">
        <x:v>Governance / Stewardship</x:v>
      </x:c>
      <x:c r="C334" s="8" t="str">
        <x:v>Discord Inc.</x:v>
      </x:c>
      <x:c r="D334" s="8" t="str">
        <x:v>Soapbox/Armada contributors</x:v>
      </x:c>
      <x:c r="E334" s="8" t="str">
        <x:v>DCTS project/maintainer</x:v>
      </x:c>
      <x:c r="F334" s="8" t="str">
        <x:v>Small Canadian team</x:v>
      </x:c>
      <x:c r="G334" s="8" t="str">
        <x:v>Fenrid LLC / founder-led</x:v>
      </x:c>
      <x:c r="H334" s="8" t="str">
        <x:v>Fluxer Platform AB + OSS contributors</x:v>
      </x:c>
      <x:c r="I334" s="8" t="str">
        <x:v>LightSpeed Gaming LLC</x:v>
      </x:c>
      <x:c r="J334" s="8" t="str">
        <x:v>MelodyChat community</x:v>
      </x:c>
      <x:c r="K334" s="8" t="str">
        <x:v>Solo developer</x:v>
      </x:c>
      <x:c r="L334" s="8" t="str">
        <x:v>Solo maintainer; public MIT repository</x:v>
      </x:c>
      <x:c r="M334" s="8" t="str">
        <x:v>Kloak team</x:v>
      </x:c>
      <x:c r="N334" s="8" t="str">
        <x:v>Loqa project/team</x:v>
      </x:c>
      <x:c r="O334" s="8" t="str">
        <x:v>Matrix.org Foundation + independent ecosystem</x:v>
      </x:c>
      <x:c r="P334" s="8" t="str">
        <x:v>Mattermost, Inc. + community</x:v>
      </x:c>
      <x:c r="Q334" s="8" t="str">
        <x:v>Mezon team/company</x:v>
      </x:c>
      <x:c r="R334" s="8" t="str">
        <x:v>Mumble open-source community</x:v>
      </x:c>
      <x:c r="S334" s="8" t="str">
        <x:v>Nerimity maintainer/community</x:v>
      </x:c>
      <x:c r="T334" s="8" t="str">
        <x:v>Osmium team/company</x:v>
      </x:c>
      <x:c r="U334" s="8" t="str">
        <x:v>Independently run, built in the open</x:v>
      </x:c>
      <x:c r="V334" s="8" t="str">
        <x:v>Rift Communications LLC</x:v>
      </x:c>
      <x:c r="W334" s="8" t="str">
        <x:v>Rocket.Chat company + community</x:v>
      </x:c>
      <x:c r="X334" s="8" t="str">
        <x:v>Muni Town / open-source contributors</x:v>
      </x:c>
      <x:c r="Y334" s="8" t="str">
        <x:v>Root Communications, Inc.</x:v>
      </x:c>
      <x:c r="Z334" s="8" t="str">
        <x:v>Volunteer Spacebar project</x:v>
      </x:c>
      <x:c r="AA334" s="8" t="str">
        <x:v>Stoat open-source project/team</x:v>
      </x:c>
      <x:c r="AB334" s="8" t="str">
        <x:v>TeamSpeak commercial company</x:v>
      </x:c>
      <x:c r="AC334" s="9" t="str">
        <x:v>Valour Software LLC/volunteers</x:v>
      </x:c>
      <x:c r="AD334" s="8" t="str">
        <x:v>AlpineBits/Venta team</x:v>
      </x:c>
      <x:c r="AE334" s="8" t="str">
        <x:v>Solo developer</x:v>
      </x:c>
      <x:c r="AF334" s="8" t="str">
        <x:v>Yapper team (Portugal)</x:v>
      </x:c>
      <x:c r="AG334" s="8" t="str">
        <x:v>Kandra Labs / Zulip community</x:v>
      </x:c>
      <x:c r="AH334" s="14" t="n">
        <x:v>19</x:v>
      </x:c>
      <x:c r="AI334" s="15" t="str">
        <x:v>Canonical source for Platform Model &amp; Ecosystem!19</x:v>
      </x:c>
    </x:row>
    <x:row r="335" ht="120">
      <x:c r="A335" s="12" t="str">
        <x:v>Platform Model &amp; Ecosystem</x:v>
      </x:c>
      <x:c r="B335" s="13" t="str">
        <x:v>Important Model Distinction</x:v>
      </x:c>
      <x:c r="C335" s="8" t="str">
        <x:v>One vendor controls the service, accounts, official clients, and server backend.</x:v>
      </x:c>
      <x:c r="D335" s="8" t="str">
        <x:v>Armada separates identity/content from a single platform host: keys are the account and relays are replaceable transport.</x:v>
      </x:c>
      <x:c r="E335" s="8" t="str">
        <x:v>DCTS combines island-like community servers with a separate cross-server encrypted messenger.</x:v>
      </x:c>
      <x:c r="F335" s="8" t="str">
        <x:v>Familiar Discord-style UX on a centralized service.</x:v>
      </x:c>
      <x:c r="G335" s="8" t="str">
        <x:v>Privacy features are product-level, but it is currently a centralized service rather than a federated protocol.</x:v>
      </x:c>
      <x:c r="H335" s="8" t="str">
        <x:v>Self-hosting exists now; federation is a separate roadmap item and should not be assumed.</x:v>
      </x:c>
      <x:c r="I335" s="8" t="str">
        <x:v>Self-hosting exists, but instances are not documented as one federated network.</x:v>
      </x:c>
      <x:c r="J335" s="8" t="str">
        <x:v>Harmony is the platform/API; Fermi is a client. This mirrors the Matrix/Element distinction conceptually, though Harmony is not Matrix.</x:v>
      </x:c>
      <x:c r="K335" s="8" t="str">
        <x:v>There is no central account database: the user's keypair is the identity and message history lives locally.</x:v>
      </x:c>
      <x:c r="L335" s="8" t="str">
        <x:v>Guild/conversation authority stays on its home instance; other homes replicate only permitted data</x:v>
      </x:c>
      <x:c r="M335" s="8" t="str">
        <x:v>Privacy-minimal account design is distinct from decentralization/self-hosting.</x:v>
      </x:c>
      <x:c r="N335" s="8" t="str">
        <x:v>Unlike a purely centralized clone, Loqa explicitly targets federation/self-hosting, but the architecture is still evolving.</x:v>
      </x:c>
      <x:c r="O335" s="8" t="str">
        <x:v>Element is a Matrix client/vendor product. Matrix itself is the protocol and federated ecosystem.</x:v>
      </x:c>
      <x:c r="P335" s="8" t="str">
        <x:v>Self-hosting gives data control, but separate Mattermost deployments do not form one interoperable federation.</x:v>
      </x:c>
      <x:c r="Q335" s="8" t="str">
        <x:v>Open source code does not by itself make Mezon a federated protocol like Matrix.</x:v>
      </x:c>
      <x:c r="R335" s="8" t="str">
        <x:v>A voice-first client/server system, not a Discord-style social platform.</x:v>
      </x:c>
      <x:c r="S335" s="8" t="str">
        <x:v>Open source does not imply federation. The official project discourages self-hosting as a normal deployment model.</x:v>
      </x:c>
      <x:c r="T335" s="8" t="str">
        <x:v>Regional distribution is not federation or self-hosting.</x:v>
      </x:c>
      <x:c r="U335" s="8" t="str">
        <x:v>Self-hosting provides ownership, but instances are not one federated network.</x:v>
      </x:c>
      <x:c r="V335" s="8" t="str">
        <x:v>Privacy policy choices (no email/phone/ID, EXIF stripping, no AI training) operate within a centralized service model.</x:v>
      </x:c>
      <x:c r="W335" s="8" t="str">
        <x:v>Federation exists, but its feature set is narrower than local rooms and differs from Matrix-as-a-platform.</x:v>
      </x:c>
      <x:c r="X335" s="8" t="str">
        <x:v>Roomy is an ATProto application, not a generic centralized Discord clone.</x:v>
      </x:c>
      <x:c r="Y335" s="8" t="str">
        <x:v>Apps/Bots are hosted inside Root; they extend Root but do not make it self-hosted/federated.</x:v>
      </x:c>
      <x:c r="Z335" s="8" t="str">
        <x:v>Spacebar reproduces Discord's client-server API model; it is not a federated network.</x:v>
      </x:c>
      <x:c r="AA335" s="8" t="str">
        <x:v>Self-hostable does not mean federated. Separate Stoat instances do not automatically interoperate.</x:v>
      </x:c>
      <x:c r="AB335" s="8" t="str">
        <x:v>Server ownership can be independent, but TeamSpeak servers do not federate into one network.</x:v>
      </x:c>
      <x:c r="AC335" s="9" t="str">
        <x:v>Valour is one open-source platform/client-server stack, not a general protocol ecosystem like Matrix.</x:v>
      </x:c>
      <x:c r="AD335" s="8" t="str">
        <x:v>Current and planned architecture differ; mark federation/self-hosting as in progress, not complete.</x:v>
      </x:c>
      <x:c r="AE335" s="8" t="str">
        <x:v>Weered intentionally uses game lobbies/rooms rather than cloning Discord's server/channel information architecture.</x:v>
      </x:c>
      <x:c r="AF335" s="8" t="str">
        <x:v>Like TeamSpeak, operator owns the server; unlike Matrix, servers are not documented as federated.</x:v>
      </x:c>
      <x:c r="AG335" s="8" t="str">
        <x:v>Multiple deployments are independent. Zulip is an application, not a federated protocol.</x:v>
      </x:c>
      <x:c r="AH335" s="14" t="n">
        <x:v>20</x:v>
      </x:c>
      <x:c r="AI335" s="15" t="str">
        <x:v>Shared metric: At a Glance: Important Model Distinction | Platform Model &amp; Ecosystem: Important Model Distinction</x:v>
      </x:c>
    </x:row>
    <x:row r="336" ht="60">
      <x:c r="A336" s="12" t="str">
        <x:v>Platform Model &amp; Ecosystem</x:v>
      </x:c>
      <x:c r="B336" s="13" t="str">
        <x:v>Operational Ecosystem</x:v>
      </x:c>
      <x:c r="C336" s="8"/>
      <x:c r="D336" s="8"/>
      <x:c r="E336" s="8"/>
      <x:c r="F336" s="8"/>
      <x:c r="G336" s="8"/>
      <x:c r="H336" s="8"/>
      <x:c r="I336" s="8"/>
      <x:c r="J336" s="8"/>
      <x:c r="K336" s="8"/>
      <x:c r="L336" s="8" t="str">
        <x:v>One account on one home can access federated guilds/DMs across other instances</x:v>
      </x:c>
      <x:c r="M336" s="8"/>
      <x:c r="N336" s="8"/>
      <x:c r="O336" s="8"/>
      <x:c r="P336" s="8"/>
      <x:c r="Q336" s="8"/>
      <x:c r="R336" s="8"/>
      <x:c r="S336" s="8"/>
      <x:c r="T336" s="8"/>
      <x:c r="U336" s="8"/>
      <x:c r="V336" s="8"/>
      <x:c r="W336" s="8"/>
      <x:c r="X336" s="8"/>
      <x:c r="Y336" s="8"/>
      <x:c r="Z336" s="8"/>
      <x:c r="AA336" s="8"/>
      <x:c r="AB336" s="8"/>
      <x:c r="AC336" s="9"/>
      <x:c r="AD336" s="8"/>
      <x:c r="AE336" s="8"/>
      <x:c r="AF336" s="8"/>
      <x:c r="AG336" s="8"/>
      <x:c r="AH336" s="14" t="n">
        <x:v>21</x:v>
      </x:c>
      <x:c r="AI336" s="15" t="str">
        <x:v>Canonical source for Platform Model &amp; Ecosystem!21</x:v>
      </x:c>
    </x:row>
    <x:row r="337" ht="60">
      <x:c r="A337" s="12" t="str">
        <x:v>Platform Model &amp; Ecosystem</x:v>
      </x:c>
      <x:c r="B337" s="13" t="str">
        <x:v>Central Account Required for Hosted Service</x:v>
      </x:c>
      <x:c r="C337" s="8" t="str">
        <x:v>Yes</x:v>
      </x:c>
      <x:c r="D337" s="8"/>
      <x:c r="E337" s="8"/>
      <x:c r="F337" s="8"/>
      <x:c r="G337" s="8"/>
      <x:c r="H337" s="8"/>
      <x:c r="I337" s="8"/>
      <x:c r="J337" s="8"/>
      <x:c r="K337" s="8"/>
      <x:c r="L337" s="8" t="str">
        <x:v>No central Kaede-wide account; an account on a chosen home is required</x:v>
      </x:c>
      <x:c r="M337" s="8"/>
      <x:c r="N337" s="8"/>
      <x:c r="O337" s="8" t="str">
        <x:v>Provider/homeserver account</x:v>
      </x:c>
      <x:c r="P337" s="8"/>
      <x:c r="Q337" s="8"/>
      <x:c r="R337" s="8"/>
      <x:c r="S337" s="8"/>
      <x:c r="T337" s="8"/>
      <x:c r="U337" s="8"/>
      <x:c r="V337" s="8" t="str">
        <x:v>Yes</x:v>
      </x:c>
      <x:c r="W337" s="8"/>
      <x:c r="X337" s="8"/>
      <x:c r="Y337" s="8"/>
      <x:c r="Z337" s="8"/>
      <x:c r="AA337" s="8" t="str">
        <x:v>Hosted account or self-host operator</x:v>
      </x:c>
      <x:c r="AB337" s="8"/>
      <x:c r="AC337" s="9"/>
      <x:c r="AD337" s="8"/>
      <x:c r="AE337" s="8"/>
      <x:c r="AF337" s="8"/>
      <x:c r="AG337" s="8"/>
      <x:c r="AH337" s="14" t="n">
        <x:v>22</x:v>
      </x:c>
      <x:c r="AI337" s="15" t="str">
        <x:v>Canonical source for Platform Model &amp; Ecosystem!22</x:v>
      </x:c>
    </x:row>
    <x:row r="338" ht="60">
      <x:c r="A338" s="12" t="str">
        <x:v>Platform Model &amp; Ecosystem</x:v>
      </x:c>
      <x:c r="B338" s="13" t="str">
        <x:v>Custom Domain / Branded Deployment</x:v>
      </x:c>
      <x:c r="C338" s="8" t="str">
        <x:v>No</x:v>
      </x:c>
      <x:c r="D338" s="8"/>
      <x:c r="E338" s="8"/>
      <x:c r="F338" s="8"/>
      <x:c r="G338" s="8"/>
      <x:c r="H338" s="8"/>
      <x:c r="I338" s="8"/>
      <x:c r="J338" s="8"/>
      <x:c r="K338" s="8"/>
      <x:c r="L338" s="8" t="str">
        <x:v>Yes: self-host on a custom domain; handles are username@domain</x:v>
      </x:c>
      <x:c r="M338" s="8"/>
      <x:c r="N338" s="8"/>
      <x:c r="O338" s="8"/>
      <x:c r="P338" s="8" t="str">
        <x:v>Yes: self-hosted</x:v>
      </x:c>
      <x:c r="Q338" s="8"/>
      <x:c r="R338" s="8"/>
      <x:c r="S338" s="8"/>
      <x:c r="T338" s="8"/>
      <x:c r="U338" s="8"/>
      <x:c r="V338" s="8" t="str">
        <x:v>No public self-hosting</x:v>
      </x:c>
      <x:c r="W338" s="8" t="str">
        <x:v>Yes: self-managed</x:v>
      </x:c>
      <x:c r="X338" s="8"/>
      <x:c r="Y338" s="8"/>
      <x:c r="Z338" s="8"/>
      <x:c r="AA338" s="8"/>
      <x:c r="AB338" s="8"/>
      <x:c r="AC338" s="9"/>
      <x:c r="AD338" s="8"/>
      <x:c r="AE338" s="8"/>
      <x:c r="AF338" s="8"/>
      <x:c r="AG338" s="8" t="str">
        <x:v>Yes: self-hosted</x:v>
      </x:c>
      <x:c r="AH338" s="14" t="n">
        <x:v>23</x:v>
      </x:c>
      <x:c r="AI338" s="15" t="str">
        <x:v>Canonical source for Platform Model &amp; Ecosystem!23</x:v>
      </x:c>
    </x:row>
    <x:row r="339" ht="75">
      <x:c r="A339" s="12" t="str">
        <x:v>Platform Model &amp; Ecosystem</x:v>
      </x:c>
      <x:c r="B339" s="13" t="str">
        <x:v>Cross-Platform Bridge Ecosystem</x:v>
      </x:c>
      <x:c r="C339" s="8" t="str">
        <x:v>Third-party</x:v>
      </x:c>
      <x:c r="D339" s="8"/>
      <x:c r="E339" s="8"/>
      <x:c r="F339" s="8"/>
      <x:c r="G339" s="8"/>
      <x:c r="H339" s="8"/>
      <x:c r="I339" s="8"/>
      <x:c r="J339" s="8"/>
      <x:c r="K339" s="8"/>
      <x:c r="L339" s="8" t="str">
        <x:v>Yes: official Discord↔Kaede bridge bot; broader bridge ecosystem is still early</x:v>
      </x:c>
      <x:c r="M339" s="8"/>
      <x:c r="N339" s="8"/>
      <x:c r="O339" s="8" t="str">
        <x:v>Extensive bridge ecosystem</x:v>
      </x:c>
      <x:c r="P339" s="8" t="str">
        <x:v>Integrations/plugins</x:v>
      </x:c>
      <x:c r="Q339" s="8"/>
      <x:c r="R339" s="8"/>
      <x:c r="S339" s="8"/>
      <x:c r="T339" s="8"/>
      <x:c r="U339" s="8"/>
      <x:c r="V339" s="8"/>
      <x:c r="W339" s="8"/>
      <x:c r="X339" s="8"/>
      <x:c r="Y339" s="8"/>
      <x:c r="Z339" s="8"/>
      <x:c r="AA339" s="8"/>
      <x:c r="AB339" s="8"/>
      <x:c r="AC339" s="9"/>
      <x:c r="AD339" s="8"/>
      <x:c r="AE339" s="8"/>
      <x:c r="AF339" s="8"/>
      <x:c r="AG339" s="8" t="str">
        <x:v>IRC/Jabber mirrors/integrations</x:v>
      </x:c>
      <x:c r="AH339" s="14" t="n">
        <x:v>24</x:v>
      </x:c>
      <x:c r="AI339" s="15" t="str">
        <x:v>Canonical source for Platform Model &amp; Ecosystem!24</x:v>
      </x:c>
    </x:row>
    <x:row r="340" ht="90">
      <x:c r="A340" s="12" t="str">
        <x:v>Architecture &amp; Licensing</x:v>
      </x:c>
      <x:c r="B340" s="13" t="str">
        <x:v>Hosting Architecture (Centralized / Federated / Self-Hosted / P2P)</x:v>
      </x:c>
      <x:c r="C340" s="8" t="str">
        <x:v>Centralized cloud service</x:v>
      </x:c>
      <x:c r="D340" s="8" t="str">
        <x:v>Decentralized Nostr-based communities; hosted app available; client, relay and LiveKit voice are self-hostable</x:v>
      </x:c>
      <x:c r="E340" s="8" t="str">
        <x:v>Self-hosted only; decentralized home-server messenger</x:v>
      </x:c>
      <x:c r="F340" s="8" t="str">
        <x:v>Centralized hosted service</x:v>
      </x:c>
      <x:c r="G340" s="8" t="str">
        <x:v>Centralized hosted-first service</x:v>
      </x:c>
      <x:c r="H340" s="8" t="str">
        <x:v>Hosted service + self-hostable independent instances</x:v>
      </x:c>
      <x:c r="I340" s="8" t="str">
        <x:v>Hosted + self-hosted</x:v>
      </x:c>
      <x:c r="J340" s="8" t="str">
        <x:v>Hosted service + self-hostable open-source deployment</x:v>
      </x:c>
      <x:c r="K340" s="8" t="str">
        <x:v>Distributed local-first relay-based; self-hostable relay</x:v>
      </x:c>
      <x:c r="L340" s="8" t="str">
        <x:v>Federated + self-hosted; official kaede.chat home instance also exists</x:v>
      </x:c>
      <x:c r="M340" s="8" t="str">
        <x:v>Centralized hosted service</x:v>
      </x:c>
      <x:c r="N340" s="8" t="str">
        <x:v>Hosted + self-hosting option; federation-oriented</x:v>
      </x:c>
      <x:c r="O340" s="8" t="str">
        <x:v>Federated protocol/ecosystem; self-hosted or hosted homeservers</x:v>
      </x:c>
      <x:c r="P340" s="8" t="str">
        <x:v>Cloud + self-hosted/on-prem standalone workspaces</x:v>
      </x:c>
      <x:c r="Q340" s="8"/>
      <x:c r="R340" s="8" t="str">
        <x:v>Self-hosted client-server; third-party hosted servers available</x:v>
      </x:c>
      <x:c r="S340" s="8" t="str">
        <x:v>Centralized hosted service; technically self-hostable but not intended/supported</x:v>
      </x:c>
      <x:c r="T340" s="8" t="str">
        <x:v>Centralized globally distributed/regional service</x:v>
      </x:c>
      <x:c r="U340" s="8" t="str">
        <x:v>Centralized hosted (Fly.io API in São Paulo + Cloudflare Pages SPA) + self-hostable</x:v>
      </x:c>
      <x:c r="V340" s="8" t="str">
        <x:v>Centralized hosted service</x:v>
      </x:c>
      <x:c r="W340" s="8" t="str">
        <x:v>Cloud + self-hosted/on-prem; optional federation</x:v>
      </x:c>
      <x:c r="X340" s="8" t="str">
        <x:v>ATProto/Bluesky-connected distributed application</x:v>
      </x:c>
      <x:c r="Y340" s="8" t="str">
        <x:v>Centralized hosted service</x:v>
      </x:c>
      <x:c r="Z340" s="8" t="str">
        <x:v>Self-hosted independent Discord-compatible service</x:v>
      </x:c>
      <x:c r="AA340" s="8" t="str">
        <x:v>Hosted service + self-hostable independent instances</x:v>
      </x:c>
      <x:c r="AB340" s="8" t="str">
        <x:v>Self-hosted/hosted client-server</x:v>
      </x:c>
      <x:c r="AC340" s="9" t="str">
        <x:v>Hosted + self-hostable node-based platform</x:v>
      </x:c>
      <x:c r="AD340" s="8" t="str">
        <x:v>Hosted now; self-hosting/federation being built</x:v>
      </x:c>
      <x:c r="AE340" s="8" t="str">
        <x:v>Centralized hosted platform</x:v>
      </x:c>
      <x:c r="AF340" s="8" t="str">
        <x:v>Self-hosted first + optional managed hosting</x:v>
      </x:c>
      <x:c r="AG340" s="8" t="str">
        <x:v>Hosted cloud + self-hosted standalone servers</x:v>
      </x:c>
      <x:c r="AH340" s="14" t="n">
        <x:v>3</x:v>
      </x:c>
      <x:c r="AI340" s="15" t="str">
        <x:v>Shared metric: At a Glance: Hosting Architecture | Architecture &amp; Licensing: Hosting Architecture (Centralized / Federated / Self-Hosted / P2P)</x:v>
      </x:c>
    </x:row>
    <x:row r="341" ht="75">
      <x:c r="A341" s="12" t="str">
        <x:v>Architecture &amp; Licensing</x:v>
      </x:c>
      <x:c r="B341" s="13" t="str">
        <x:v>Federation / Network Protocol</x:v>
      </x:c>
      <x:c r="C341" s="8" t="str">
        <x:v>No federation; centralized proprietary service (public HTTP/Gateway APIs for apps)</x:v>
      </x:c>
      <x:c r="D341" s="8" t="str">
        <x:v>Nostr + Concord + NIP-29 relay groups</x:v>
      </x:c>
      <x:c r="E341" s="8" t="str">
        <x:v>Custom server protocol/WebSockets; federation/decentralization features</x:v>
      </x:c>
      <x:c r="F341" s="8" t="str">
        <x:v>No federation</x:v>
      </x:c>
      <x:c r="G341" s="8" t="str">
        <x:v>No federation; custom platform APIs</x:v>
      </x:c>
      <x:c r="H341" s="8" t="str">
        <x:v>No federation yet; federation on roadmap; Discord-inspired REST/Gateway</x:v>
      </x:c>
      <x:c r="I341" s="8" t="str">
        <x:v>Centralized/independent servers; no federation verified</x:v>
      </x:c>
      <x:c r="J341" s="8" t="str">
        <x:v>Discord-like API; federation planned</x:v>
      </x:c>
      <x:c r="K341" s="8" t="str">
        <x:v>Custom relay protocol + CRDT sync; no central account server</x:v>
      </x:c>
      <x:c r="L341" s="8" t="str">
        <x:v>kaede-fed/1 signed HTTP/event protocol plus pooled signed WebSocket federation</x:v>
      </x:c>
      <x:c r="M341" s="8" t="str">
        <x:v>No federation verified</x:v>
      </x:c>
      <x:c r="N341" s="8" t="str">
        <x:v>Federated infrastructure planned/implemented in evolving form</x:v>
      </x:c>
      <x:c r="O341" s="8" t="str">
        <x:v>Matrix Client-Server API + Server-Server/Federation API; MatrixRTC for realtime calling</x:v>
      </x:c>
      <x:c r="P341" s="8" t="str">
        <x:v>Mattermost APIs/WebSocket; no general cross-server federation</x:v>
      </x:c>
      <x:c r="Q341" s="8"/>
      <x:c r="R341" s="8" t="str">
        <x:v>Mumble protocol over TLS/UDP; no federation</x:v>
      </x:c>
      <x:c r="S341" s="8" t="str">
        <x:v>No federation</x:v>
      </x:c>
      <x:c r="T341" s="8" t="str">
        <x:v>No federation verified</x:v>
      </x:c>
      <x:c r="U341" s="8" t="str">
        <x:v>No federation; independent self-host copies</x:v>
      </x:c>
      <x:c r="V341" s="8" t="str">
        <x:v>No federation</x:v>
      </x:c>
      <x:c r="W341" s="8" t="str">
        <x:v>REST/WebSocket/DDP + Matrix-based federation capabilities</x:v>
      </x:c>
      <x:c r="X341" s="8" t="str">
        <x:v>ATProto-based data model; not a Matrix-style chat federation</x:v>
      </x:c>
      <x:c r="Y341" s="8" t="str">
        <x:v>No federation; proprietary Root APIs</x:v>
      </x:c>
      <x:c r="Z341" s="8" t="str">
        <x:v>Discord-compatible REST API + Gateway/WebSocket; no federation</x:v>
      </x:c>
      <x:c r="AA341" s="8" t="str">
        <x:v>No inter-instance federation; custom REST/WebSocket API</x:v>
      </x:c>
      <x:c r="AB341" s="8" t="str">
        <x:v>Proprietary TeamSpeak protocol; no federation</x:v>
      </x:c>
      <x:c r="AC341" s="9" t="str">
        <x:v>Independent instances/nodes; federation/migration features</x:v>
      </x:c>
      <x:c r="AD341" s="8" t="str">
        <x:v>Custom federation protocol in development</x:v>
      </x:c>
      <x:c r="AE341" s="8" t="str">
        <x:v>No federation</x:v>
      </x:c>
      <x:c r="AF341" s="8" t="str">
        <x:v>Independent servers; no federation verified</x:v>
      </x:c>
      <x:c r="AG341" s="8" t="str">
        <x:v>Zulip REST/realtime event API; no cross-server federation</x:v>
      </x:c>
      <x:c r="AH341" s="14" t="n">
        <x:v>4</x:v>
      </x:c>
      <x:c r="AI341" s="15" t="str">
        <x:v>Canonical source for Architecture &amp; Licensing!4</x:v>
      </x:c>
    </x:row>
    <x:row r="342" ht="45">
      <x:c r="A342" s="12" t="str">
        <x:v>Architecture &amp; Licensing</x:v>
      </x:c>
      <x:c r="B342" s="13" t="str">
        <x:v>Client License (FOSS / Proprietary)</x:v>
      </x:c>
      <x:c r="C342" s="8" t="str">
        <x:v>Proprietary</x:v>
      </x:c>
      <x:c r="D342" s="8" t="str">
        <x:v>FOSS: AGPL-3.0</x:v>
      </x:c>
      <x:c r="E342" s="8" t="str">
        <x:v>FOSS AGPL-3.0</x:v>
      </x:c>
      <x:c r="F342" s="8" t="str">
        <x:v>Proprietary</x:v>
      </x:c>
      <x:c r="G342" s="8" t="str">
        <x:v>Proprietary during alpha; open-source release planned</x:v>
      </x:c>
      <x:c r="H342" s="8" t="str">
        <x:v>FOSS (AGPL-3.0)</x:v>
      </x:c>
      <x:c r="I342" s="8" t="str">
        <x:v>Proprietary</x:v>
      </x:c>
      <x:c r="J342" s="8" t="str">
        <x:v>FOSS: AGPL-3.0</x:v>
      </x:c>
      <x:c r="K342" s="8" t="str">
        <x:v>Open source</x:v>
      </x:c>
      <x:c r="L342" s="8" t="str">
        <x:v>MIT</x:v>
      </x:c>
      <x:c r="M342" s="8" t="str">
        <x:v>Proprietary</x:v>
      </x:c>
      <x:c r="N342" s="8"/>
      <x:c r="O342" s="8" t="str">
        <x:v>Varies by client; many FOSS (e.g., Element, Element X, Cinny)</x:v>
      </x:c>
      <x:c r="P342" s="8" t="str">
        <x:v>FOSS/open-source clients; exact repository license varies</x:v>
      </x:c>
      <x:c r="Q342" s="8" t="str">
        <x:v>Open-source client code</x:v>
      </x:c>
      <x:c r="R342" s="8" t="str">
        <x:v>FOSS (BSD-style / BSD-3-Clause)</x:v>
      </x:c>
      <x:c r="S342" s="8" t="str">
        <x:v>FOSS GPL-family components</x:v>
      </x:c>
      <x:c r="T342" s="8" t="str">
        <x:v>Proprietary client / source status mixed</x:v>
      </x:c>
      <x:c r="U342" s="8" t="str">
        <x:v>FOSS: AGPL-3.0</x:v>
      </x:c>
      <x:c r="V342" s="8" t="str">
        <x:v>Proprietary</x:v>
      </x:c>
      <x:c r="W342" s="8" t="str">
        <x:v>FOSS core client; MIT components / enterprise extensions</x:v>
      </x:c>
      <x:c r="X342" s="8" t="str">
        <x:v>MPL-2.0 project</x:v>
      </x:c>
      <x:c r="Y342" s="8" t="str">
        <x:v>Proprietary</x:v>
      </x:c>
      <x:c r="Z342" s="8" t="str">
        <x:v>FOSS (AGPL-3.0 project components)</x:v>
      </x:c>
      <x:c r="AA342" s="8" t="str">
        <x:v>FOSS (web client AGPL-3.0; clients vary)</x:v>
      </x:c>
      <x:c r="AB342" s="8" t="str">
        <x:v>Proprietary</x:v>
      </x:c>
      <x:c r="AC342" s="9" t="str">
        <x:v>AGPL-3.0</x:v>
      </x:c>
      <x:c r="AD342" s="8" t="str">
        <x:v>Client source planned; not yet fully public</x:v>
      </x:c>
      <x:c r="AE342" s="8"/>
      <x:c r="AF342" s="8"/>
      <x:c r="AG342" s="8" t="str">
        <x:v>FOSS (Apache-2.0)</x:v>
      </x:c>
      <x:c r="AH342" s="14" t="n">
        <x:v>5</x:v>
      </x:c>
      <x:c r="AI342" s="15" t="str">
        <x:v>Canonical source for Architecture &amp; Licensing!5</x:v>
      </x:c>
    </x:row>
    <x:row r="343" ht="60">
      <x:c r="A343" s="12" t="str">
        <x:v>Architecture &amp; Licensing</x:v>
      </x:c>
      <x:c r="B343" s="13" t="str">
        <x:v>Server License (FOSS / Proprietary)</x:v>
      </x:c>
      <x:c r="C343" s="8" t="str">
        <x:v>Proprietary</x:v>
      </x:c>
      <x:c r="D343" s="8" t="str">
        <x:v>FOSS/open-source relay, bridge and voice components</x:v>
      </x:c>
      <x:c r="E343" s="8" t="str">
        <x:v>FOSS AGPL-3.0</x:v>
      </x:c>
      <x:c r="F343" s="8" t="str">
        <x:v>Proprietary Rust backend</x:v>
      </x:c>
      <x:c r="G343" s="8" t="str">
        <x:v>Proprietary during alpha; open-source release planned</x:v>
      </x:c>
      <x:c r="H343" s="8" t="str">
        <x:v>FOSS (AGPL-3.0)</x:v>
      </x:c>
      <x:c r="I343" s="8" t="str">
        <x:v>Proprietary</x:v>
      </x:c>
      <x:c r="J343" s="8" t="str">
        <x:v>FOSS: AGPL-3.0</x:v>
      </x:c>
      <x:c r="K343" s="8" t="str">
        <x:v>Open source relay/server</x:v>
      </x:c>
      <x:c r="L343" s="8" t="str">
        <x:v>MIT</x:v>
      </x:c>
      <x:c r="M343" s="8" t="str">
        <x:v>Proprietary</x:v>
      </x:c>
      <x:c r="N343" s="8"/>
      <x:c r="O343" s="8" t="str">
        <x:v>Varies by homeserver; Synapse is AGPLv3/commercial dual model</x:v>
      </x:c>
      <x:c r="P343" s="8" t="str">
        <x:v>Open source Team Edition / AGPL-source plus commercial Enterprise editions</x:v>
      </x:c>
      <x:c r="Q343" s="8" t="str">
        <x:v>Open-source server stack/components</x:v>
      </x:c>
      <x:c r="R343" s="8" t="str">
        <x:v>FOSS (BSD-style / BSD-3-Clause)</x:v>
      </x:c>
      <x:c r="S343" s="8" t="str">
        <x:v>FOSS GPL-3.0 server/web components</x:v>
      </x:c>
      <x:c r="T343" s="8"/>
      <x:c r="U343" s="8" t="str">
        <x:v>FOSS: AGPL-3.0</x:v>
      </x:c>
      <x:c r="V343" s="8" t="str">
        <x:v>Proprietary</x:v>
      </x:c>
      <x:c r="W343" s="8" t="str">
        <x:v>FOSS core (MIT) + enterprise-licensed portions</x:v>
      </x:c>
      <x:c r="X343" s="8" t="str">
        <x:v>MPL-2.0 project/server components</x:v>
      </x:c>
      <x:c r="Y343" s="8" t="str">
        <x:v>Proprietary</x:v>
      </x:c>
      <x:c r="Z343" s="8" t="str">
        <x:v>FOSS (AGPL-3.0)</x:v>
      </x:c>
      <x:c r="AA343" s="8" t="str">
        <x:v>FOSS (backend generally AGPL-3.0)</x:v>
      </x:c>
      <x:c r="AB343" s="8" t="str">
        <x:v>Proprietary</x:v>
      </x:c>
      <x:c r="AC343" s="9" t="str">
        <x:v>AGPL-3.0</x:v>
      </x:c>
      <x:c r="AD343" s="8" t="str">
        <x:v>Backend source public</x:v>
      </x:c>
      <x:c r="AE343" s="8" t="str">
        <x:v>Source-available</x:v>
      </x:c>
      <x:c r="AF343" s="8"/>
      <x:c r="AG343" s="8" t="str">
        <x:v>FOSS (Apache-2.0 server/web app)</x:v>
      </x:c>
      <x:c r="AH343" s="14" t="n">
        <x:v>6</x:v>
      </x:c>
      <x:c r="AI343" s="15" t="str">
        <x:v>Canonical source for Architecture &amp; Licensing!6</x:v>
      </x:c>
    </x:row>
    <x:row r="344" ht="45">
      <x:c r="A344" s="12" t="str">
        <x:v>Architecture &amp; Licensing</x:v>
      </x:c>
      <x:c r="B344" s="13" t="str">
        <x:v>Client Repository URL</x:v>
      </x:c>
      <x:c r="C344" s="8" t="str">
        <x:v>N/A: no public core client source repository</x:v>
      </x:c>
      <x:c r="D344" s="8" t="str">
        <x:v>https://github.com/soapbox-pub/armada</x:v>
      </x:c>
      <x:c r="E344" s="8" t="str">
        <x:v>https://github.com/hackthedev/dcts-shipping</x:v>
      </x:c>
      <x:c r="F344" s="8" t="str">
        <x:v>N/A</x:v>
      </x:c>
      <x:c r="G344" s="8" t="str">
        <x:v>N/A: not public yet</x:v>
      </x:c>
      <x:c r="H344" s="8" t="str">
        <x:v>https://github.com/fluxerapp/fluxer</x:v>
      </x:c>
      <x:c r="I344" s="8" t="str">
        <x:v>N/A</x:v>
      </x:c>
      <x:c r="J344" s="8" t="str">
        <x:v>https://codeberg.org/MelodyChat/Fermi</x:v>
      </x:c>
      <x:c r="K344" s="8" t="str">
        <x:v>https://github.com/VitalikPro13/HOLLOW</x:v>
      </x:c>
      <x:c r="L344" s="8" t="str">
        <x:v>https://github.com/CookieNom/KaedeChat</x:v>
      </x:c>
      <x:c r="M344" s="8" t="str">
        <x:v>N/A</x:v>
      </x:c>
      <x:c r="N344" s="8"/>
      <x:c r="O344" s="8" t="str">
        <x:v>No single client repository: clients are separate implementations</x:v>
      </x:c>
      <x:c r="P344" s="8" t="str">
        <x:v>https://github.com/mattermost/mattermost-desktop</x:v>
      </x:c>
      <x:c r="Q344" s="8" t="str">
        <x:v>https://github.com/mezonai/mezon</x:v>
      </x:c>
      <x:c r="R344" s="8" t="str">
        <x:v>https://github.com/mumble-voip/mumble</x:v>
      </x:c>
      <x:c r="S344" s="8" t="str">
        <x:v>https://github.com/Nerimity/nerimity-web</x:v>
      </x:c>
      <x:c r="T344" s="8"/>
      <x:c r="U344" s="8" t="str">
        <x:v>https://github.com/rafaelcg/pqp</x:v>
      </x:c>
      <x:c r="V344" s="8" t="str">
        <x:v>N/A</x:v>
      </x:c>
      <x:c r="W344" s="8" t="str">
        <x:v>https://github.com/RocketChat/Rocket.Chat.Electron</x:v>
      </x:c>
      <x:c r="X344" s="8" t="str">
        <x:v>https://github.com/muni-town/roomy</x:v>
      </x:c>
      <x:c r="Y344" s="8" t="str">
        <x:v>N/A</x:v>
      </x:c>
      <x:c r="Z344" s="8" t="str">
        <x:v>https://github.com/spacebarchat/client</x:v>
      </x:c>
      <x:c r="AA344" s="8" t="str">
        <x:v>https://github.com/stoatchat/for-web</x:v>
      </x:c>
      <x:c r="AB344" s="8" t="str">
        <x:v>N/A</x:v>
      </x:c>
      <x:c r="AC344" s="9" t="str">
        <x:v>https://github.com/Valour-Software/Valour</x:v>
      </x:c>
      <x:c r="AD344" s="8"/>
      <x:c r="AE344" s="8" t="str">
        <x:v>https://github.com/Weeredjs/Weered</x:v>
      </x:c>
      <x:c r="AF344" s="8"/>
      <x:c r="AG344" s="8" t="str">
        <x:v>https://github.com/zulip/zulip-desktop</x:v>
      </x:c>
      <x:c r="AH344" s="14" t="n">
        <x:v>7</x:v>
      </x:c>
      <x:c r="AI344" s="15" t="str">
        <x:v>Canonical source for Architecture &amp; Licensing!7</x:v>
      </x:c>
    </x:row>
    <x:row r="345" ht="60">
      <x:c r="A345" s="12" t="str">
        <x:v>Architecture &amp; Licensing</x:v>
      </x:c>
      <x:c r="B345" s="13" t="str">
        <x:v>Server Repository URL</x:v>
      </x:c>
      <x:c r="C345" s="8" t="str">
        <x:v>N/A: no public core server source repository</x:v>
      </x:c>
      <x:c r="D345" s="8" t="str">
        <x:v>https://github.com/soapbox-pub/armada</x:v>
      </x:c>
      <x:c r="E345" s="8" t="str">
        <x:v>https://github.com/hackthedev/dcts-shipping</x:v>
      </x:c>
      <x:c r="F345" s="8" t="str">
        <x:v>N/A</x:v>
      </x:c>
      <x:c r="G345" s="8" t="str">
        <x:v>N/A: not public yet</x:v>
      </x:c>
      <x:c r="H345" s="8" t="str">
        <x:v>https://github.com/fluxerapp/fluxer</x:v>
      </x:c>
      <x:c r="I345" s="8" t="str">
        <x:v>N/A</x:v>
      </x:c>
      <x:c r="J345" s="8" t="str">
        <x:v>https://codeberg.org/MelodyChat/Harmony</x:v>
      </x:c>
      <x:c r="K345" s="8" t="str">
        <x:v>https://github.com/VitalikPro13/HOLLOW</x:v>
      </x:c>
      <x:c r="L345" s="8" t="str">
        <x:v>https://github.com/CookieNom/KaedeChat</x:v>
      </x:c>
      <x:c r="M345" s="8" t="str">
        <x:v>N/A</x:v>
      </x:c>
      <x:c r="N345" s="8"/>
      <x:c r="O345" s="8" t="str">
        <x:v>No single server repository: Synapse, Dendrite/others implement Matrix</x:v>
      </x:c>
      <x:c r="P345" s="8" t="str">
        <x:v>https://github.com/mattermost/mattermost</x:v>
      </x:c>
      <x:c r="Q345" s="8" t="str">
        <x:v>https://github.com/mezonai/mezon</x:v>
      </x:c>
      <x:c r="R345" s="8" t="str">
        <x:v>https://github.com/mumble-voip/mumble</x:v>
      </x:c>
      <x:c r="S345" s="8" t="str">
        <x:v>https://github.com/Nerimity/nerimity-server</x:v>
      </x:c>
      <x:c r="T345" s="8"/>
      <x:c r="U345" s="8" t="str">
        <x:v>https://github.com/rafaelcg/pqp</x:v>
      </x:c>
      <x:c r="V345" s="8" t="str">
        <x:v>N/A</x:v>
      </x:c>
      <x:c r="W345" s="8" t="str">
        <x:v>https://github.com/RocketChat/Rocket.Chat</x:v>
      </x:c>
      <x:c r="X345" s="8" t="str">
        <x:v>https://github.com/muni-town/roomy</x:v>
      </x:c>
      <x:c r="Y345" s="8" t="str">
        <x:v>N/A</x:v>
      </x:c>
      <x:c r="Z345" s="8" t="str">
        <x:v>https://github.com/spacebarchat/server</x:v>
      </x:c>
      <x:c r="AA345" s="8" t="str">
        <x:v>https://github.com/stoatchat/stoatchat</x:v>
      </x:c>
      <x:c r="AB345" s="8" t="str">
        <x:v>N/A</x:v>
      </x:c>
      <x:c r="AC345" s="9" t="str">
        <x:v>https://github.com/Valour-Software/Valour</x:v>
      </x:c>
      <x:c r="AD345" s="8" t="str">
        <x:v>https://github.com/AlpineBits-ch/AlpineBackend</x:v>
      </x:c>
      <x:c r="AE345" s="8" t="str">
        <x:v>https://github.com/Weeredjs/Weered</x:v>
      </x:c>
      <x:c r="AF345" s="8"/>
      <x:c r="AG345" s="8" t="str">
        <x:v>https://github.com/zulip/zulip</x:v>
      </x:c>
      <x:c r="AH345" s="14" t="n">
        <x:v>8</x:v>
      </x:c>
      <x:c r="AI345" s="15" t="str">
        <x:v>Canonical source for Architecture &amp; Licensing!8</x:v>
      </x:c>
    </x:row>
    <x:row r="346" ht="90">
      <x:c r="A346" s="12" t="str">
        <x:v>Architecture &amp; Licensing</x:v>
      </x:c>
      <x:c r="B346" s="13" t="str">
        <x:v>Self-Hosting Setup Difficulty (1 to 5)</x:v>
      </x:c>
      <x:c r="C346" s="8" t="str">
        <x:v>N/A: official self-hosting unsupported</x:v>
      </x:c>
      <x:c r="D346" s="8" t="str">
        <x:v>3/5 for using hosted relays; self-host relay more complex</x:v>
      </x:c>
      <x:c r="E346" s="8" t="str">
        <x:v>3/5</x:v>
      </x:c>
      <x:c r="F346" s="8" t="str">
        <x:v>N/A</x:v>
      </x:c>
      <x:c r="G346" s="8" t="str">
        <x:v>N/A: self-hosting not currently offered</x:v>
      </x:c>
      <x:c r="H346" s="8" t="str">
        <x:v>3/5</x:v>
      </x:c>
      <x:c r="I346" s="8" t="str">
        <x:v>2/5</x:v>
      </x:c>
      <x:c r="J346" s="8" t="str">
        <x:v>4/5</x:v>
      </x:c>
      <x:c r="K346" s="8" t="str">
        <x:v>3/5</x:v>
      </x:c>
      <x:c r="L346" s="8" t="str">
        <x:v>2/5: interactive make setup wizard + Docker Compose; still requires DNS/TLS/reverse proxy</x:v>
      </x:c>
      <x:c r="M346" s="8" t="str">
        <x:v>N/A</x:v>
      </x:c>
      <x:c r="N346" s="8" t="str">
        <x:v>3/5</x:v>
      </x:c>
      <x:c r="O346" s="8" t="str">
        <x:v>4/5 (implementation-dependent)</x:v>
      </x:c>
      <x:c r="P346" s="8" t="str">
        <x:v>3/5</x:v>
      </x:c>
      <x:c r="Q346" s="8"/>
      <x:c r="R346" s="8" t="str">
        <x:v>2/5</x:v>
      </x:c>
      <x:c r="S346" s="8" t="str">
        <x:v>4/5 (unsupported)</x:v>
      </x:c>
      <x:c r="T346" s="8" t="str">
        <x:v>N/A</x:v>
      </x:c>
      <x:c r="U346" s="8" t="str">
        <x:v>3/5</x:v>
      </x:c>
      <x:c r="V346" s="8" t="str">
        <x:v>N/A</x:v>
      </x:c>
      <x:c r="W346" s="8" t="str">
        <x:v>3/5</x:v>
      </x:c>
      <x:c r="X346" s="8" t="str">
        <x:v>4/5</x:v>
      </x:c>
      <x:c r="Y346" s="8" t="str">
        <x:v>N/A: no self-hosting</x:v>
      </x:c>
      <x:c r="Z346" s="8" t="str">
        <x:v>4/5</x:v>
      </x:c>
      <x:c r="AA346" s="8" t="str">
        <x:v>4/5</x:v>
      </x:c>
      <x:c r="AB346" s="8" t="str">
        <x:v>2/5</x:v>
      </x:c>
      <x:c r="AC346" s="9" t="str">
        <x:v>2/5: docker compose</x:v>
      </x:c>
      <x:c r="AD346" s="8" t="str">
        <x:v>4/5 / evolving</x:v>
      </x:c>
      <x:c r="AE346" s="8" t="str">
        <x:v>N/A</x:v>
      </x:c>
      <x:c r="AF346" s="8" t="str">
        <x:v>2/5</x:v>
      </x:c>
      <x:c r="AG346" s="8" t="str">
        <x:v>3/5</x:v>
      </x:c>
      <x:c r="AH346" s="14" t="n">
        <x:v>9</x:v>
      </x:c>
      <x:c r="AI346" s="15" t="str">
        <x:v>Canonical source for Architecture &amp; Licensing!9</x:v>
      </x:c>
    </x:row>
    <x:row r="347" ht="60">
      <x:c r="A347" s="12" t="str">
        <x:v>Architecture &amp; Licensing</x:v>
      </x:c>
      <x:c r="B347" s="13" t="str">
        <x:v>Docker / Container Support</x:v>
      </x:c>
      <x:c r="C347" s="8" t="str">
        <x:v>N/A: official self-hosting unsupported</x:v>
      </x:c>
      <x:c r="D347" s="8" t="str">
        <x:v>Relay/self-host options</x:v>
      </x:c>
      <x:c r="E347" s="8" t="str">
        <x:v>Yes: Docker</x:v>
      </x:c>
      <x:c r="F347" s="8" t="str">
        <x:v>No self-hosting verified</x:v>
      </x:c>
      <x:c r="G347" s="8" t="str">
        <x:v>No</x:v>
      </x:c>
      <x:c r="H347" s="8" t="str">
        <x:v>Yes: self-host tooling/Docker</x:v>
      </x:c>
      <x:c r="I347" s="8"/>
      <x:c r="J347" s="8"/>
      <x:c r="K347" s="8"/>
      <x:c r="L347" s="8" t="str">
        <x:v>Yes: Docker Compose</x:v>
      </x:c>
      <x:c r="M347" s="8" t="str">
        <x:v>No self-hosting verified</x:v>
      </x:c>
      <x:c r="N347" s="8" t="str">
        <x:v>Self-hosting advertised</x:v>
      </x:c>
      <x:c r="O347" s="8" t="str">
        <x:v>Yes: implementation-dependent</x:v>
      </x:c>
      <x:c r="P347" s="8" t="str">
        <x:v>Yes: container/Kubernetes deployment supported</x:v>
      </x:c>
      <x:c r="Q347" s="8"/>
      <x:c r="R347" s="8" t="str">
        <x:v>Yes: official Docker image available</x:v>
      </x:c>
      <x:c r="S347" s="8"/>
      <x:c r="T347" s="8" t="str">
        <x:v>No official self-hosting verified</x:v>
      </x:c>
      <x:c r="U347" s="8"/>
      <x:c r="V347" s="8" t="str">
        <x:v>No</x:v>
      </x:c>
      <x:c r="W347" s="8" t="str">
        <x:v>Yes: Docker/Kubernetes supported</x:v>
      </x:c>
      <x:c r="X347" s="8"/>
      <x:c r="Y347" s="8" t="str">
        <x:v>No</x:v>
      </x:c>
      <x:c r="Z347" s="8" t="str">
        <x:v>Yes: Docker supported</x:v>
      </x:c>
      <x:c r="AA347" s="8" t="str">
        <x:v>Yes: official Docker Compose self-host stack</x:v>
      </x:c>
      <x:c r="AB347" s="8" t="str">
        <x:v>Yes: TS6 server Docker/self-host guidance</x:v>
      </x:c>
      <x:c r="AC347" s="9" t="str">
        <x:v>Yes: docker compose</x:v>
      </x:c>
      <x:c r="AD347" s="8"/>
      <x:c r="AE347" s="8" t="str">
        <x:v>No self-hosting advertised</x:v>
      </x:c>
      <x:c r="AF347" s="8"/>
      <x:c r="AG347" s="8" t="str">
        <x:v>Yes: Docker/community deployment options</x:v>
      </x:c>
      <x:c r="AH347" s="14" t="n">
        <x:v>10</x:v>
      </x:c>
      <x:c r="AI347" s="15" t="str">
        <x:v>Canonical source for Architecture &amp; Licensing!10</x:v>
      </x:c>
    </x:row>
    <x:row r="348" ht="135">
      <x:c r="A348" s="12" t="str">
        <x:v>Architecture &amp; Licensing</x:v>
      </x:c>
      <x:c r="B348" s="13" t="str">
        <x:v>Deployment &amp; Network Model</x:v>
      </x:c>
      <x:c r="C348" s="8"/>
      <x:c r="D348" s="8"/>
      <x:c r="E348" s="8"/>
      <x:c r="F348" s="8"/>
      <x:c r="G348" s="8"/>
      <x:c r="H348" s="8"/>
      <x:c r="I348" s="8"/>
      <x:c r="J348" s="8" t="str">
        <x:v>Hosted option plus self-host; Rust/Axum single binary with PostgreSQL; LiveKit for voice</x:v>
      </x:c>
      <x:c r="K348" s="8"/>
      <x:c r="L348" s="8" t="str">
        <x:v>FastAPI REST/federation + separate WebSocket Gateway; PostgreSQL durable state; Dragonfly ephemeral/tasks; S3-compatible media; LiveKit media</x:v>
      </x:c>
      <x:c r="M348" s="8"/>
      <x:c r="N348" s="8"/>
      <x:c r="O348" s="8"/>
      <x:c r="P348" s="8"/>
      <x:c r="Q348" s="8"/>
      <x:c r="R348" s="8"/>
      <x:c r="S348" s="8"/>
      <x:c r="T348" s="8"/>
      <x:c r="U348" s="8" t="str">
        <x:v>Hosted API on Fly.io (São Paulo), SPA on Cloudflare Pages; small/DM media may be P2P; larger/listed hosted rooms use LiveKit; self-host documentation in repository</x:v>
      </x:c>
      <x:c r="V348" s="8"/>
      <x:c r="W348" s="8"/>
      <x:c r="X348" s="8"/>
      <x:c r="Y348" s="8"/>
      <x:c r="Z348" s="8"/>
      <x:c r="AA348" s="8"/>
      <x:c r="AB348" s="8"/>
      <x:c r="AC348" s="9"/>
      <x:c r="AD348" s="8"/>
      <x:c r="AE348" s="8"/>
      <x:c r="AF348" s="8"/>
      <x:c r="AG348" s="8"/>
      <x:c r="AH348" s="14" t="n">
        <x:v>11</x:v>
      </x:c>
      <x:c r="AI348" s="15" t="str">
        <x:v>Canonical source for Architecture &amp; Licensing!11</x:v>
      </x:c>
    </x:row>
    <x:row r="349" ht="60">
      <x:c r="A349" s="12" t="str">
        <x:v>Deployment Detail</x:v>
      </x:c>
      <x:c r="B349" s="13" t="str">
        <x:v>Topology</x:v>
      </x:c>
      <x:c r="C349" s="8"/>
      <x:c r="D349" s="8"/>
      <x:c r="E349" s="8"/>
      <x:c r="F349" s="8"/>
      <x:c r="G349" s="8"/>
      <x:c r="H349" s="8"/>
      <x:c r="I349" s="8"/>
      <x:c r="J349" s="8"/>
      <x:c r="K349" s="8"/>
      <x:c r="L349" s="8" t="str">
        <x:v>Federated + self-hosted; official kaede.chat home instance also exists</x:v>
      </x:c>
      <x:c r="M349" s="8"/>
      <x:c r="N349" s="8"/>
      <x:c r="O349" s="8"/>
      <x:c r="P349" s="8"/>
      <x:c r="Q349" s="8"/>
      <x:c r="R349" s="8"/>
      <x:c r="S349" s="8"/>
      <x:c r="T349" s="8"/>
      <x:c r="U349" s="8"/>
      <x:c r="V349" s="8"/>
      <x:c r="W349" s="8"/>
      <x:c r="X349" s="8"/>
      <x:c r="Y349" s="8"/>
      <x:c r="Z349" s="8"/>
      <x:c r="AA349" s="8"/>
      <x:c r="AB349" s="8"/>
      <x:c r="AC349" s="9"/>
      <x:c r="AD349" s="8"/>
      <x:c r="AE349" s="8"/>
      <x:c r="AF349" s="8"/>
      <x:c r="AG349" s="8"/>
      <x:c r="AH349" s="14" t="n">
        <x:v>3</x:v>
      </x:c>
      <x:c r="AI349" s="15" t="str">
        <x:v>Canonical source for Deployment Detail!3</x:v>
      </x:c>
    </x:row>
    <x:row r="350" ht="45">
      <x:c r="A350" s="12" t="str">
        <x:v>Deployment Detail</x:v>
      </x:c>
      <x:c r="B350" s="13" t="str">
        <x:v>Centralized Hosted Service?</x:v>
      </x:c>
      <x:c r="C350" s="8"/>
      <x:c r="D350" s="8"/>
      <x:c r="E350" s="8"/>
      <x:c r="F350" s="8"/>
      <x:c r="G350" s="8"/>
      <x:c r="H350" s="8"/>
      <x:c r="I350" s="8"/>
      <x:c r="J350" s="8" t="str">
        <x:v>Yes: optional; self-hosting is also supported</x:v>
      </x:c>
      <x:c r="K350" s="8"/>
      <x:c r="L350" s="8" t="str">
        <x:v>Yes: kaede.chat</x:v>
      </x:c>
      <x:c r="M350" s="8"/>
      <x:c r="N350" s="8"/>
      <x:c r="O350" s="8"/>
      <x:c r="P350" s="8"/>
      <x:c r="Q350" s="8"/>
      <x:c r="R350" s="8"/>
      <x:c r="S350" s="8"/>
      <x:c r="T350" s="8"/>
      <x:c r="U350" s="8" t="str">
        <x:v>Yes: Fly.io API in São Paulo + Cloudflare Pages SPA</x:v>
      </x:c>
      <x:c r="V350" s="8" t="str">
        <x:v>Yes</x:v>
      </x:c>
      <x:c r="W350" s="8"/>
      <x:c r="X350" s="8"/>
      <x:c r="Y350" s="8"/>
      <x:c r="Z350" s="8"/>
      <x:c r="AA350" s="8"/>
      <x:c r="AB350" s="8"/>
      <x:c r="AC350" s="9"/>
      <x:c r="AD350" s="8"/>
      <x:c r="AE350" s="8"/>
      <x:c r="AF350" s="8"/>
      <x:c r="AG350" s="8"/>
      <x:c r="AH350" s="14" t="n">
        <x:v>4</x:v>
      </x:c>
      <x:c r="AI350" s="15" t="str">
        <x:v>Shared metric: Architecture &amp; Licensing: Centralized Hosted Service? | Deployment Detail: Centralized Hosted Service?</x:v>
      </x:c>
    </x:row>
    <x:row r="351" ht="90">
      <x:c r="A351" s="12" t="str">
        <x:v>Deployment Detail</x:v>
      </x:c>
      <x:c r="B351" s="13" t="str">
        <x:v>Federated?</x:v>
      </x:c>
      <x:c r="C351" s="8" t="str">
        <x:v>No</x:v>
      </x:c>
      <x:c r="D351" s="8" t="str">
        <x:v>Nostr relay interoperability</x:v>
      </x:c>
      <x:c r="E351" s="8" t="str">
        <x:v>Yes for messenger/server communication features; full federation evolving</x:v>
      </x:c>
      <x:c r="F351" s="8" t="str">
        <x:v>No</x:v>
      </x:c>
      <x:c r="G351" s="8" t="str">
        <x:v>No</x:v>
      </x:c>
      <x:c r="H351" s="8" t="str">
        <x:v>Not yet: on roadmap</x:v>
      </x:c>
      <x:c r="I351" s="8" t="str">
        <x:v>No federation verified</x:v>
      </x:c>
      <x:c r="J351" s="8" t="str">
        <x:v>Federation planned</x:v>
      </x:c>
      <x:c r="K351" s="8" t="str">
        <x:v>Relay choice but not Matrix-style federated server state</x:v>
      </x:c>
      <x:c r="L351" s="8" t="str">
        <x:v>Yes</x:v>
      </x:c>
      <x:c r="M351" s="8" t="str">
        <x:v>No</x:v>
      </x:c>
      <x:c r="N351" s="8" t="str">
        <x:v>Federation advertised</x:v>
      </x:c>
      <x:c r="O351" s="8" t="str">
        <x:v>Yes: core feature</x:v>
      </x:c>
      <x:c r="P351" s="8" t="str">
        <x:v>No general federation</x:v>
      </x:c>
      <x:c r="Q351" s="8" t="str">
        <x:v>No federation verified</x:v>
      </x:c>
      <x:c r="R351" s="8" t="str">
        <x:v>No</x:v>
      </x:c>
      <x:c r="S351" s="8" t="str">
        <x:v>No</x:v>
      </x:c>
      <x:c r="T351" s="8" t="str">
        <x:v>No</x:v>
      </x:c>
      <x:c r="U351" s="8" t="str">
        <x:v>No federation</x:v>
      </x:c>
      <x:c r="V351" s="8" t="str">
        <x:v>No</x:v>
      </x:c>
      <x:c r="W351" s="8" t="str">
        <x:v>Yes: Matrix-based federation feature set, with limitations</x:v>
      </x:c>
      <x:c r="X351" s="8" t="str">
        <x:v>ATProto federation ecosystem</x:v>
      </x:c>
      <x:c r="Y351" s="8" t="str">
        <x:v>No</x:v>
      </x:c>
      <x:c r="Z351" s="8" t="str">
        <x:v>No</x:v>
      </x:c>
      <x:c r="AA351" s="8" t="str">
        <x:v>No</x:v>
      </x:c>
      <x:c r="AB351" s="8" t="str">
        <x:v>No</x:v>
      </x:c>
      <x:c r="AC351" s="9" t="str">
        <x:v>Node/federation model for migrating communities; exact cross-instance federation scope evolving</x:v>
      </x:c>
      <x:c r="AD351" s="8" t="str">
        <x:v>Planned/in development</x:v>
      </x:c>
      <x:c r="AE351" s="8" t="str">
        <x:v>No</x:v>
      </x:c>
      <x:c r="AF351" s="8" t="str">
        <x:v>No</x:v>
      </x:c>
      <x:c r="AG351" s="8" t="str">
        <x:v>No</x:v>
      </x:c>
      <x:c r="AH351" s="14" t="n">
        <x:v>6</x:v>
      </x:c>
      <x:c r="AI351" s="15" t="str">
        <x:v>Shared metric: At a Glance: Federated? | Architecture &amp; Licensing: Federated? | Deployment Detail: Federated?</x:v>
      </x:c>
    </x:row>
    <x:row r="352" ht="60">
      <x:c r="A352" s="12" t="str">
        <x:v>Deployment Detail</x:v>
      </x:c>
      <x:c r="B352" s="13" t="str">
        <x:v>Peer-to-Peer?</x:v>
      </x:c>
      <x:c r="C352" s="8"/>
      <x:c r="D352" s="8" t="str">
        <x:v>Yes</x:v>
      </x:c>
      <x:c r="E352" s="8"/>
      <x:c r="F352" s="8"/>
      <x:c r="G352" s="8"/>
      <x:c r="H352" s="8"/>
      <x:c r="I352" s="8"/>
      <x:c r="J352" s="8"/>
      <x:c r="K352" s="8" t="str">
        <x:v>Yes</x:v>
      </x:c>
      <x:c r="L352" s="8"/>
      <x:c r="M352" s="8"/>
      <x:c r="N352" s="8"/>
      <x:c r="O352" s="8"/>
      <x:c r="P352" s="8"/>
      <x:c r="Q352" s="8"/>
      <x:c r="R352" s="8"/>
      <x:c r="S352" s="8"/>
      <x:c r="T352" s="8"/>
      <x:c r="U352" s="8" t="str">
        <x:v>Media only for small rooms and DM calls; hosted application remains centralized</x:v>
      </x:c>
      <x:c r="V352" s="8" t="str">
        <x:v>Ni</x:v>
      </x:c>
      <x:c r="W352" s="8"/>
      <x:c r="X352" s="8"/>
      <x:c r="Y352" s="8"/>
      <x:c r="Z352" s="8"/>
      <x:c r="AA352" s="8"/>
      <x:c r="AB352" s="8"/>
      <x:c r="AC352" s="9"/>
      <x:c r="AD352" s="8"/>
      <x:c r="AE352" s="8"/>
      <x:c r="AF352" s="8"/>
      <x:c r="AG352" s="8"/>
      <x:c r="AH352" s="14" t="n">
        <x:v>7</x:v>
      </x:c>
      <x:c r="AI352" s="15" t="str">
        <x:v>Shared metric: Architecture &amp; Licensing: Peer-to-Peer? | Deployment Detail: Peer-to-Peer?</x:v>
      </x:c>
    </x:row>
    <x:row r="353" ht="75">
      <x:c r="A353" s="12" t="str">
        <x:v>Deployment Detail</x:v>
      </x:c>
      <x:c r="B353" s="13" t="str">
        <x:v>Cross-Instance DMs?</x:v>
      </x:c>
      <x:c r="C353" s="8" t="str">
        <x:v>No</x:v>
      </x:c>
      <x:c r="D353" s="8" t="str">
        <x:v>Yes</x:v>
      </x:c>
      <x:c r="E353" s="8" t="str">
        <x:v>Yes</x:v>
      </x:c>
      <x:c r="F353" s="8"/>
      <x:c r="G353" s="8" t="str">
        <x:v>No</x:v>
      </x:c>
      <x:c r="H353" s="8"/>
      <x:c r="I353" s="8"/>
      <x:c r="J353" s="8"/>
      <x:c r="K353" s="8" t="str">
        <x:v>Yes</x:v>
      </x:c>
      <x:c r="L353" s="8" t="str">
        <x:v>Yes: users on one home can join guilds, DM and call users/resources on other homes</x:v>
      </x:c>
      <x:c r="M353" s="8"/>
      <x:c r="N353" s="8"/>
      <x:c r="O353" s="8" t="str">
        <x:v>Yes</x:v>
      </x:c>
      <x:c r="P353" s="8" t="str">
        <x:v>No</x:v>
      </x:c>
      <x:c r="Q353" s="8"/>
      <x:c r="R353" s="8" t="str">
        <x:v>No</x:v>
      </x:c>
      <x:c r="S353" s="8"/>
      <x:c r="T353" s="8"/>
      <x:c r="U353" s="8"/>
      <x:c r="V353" s="8" t="str">
        <x:v>N/A</x:v>
      </x:c>
      <x:c r="W353" s="8"/>
      <x:c r="X353" s="8"/>
      <x:c r="Y353" s="8" t="str">
        <x:v>No</x:v>
      </x:c>
      <x:c r="Z353" s="8"/>
      <x:c r="AA353" s="8"/>
      <x:c r="AB353" s="8" t="str">
        <x:v>No</x:v>
      </x:c>
      <x:c r="AC353" s="9"/>
      <x:c r="AD353" s="8"/>
      <x:c r="AE353" s="8"/>
      <x:c r="AF353" s="8"/>
      <x:c r="AG353" s="8" t="str">
        <x:v>No</x:v>
      </x:c>
      <x:c r="AH353" s="14" t="n">
        <x:v>10</x:v>
      </x:c>
      <x:c r="AI353" s="15" t="str">
        <x:v>Canonical source for Deployment Detail!10</x:v>
      </x:c>
    </x:row>
    <x:row r="354" ht="90">
      <x:c r="A354" s="12" t="str">
        <x:v>Deployment Detail</x:v>
      </x:c>
      <x:c r="B354" s="13" t="str">
        <x:v>Account Portable Across Instances?</x:v>
      </x:c>
      <x:c r="C354" s="8" t="str">
        <x:v>No</x:v>
      </x:c>
      <x:c r="D354" s="8" t="str">
        <x:v>Identity is portable by keypair</x:v>
      </x:c>
      <x:c r="E354" s="8" t="str">
        <x:v>Yes: messenger global ID/key and account export</x:v>
      </x:c>
      <x:c r="F354" s="8" t="str">
        <x:v>No</x:v>
      </x:c>
      <x:c r="G354" s="8" t="str">
        <x:v>No</x:v>
      </x:c>
      <x:c r="H354" s="8" t="str">
        <x:v>No current portable cross-instance identity</x:v>
      </x:c>
      <x:c r="I354" s="8" t="str">
        <x:v>No</x:v>
      </x:c>
      <x:c r="J354" s="8" t="str">
        <x:v>Planned</x:v>
      </x:c>
      <x:c r="K354" s="8" t="str">
        <x:v>Yes: identity key portable</x:v>
      </x:c>
      <x:c r="L354" s="8" t="str">
        <x:v>Federated identity works across instances; moving an account's home is not documented</x:v>
      </x:c>
      <x:c r="M354" s="8" t="str">
        <x:v>No</x:v>
      </x:c>
      <x:c r="N354" s="8"/>
      <x:c r="O354" s="8" t="str">
        <x:v>Identity is namespaced to a homeserver; clients are portable, account migration is not universally seamless</x:v>
      </x:c>
      <x:c r="P354" s="8" t="str">
        <x:v>No</x:v>
      </x:c>
      <x:c r="Q354" s="8" t="str">
        <x:v>No</x:v>
      </x:c>
      <x:c r="R354" s="8" t="str">
        <x:v>Certificate/user identity can be reused manually; no global portable identity layer</x:v>
      </x:c>
      <x:c r="S354" s="8" t="str">
        <x:v>No</x:v>
      </x:c>
      <x:c r="T354" s="8" t="str">
        <x:v>No</x:v>
      </x:c>
      <x:c r="U354" s="8" t="str">
        <x:v>No</x:v>
      </x:c>
      <x:c r="V354" s="8" t="str">
        <x:v>N/A</x:v>
      </x:c>
      <x:c r="W354" s="8" t="str">
        <x:v>Limited; not equivalent to universal account migration</x:v>
      </x:c>
      <x:c r="X354" s="8" t="str">
        <x:v>Identity via ATProto</x:v>
      </x:c>
      <x:c r="Y354" s="8" t="str">
        <x:v>No</x:v>
      </x:c>
      <x:c r="Z354" s="8" t="str">
        <x:v>No</x:v>
      </x:c>
      <x:c r="AA354" s="8" t="str">
        <x:v>No seamless portable identity</x:v>
      </x:c>
      <x:c r="AB354" s="8" t="str">
        <x:v>No global federated identity</x:v>
      </x:c>
      <x:c r="AC354" s="9" t="str">
        <x:v>Account survives community node moves per documentation</x:v>
      </x:c>
      <x:c r="AD354" s="8" t="str">
        <x:v>Planned</x:v>
      </x:c>
      <x:c r="AE354" s="8" t="str">
        <x:v>No</x:v>
      </x:c>
      <x:c r="AF354" s="8" t="str">
        <x:v>No</x:v>
      </x:c>
      <x:c r="AG354" s="8" t="str">
        <x:v>No seamless cross-server identity</x:v>
      </x:c>
      <x:c r="AH354" s="14" t="n">
        <x:v>11</x:v>
      </x:c>
      <x:c r="AI354" s="15" t="str">
        <x:v>Canonical source for Deployment Detail!11</x:v>
      </x:c>
    </x:row>
    <x:row r="355" ht="75">
      <x:c r="A355" s="12" t="str">
        <x:v>Deployment Detail</x:v>
      </x:c>
      <x:c r="B355" s="13" t="str">
        <x:v>Primary Network Protocol</x:v>
      </x:c>
      <x:c r="C355" s="8" t="str">
        <x:v>No federation; centralized proprietary service (public HTTP/Gateway APIs for apps)</x:v>
      </x:c>
      <x:c r="D355" s="8" t="str">
        <x:v>Nostr + Concord + NIP-29 relay groups</x:v>
      </x:c>
      <x:c r="E355" s="8" t="str">
        <x:v>Custom server protocol/WebSockets; federation/decentralization features</x:v>
      </x:c>
      <x:c r="F355" s="8" t="str">
        <x:v>No federation</x:v>
      </x:c>
      <x:c r="G355" s="8" t="str">
        <x:v>No federation; custom platform APIs</x:v>
      </x:c>
      <x:c r="H355" s="8" t="str">
        <x:v>No federation yet; federation on roadmap; Discord-inspired REST/Gateway</x:v>
      </x:c>
      <x:c r="I355" s="8" t="str">
        <x:v>Centralized/independent servers; no federation verified</x:v>
      </x:c>
      <x:c r="J355" s="8" t="str">
        <x:v>Discord-like API; federation planned</x:v>
      </x:c>
      <x:c r="K355" s="8" t="str">
        <x:v>Custom relay protocol + CRDT sync; no central account server</x:v>
      </x:c>
      <x:c r="L355" s="8" t="str">
        <x:v>Yes: kaede-fed/1 is publicly documented; project-specific protocol, not an external standard</x:v>
      </x:c>
      <x:c r="M355" s="8" t="str">
        <x:v>No federation verified</x:v>
      </x:c>
      <x:c r="N355" s="8" t="str">
        <x:v>Federated infrastructure planned/implemented in evolving form</x:v>
      </x:c>
      <x:c r="O355" s="8" t="str">
        <x:v>Matrix Client-Server API + Server-Server/Federation API; MatrixRTC for realtime calling</x:v>
      </x:c>
      <x:c r="P355" s="8" t="str">
        <x:v>Mattermost APIs/WebSocket; no general cross-server federation</x:v>
      </x:c>
      <x:c r="Q355" s="8"/>
      <x:c r="R355" s="8" t="str">
        <x:v>Mumble protocol over TLS/UDP; no federation</x:v>
      </x:c>
      <x:c r="S355" s="8" t="str">
        <x:v>No federation</x:v>
      </x:c>
      <x:c r="T355" s="8" t="str">
        <x:v>No federation verified</x:v>
      </x:c>
      <x:c r="U355" s="8" t="str">
        <x:v>No federation; independent self-host copies</x:v>
      </x:c>
      <x:c r="V355" s="8" t="str">
        <x:v>N/A</x:v>
      </x:c>
      <x:c r="W355" s="8" t="str">
        <x:v>REST/WebSocket/DDP + Matrix-based federation capabilities</x:v>
      </x:c>
      <x:c r="X355" s="8" t="str">
        <x:v>ATProto-based data model; not a Matrix-style chat federation</x:v>
      </x:c>
      <x:c r="Y355" s="8" t="str">
        <x:v>No federation; proprietary Root APIs</x:v>
      </x:c>
      <x:c r="Z355" s="8" t="str">
        <x:v>Discord-compatible REST API + Gateway/WebSocket; no federation</x:v>
      </x:c>
      <x:c r="AA355" s="8" t="str">
        <x:v>No inter-instance federation; custom REST/WebSocket API</x:v>
      </x:c>
      <x:c r="AB355" s="8" t="str">
        <x:v>Proprietary TeamSpeak protocol; no federation</x:v>
      </x:c>
      <x:c r="AC355" s="9" t="str">
        <x:v>Independent instances/nodes; federation/migration features</x:v>
      </x:c>
      <x:c r="AD355" s="8" t="str">
        <x:v>Custom federation protocol in development</x:v>
      </x:c>
      <x:c r="AE355" s="8" t="str">
        <x:v>No federation</x:v>
      </x:c>
      <x:c r="AF355" s="8" t="str">
        <x:v>Independent servers; no federation verified</x:v>
      </x:c>
      <x:c r="AG355" s="8" t="str">
        <x:v>Zulip REST/realtime event API; no cross-server federation</x:v>
      </x:c>
      <x:c r="AH355" s="14" t="n">
        <x:v>13</x:v>
      </x:c>
      <x:c r="AI355" s="15" t="str">
        <x:v>Canonical source for Deployment Detail!13</x:v>
      </x:c>
    </x:row>
    <x:row r="356" ht="75">
      <x:c r="A356" s="12" t="str">
        <x:v>Deployment Detail</x:v>
      </x:c>
      <x:c r="B356" s="13" t="str">
        <x:v>Public Protocol Specification?</x:v>
      </x:c>
      <x:c r="C356" s="8" t="str">
        <x:v>Proprietary public developer APIs, not an open protocol</x:v>
      </x:c>
      <x:c r="D356" s="8" t="str">
        <x:v>Nostr + Concord/NIP-29</x:v>
      </x:c>
      <x:c r="E356" s="8" t="str">
        <x:v>Custom protocol</x:v>
      </x:c>
      <x:c r="F356" s="8" t="str">
        <x:v>Proprietary</x:v>
      </x:c>
      <x:c r="G356" s="8" t="str">
        <x:v>No open interoperability standard</x:v>
      </x:c>
      <x:c r="H356" s="8" t="str">
        <x:v>Public API/Gateway inspired by Discord; not a federation standard</x:v>
      </x:c>
      <x:c r="I356" s="8" t="str">
        <x:v>Proprietary API/service</x:v>
      </x:c>
      <x:c r="J356" s="8" t="str">
        <x:v>Discord-compatible API</x:v>
      </x:c>
      <x:c r="K356" s="8" t="str">
        <x:v>Custom open protocol/code</x:v>
      </x:c>
      <x:c r="L356" s="8" t="str">
        <x:v>Yes: kaede-fed/1 is publicly documented; project-specific protocol, not an external standard</x:v>
      </x:c>
      <x:c r="M356" s="8" t="str">
        <x:v>Proprietary</x:v>
      </x:c>
      <x:c r="N356" s="8" t="str">
        <x:v>Discord-compatible API + federation work</x:v>
      </x:c>
      <x:c r="O356" s="8" t="str">
        <x:v>Open Matrix specification: Client-Server + Server-Server/Federation APIs</x:v>
      </x:c>
      <x:c r="P356" s="8" t="str">
        <x:v>Open APIs, not a general federation standard</x:v>
      </x:c>
      <x:c r="Q356" s="8" t="str">
        <x:v>Custom APIs</x:v>
      </x:c>
      <x:c r="R356" s="8" t="str">
        <x:v>Open Mumble protocol/source</x:v>
      </x:c>
      <x:c r="S356" s="8" t="str">
        <x:v>Public app/API code, not a federation standard</x:v>
      </x:c>
      <x:c r="T356" s="8" t="str">
        <x:v>Proprietary service APIs</x:v>
      </x:c>
      <x:c r="U356" s="8" t="str">
        <x:v>Application API/webhooks</x:v>
      </x:c>
      <x:c r="V356" s="8" t="str">
        <x:v>N/A</x:v>
      </x:c>
      <x:c r="W356" s="8" t="str">
        <x:v>REST/realtime APIs + federation components</x:v>
      </x:c>
      <x:c r="X356" s="8" t="str">
        <x:v>AT Protocol</x:v>
      </x:c>
      <x:c r="Y356" s="8" t="str">
        <x:v>Proprietary Root APIs/SDK</x:v>
      </x:c>
      <x:c r="Z356" s="8" t="str">
        <x:v>Discord-compatible REST/Gateway reimplementation</x:v>
      </x:c>
      <x:c r="AA356" s="8" t="str">
        <x:v>Public REST/WebSocket API, but not a federation standard</x:v>
      </x:c>
      <x:c r="AB356" s="8" t="str">
        <x:v>Proprietary protocol/API</x:v>
      </x:c>
      <x:c r="AC356" s="9" t="str">
        <x:v>Valour API/node protocol</x:v>
      </x:c>
      <x:c r="AD356" s="8" t="str">
        <x:v>Custom open-source federation protocol</x:v>
      </x:c>
      <x:c r="AE356" s="8" t="str">
        <x:v>Proprietary/application API</x:v>
      </x:c>
      <x:c r="AF356" s="8"/>
      <x:c r="AG356" s="8" t="str">
        <x:v>Open REST/realtime APIs</x:v>
      </x:c>
      <x:c r="AH356" s="14" t="n">
        <x:v>14</x:v>
      </x:c>
      <x:c r="AI356" s="15" t="str">
        <x:v>Shared metric: Architecture &amp; Licensing: Public Protocol Specification? | Deployment Detail: Public Protocol Specification?</x:v>
      </x:c>
    </x:row>
    <x:row r="357" ht="45">
      <x:c r="A357" s="12" t="str">
        <x:v>Deployment Detail</x:v>
      </x:c>
      <x:c r="B357" s="13" t="str">
        <x:v>Discord API Compatible?</x:v>
      </x:c>
      <x:c r="C357" s="8" t="str">
        <x:v>No</x:v>
      </x:c>
      <x:c r="D357" s="8" t="str">
        <x:v>No</x:v>
      </x:c>
      <x:c r="E357" s="8" t="str">
        <x:v>No</x:v>
      </x:c>
      <x:c r="F357" s="8" t="str">
        <x:v>No</x:v>
      </x:c>
      <x:c r="G357" s="8" t="str">
        <x:v>No</x:v>
      </x:c>
      <x:c r="H357" s="8" t="str">
        <x:v>Partial Discord wire/API compatibility goals</x:v>
      </x:c>
      <x:c r="I357" s="8" t="str">
        <x:v>No</x:v>
      </x:c>
      <x:c r="J357" s="8" t="str">
        <x:v>Yes</x:v>
      </x:c>
      <x:c r="K357" s="8" t="str">
        <x:v>No</x:v>
      </x:c>
      <x:c r="L357" s="8" t="str">
        <x:v>No</x:v>
      </x:c>
      <x:c r="M357" s="8" t="str">
        <x:v>No</x:v>
      </x:c>
      <x:c r="N357" s="8" t="str">
        <x:v>Yes: Discord-like bot compatibility</x:v>
      </x:c>
      <x:c r="O357" s="8" t="str">
        <x:v>No</x:v>
      </x:c>
      <x:c r="P357" s="8" t="str">
        <x:v>No</x:v>
      </x:c>
      <x:c r="Q357" s="8" t="str">
        <x:v>No</x:v>
      </x:c>
      <x:c r="R357" s="8" t="str">
        <x:v>No</x:v>
      </x:c>
      <x:c r="S357" s="8" t="str">
        <x:v>No</x:v>
      </x:c>
      <x:c r="T357" s="8" t="str">
        <x:v>No</x:v>
      </x:c>
      <x:c r="U357" s="8" t="str">
        <x:v>No</x:v>
      </x:c>
      <x:c r="V357" s="8" t="str">
        <x:v>N/A</x:v>
      </x:c>
      <x:c r="W357" s="8" t="str">
        <x:v>No</x:v>
      </x:c>
      <x:c r="X357" s="8" t="str">
        <x:v>No</x:v>
      </x:c>
      <x:c r="Y357" s="8" t="str">
        <x:v>No</x:v>
      </x:c>
      <x:c r="Z357" s="8" t="str">
        <x:v>Yes: major design goal</x:v>
      </x:c>
      <x:c r="AA357" s="8" t="str">
        <x:v>No</x:v>
      </x:c>
      <x:c r="AB357" s="8" t="str">
        <x:v>No</x:v>
      </x:c>
      <x:c r="AC357" s="9" t="str">
        <x:v>No</x:v>
      </x:c>
      <x:c r="AD357" s="8" t="str">
        <x:v>No</x:v>
      </x:c>
      <x:c r="AE357" s="8" t="str">
        <x:v>No</x:v>
      </x:c>
      <x:c r="AF357" s="8" t="str">
        <x:v>No</x:v>
      </x:c>
      <x:c r="AG357" s="8" t="str">
        <x:v>No</x:v>
      </x:c>
      <x:c r="AH357" s="14" t="n">
        <x:v>15</x:v>
      </x:c>
      <x:c r="AI357" s="15" t="str">
        <x:v>Canonical source for Deployment Detail!15</x:v>
      </x:c>
    </x:row>
    <x:row r="358">
      <x:c r="A358" s="12" t="str">
        <x:v>Deployment Detail</x:v>
      </x:c>
      <x:c r="B358" s="13" t="str">
        <x:v>Client Source Available?</x:v>
      </x:c>
      <x:c r="C358" s="8" t="str">
        <x:v>No</x:v>
      </x:c>
      <x:c r="D358" s="8" t="str">
        <x:v>Yes</x:v>
      </x:c>
      <x:c r="E358" s="8" t="str">
        <x:v>Yes</x:v>
      </x:c>
      <x:c r="F358" s="8" t="str">
        <x:v>No</x:v>
      </x:c>
      <x:c r="G358" s="8" t="str">
        <x:v>No</x:v>
      </x:c>
      <x:c r="H358" s="8" t="str">
        <x:v>Yes</x:v>
      </x:c>
      <x:c r="I358" s="8" t="str">
        <x:v>No</x:v>
      </x:c>
      <x:c r="J358" s="8" t="str">
        <x:v>Yes</x:v>
      </x:c>
      <x:c r="K358" s="8" t="str">
        <x:v>Yes</x:v>
      </x:c>
      <x:c r="L358" s="8"/>
      <x:c r="M358" s="8" t="str">
        <x:v>No</x:v>
      </x:c>
      <x:c r="N358" s="8"/>
      <x:c r="O358" s="8"/>
      <x:c r="P358" s="8" t="str">
        <x:v>Yes</x:v>
      </x:c>
      <x:c r="Q358" s="8" t="str">
        <x:v>Yes</x:v>
      </x:c>
      <x:c r="R358" s="8" t="str">
        <x:v>Yes</x:v>
      </x:c>
      <x:c r="S358" s="8" t="str">
        <x:v>Yes</x:v>
      </x:c>
      <x:c r="T358" s="8" t="str">
        <x:v>No</x:v>
      </x:c>
      <x:c r="U358" s="8" t="str">
        <x:v>Yes</x:v>
      </x:c>
      <x:c r="V358" s="8" t="str">
        <x:v>No</x:v>
      </x:c>
      <x:c r="W358" s="8" t="str">
        <x:v>Yes</x:v>
      </x:c>
      <x:c r="X358" s="8" t="str">
        <x:v>Yes</x:v>
      </x:c>
      <x:c r="Y358" s="8" t="str">
        <x:v>No</x:v>
      </x:c>
      <x:c r="Z358" s="8" t="str">
        <x:v>Yes</x:v>
      </x:c>
      <x:c r="AA358" s="8" t="str">
        <x:v>Yes</x:v>
      </x:c>
      <x:c r="AB358" s="8" t="str">
        <x:v>No</x:v>
      </x:c>
      <x:c r="AC358" s="9" t="str">
        <x:v>Yes</x:v>
      </x:c>
      <x:c r="AD358" s="8"/>
      <x:c r="AE358" s="8" t="str">
        <x:v>Yes</x:v>
      </x:c>
      <x:c r="AF358" s="8" t="str">
        <x:v>No</x:v>
      </x:c>
      <x:c r="AG358" s="8" t="str">
        <x:v>Yes</x:v>
      </x:c>
      <x:c r="AH358" s="14" t="n">
        <x:v>17</x:v>
      </x:c>
      <x:c r="AI358" s="15" t="str">
        <x:v>Canonical source for Deployment Detail!17</x:v>
      </x:c>
    </x:row>
    <x:row r="359" ht="45">
      <x:c r="A359" s="12" t="str">
        <x:v>Deployment Detail</x:v>
      </x:c>
      <x:c r="B359" s="13" t="str">
        <x:v>Client License</x:v>
      </x:c>
      <x:c r="C359" s="8" t="str">
        <x:v>Proprietary</x:v>
      </x:c>
      <x:c r="D359" s="8" t="str">
        <x:v>Open source</x:v>
      </x:c>
      <x:c r="E359" s="8" t="str">
        <x:v>FOSS AGPL-3.0</x:v>
      </x:c>
      <x:c r="F359" s="8" t="str">
        <x:v>Proprietary</x:v>
      </x:c>
      <x:c r="G359" s="8" t="str">
        <x:v>Proprietary during alpha; open-source release planned</x:v>
      </x:c>
      <x:c r="H359" s="8" t="str">
        <x:v>FOSS (AGPL-3.0)</x:v>
      </x:c>
      <x:c r="I359" s="8" t="str">
        <x:v>Proprietary</x:v>
      </x:c>
      <x:c r="J359" s="8" t="str">
        <x:v>Fermi client AGPL-3.0</x:v>
      </x:c>
      <x:c r="K359" s="8" t="str">
        <x:v>Open source</x:v>
      </x:c>
      <x:c r="L359" s="8" t="str">
        <x:v>MIT</x:v>
      </x:c>
      <x:c r="M359" s="8" t="str">
        <x:v>Proprietary</x:v>
      </x:c>
      <x:c r="N359" s="8"/>
      <x:c r="O359" s="8" t="str">
        <x:v>Varies by client; many FOSS (e.g., Element, Element X, Cinny)</x:v>
      </x:c>
      <x:c r="P359" s="8" t="str">
        <x:v>FOSS/open-source clients; exact repository license varies</x:v>
      </x:c>
      <x:c r="Q359" s="8" t="str">
        <x:v>Open-source client code</x:v>
      </x:c>
      <x:c r="R359" s="8" t="str">
        <x:v>FOSS (BSD-style / BSD-3-Clause)</x:v>
      </x:c>
      <x:c r="S359" s="8" t="str">
        <x:v>FOSS GPL-family components</x:v>
      </x:c>
      <x:c r="T359" s="8" t="str">
        <x:v>Proprietary client / source status mixed</x:v>
      </x:c>
      <x:c r="U359" s="8" t="str">
        <x:v>AGPL-3.0</x:v>
      </x:c>
      <x:c r="V359" s="8" t="str">
        <x:v>Proprietary</x:v>
      </x:c>
      <x:c r="W359" s="8" t="str">
        <x:v>FOSS core client; MIT components / enterprise extensions</x:v>
      </x:c>
      <x:c r="X359" s="8" t="str">
        <x:v>MPL-2.0 project</x:v>
      </x:c>
      <x:c r="Y359" s="8" t="str">
        <x:v>Proprietary</x:v>
      </x:c>
      <x:c r="Z359" s="8" t="str">
        <x:v>FOSS (AGPL-3.0 project components)</x:v>
      </x:c>
      <x:c r="AA359" s="8" t="str">
        <x:v>FOSS (web client AGPL-3.0; clients vary)</x:v>
      </x:c>
      <x:c r="AB359" s="8" t="str">
        <x:v>Proprietary</x:v>
      </x:c>
      <x:c r="AC359" s="9" t="str">
        <x:v>AGPL-3.0</x:v>
      </x:c>
      <x:c r="AD359" s="8" t="str">
        <x:v>Client source planned; not yet fully public</x:v>
      </x:c>
      <x:c r="AE359" s="8"/>
      <x:c r="AF359" s="8"/>
      <x:c r="AG359" s="8" t="str">
        <x:v>FOSS (Apache-2.0)</x:v>
      </x:c>
      <x:c r="AH359" s="14" t="n">
        <x:v>18</x:v>
      </x:c>
      <x:c r="AI359" s="15" t="str">
        <x:v>Canonical source for Deployment Detail!18</x:v>
      </x:c>
    </x:row>
    <x:row r="360">
      <x:c r="A360" s="12" t="str">
        <x:v>Deployment Detail</x:v>
      </x:c>
      <x:c r="B360" s="13" t="str">
        <x:v>Server Source Available?</x:v>
      </x:c>
      <x:c r="C360" s="8" t="str">
        <x:v>No</x:v>
      </x:c>
      <x:c r="D360" s="8" t="str">
        <x:v>Yes</x:v>
      </x:c>
      <x:c r="E360" s="8" t="str">
        <x:v>Yes</x:v>
      </x:c>
      <x:c r="F360" s="8" t="str">
        <x:v>No</x:v>
      </x:c>
      <x:c r="G360" s="8" t="str">
        <x:v>No</x:v>
      </x:c>
      <x:c r="H360" s="8" t="str">
        <x:v>Yes</x:v>
      </x:c>
      <x:c r="I360" s="8" t="str">
        <x:v>No</x:v>
      </x:c>
      <x:c r="J360" s="8" t="str">
        <x:v>Yes</x:v>
      </x:c>
      <x:c r="K360" s="8" t="str">
        <x:v>Yes</x:v>
      </x:c>
      <x:c r="L360" s="8"/>
      <x:c r="M360" s="8" t="str">
        <x:v>No</x:v>
      </x:c>
      <x:c r="N360" s="8"/>
      <x:c r="O360" s="8"/>
      <x:c r="P360" s="8" t="str">
        <x:v>Yes</x:v>
      </x:c>
      <x:c r="Q360" s="8" t="str">
        <x:v>Yes</x:v>
      </x:c>
      <x:c r="R360" s="8" t="str">
        <x:v>Yes</x:v>
      </x:c>
      <x:c r="S360" s="8" t="str">
        <x:v>Yes</x:v>
      </x:c>
      <x:c r="T360" s="8"/>
      <x:c r="U360" s="8" t="str">
        <x:v>Yes</x:v>
      </x:c>
      <x:c r="V360" s="8" t="str">
        <x:v>No</x:v>
      </x:c>
      <x:c r="W360" s="8" t="str">
        <x:v>Yes</x:v>
      </x:c>
      <x:c r="X360" s="8" t="str">
        <x:v>Yes</x:v>
      </x:c>
      <x:c r="Y360" s="8" t="str">
        <x:v>No</x:v>
      </x:c>
      <x:c r="Z360" s="8" t="str">
        <x:v>Yes</x:v>
      </x:c>
      <x:c r="AA360" s="8" t="str">
        <x:v>Yes</x:v>
      </x:c>
      <x:c r="AB360" s="8" t="str">
        <x:v>No</x:v>
      </x:c>
      <x:c r="AC360" s="9" t="str">
        <x:v>Yes</x:v>
      </x:c>
      <x:c r="AD360" s="8" t="str">
        <x:v>Yes</x:v>
      </x:c>
      <x:c r="AE360" s="8" t="str">
        <x:v>Yes</x:v>
      </x:c>
      <x:c r="AF360" s="8" t="str">
        <x:v>No</x:v>
      </x:c>
      <x:c r="AG360" s="8" t="str">
        <x:v>Yes</x:v>
      </x:c>
      <x:c r="AH360" s="14" t="n">
        <x:v>19</x:v>
      </x:c>
      <x:c r="AI360" s="15" t="str">
        <x:v>Canonical source for Deployment Detail!19</x:v>
      </x:c>
    </x:row>
    <x:row r="361" ht="60">
      <x:c r="A361" s="12" t="str">
        <x:v>Deployment Detail</x:v>
      </x:c>
      <x:c r="B361" s="13" t="str">
        <x:v>Server License</x:v>
      </x:c>
      <x:c r="C361" s="8" t="str">
        <x:v>Proprietary</x:v>
      </x:c>
      <x:c r="D361" s="8" t="str">
        <x:v>Open source/protocol components</x:v>
      </x:c>
      <x:c r="E361" s="8" t="str">
        <x:v>FOSS AGPL-3.0</x:v>
      </x:c>
      <x:c r="F361" s="8" t="str">
        <x:v>Proprietary Rust backend</x:v>
      </x:c>
      <x:c r="G361" s="8" t="str">
        <x:v>Proprietary during alpha; open-source release planned</x:v>
      </x:c>
      <x:c r="H361" s="8" t="str">
        <x:v>FOSS (AGPL-3.0)</x:v>
      </x:c>
      <x:c r="I361" s="8" t="str">
        <x:v>Proprietary</x:v>
      </x:c>
      <x:c r="J361" s="8"/>
      <x:c r="K361" s="8" t="str">
        <x:v>Open source relay/server</x:v>
      </x:c>
      <x:c r="L361" s="8" t="str">
        <x:v>MIT</x:v>
      </x:c>
      <x:c r="M361" s="8" t="str">
        <x:v>Proprietary</x:v>
      </x:c>
      <x:c r="N361" s="8"/>
      <x:c r="O361" s="8" t="str">
        <x:v>Varies by homeserver; Synapse is AGPLv3/commercial dual model</x:v>
      </x:c>
      <x:c r="P361" s="8" t="str">
        <x:v>Open source Team Edition / AGPL-source plus commercial Enterprise editions</x:v>
      </x:c>
      <x:c r="Q361" s="8" t="str">
        <x:v>Open-source server stack/components</x:v>
      </x:c>
      <x:c r="R361" s="8" t="str">
        <x:v>FOSS (BSD-style / BSD-3-Clause)</x:v>
      </x:c>
      <x:c r="S361" s="8" t="str">
        <x:v>FOSS GPL-3.0 server/web components</x:v>
      </x:c>
      <x:c r="T361" s="8"/>
      <x:c r="U361" s="8" t="str">
        <x:v>AGPL-3.0</x:v>
      </x:c>
      <x:c r="V361" s="8" t="str">
        <x:v>Proprietary</x:v>
      </x:c>
      <x:c r="W361" s="8" t="str">
        <x:v>FOSS core (MIT) + enterprise-licensed portions</x:v>
      </x:c>
      <x:c r="X361" s="8" t="str">
        <x:v>MPL-2.0 project/server components</x:v>
      </x:c>
      <x:c r="Y361" s="8" t="str">
        <x:v>Proprietary</x:v>
      </x:c>
      <x:c r="Z361" s="8" t="str">
        <x:v>FOSS (AGPL-3.0)</x:v>
      </x:c>
      <x:c r="AA361" s="8" t="str">
        <x:v>FOSS (backend generally AGPL-3.0)</x:v>
      </x:c>
      <x:c r="AB361" s="8" t="str">
        <x:v>Proprietary</x:v>
      </x:c>
      <x:c r="AC361" s="9" t="str">
        <x:v>AGPL-3.0</x:v>
      </x:c>
      <x:c r="AD361" s="8" t="str">
        <x:v>Backend source public</x:v>
      </x:c>
      <x:c r="AE361" s="8" t="str">
        <x:v>Source-available</x:v>
      </x:c>
      <x:c r="AF361" s="8"/>
      <x:c r="AG361" s="8" t="str">
        <x:v>FOSS (Apache-2.0 server/web app)</x:v>
      </x:c>
      <x:c r="AH361" s="14" t="n">
        <x:v>20</x:v>
      </x:c>
      <x:c r="AI361" s="15" t="str">
        <x:v>Canonical source for Deployment Detail!20</x:v>
      </x:c>
    </x:row>
    <x:row r="362" ht="45">
      <x:c r="A362" s="12" t="str">
        <x:v>Deployment Detail</x:v>
      </x:c>
      <x:c r="B362" s="13" t="str">
        <x:v>Reference Client Repository</x:v>
      </x:c>
      <x:c r="C362" s="8" t="str">
        <x:v>N/A: no public core client source repository</x:v>
      </x:c>
      <x:c r="D362" s="8" t="str">
        <x:v>https://github.com/soapbox-pub/armada</x:v>
      </x:c>
      <x:c r="E362" s="8" t="str">
        <x:v>https://github.com/hackthedev/dcts-shipping</x:v>
      </x:c>
      <x:c r="F362" s="8" t="str">
        <x:v>N/A</x:v>
      </x:c>
      <x:c r="G362" s="8" t="str">
        <x:v>N/A: not public yet</x:v>
      </x:c>
      <x:c r="H362" s="8" t="str">
        <x:v>https://github.com/fluxerapp/fluxer</x:v>
      </x:c>
      <x:c r="I362" s="8" t="str">
        <x:v>N/A</x:v>
      </x:c>
      <x:c r="J362" s="8" t="str">
        <x:v>https://codeberg.org/MelodyChat/Fermi</x:v>
      </x:c>
      <x:c r="K362" s="8" t="str">
        <x:v>https://github.com/VitalikPro13/HOLLOW</x:v>
      </x:c>
      <x:c r="L362" s="8" t="str">
        <x:v>https://github.com/CookieNom/KaedeChat</x:v>
      </x:c>
      <x:c r="M362" s="8" t="str">
        <x:v>N/A</x:v>
      </x:c>
      <x:c r="N362" s="8"/>
      <x:c r="O362" s="8" t="str">
        <x:v>No single client repository: clients are separate implementations</x:v>
      </x:c>
      <x:c r="P362" s="8" t="str">
        <x:v>https://github.com/mattermost/mattermost-desktop</x:v>
      </x:c>
      <x:c r="Q362" s="8" t="str">
        <x:v>https://github.com/mezonai/mezon</x:v>
      </x:c>
      <x:c r="R362" s="8" t="str">
        <x:v>https://github.com/mumble-voip/mumble</x:v>
      </x:c>
      <x:c r="S362" s="8" t="str">
        <x:v>https://github.com/Nerimity/nerimity-web</x:v>
      </x:c>
      <x:c r="T362" s="8"/>
      <x:c r="U362" s="8" t="str">
        <x:v>https://github.com/rafaelcg/pqp</x:v>
      </x:c>
      <x:c r="V362" s="8" t="str">
        <x:v>N/A</x:v>
      </x:c>
      <x:c r="W362" s="8" t="str">
        <x:v>https://github.com/RocketChat/Rocket.Chat.Electron</x:v>
      </x:c>
      <x:c r="X362" s="8" t="str">
        <x:v>https://github.com/muni-town/roomy</x:v>
      </x:c>
      <x:c r="Y362" s="8" t="str">
        <x:v>N/A</x:v>
      </x:c>
      <x:c r="Z362" s="8" t="str">
        <x:v>https://github.com/spacebarchat/client</x:v>
      </x:c>
      <x:c r="AA362" s="8" t="str">
        <x:v>https://github.com/stoatchat/for-web</x:v>
      </x:c>
      <x:c r="AB362" s="8" t="str">
        <x:v>N/A</x:v>
      </x:c>
      <x:c r="AC362" s="9" t="str">
        <x:v>https://github.com/Valour-Software/Valour</x:v>
      </x:c>
      <x:c r="AD362" s="8"/>
      <x:c r="AE362" s="8" t="str">
        <x:v>https://github.com/Weeredjs/Weered</x:v>
      </x:c>
      <x:c r="AF362" s="8"/>
      <x:c r="AG362" s="8" t="str">
        <x:v>https://github.com/zulip/zulip-desktop</x:v>
      </x:c>
      <x:c r="AH362" s="14" t="n">
        <x:v>21</x:v>
      </x:c>
      <x:c r="AI362" s="15" t="str">
        <x:v>Canonical source for Deployment Detail!21</x:v>
      </x:c>
    </x:row>
    <x:row r="363" ht="60">
      <x:c r="A363" s="12" t="str">
        <x:v>Deployment Detail</x:v>
      </x:c>
      <x:c r="B363" s="13" t="str">
        <x:v>Reference Server Repository</x:v>
      </x:c>
      <x:c r="C363" s="8" t="str">
        <x:v>N/A: no public core server source repository</x:v>
      </x:c>
      <x:c r="D363" s="8" t="str">
        <x:v>https://github.com/soapbox-pub/armada</x:v>
      </x:c>
      <x:c r="E363" s="8" t="str">
        <x:v>https://github.com/hackthedev/dcts-shipping</x:v>
      </x:c>
      <x:c r="F363" s="8" t="str">
        <x:v>N/A</x:v>
      </x:c>
      <x:c r="G363" s="8" t="str">
        <x:v>N/A: not public yet</x:v>
      </x:c>
      <x:c r="H363" s="8" t="str">
        <x:v>https://github.com/fluxerapp/fluxer</x:v>
      </x:c>
      <x:c r="I363" s="8" t="str">
        <x:v>N/A</x:v>
      </x:c>
      <x:c r="J363" s="8" t="str">
        <x:v>https://codeberg.org/MelodyChat/Harmony</x:v>
      </x:c>
      <x:c r="K363" s="8" t="str">
        <x:v>https://github.com/VitalikPro13/HOLLOW</x:v>
      </x:c>
      <x:c r="L363" s="8" t="str">
        <x:v>https://github.com/CookieNom/KaedeChat</x:v>
      </x:c>
      <x:c r="M363" s="8" t="str">
        <x:v>N/A</x:v>
      </x:c>
      <x:c r="N363" s="8"/>
      <x:c r="O363" s="8" t="str">
        <x:v>No single server repository: Synapse, Dendrite/others implement Matrix</x:v>
      </x:c>
      <x:c r="P363" s="8" t="str">
        <x:v>https://github.com/mattermost/mattermost</x:v>
      </x:c>
      <x:c r="Q363" s="8" t="str">
        <x:v>https://github.com/mezonai/mezon</x:v>
      </x:c>
      <x:c r="R363" s="8" t="str">
        <x:v>https://github.com/mumble-voip/mumble</x:v>
      </x:c>
      <x:c r="S363" s="8" t="str">
        <x:v>https://github.com/Nerimity/nerimity-server</x:v>
      </x:c>
      <x:c r="T363" s="8"/>
      <x:c r="U363" s="8" t="str">
        <x:v>https://github.com/rafaelcg/pqp</x:v>
      </x:c>
      <x:c r="V363" s="8" t="str">
        <x:v>N/A</x:v>
      </x:c>
      <x:c r="W363" s="8" t="str">
        <x:v>https://github.com/RocketChat/Rocket.Chat</x:v>
      </x:c>
      <x:c r="X363" s="8" t="str">
        <x:v>https://github.com/muni-town/roomy</x:v>
      </x:c>
      <x:c r="Y363" s="8" t="str">
        <x:v>N/A</x:v>
      </x:c>
      <x:c r="Z363" s="8" t="str">
        <x:v>https://github.com/spacebarchat/server</x:v>
      </x:c>
      <x:c r="AA363" s="8" t="str">
        <x:v>https://github.com/stoatchat/stoatchat</x:v>
      </x:c>
      <x:c r="AB363" s="8" t="str">
        <x:v>N/A</x:v>
      </x:c>
      <x:c r="AC363" s="9" t="str">
        <x:v>https://github.com/Valour-Software/Valour</x:v>
      </x:c>
      <x:c r="AD363" s="8" t="str">
        <x:v>https://github.com/AlpineBits-ch/AlpineBackend</x:v>
      </x:c>
      <x:c r="AE363" s="8" t="str">
        <x:v>https://github.com/Weeredjs/Weered</x:v>
      </x:c>
      <x:c r="AF363" s="8"/>
      <x:c r="AG363" s="8" t="str">
        <x:v>https://github.com/zulip/zulip</x:v>
      </x:c>
      <x:c r="AH363" s="14" t="n">
        <x:v>22</x:v>
      </x:c>
      <x:c r="AI363" s="15" t="str">
        <x:v>Canonical source for Deployment Detail!22</x:v>
      </x:c>
    </x:row>
    <x:row r="364" ht="30">
      <x:c r="A364" s="12" t="str">
        <x:v>Deployment Detail</x:v>
      </x:c>
      <x:c r="B364" s="13" t="str">
        <x:v>Docker Compose?</x:v>
      </x:c>
      <x:c r="C364" s="8" t="str">
        <x:v>N/A</x:v>
      </x:c>
      <x:c r="D364" s="8" t="str">
        <x:v>Relay/self-host options</x:v>
      </x:c>
      <x:c r="E364" s="8" t="str">
        <x:v>Yes</x:v>
      </x:c>
      <x:c r="F364" s="8" t="str">
        <x:v>No</x:v>
      </x:c>
      <x:c r="G364" s="8" t="str">
        <x:v>No</x:v>
      </x:c>
      <x:c r="H364" s="8" t="str">
        <x:v>Yes</x:v>
      </x:c>
      <x:c r="I364" s="8"/>
      <x:c r="J364" s="8"/>
      <x:c r="K364" s="8"/>
      <x:c r="L364" s="8" t="str">
        <x:v>Yes: Docker Compose</x:v>
      </x:c>
      <x:c r="M364" s="8" t="str">
        <x:v>No</x:v>
      </x:c>
      <x:c r="N364" s="8" t="str">
        <x:v>Self-hosting advertised</x:v>
      </x:c>
      <x:c r="O364" s="8" t="str">
        <x:v>Yes</x:v>
      </x:c>
      <x:c r="P364" s="8" t="str">
        <x:v>Yes</x:v>
      </x:c>
      <x:c r="Q364" s="8"/>
      <x:c r="R364" s="8" t="str">
        <x:v>Yes</x:v>
      </x:c>
      <x:c r="S364" s="8"/>
      <x:c r="T364" s="8" t="str">
        <x:v>No</x:v>
      </x:c>
      <x:c r="U364" s="8"/>
      <x:c r="V364" s="8" t="str">
        <x:v>N/A</x:v>
      </x:c>
      <x:c r="W364" s="8" t="str">
        <x:v>Yes</x:v>
      </x:c>
      <x:c r="X364" s="8"/>
      <x:c r="Y364" s="8" t="str">
        <x:v>No</x:v>
      </x:c>
      <x:c r="Z364" s="8" t="str">
        <x:v>Yes</x:v>
      </x:c>
      <x:c r="AA364" s="8" t="str">
        <x:v>Yes</x:v>
      </x:c>
      <x:c r="AB364" s="8" t="str">
        <x:v>Yes</x:v>
      </x:c>
      <x:c r="AC364" s="9" t="str">
        <x:v>Yes</x:v>
      </x:c>
      <x:c r="AD364" s="8"/>
      <x:c r="AE364" s="8" t="str">
        <x:v>No</x:v>
      </x:c>
      <x:c r="AF364" s="8"/>
      <x:c r="AG364" s="8" t="str">
        <x:v>Yes</x:v>
      </x:c>
      <x:c r="AH364" s="14" t="n">
        <x:v>24</x:v>
      </x:c>
      <x:c r="AI364" s="15" t="str">
        <x:v>Canonical source for Deployment Detail!24</x:v>
      </x:c>
    </x:row>
    <x:row r="365" ht="75">
      <x:c r="A365" s="12" t="str">
        <x:v>Deployment Detail</x:v>
      </x:c>
      <x:c r="B365" s="13" t="str">
        <x:v>Official Docker Image?</x:v>
      </x:c>
      <x:c r="C365" s="8" t="str">
        <x:v>No</x:v>
      </x:c>
      <x:c r="D365" s="8"/>
      <x:c r="E365" s="8"/>
      <x:c r="F365" s="8"/>
      <x:c r="G365" s="8"/>
      <x:c r="H365" s="8"/>
      <x:c r="I365" s="8"/>
      <x:c r="J365" s="8"/>
      <x:c r="K365" s="8"/>
      <x:c r="L365" s="8" t="str">
        <x:v>No registry image documented; production Compose builds Kaede from the checkout</x:v>
      </x:c>
      <x:c r="M365" s="8"/>
      <x:c r="N365" s="8"/>
      <x:c r="O365" s="8"/>
      <x:c r="P365" s="8" t="str">
        <x:v>Yes</x:v>
      </x:c>
      <x:c r="Q365" s="8"/>
      <x:c r="R365" s="8" t="str">
        <x:v>Yes</x:v>
      </x:c>
      <x:c r="S365" s="8"/>
      <x:c r="T365" s="8"/>
      <x:c r="U365" s="8"/>
      <x:c r="V365" s="8" t="str">
        <x:v>N/A</x:v>
      </x:c>
      <x:c r="W365" s="8" t="str">
        <x:v>Yes</x:v>
      </x:c>
      <x:c r="X365" s="8"/>
      <x:c r="Y365" s="8"/>
      <x:c r="Z365" s="8"/>
      <x:c r="AA365" s="8"/>
      <x:c r="AB365" s="8" t="str">
        <x:v>Yes</x:v>
      </x:c>
      <x:c r="AC365" s="9"/>
      <x:c r="AD365" s="8"/>
      <x:c r="AE365" s="8"/>
      <x:c r="AF365" s="8"/>
      <x:c r="AG365" s="8"/>
      <x:c r="AH365" s="14" t="n">
        <x:v>25</x:v>
      </x:c>
      <x:c r="AI365" s="15" t="str">
        <x:v>Shared metric: Architecture &amp; Licensing: Official Docker Image? | Deployment Detail: Official Docker Image?</x:v>
      </x:c>
    </x:row>
    <x:row r="366" ht="45">
      <x:c r="A366" s="12" t="str">
        <x:v>Deployment Detail</x:v>
      </x:c>
      <x:c r="B366" s="13" t="str">
        <x:v>Kubernetes Documentation?</x:v>
      </x:c>
      <x:c r="C366" s="8"/>
      <x:c r="D366" s="8"/>
      <x:c r="E366" s="8"/>
      <x:c r="F366" s="8"/>
      <x:c r="G366" s="8"/>
      <x:c r="H366" s="8"/>
      <x:c r="I366" s="8"/>
      <x:c r="J366" s="8"/>
      <x:c r="K366" s="8"/>
      <x:c r="L366" s="8" t="str">
        <x:v>No: no Kubernetes deployment guide located</x:v>
      </x:c>
      <x:c r="M366" s="8"/>
      <x:c r="N366" s="8"/>
      <x:c r="O366" s="8"/>
      <x:c r="P366" s="8" t="str">
        <x:v>Yes</x:v>
      </x:c>
      <x:c r="Q366" s="8"/>
      <x:c r="R366" s="8"/>
      <x:c r="S366" s="8"/>
      <x:c r="T366" s="8"/>
      <x:c r="U366" s="8"/>
      <x:c r="V366" s="8" t="str">
        <x:v>N/A</x:v>
      </x:c>
      <x:c r="W366" s="8" t="str">
        <x:v>Yes</x:v>
      </x:c>
      <x:c r="X366" s="8"/>
      <x:c r="Y366" s="8"/>
      <x:c r="Z366" s="8"/>
      <x:c r="AA366" s="8"/>
      <x:c r="AB366" s="8"/>
      <x:c r="AC366" s="9"/>
      <x:c r="AD366" s="8"/>
      <x:c r="AE366" s="8"/>
      <x:c r="AF366" s="8"/>
      <x:c r="AG366" s="8"/>
      <x:c r="AH366" s="14" t="n">
        <x:v>26</x:v>
      </x:c>
      <x:c r="AI366" s="15" t="str">
        <x:v>Canonical source for Deployment Detail!26</x:v>
      </x:c>
    </x:row>
    <x:row r="367" ht="45">
      <x:c r="A367" s="12" t="str">
        <x:v>Deployment Detail</x:v>
      </x:c>
      <x:c r="B367" s="13" t="str">
        <x:v>External Database Required?</x:v>
      </x:c>
      <x:c r="C367" s="8"/>
      <x:c r="D367" s="8"/>
      <x:c r="E367" s="8"/>
      <x:c r="F367" s="8"/>
      <x:c r="G367" s="8"/>
      <x:c r="H367" s="8" t="str">
        <x:v>Yes</x:v>
      </x:c>
      <x:c r="I367" s="8" t="str">
        <x:v>No</x:v>
      </x:c>
      <x:c r="J367" s="8"/>
      <x:c r="K367" s="8"/>
      <x:c r="L367" s="8" t="str">
        <x:v>Yes: PostgreSQL</x:v>
      </x:c>
      <x:c r="M367" s="8"/>
      <x:c r="N367" s="8"/>
      <x:c r="O367" s="8" t="str">
        <x:v>Yes</x:v>
      </x:c>
      <x:c r="P367" s="8" t="str">
        <x:v>Yes</x:v>
      </x:c>
      <x:c r="Q367" s="8"/>
      <x:c r="R367" s="8" t="str">
        <x:v>No</x:v>
      </x:c>
      <x:c r="S367" s="8"/>
      <x:c r="T367" s="8"/>
      <x:c r="U367" s="8" t="str">
        <x:v>PostgreSQL is part of the documented self-host stack</x:v>
      </x:c>
      <x:c r="V367" s="8" t="str">
        <x:v>N/A</x:v>
      </x:c>
      <x:c r="W367" s="8" t="str">
        <x:v>Yes</x:v>
      </x:c>
      <x:c r="X367" s="8"/>
      <x:c r="Y367" s="8"/>
      <x:c r="Z367" s="8"/>
      <x:c r="AA367" s="8" t="str">
        <x:v>Yes</x:v>
      </x:c>
      <x:c r="AB367" s="8"/>
      <x:c r="AC367" s="9"/>
      <x:c r="AD367" s="8"/>
      <x:c r="AE367" s="8"/>
      <x:c r="AF367" s="8"/>
      <x:c r="AG367" s="8" t="str">
        <x:v>Yes</x:v>
      </x:c>
      <x:c r="AH367" s="14" t="n">
        <x:v>27</x:v>
      </x:c>
      <x:c r="AI367" s="15" t="str">
        <x:v>Canonical source for Deployment Detail!27</x:v>
      </x:c>
    </x:row>
    <x:row r="368" ht="45">
      <x:c r="A368" s="12" t="str">
        <x:v>Deployment Detail</x:v>
      </x:c>
      <x:c r="B368" s="13" t="str">
        <x:v>External Cache Required?</x:v>
      </x:c>
      <x:c r="C368" s="8"/>
      <x:c r="D368" s="8"/>
      <x:c r="E368" s="8"/>
      <x:c r="F368" s="8"/>
      <x:c r="G368" s="8"/>
      <x:c r="H368" s="8" t="str">
        <x:v>Yes</x:v>
      </x:c>
      <x:c r="I368" s="8"/>
      <x:c r="J368" s="8"/>
      <x:c r="K368" s="8"/>
      <x:c r="L368" s="8" t="str">
        <x:v>Yes: Dragonfly for ephemeral/cache/task state</x:v>
      </x:c>
      <x:c r="M368" s="8"/>
      <x:c r="N368" s="8"/>
      <x:c r="O368" s="8"/>
      <x:c r="P368" s="8" t="str">
        <x:v>Yes</x:v>
      </x:c>
      <x:c r="Q368" s="8"/>
      <x:c r="R368" s="8"/>
      <x:c r="S368" s="8"/>
      <x:c r="T368" s="8"/>
      <x:c r="U368" s="8"/>
      <x:c r="V368" s="8" t="str">
        <x:v>N/A</x:v>
      </x:c>
      <x:c r="W368" s="8" t="str">
        <x:v>Yes</x:v>
      </x:c>
      <x:c r="X368" s="8"/>
      <x:c r="Y368" s="8"/>
      <x:c r="Z368" s="8"/>
      <x:c r="AA368" s="8" t="str">
        <x:v>Yes</x:v>
      </x:c>
      <x:c r="AB368" s="8"/>
      <x:c r="AC368" s="9"/>
      <x:c r="AD368" s="8"/>
      <x:c r="AE368" s="8"/>
      <x:c r="AF368" s="8"/>
      <x:c r="AG368" s="8"/>
      <x:c r="AH368" s="14" t="n">
        <x:v>28</x:v>
      </x:c>
      <x:c r="AI368" s="15" t="str">
        <x:v>Canonical source for Deployment Detail!28</x:v>
      </x:c>
    </x:row>
    <x:row r="369" ht="45">
      <x:c r="A369" s="12" t="str">
        <x:v>Deployment Detail</x:v>
      </x:c>
      <x:c r="B369" s="13" t="str">
        <x:v>Object Storage Required?</x:v>
      </x:c>
      <x:c r="C369" s="8"/>
      <x:c r="D369" s="8"/>
      <x:c r="E369" s="8"/>
      <x:c r="F369" s="8"/>
      <x:c r="G369" s="8"/>
      <x:c r="H369" s="8" t="str">
        <x:v>Yes / recommended</x:v>
      </x:c>
      <x:c r="I369" s="8"/>
      <x:c r="J369" s="8"/>
      <x:c r="K369" s="8"/>
      <x:c r="L369" s="8" t="str">
        <x:v>Yes: S3-compatible object storage; Garage is bundled default</x:v>
      </x:c>
      <x:c r="M369" s="8"/>
      <x:c r="N369" s="8"/>
      <x:c r="O369" s="8"/>
      <x:c r="P369" s="8" t="str">
        <x:v>Yes / recommended</x:v>
      </x:c>
      <x:c r="Q369" s="8"/>
      <x:c r="R369" s="8"/>
      <x:c r="S369" s="8"/>
      <x:c r="T369" s="8"/>
      <x:c r="U369" s="8"/>
      <x:c r="V369" s="8" t="str">
        <x:v>N/A</x:v>
      </x:c>
      <x:c r="W369" s="8" t="str">
        <x:v>Yes / recommended</x:v>
      </x:c>
      <x:c r="X369" s="8"/>
      <x:c r="Y369" s="8"/>
      <x:c r="Z369" s="8"/>
      <x:c r="AA369" s="8" t="str">
        <x:v>Yes / recommended</x:v>
      </x:c>
      <x:c r="AB369" s="8"/>
      <x:c r="AC369" s="9"/>
      <x:c r="AD369" s="8"/>
      <x:c r="AE369" s="8"/>
      <x:c r="AF369" s="8"/>
      <x:c r="AG369" s="8"/>
      <x:c r="AH369" s="14" t="n">
        <x:v>29</x:v>
      </x:c>
      <x:c r="AI369" s="15" t="str">
        <x:v>Canonical source for Deployment Detail!29</x:v>
      </x:c>
    </x:row>
    <x:row r="370" ht="90">
      <x:c r="A370" s="12" t="str">
        <x:v>Deployment Detail</x:v>
      </x:c>
      <x:c r="B370" s="13" t="str">
        <x:v>Self-Host Setup Difficulty (1-5)</x:v>
      </x:c>
      <x:c r="C370" s="8" t="str">
        <x:v>N/A: official self-hosting unsupported</x:v>
      </x:c>
      <x:c r="D370" s="8" t="str">
        <x:v>3/5 for using hosted relays; self-host relay more complex</x:v>
      </x:c>
      <x:c r="E370" s="8" t="str">
        <x:v>3/5</x:v>
      </x:c>
      <x:c r="F370" s="8" t="str">
        <x:v>N/A</x:v>
      </x:c>
      <x:c r="G370" s="8" t="str">
        <x:v>N/A: self-hosting not currently offered</x:v>
      </x:c>
      <x:c r="H370" s="8" t="str">
        <x:v>3/5</x:v>
      </x:c>
      <x:c r="I370" s="8" t="str">
        <x:v>2/5</x:v>
      </x:c>
      <x:c r="J370" s="8" t="str">
        <x:v>4/5</x:v>
      </x:c>
      <x:c r="K370" s="8" t="str">
        <x:v>3/5</x:v>
      </x:c>
      <x:c r="L370" s="8" t="str">
        <x:v>2/5: interactive make setup wizard + Docker Compose; still requires DNS/TLS/reverse proxy</x:v>
      </x:c>
      <x:c r="M370" s="8" t="str">
        <x:v>N/A</x:v>
      </x:c>
      <x:c r="N370" s="8" t="str">
        <x:v>3/5</x:v>
      </x:c>
      <x:c r="O370" s="8" t="str">
        <x:v>4/5 (implementation-dependent)</x:v>
      </x:c>
      <x:c r="P370" s="8" t="str">
        <x:v>3/5</x:v>
      </x:c>
      <x:c r="Q370" s="8"/>
      <x:c r="R370" s="8" t="str">
        <x:v>2/5</x:v>
      </x:c>
      <x:c r="S370" s="8" t="str">
        <x:v>4/5 (unsupported)</x:v>
      </x:c>
      <x:c r="T370" s="8" t="str">
        <x:v>N/A</x:v>
      </x:c>
      <x:c r="U370" s="8" t="str">
        <x:v>3/5</x:v>
      </x:c>
      <x:c r="V370" s="8" t="str">
        <x:v>N/A</x:v>
      </x:c>
      <x:c r="W370" s="8" t="str">
        <x:v>3/5</x:v>
      </x:c>
      <x:c r="X370" s="8" t="str">
        <x:v>4/5</x:v>
      </x:c>
      <x:c r="Y370" s="8" t="str">
        <x:v>N/A: no self-hosting</x:v>
      </x:c>
      <x:c r="Z370" s="8" t="str">
        <x:v>4/5</x:v>
      </x:c>
      <x:c r="AA370" s="8" t="str">
        <x:v>4/5</x:v>
      </x:c>
      <x:c r="AB370" s="8" t="str">
        <x:v>2/5</x:v>
      </x:c>
      <x:c r="AC370" s="9" t="str">
        <x:v>2/5: docker compose</x:v>
      </x:c>
      <x:c r="AD370" s="8" t="str">
        <x:v>4/5 / evolving</x:v>
      </x:c>
      <x:c r="AE370" s="8" t="str">
        <x:v>N/A</x:v>
      </x:c>
      <x:c r="AF370" s="8" t="str">
        <x:v>2/5</x:v>
      </x:c>
      <x:c r="AG370" s="8" t="str">
        <x:v>3/5</x:v>
      </x:c>
      <x:c r="AH370" s="14" t="n">
        <x:v>30</x:v>
      </x:c>
      <x:c r="AI370" s="15" t="str">
        <x:v>Canonical source for Deployment Detail!30</x:v>
      </x:c>
    </x:row>
    <x:row r="371" ht="135">
      <x:c r="A371" s="12" t="str">
        <x:v>Deployment Detail</x:v>
      </x:c>
      <x:c r="B371" s="13" t="str">
        <x:v>Architecture Source / Notes</x:v>
      </x:c>
      <x:c r="C371" s="8" t="str">
        <x:v>One vendor controls the service, accounts, official clients, and server backend.</x:v>
      </x:c>
      <x:c r="D371" s="8" t="str">
        <x:v>Armada separates identity/content from a single platform host: keys are the account and relays are replaceable transport.</x:v>
      </x:c>
      <x:c r="E371" s="8" t="str">
        <x:v>DCTS combines island-like community servers with a separate cross-server encrypted messenger.</x:v>
      </x:c>
      <x:c r="F371" s="8" t="str">
        <x:v>Familiar Discord-style UX on a centralized service.</x:v>
      </x:c>
      <x:c r="G371" s="8" t="str">
        <x:v>Privacy features are product-level, but it is currently a centralized service rather than a federated protocol.</x:v>
      </x:c>
      <x:c r="H371" s="8" t="str">
        <x:v>Self-hosting exists now; federation is a separate roadmap item and should not be assumed.</x:v>
      </x:c>
      <x:c r="I371" s="8" t="str">
        <x:v>Self-hosting exists, but instances are not documented as one federated network.</x:v>
      </x:c>
      <x:c r="J371" s="8" t="str">
        <x:v>Harmony is the platform/API; Fermi is a client. This mirrors the Matrix/Element distinction conceptually, though Harmony is not Matrix.</x:v>
      </x:c>
      <x:c r="K371" s="8" t="str">
        <x:v>There is no central account database: the user's keypair is the identity and message history lives locally.</x:v>
      </x:c>
      <x:c r="L371" s="8" t="str">
        <x:v>FastAPI REST/federation + separate WebSocket Gateway; PostgreSQL durable state; Dragonfly ephemeral/tasks; S3-compatible media; LiveKit media</x:v>
      </x:c>
      <x:c r="M371" s="8" t="str">
        <x:v>Privacy-minimal account design is distinct from decentralization/self-hosting.</x:v>
      </x:c>
      <x:c r="N371" s="8" t="str">
        <x:v>Unlike a purely centralized clone, Loqa explicitly targets federation/self-hosting, but the architecture is still evolving.</x:v>
      </x:c>
      <x:c r="O371" s="8" t="str">
        <x:v>Element is a Matrix client/vendor product. Matrix itself is the protocol and federated ecosystem.</x:v>
      </x:c>
      <x:c r="P371" s="8" t="str">
        <x:v>Self-hosting gives data control, but separate Mattermost deployments do not form one interoperable federation.</x:v>
      </x:c>
      <x:c r="Q371" s="8" t="str">
        <x:v>Open source code does not by itself make Mezon a federated protocol like Matrix.</x:v>
      </x:c>
      <x:c r="R371" s="8" t="str">
        <x:v>A voice-first client/server system, not a Discord-style social platform.</x:v>
      </x:c>
      <x:c r="S371" s="8" t="str">
        <x:v>Open source does not imply federation. The official project discourages self-hosting as a normal deployment model.</x:v>
      </x:c>
      <x:c r="T371" s="8" t="str">
        <x:v>Regional distribution is not federation or self-hosting.</x:v>
      </x:c>
      <x:c r="U371" s="8" t="str">
        <x:v>Hosted API runs on Fly.io in São Paulo; SPA runs on Cloudflare Pages. AGPL-3.0 self-hosting is supported. Voice uses P2P for small/DM calls and LiveKit for listed or larger hosted rooms.</x:v>
      </x:c>
      <x:c r="V371" s="8" t="str">
        <x:v>Privacy policy choices (no email/phone/ID, EXIF stripping, no AI training) operate within a centralized service model.</x:v>
      </x:c>
      <x:c r="W371" s="8" t="str">
        <x:v>Federation exists, but its feature set is narrower than local rooms and differs from Matrix-as-a-platform.</x:v>
      </x:c>
      <x:c r="X371" s="8" t="str">
        <x:v>Roomy is an ATProto application, not a generic centralized Discord clone.</x:v>
      </x:c>
      <x:c r="Y371" s="8" t="str">
        <x:v>Apps/Bots are hosted inside Root; they extend Root but do not make it self-hosted/federated.</x:v>
      </x:c>
      <x:c r="Z371" s="8" t="str">
        <x:v>Spacebar reproduces Discord's client-server API model; it is not a federated network.</x:v>
      </x:c>
      <x:c r="AA371" s="8" t="str">
        <x:v>Self-hostable does not mean federated. Separate Stoat instances do not automatically interoperate.</x:v>
      </x:c>
      <x:c r="AB371" s="8" t="str">
        <x:v>Server ownership can be independent, but TeamSpeak servers do not federate into one network.</x:v>
      </x:c>
      <x:c r="AC371" s="9" t="str">
        <x:v>Valour is one open-source platform/client-server stack, not a general protocol ecosystem like Matrix.</x:v>
      </x:c>
      <x:c r="AD371" s="8" t="str">
        <x:v>Current and planned architecture differ; mark federation/self-hosting as in progress, not complete.</x:v>
      </x:c>
      <x:c r="AE371" s="8" t="str">
        <x:v>Weered intentionally uses game lobbies/rooms rather than cloning Discord's server/channel information architecture.</x:v>
      </x:c>
      <x:c r="AF371" s="8" t="str">
        <x:v>Like TeamSpeak, operator owns the server; unlike Matrix, servers are not documented as federated.</x:v>
      </x:c>
      <x:c r="AG371" s="8" t="str">
        <x:v>Multiple deployments are independent. Zulip is an application, not a federated protocol.</x:v>
      </x:c>
      <x:c r="AH371" s="14" t="n">
        <x:v>32</x:v>
      </x:c>
      <x:c r="AI371" s="15" t="str">
        <x:v>Canonical source for Deployment Detail!32</x:v>
      </x:c>
    </x:row>
    <x:row r="372" ht="105">
      <x:c r="A372" s="12" t="str">
        <x:v>Deployment Detail</x:v>
      </x:c>
      <x:c r="B372" s="13" t="str">
        <x:v>High Availability Documented?</x:v>
      </x:c>
      <x:c r="C372" s="8" t="str">
        <x:v>N/A: SaaS</x:v>
      </x:c>
      <x:c r="D372" s="8"/>
      <x:c r="E372" s="8"/>
      <x:c r="F372" s="8"/>
      <x:c r="G372" s="8"/>
      <x:c r="H372" s="8"/>
      <x:c r="I372" s="8"/>
      <x:c r="J372" s="8"/>
      <x:c r="K372" s="8"/>
      <x:c r="L372" s="8" t="str">
        <x:v>Partial: component replication/scaling behavior is documented, but no turnkey multi-node HA deployment guide located</x:v>
      </x:c>
      <x:c r="M372" s="8"/>
      <x:c r="N372" s="8"/>
      <x:c r="O372" s="8"/>
      <x:c r="P372" s="8" t="str">
        <x:v>Yes</x:v>
      </x:c>
      <x:c r="Q372" s="8"/>
      <x:c r="R372" s="8"/>
      <x:c r="S372" s="8"/>
      <x:c r="T372" s="8"/>
      <x:c r="U372" s="8"/>
      <x:c r="V372" s="8" t="str">
        <x:v>N/A: no public self-hosting</x:v>
      </x:c>
      <x:c r="W372" s="8" t="str">
        <x:v>Yes</x:v>
      </x:c>
      <x:c r="X372" s="8"/>
      <x:c r="Y372" s="8"/>
      <x:c r="Z372" s="8"/>
      <x:c r="AA372" s="8"/>
      <x:c r="AB372" s="8"/>
      <x:c r="AC372" s="9"/>
      <x:c r="AD372" s="8"/>
      <x:c r="AE372" s="8"/>
      <x:c r="AF372" s="8"/>
      <x:c r="AG372" s="8"/>
      <x:c r="AH372" s="14" t="n">
        <x:v>34</x:v>
      </x:c>
      <x:c r="AI372" s="15" t="str">
        <x:v>Canonical source for Deployment Detail!34</x:v>
      </x:c>
    </x:row>
    <x:row r="373" ht="105">
      <x:c r="A373" s="12" t="str">
        <x:v>Deployment Detail</x:v>
      </x:c>
      <x:c r="B373" s="13" t="str">
        <x:v>Horizontal Scaling Documented?</x:v>
      </x:c>
      <x:c r="C373" s="8" t="str">
        <x:v>N/A: SaaS</x:v>
      </x:c>
      <x:c r="D373" s="8"/>
      <x:c r="E373" s="8"/>
      <x:c r="F373" s="8"/>
      <x:c r="G373" s="8"/>
      <x:c r="H373" s="8"/>
      <x:c r="I373" s="8"/>
      <x:c r="J373" s="8"/>
      <x:c r="K373" s="8"/>
      <x:c r="L373" s="8" t="str">
        <x:v>Partial: component replication/scaling behavior is documented, but no turnkey multi-node HA deployment guide located</x:v>
      </x:c>
      <x:c r="M373" s="8"/>
      <x:c r="N373" s="8"/>
      <x:c r="O373" s="8"/>
      <x:c r="P373" s="8" t="str">
        <x:v>Yes</x:v>
      </x:c>
      <x:c r="Q373" s="8"/>
      <x:c r="R373" s="8"/>
      <x:c r="S373" s="8"/>
      <x:c r="T373" s="8"/>
      <x:c r="U373" s="8"/>
      <x:c r="V373" s="8" t="str">
        <x:v>N/A</x:v>
      </x:c>
      <x:c r="W373" s="8" t="str">
        <x:v>Yes</x:v>
      </x:c>
      <x:c r="X373" s="8"/>
      <x:c r="Y373" s="8"/>
      <x:c r="Z373" s="8"/>
      <x:c r="AA373" s="8"/>
      <x:c r="AB373" s="8"/>
      <x:c r="AC373" s="9"/>
      <x:c r="AD373" s="8"/>
      <x:c r="AE373" s="8"/>
      <x:c r="AF373" s="8"/>
      <x:c r="AG373" s="8"/>
      <x:c r="AH373" s="14" t="n">
        <x:v>35</x:v>
      </x:c>
      <x:c r="AI373" s="15" t="str">
        <x:v>Canonical source for Deployment Detail!35</x:v>
      </x:c>
    </x:row>
    <x:row r="374" ht="105">
      <x:c r="A374" s="12" t="str">
        <x:v>Deployment Detail</x:v>
      </x:c>
      <x:c r="B374" s="13" t="str">
        <x:v>Backup / Restore Documentation?</x:v>
      </x:c>
      <x:c r="C374" s="8"/>
      <x:c r="D374" s="8"/>
      <x:c r="E374" s="8"/>
      <x:c r="F374" s="8"/>
      <x:c r="G374" s="8"/>
      <x:c r="H374" s="8"/>
      <x:c r="I374" s="8"/>
      <x:c r="J374" s="8"/>
      <x:c r="K374" s="8"/>
      <x:c r="L374" s="8" t="str">
        <x:v>Yes: operator guide covers PostgreSQL/object-storage/secrets/config backups and upgrade/rollback boundaries</x:v>
      </x:c>
      <x:c r="M374" s="8"/>
      <x:c r="N374" s="8"/>
      <x:c r="O374" s="8"/>
      <x:c r="P374" s="8" t="str">
        <x:v>Yes</x:v>
      </x:c>
      <x:c r="Q374" s="8"/>
      <x:c r="R374" s="8"/>
      <x:c r="S374" s="8"/>
      <x:c r="T374" s="8"/>
      <x:c r="U374" s="8"/>
      <x:c r="V374" s="8" t="str">
        <x:v>N/A: hosted</x:v>
      </x:c>
      <x:c r="W374" s="8" t="str">
        <x:v>Yes</x:v>
      </x:c>
      <x:c r="X374" s="8"/>
      <x:c r="Y374" s="8"/>
      <x:c r="Z374" s="8"/>
      <x:c r="AA374" s="8"/>
      <x:c r="AB374" s="8"/>
      <x:c r="AC374" s="9"/>
      <x:c r="AD374" s="8"/>
      <x:c r="AE374" s="8"/>
      <x:c r="AF374" s="8"/>
      <x:c r="AG374" s="8" t="str">
        <x:v>Yes</x:v>
      </x:c>
      <x:c r="AH374" s="14" t="n">
        <x:v>36</x:v>
      </x:c>
      <x:c r="AI374" s="15" t="str">
        <x:v>Canonical source for Deployment Detail!36</x:v>
      </x:c>
    </x:row>
    <x:row r="375" ht="75">
      <x:c r="A375" s="12" t="str">
        <x:v>Deployment Detail</x:v>
      </x:c>
      <x:c r="B375" s="13" t="str">
        <x:v>Built-In Metrics / Observability?</x:v>
      </x:c>
      <x:c r="C375" s="8"/>
      <x:c r="D375" s="8"/>
      <x:c r="E375" s="8"/>
      <x:c r="F375" s="8"/>
      <x:c r="G375" s="8"/>
      <x:c r="H375" s="8"/>
      <x:c r="I375" s="8"/>
      <x:c r="J375" s="8"/>
      <x:c r="K375" s="8"/>
      <x:c r="L375" s="8" t="str">
        <x:v>Yes: internal metrics, Prometheus rules and provisioned Grafana dashboard documented</x:v>
      </x:c>
      <x:c r="M375" s="8"/>
      <x:c r="N375" s="8"/>
      <x:c r="O375" s="8"/>
      <x:c r="P375" s="8" t="str">
        <x:v>Yes</x:v>
      </x:c>
      <x:c r="Q375" s="8"/>
      <x:c r="R375" s="8"/>
      <x:c r="S375" s="8"/>
      <x:c r="T375" s="8"/>
      <x:c r="U375" s="8"/>
      <x:c r="V375" s="8" t="str">
        <x:v>N/A</x:v>
      </x:c>
      <x:c r="W375" s="8"/>
      <x:c r="X375" s="8"/>
      <x:c r="Y375" s="8"/>
      <x:c r="Z375" s="8"/>
      <x:c r="AA375" s="8"/>
      <x:c r="AB375" s="8"/>
      <x:c r="AC375" s="9"/>
      <x:c r="AD375" s="8"/>
      <x:c r="AE375" s="8"/>
      <x:c r="AF375" s="8"/>
      <x:c r="AG375" s="8"/>
      <x:c r="AH375" s="14" t="n">
        <x:v>37</x:v>
      </x:c>
      <x:c r="AI375" s="15" t="str">
        <x:v>Canonical source for Deployment Detail!37</x:v>
      </x:c>
    </x:row>
    <x:row r="376" ht="90">
      <x:c r="A376" s="12" t="str">
        <x:v>Deployment Detail</x:v>
      </x:c>
      <x:c r="B376" s="13" t="str">
        <x:v>SMTP / Email Service Required?</x:v>
      </x:c>
      <x:c r="C376" s="8"/>
      <x:c r="D376" s="8"/>
      <x:c r="E376" s="8"/>
      <x:c r="F376" s="8"/>
      <x:c r="G376" s="8"/>
      <x:c r="H376" s="8"/>
      <x:c r="I376" s="8"/>
      <x:c r="J376" s="8"/>
      <x:c r="K376" s="8"/>
      <x:c r="L376" s="8" t="str">
        <x:v>Optional: email can be disabled; with email off signup uses username/password and recovery becomes operator-assisted</x:v>
      </x:c>
      <x:c r="M376" s="8"/>
      <x:c r="N376" s="8"/>
      <x:c r="O376" s="8"/>
      <x:c r="P376" s="8" t="str">
        <x:v>Common/optional by config</x:v>
      </x:c>
      <x:c r="Q376" s="8"/>
      <x:c r="R376" s="8"/>
      <x:c r="S376" s="8"/>
      <x:c r="T376" s="8"/>
      <x:c r="U376" s="8"/>
      <x:c r="V376" s="8" t="str">
        <x:v>N/A</x:v>
      </x:c>
      <x:c r="W376" s="8" t="str">
        <x:v>Common/optional by config</x:v>
      </x:c>
      <x:c r="X376" s="8"/>
      <x:c r="Y376" s="8"/>
      <x:c r="Z376" s="8"/>
      <x:c r="AA376" s="8"/>
      <x:c r="AB376" s="8"/>
      <x:c r="AC376" s="9"/>
      <x:c r="AD376" s="8"/>
      <x:c r="AE376" s="8"/>
      <x:c r="AF376" s="8"/>
      <x:c r="AG376" s="8" t="str">
        <x:v>Yes for full email flows</x:v>
      </x:c>
      <x:c r="AH376" s="14" t="n">
        <x:v>38</x:v>
      </x:c>
      <x:c r="AI376" s="15" t="str">
        <x:v>Canonical source for Deployment Detail!38</x:v>
      </x:c>
    </x:row>
    <x:row r="377" ht="30">
      <x:c r="A377" s="12" t="str">
        <x:v>Client &amp; Distribution</x:v>
      </x:c>
      <x:c r="B377" s="13" t="str">
        <x:v>Web Client</x:v>
      </x:c>
      <x:c r="C377" s="8" t="str">
        <x:v>Yes</x:v>
      </x:c>
      <x:c r="D377" s="8" t="str">
        <x:v>Yes</x:v>
      </x:c>
      <x:c r="E377" s="8" t="str">
        <x:v>Yes</x:v>
      </x:c>
      <x:c r="F377" s="8" t="str">
        <x:v>Yes</x:v>
      </x:c>
      <x:c r="G377" s="8" t="str">
        <x:v>Yes</x:v>
      </x:c>
      <x:c r="H377" s="8" t="str">
        <x:v>Yes</x:v>
      </x:c>
      <x:c r="I377" s="8" t="str">
        <x:v>Yes</x:v>
      </x:c>
      <x:c r="J377" s="8" t="str">
        <x:v>Yes</x:v>
      </x:c>
      <x:c r="K377" s="8" t="str">
        <x:v>No web-first; native clients</x:v>
      </x:c>
      <x:c r="L377" s="8" t="str">
        <x:v>Yes</x:v>
      </x:c>
      <x:c r="M377" s="8" t="str">
        <x:v>Yes</x:v>
      </x:c>
      <x:c r="N377" s="8" t="str">
        <x:v>Yes</x:v>
      </x:c>
      <x:c r="O377" s="8" t="str">
        <x:v>Yes: depends on chosen client</x:v>
      </x:c>
      <x:c r="P377" s="8" t="str">
        <x:v>Yes</x:v>
      </x:c>
      <x:c r="Q377" s="8" t="str">
        <x:v>Yes</x:v>
      </x:c>
      <x:c r="R377" s="8" t="str">
        <x:v>No official web client core</x:v>
      </x:c>
      <x:c r="S377" s="8" t="str">
        <x:v>Yes</x:v>
      </x:c>
      <x:c r="T377" s="8" t="str">
        <x:v>Yes</x:v>
      </x:c>
      <x:c r="U377" s="8" t="str">
        <x:v>Yes: React/Vite</x:v>
      </x:c>
      <x:c r="V377" s="8" t="str">
        <x:v>Yes</x:v>
      </x:c>
      <x:c r="W377" s="8" t="str">
        <x:v>Yes</x:v>
      </x:c>
      <x:c r="X377" s="8" t="str">
        <x:v>Yes</x:v>
      </x:c>
      <x:c r="Y377" s="8" t="str">
        <x:v>Yes/desktop service surface</x:v>
      </x:c>
      <x:c r="Z377" s="8" t="str">
        <x:v>Spacebar client/web options</x:v>
      </x:c>
      <x:c r="AA377" s="8" t="str">
        <x:v>Yes: Solid.js PWA</x:v>
      </x:c>
      <x:c r="AB377" s="8" t="str">
        <x:v>Web support/product-generation dependent</x:v>
      </x:c>
      <x:c r="AC377" s="9" t="str">
        <x:v>Yes</x:v>
      </x:c>
      <x:c r="AD377" s="8"/>
      <x:c r="AE377" s="8" t="str">
        <x:v>Yes</x:v>
      </x:c>
      <x:c r="AF377" s="8" t="str">
        <x:v>Yes</x:v>
      </x:c>
      <x:c r="AG377" s="8" t="str">
        <x:v>Yes</x:v>
      </x:c>
      <x:c r="AH377" s="14" t="n">
        <x:v>3</x:v>
      </x:c>
      <x:c r="AI377" s="15" t="str">
        <x:v>Shared metric: Client &amp; Distribution: Web Client | Performance &amp; Client Stack: Web Client</x:v>
      </x:c>
    </x:row>
    <x:row r="378" ht="30">
      <x:c r="A378" s="12" t="str">
        <x:v>Client &amp; Distribution</x:v>
      </x:c>
      <x:c r="B378" s="13" t="str">
        <x:v>Desktop Client</x:v>
      </x:c>
      <x:c r="C378" s="8" t="str">
        <x:v>Yes</x:v>
      </x:c>
      <x:c r="D378" s="8"/>
      <x:c r="E378" s="8" t="str">
        <x:v>Yes</x:v>
      </x:c>
      <x:c r="F378" s="8" t="str">
        <x:v>Yes</x:v>
      </x:c>
      <x:c r="G378" s="8" t="str">
        <x:v>PWA/web-first</x:v>
      </x:c>
      <x:c r="H378" s="8" t="str">
        <x:v>Yes</x:v>
      </x:c>
      <x:c r="I378" s="8" t="str">
        <x:v>Yes</x:v>
      </x:c>
      <x:c r="J378" s="8" t="str">
        <x:v>Yes: Tauri</x:v>
      </x:c>
      <x:c r="K378" s="8" t="str">
        <x:v>Yes</x:v>
      </x:c>
      <x:c r="L378" s="8" t="str">
        <x:v>Yes</x:v>
      </x:c>
      <x:c r="M378" s="8"/>
      <x:c r="N378" s="8"/>
      <x:c r="O378" s="8" t="str">
        <x:v>Yes: depends on chosen client</x:v>
      </x:c>
      <x:c r="P378" s="8" t="str">
        <x:v>Yes</x:v>
      </x:c>
      <x:c r="Q378" s="8" t="str">
        <x:v>Yes</x:v>
      </x:c>
      <x:c r="R378" s="8" t="str">
        <x:v>Yes</x:v>
      </x:c>
      <x:c r="S378" s="8" t="str">
        <x:v>Yes</x:v>
      </x:c>
      <x:c r="T378" s="8" t="str">
        <x:v>Yes</x:v>
      </x:c>
      <x:c r="U378" s="8" t="str">
        <x:v>Yes: Electron</x:v>
      </x:c>
      <x:c r="V378" s="8" t="str">
        <x:v>Yes - Windows, Mac &amp; Linux</x:v>
      </x:c>
      <x:c r="W378" s="8" t="str">
        <x:v>Yes</x:v>
      </x:c>
      <x:c r="X378" s="8"/>
      <x:c r="Y378" s="8" t="str">
        <x:v>Yes</x:v>
      </x:c>
      <x:c r="Z378" s="8" t="str">
        <x:v>Project client exists</x:v>
      </x:c>
      <x:c r="AA378" s="8" t="str">
        <x:v>Yes: Electron wrapper</x:v>
      </x:c>
      <x:c r="AB378" s="8" t="str">
        <x:v>Yes</x:v>
      </x:c>
      <x:c r="AC378" s="9" t="str">
        <x:v>Yes: Windows</x:v>
      </x:c>
      <x:c r="AD378" s="8" t="str">
        <x:v>Yes</x:v>
      </x:c>
      <x:c r="AE378" s="8" t="str">
        <x:v>Yes</x:v>
      </x:c>
      <x:c r="AF378" s="8"/>
      <x:c r="AG378" s="8" t="str">
        <x:v>Yes</x:v>
      </x:c>
      <x:c r="AH378" s="14" t="n">
        <x:v>4</x:v>
      </x:c>
      <x:c r="AI378" s="15" t="str">
        <x:v>Canonical source for Client &amp; Distribution!4</x:v>
      </x:c>
    </x:row>
    <x:row r="379" ht="60">
      <x:c r="A379" s="12" t="str">
        <x:v>Client &amp; Distribution</x:v>
      </x:c>
      <x:c r="B379" s="13" t="str">
        <x:v>Desktop Framework</x:v>
      </x:c>
      <x:c r="C379" s="8" t="str">
        <x:v>Electron</x:v>
      </x:c>
      <x:c r="D379" s="8"/>
      <x:c r="E379" s="8"/>
      <x:c r="F379" s="8"/>
      <x:c r="G379" s="8" t="str">
        <x:v>Next.js/TypeScript web stack</x:v>
      </x:c>
      <x:c r="H379" s="8" t="str">
        <x:v>Electron</x:v>
      </x:c>
      <x:c r="I379" s="8" t="str">
        <x:v>Wails v3 native desktop</x:v>
      </x:c>
      <x:c r="J379" s="8" t="str">
        <x:v>Tauri</x:v>
      </x:c>
      <x:c r="K379" s="8" t="str">
        <x:v>Flutter + Rust</x:v>
      </x:c>
      <x:c r="L379" s="8" t="str">
        <x:v>Tauri + SvelteKit; Rust owns native audio/video/capture/device work</x:v>
      </x:c>
      <x:c r="M379" s="8"/>
      <x:c r="N379" s="8"/>
      <x:c r="O379" s="8" t="str">
        <x:v>Varies: Electron/native/GTK/etc.</x:v>
      </x:c>
      <x:c r="P379" s="8" t="str">
        <x:v>Electron</x:v>
      </x:c>
      <x:c r="Q379" s="8" t="str">
        <x:v>Rust native desktop</x:v>
      </x:c>
      <x:c r="R379" s="8" t="str">
        <x:v>Native Qt</x:v>
      </x:c>
      <x:c r="S379" s="8" t="str">
        <x:v>Electron</x:v>
      </x:c>
      <x:c r="T379" s="8"/>
      <x:c r="U379" s="8" t="str">
        <x:v>Electron</x:v>
      </x:c>
      <x:c r="V379" s="8" t="str">
        <x:v>Rust</x:v>
      </x:c>
      <x:c r="W379" s="8" t="str">
        <x:v>Electron</x:v>
      </x:c>
      <x:c r="X379" s="8" t="str">
        <x:v>Web app</x:v>
      </x:c>
      <x:c r="Y379" s="8"/>
      <x:c r="Z379" s="8"/>
      <x:c r="AA379" s="8" t="str">
        <x:v>Electron + web stack</x:v>
      </x:c>
      <x:c r="AB379" s="8" t="str">
        <x:v>Proprietary/native</x:v>
      </x:c>
      <x:c r="AC379" s="9" t="str">
        <x:v>Blazor/WebAssembly + launcher</x:v>
      </x:c>
      <x:c r="AD379" s="8"/>
      <x:c r="AE379" s="8" t="str">
        <x:v>Tauri</x:v>
      </x:c>
      <x:c r="AF379" s="8" t="str">
        <x:v>Browser-first</x:v>
      </x:c>
      <x:c r="AG379" s="8" t="str">
        <x:v>Electron</x:v>
      </x:c>
      <x:c r="AH379" s="14" t="n">
        <x:v>5</x:v>
      </x:c>
      <x:c r="AI379" s="15" t="str">
        <x:v>Canonical source for Client &amp; Distribution!5</x:v>
      </x:c>
    </x:row>
    <x:row r="380" ht="45">
      <x:c r="A380" s="12" t="str">
        <x:v>Client &amp; Distribution</x:v>
      </x:c>
      <x:c r="B380" s="13" t="str">
        <x:v>Windows Support</x:v>
      </x:c>
      <x:c r="C380" s="8" t="str">
        <x:v>Yes: x64 and ARM64</x:v>
      </x:c>
      <x:c r="D380" s="8" t="str">
        <x:v>Web</x:v>
      </x:c>
      <x:c r="E380" s="8" t="str">
        <x:v>Yes</x:v>
      </x:c>
      <x:c r="F380" s="8" t="str">
        <x:v>Yes</x:v>
      </x:c>
      <x:c r="G380" s="8" t="str">
        <x:v>Yes via web/PWA</x:v>
      </x:c>
      <x:c r="H380" s="8" t="str">
        <x:v>Yes</x:v>
      </x:c>
      <x:c r="I380" s="8" t="str">
        <x:v>Yes</x:v>
      </x:c>
      <x:c r="J380" s="8" t="str">
        <x:v>Web TS/HTML/CSS</x:v>
      </x:c>
      <x:c r="K380" s="8" t="str">
        <x:v>Flutter/Rust native</x:v>
      </x:c>
      <x:c r="L380" s="8" t="str">
        <x:v>Yes</x:v>
      </x:c>
      <x:c r="M380" s="8"/>
      <x:c r="N380" s="8" t="str">
        <x:v>Web</x:v>
      </x:c>
      <x:c r="O380" s="8" t="str">
        <x:v>Yes: many clients</x:v>
      </x:c>
      <x:c r="P380" s="8" t="str">
        <x:v>Yes</x:v>
      </x:c>
      <x:c r="Q380" s="8" t="str">
        <x:v>Yes</x:v>
      </x:c>
      <x:c r="R380" s="8" t="str">
        <x:v>Yes</x:v>
      </x:c>
      <x:c r="S380" s="8" t="str">
        <x:v>Yes</x:v>
      </x:c>
      <x:c r="T380" s="8" t="str">
        <x:v>Yes</x:v>
      </x:c>
      <x:c r="U380" s="8" t="str">
        <x:v>Yes</x:v>
      </x:c>
      <x:c r="V380" s="8" t="str">
        <x:v>Yes</x:v>
      </x:c>
      <x:c r="W380" s="8" t="str">
        <x:v>Yes</x:v>
      </x:c>
      <x:c r="X380" s="8" t="str">
        <x:v>Web/TypeScript</x:v>
      </x:c>
      <x:c r="Y380" s="8" t="str">
        <x:v>Yes</x:v>
      </x:c>
      <x:c r="Z380" s="8" t="str">
        <x:v>Client-dependent</x:v>
      </x:c>
      <x:c r="AA380" s="8" t="str">
        <x:v>Yes</x:v>
      </x:c>
      <x:c r="AB380" s="8" t="str">
        <x:v>Yes</x:v>
      </x:c>
      <x:c r="AC380" s="9" t="str">
        <x:v>Blazor/WebAssembly; desktop launcher</x:v>
      </x:c>
      <x:c r="AD380" s="8" t="str">
        <x:v>Yes</x:v>
      </x:c>
      <x:c r="AE380" s="8" t="str">
        <x:v>Tauri</x:v>
      </x:c>
      <x:c r="AF380" s="8" t="str">
        <x:v>Yes browser</x:v>
      </x:c>
      <x:c r="AG380" s="8" t="str">
        <x:v>Yes</x:v>
      </x:c>
      <x:c r="AH380" s="14" t="n">
        <x:v>6</x:v>
      </x:c>
      <x:c r="AI380" s="15" t="str">
        <x:v>Shared metric: Client &amp; Distribution: Windows Support | Performance &amp; Client Stack: Windows Support</x:v>
      </x:c>
    </x:row>
    <x:row r="381" ht="45">
      <x:c r="A381" s="12" t="str">
        <x:v>Client &amp; Distribution</x:v>
      </x:c>
      <x:c r="B381" s="13" t="str">
        <x:v>macOS Support</x:v>
      </x:c>
      <x:c r="C381" s="8" t="str">
        <x:v>Yes</x:v>
      </x:c>
      <x:c r="D381" s="8" t="str">
        <x:v>Web</x:v>
      </x:c>
      <x:c r="E381" s="8" t="str">
        <x:v>Yes</x:v>
      </x:c>
      <x:c r="F381" s="8" t="str">
        <x:v>Yes</x:v>
      </x:c>
      <x:c r="G381" s="8" t="str">
        <x:v>Yes via web/PWA</x:v>
      </x:c>
      <x:c r="H381" s="8" t="str">
        <x:v>Yes</x:v>
      </x:c>
      <x:c r="I381" s="8" t="str">
        <x:v>Yes</x:v>
      </x:c>
      <x:c r="J381" s="8" t="str">
        <x:v>Web</x:v>
      </x:c>
      <x:c r="K381" s="8" t="str">
        <x:v>Yes</x:v>
      </x:c>
      <x:c r="L381" s="8" t="str">
        <x:v>Yes</x:v>
      </x:c>
      <x:c r="M381" s="8"/>
      <x:c r="N381" s="8" t="str">
        <x:v>Web</x:v>
      </x:c>
      <x:c r="O381" s="8" t="str">
        <x:v>Yes: many clients</x:v>
      </x:c>
      <x:c r="P381" s="8" t="str">
        <x:v>Yes</x:v>
      </x:c>
      <x:c r="Q381" s="8" t="str">
        <x:v>Yes</x:v>
      </x:c>
      <x:c r="R381" s="8" t="str">
        <x:v>Yes</x:v>
      </x:c>
      <x:c r="S381" s="8" t="str">
        <x:v>Yes</x:v>
      </x:c>
      <x:c r="T381" s="8" t="str">
        <x:v>Yes</x:v>
      </x:c>
      <x:c r="U381" s="8" t="str">
        <x:v>Yes</x:v>
      </x:c>
      <x:c r="V381" s="8" t="str">
        <x:v>Yes</x:v>
      </x:c>
      <x:c r="W381" s="8" t="str">
        <x:v>Yes</x:v>
      </x:c>
      <x:c r="X381" s="8" t="str">
        <x:v>Web</x:v>
      </x:c>
      <x:c r="Y381" s="8" t="str">
        <x:v>Yes</x:v>
      </x:c>
      <x:c r="Z381" s="8" t="str">
        <x:v>Client-dependent</x:v>
      </x:c>
      <x:c r="AA381" s="8" t="str">
        <x:v>Yes</x:v>
      </x:c>
      <x:c r="AB381" s="8" t="str">
        <x:v>Yes</x:v>
      </x:c>
      <x:c r="AC381" s="9" t="str">
        <x:v>Web</x:v>
      </x:c>
      <x:c r="AD381" s="8" t="str">
        <x:v>Yes</x:v>
      </x:c>
      <x:c r="AE381" s="8" t="str">
        <x:v>Yes</x:v>
      </x:c>
      <x:c r="AF381" s="8" t="str">
        <x:v>Yes browser</x:v>
      </x:c>
      <x:c r="AG381" s="8" t="str">
        <x:v>Yes</x:v>
      </x:c>
      <x:c r="AH381" s="14" t="n">
        <x:v>7</x:v>
      </x:c>
      <x:c r="AI381" s="15" t="str">
        <x:v>Shared metric: Client &amp; Distribution: macOS Support | Performance &amp; Client Stack: macOS Support</x:v>
      </x:c>
    </x:row>
    <x:row r="382" ht="45">
      <x:c r="A382" s="12" t="str">
        <x:v>Client &amp; Distribution</x:v>
      </x:c>
      <x:c r="B382" s="13" t="str">
        <x:v>Linux Support</x:v>
      </x:c>
      <x:c r="C382" s="8" t="str">
        <x:v>Yes</x:v>
      </x:c>
      <x:c r="D382" s="8" t="str">
        <x:v>Web</x:v>
      </x:c>
      <x:c r="E382" s="8" t="str">
        <x:v>Yes</x:v>
      </x:c>
      <x:c r="F382" s="8" t="str">
        <x:v>Yes</x:v>
      </x:c>
      <x:c r="G382" s="8" t="str">
        <x:v>Yes via web/PWA</x:v>
      </x:c>
      <x:c r="H382" s="8" t="str">
        <x:v>Yes: deb/rpm/AppImage/tar.gz</x:v>
      </x:c>
      <x:c r="I382" s="8" t="str">
        <x:v>Yes</x:v>
      </x:c>
      <x:c r="J382" s="8" t="str">
        <x:v>Web</x:v>
      </x:c>
      <x:c r="K382" s="8" t="str">
        <x:v>Yes</x:v>
      </x:c>
      <x:c r="L382" s="8" t="str">
        <x:v>Yes</x:v>
      </x:c>
      <x:c r="M382" s="8"/>
      <x:c r="N382" s="8" t="str">
        <x:v>Web</x:v>
      </x:c>
      <x:c r="O382" s="8" t="str">
        <x:v>Yes: many clients</x:v>
      </x:c>
      <x:c r="P382" s="8" t="str">
        <x:v>Yes</x:v>
      </x:c>
      <x:c r="Q382" s="8" t="str">
        <x:v>Yes</x:v>
      </x:c>
      <x:c r="R382" s="8" t="str">
        <x:v>Yes</x:v>
      </x:c>
      <x:c r="S382" s="8" t="str">
        <x:v>Yes</x:v>
      </x:c>
      <x:c r="T382" s="8" t="str">
        <x:v>Yes</x:v>
      </x:c>
      <x:c r="U382" s="8" t="str">
        <x:v>Yes</x:v>
      </x:c>
      <x:c r="V382" s="8" t="str">
        <x:v>Yes: AppImage, .deb, and .rpm</x:v>
      </x:c>
      <x:c r="W382" s="8" t="str">
        <x:v>Yes</x:v>
      </x:c>
      <x:c r="X382" s="8" t="str">
        <x:v>Web</x:v>
      </x:c>
      <x:c r="Y382" s="8"/>
      <x:c r="Z382" s="8" t="str">
        <x:v>Client-dependent</x:v>
      </x:c>
      <x:c r="AA382" s="8" t="str">
        <x:v>Yes</x:v>
      </x:c>
      <x:c r="AB382" s="8" t="str">
        <x:v>Yes</x:v>
      </x:c>
      <x:c r="AC382" s="9" t="str">
        <x:v>Web</x:v>
      </x:c>
      <x:c r="AD382" s="8" t="str">
        <x:v>Linux experimental</x:v>
      </x:c>
      <x:c r="AE382" s="8" t="str">
        <x:v>Yes</x:v>
      </x:c>
      <x:c r="AF382" s="8" t="str">
        <x:v>Yes browser</x:v>
      </x:c>
      <x:c r="AG382" s="8" t="str">
        <x:v>Yes</x:v>
      </x:c>
      <x:c r="AH382" s="14" t="n">
        <x:v>8</x:v>
      </x:c>
      <x:c r="AI382" s="15" t="str">
        <x:v>Canonical source for Client &amp; Distribution!8</x:v>
      </x:c>
    </x:row>
    <x:row r="383" ht="60">
      <x:c r="A383" s="12" t="str">
        <x:v>Client &amp; Distribution</x:v>
      </x:c>
      <x:c r="B383" s="13" t="str">
        <x:v>Android Support</x:v>
      </x:c>
      <x:c r="C383" s="8" t="str">
        <x:v>Yes: Play Store</x:v>
      </x:c>
      <x:c r="D383" s="8" t="str">
        <x:v>Yes</x:v>
      </x:c>
      <x:c r="E383" s="8" t="str">
        <x:v>Android</x:v>
      </x:c>
      <x:c r="F383" s="8" t="str">
        <x:v>Android APK</x:v>
      </x:c>
      <x:c r="G383" s="8"/>
      <x:c r="H383" s="8" t="str">
        <x:v>Native Flutter beta + PWA</x:v>
      </x:c>
      <x:c r="I383" s="8" t="str">
        <x:v>Yes</x:v>
      </x:c>
      <x:c r="J383" s="8" t="str">
        <x:v>In development</x:v>
      </x:c>
      <x:c r="K383" s="8" t="str">
        <x:v>Mobile port usable</x:v>
      </x:c>
      <x:c r="L383" s="8" t="str">
        <x:v>Yes</x:v>
      </x:c>
      <x:c r="M383" s="8"/>
      <x:c r="N383" s="8" t="str">
        <x:v>Planned</x:v>
      </x:c>
      <x:c r="O383" s="8" t="str">
        <x:v>Yes: many clients</x:v>
      </x:c>
      <x:c r="P383" s="8" t="str">
        <x:v>Yes</x:v>
      </x:c>
      <x:c r="Q383" s="8" t="str">
        <x:v>Native</x:v>
      </x:c>
      <x:c r="R383" s="8" t="str">
        <x:v>Third-party clients</x:v>
      </x:c>
      <x:c r="S383" s="8" t="str">
        <x:v>Android APK</x:v>
      </x:c>
      <x:c r="T383" s="8" t="str">
        <x:v>Google Play</x:v>
      </x:c>
      <x:c r="U383" s="8" t="str">
        <x:v>Native Android APK beta: https://pqp.gg/android</x:v>
      </x:c>
      <x:c r="V383" s="8" t="str">
        <x:v>Yes - Available on playstore</x:v>
      </x:c>
      <x:c r="W383" s="8" t="str">
        <x:v>Yes</x:v>
      </x:c>
      <x:c r="X383" s="8" t="str">
        <x:v>Web</x:v>
      </x:c>
      <x:c r="Y383" s="8" t="str">
        <x:v>Yes: Google Play</x:v>
      </x:c>
      <x:c r="Z383" s="8" t="str">
        <x:v>Client-dependent</x:v>
      </x:c>
      <x:c r="AA383" s="8" t="str">
        <x:v>Native Android</x:v>
      </x:c>
      <x:c r="AB383" s="8" t="str">
        <x:v>Yes</x:v>
      </x:c>
      <x:c r="AC383" s="9" t="str">
        <x:v>Android APK</x:v>
      </x:c>
      <x:c r="AD383" s="8"/>
      <x:c r="AE383" s="8" t="str">
        <x:v>In development</x:v>
      </x:c>
      <x:c r="AF383" s="8" t="str">
        <x:v>Browser</x:v>
      </x:c>
      <x:c r="AG383" s="8" t="str">
        <x:v>Yes</x:v>
      </x:c>
      <x:c r="AH383" s="14" t="n">
        <x:v>9</x:v>
      </x:c>
      <x:c r="AI383" s="15" t="str">
        <x:v>Canonical source for Client &amp; Distribution!9</x:v>
      </x:c>
    </x:row>
    <x:row r="384" ht="45">
      <x:c r="A384" s="12" t="str">
        <x:v>Client &amp; Distribution</x:v>
      </x:c>
      <x:c r="B384" s="13" t="str">
        <x:v>iOS Support</x:v>
      </x:c>
      <x:c r="C384" s="8" t="str">
        <x:v>Yes: App Store</x:v>
      </x:c>
      <x:c r="D384" s="8" t="str">
        <x:v>Web works; native iOS not yet</x:v>
      </x:c>
      <x:c r="E384" s="8"/>
      <x:c r="F384" s="8" t="str">
        <x:v>App Store</x:v>
      </x:c>
      <x:c r="G384" s="8"/>
      <x:c r="H384" s="8" t="str">
        <x:v>TestFlight beta + PWA</x:v>
      </x:c>
      <x:c r="I384" s="8" t="str">
        <x:v>Yes</x:v>
      </x:c>
      <x:c r="J384" s="8" t="str">
        <x:v>In development</x:v>
      </x:c>
      <x:c r="K384" s="8" t="str">
        <x:v>TestFlight planned</x:v>
      </x:c>
      <x:c r="L384" s="8" t="str">
        <x:v>Yes</x:v>
      </x:c>
      <x:c r="M384" s="8"/>
      <x:c r="N384" s="8" t="str">
        <x:v>Planned</x:v>
      </x:c>
      <x:c r="O384" s="8" t="str">
        <x:v>Yes: many clients</x:v>
      </x:c>
      <x:c r="P384" s="8" t="str">
        <x:v>Yes</x:v>
      </x:c>
      <x:c r="Q384" s="8" t="str">
        <x:v>Native</x:v>
      </x:c>
      <x:c r="R384" s="8" t="str">
        <x:v>Third-party clients</x:v>
      </x:c>
      <x:c r="S384" s="8" t="str">
        <x:v>No official iOS app</x:v>
      </x:c>
      <x:c r="T384" s="8" t="str">
        <x:v>App Store</x:v>
      </x:c>
      <x:c r="U384" s="8" t="str">
        <x:v>Native iOS TestFlight: https://pqp.gg/beta</x:v>
      </x:c>
      <x:c r="V384" s="8" t="str">
        <x:v>Testflight Beta - Awaitaing Appstore approval</x:v>
      </x:c>
      <x:c r="W384" s="8" t="str">
        <x:v>Yes</x:v>
      </x:c>
      <x:c r="X384" s="8" t="str">
        <x:v>Web</x:v>
      </x:c>
      <x:c r="Y384" s="8" t="str">
        <x:v>Yes: App Store</x:v>
      </x:c>
      <x:c r="Z384" s="8" t="str">
        <x:v>Client-dependent</x:v>
      </x:c>
      <x:c r="AA384" s="8" t="str">
        <x:v>Yes</x:v>
      </x:c>
      <x:c r="AB384" s="8" t="str">
        <x:v>Yes</x:v>
      </x:c>
      <x:c r="AC384" s="9"/>
      <x:c r="AD384" s="8"/>
      <x:c r="AE384" s="8" t="str">
        <x:v>In development</x:v>
      </x:c>
      <x:c r="AF384" s="8" t="str">
        <x:v>Browser</x:v>
      </x:c>
      <x:c r="AG384" s="8" t="str">
        <x:v>Yes</x:v>
      </x:c>
      <x:c r="AH384" s="14" t="n">
        <x:v>10</x:v>
      </x:c>
      <x:c r="AI384" s="15" t="str">
        <x:v>Canonical source for Client &amp; Distribution!10</x:v>
      </x:c>
    </x:row>
    <x:row r="385" ht="30">
      <x:c r="A385" s="12" t="str">
        <x:v>Client &amp; Distribution</x:v>
      </x:c>
      <x:c r="B385" s="13" t="str">
        <x:v>PWA</x:v>
      </x:c>
      <x:c r="C385" s="8" t="str">
        <x:v>Web app; installability varies</x:v>
      </x:c>
      <x:c r="D385" s="8"/>
      <x:c r="E385" s="8" t="str">
        <x:v>Yes</x:v>
      </x:c>
      <x:c r="F385" s="8" t="str">
        <x:v>Yes</x:v>
      </x:c>
      <x:c r="G385" s="8" t="str">
        <x:v>Yes</x:v>
      </x:c>
      <x:c r="H385" s="8" t="str">
        <x:v>Yes</x:v>
      </x:c>
      <x:c r="I385" s="8" t="str">
        <x:v>Yes/web</x:v>
      </x:c>
      <x:c r="J385" s="8" t="str">
        <x:v>Yes</x:v>
      </x:c>
      <x:c r="K385" s="8" t="str">
        <x:v>No</x:v>
      </x:c>
      <x:c r="L385" s="8" t="str">
        <x:v>Yes</x:v>
      </x:c>
      <x:c r="M385" s="8" t="str">
        <x:v>Yes</x:v>
      </x:c>
      <x:c r="N385" s="8" t="str">
        <x:v>Yes</x:v>
      </x:c>
      <x:c r="O385" s="8" t="str">
        <x:v>Many clients have PWAs</x:v>
      </x:c>
      <x:c r="P385" s="8" t="str">
        <x:v>Yes/web</x:v>
      </x:c>
      <x:c r="Q385" s="8" t="str">
        <x:v>Yes</x:v>
      </x:c>
      <x:c r="R385" s="8" t="str">
        <x:v>No</x:v>
      </x:c>
      <x:c r="S385" s="8" t="str">
        <x:v>Web app</x:v>
      </x:c>
      <x:c r="T385" s="8" t="str">
        <x:v>Yes</x:v>
      </x:c>
      <x:c r="U385" s="8" t="str">
        <x:v>Yes</x:v>
      </x:c>
      <x:c r="V385" s="8" t="str">
        <x:v>Yes</x:v>
      </x:c>
      <x:c r="W385" s="8" t="str">
        <x:v>Yes</x:v>
      </x:c>
      <x:c r="X385" s="8" t="str">
        <x:v>Yes</x:v>
      </x:c>
      <x:c r="Y385" s="8"/>
      <x:c r="Z385" s="8"/>
      <x:c r="AA385" s="8" t="str">
        <x:v>Yes</x:v>
      </x:c>
      <x:c r="AB385" s="8"/>
      <x:c r="AC385" s="9" t="str">
        <x:v>Yes</x:v>
      </x:c>
      <x:c r="AD385" s="8"/>
      <x:c r="AE385" s="8" t="str">
        <x:v>Yes</x:v>
      </x:c>
      <x:c r="AF385" s="8" t="str">
        <x:v>Yes</x:v>
      </x:c>
      <x:c r="AG385" s="8" t="str">
        <x:v>Yes</x:v>
      </x:c>
      <x:c r="AH385" s="14" t="n">
        <x:v>11</x:v>
      </x:c>
      <x:c r="AI385" s="15" t="str">
        <x:v>Shared metric: Client &amp; Distribution: PWA | Performance &amp; Client Stack: PWA</x:v>
      </x:c>
    </x:row>
    <x:row r="386" ht="105">
      <x:c r="A386" s="12" t="str">
        <x:v>Client &amp; Distribution</x:v>
      </x:c>
      <x:c r="B386" s="13" t="str">
        <x:v>Mobile Feature Parity</x:v>
      </x:c>
      <x:c r="C386" s="8" t="str">
        <x:v>High</x:v>
      </x:c>
      <x:c r="D386" s="8" t="str">
        <x:v>Early</x:v>
      </x:c>
      <x:c r="E386" s="8" t="str">
        <x:v>High</x:v>
      </x:c>
      <x:c r="F386" s="8" t="str">
        <x:v>High</x:v>
      </x:c>
      <x:c r="G386" s="8" t="str">
        <x:v>Alpha</x:v>
      </x:c>
      <x:c r="H386" s="8" t="str">
        <x:v>Partial: web has more features</x:v>
      </x:c>
      <x:c r="I386" s="8" t="str">
        <x:v>High</x:v>
      </x:c>
      <x:c r="J386" s="8" t="str">
        <x:v>Not yet: mobile apps are in development</x:v>
      </x:c>
      <x:c r="K386" s="8" t="str">
        <x:v>Growing</x:v>
      </x:c>
      <x:c r="L386" s="8" t="str">
        <x:v>High: Flutter mobile has full chat/guild administration plus native voice/video/screen share</x:v>
      </x:c>
      <x:c r="M386" s="8"/>
      <x:c r="N386" s="8" t="str">
        <x:v>Partial</x:v>
      </x:c>
      <x:c r="O386" s="8" t="str">
        <x:v>Varies widely</x:v>
      </x:c>
      <x:c r="P386" s="8" t="str">
        <x:v>High</x:v>
      </x:c>
      <x:c r="Q386" s="8" t="str">
        <x:v>High</x:v>
      </x:c>
      <x:c r="R386" s="8" t="str">
        <x:v>No</x:v>
      </x:c>
      <x:c r="S386" s="8" t="str">
        <x:v>Partial</x:v>
      </x:c>
      <x:c r="T386" s="8" t="str">
        <x:v>High</x:v>
      </x:c>
      <x:c r="U386" s="8" t="str">
        <x:v>Partial beta: iOS TestFlight and Android APK; Android currently lacks push, camera, and large-room screen-share sending</x:v>
      </x:c>
      <x:c r="V386" s="8" t="str">
        <x:v>High</x:v>
      </x:c>
      <x:c r="W386" s="8" t="str">
        <x:v>High</x:v>
      </x:c>
      <x:c r="X386" s="8" t="str">
        <x:v>Early</x:v>
      </x:c>
      <x:c r="Y386" s="8" t="str">
        <x:v>Partial</x:v>
      </x:c>
      <x:c r="Z386" s="8"/>
      <x:c r="AA386" s="8" t="str">
        <x:v>Partial</x:v>
      </x:c>
      <x:c r="AB386" s="8" t="str">
        <x:v>Partial</x:v>
      </x:c>
      <x:c r="AC386" s="9" t="str">
        <x:v>Partial</x:v>
      </x:c>
      <x:c r="AD386" s="8" t="str">
        <x:v>Early</x:v>
      </x:c>
      <x:c r="AE386" s="8" t="str">
        <x:v>Partial</x:v>
      </x:c>
      <x:c r="AF386" s="8" t="str">
        <x:v>Partial</x:v>
      </x:c>
      <x:c r="AG386" s="8" t="str">
        <x:v>High</x:v>
      </x:c>
      <x:c r="AH386" s="14" t="n">
        <x:v>12</x:v>
      </x:c>
      <x:c r="AI386" s="15" t="str">
        <x:v>Canonical source for Client &amp; Distribution!12</x:v>
      </x:c>
    </x:row>
    <x:row r="387" ht="60">
      <x:c r="A387" s="12" t="str">
        <x:v>Client &amp; Distribution</x:v>
      </x:c>
      <x:c r="B387" s="13" t="str">
        <x:v>Official Client Can Select Custom Instance</x:v>
      </x:c>
      <x:c r="C387" s="8" t="str">
        <x:v>N/A: central service</x:v>
      </x:c>
      <x:c r="D387" s="8" t="str">
        <x:v>Relays are configurable</x:v>
      </x:c>
      <x:c r="E387" s="8" t="str">
        <x:v>Yes</x:v>
      </x:c>
      <x:c r="F387" s="8" t="str">
        <x:v>No</x:v>
      </x:c>
      <x:c r="G387" s="8" t="str">
        <x:v>No: hosted only</x:v>
      </x:c>
      <x:c r="H387" s="8" t="str">
        <x:v>Self-host support exists; client custom-instance UX still maturing</x:v>
      </x:c>
      <x:c r="I387" s="8" t="str">
        <x:v>Self-host connection supported</x:v>
      </x:c>
      <x:c r="J387" s="8" t="str">
        <x:v>Yes: Fermi instance picker</x:v>
      </x:c>
      <x:c r="K387" s="8" t="str">
        <x:v>Yes: relay selection/self-host</x:v>
      </x:c>
      <x:c r="L387" s="8" t="str">
        <x:v>Yes: official clients can sign in to any compatible Kaede home</x:v>
      </x:c>
      <x:c r="M387" s="8" t="str">
        <x:v>No</x:v>
      </x:c>
      <x:c r="N387" s="8" t="str">
        <x:v>Self-host/federated connection planned</x:v>
      </x:c>
      <x:c r="O387" s="8" t="str">
        <x:v>Yes: core client discovery behavior</x:v>
      </x:c>
      <x:c r="P387" s="8" t="str">
        <x:v>Yes: server URL</x:v>
      </x:c>
      <x:c r="Q387" s="8"/>
      <x:c r="R387" s="8" t="str">
        <x:v>Yes: choose any server</x:v>
      </x:c>
      <x:c r="S387" s="8" t="str">
        <x:v>Technically possible but unsupported</x:v>
      </x:c>
      <x:c r="T387" s="8" t="str">
        <x:v>No</x:v>
      </x:c>
      <x:c r="U387" s="8" t="str">
        <x:v>Self-host supported</x:v>
      </x:c>
      <x:c r="V387" s="8" t="str">
        <x:v>No</x:v>
      </x:c>
      <x:c r="W387" s="8" t="str">
        <x:v>Yes: workspace/server URL</x:v>
      </x:c>
      <x:c r="X387" s="8" t="str">
        <x:v>ATProto identity/provider based</x:v>
      </x:c>
      <x:c r="Y387" s="8" t="str">
        <x:v>No</x:v>
      </x:c>
      <x:c r="Z387" s="8" t="str">
        <x:v>Yes by design</x:v>
      </x:c>
      <x:c r="AA387" s="8" t="str">
        <x:v>Web client works well with self-host; most official clients currently do not</x:v>
      </x:c>
      <x:c r="AB387" s="8" t="str">
        <x:v>Yes: choose any server</x:v>
      </x:c>
      <x:c r="AC387" s="9" t="str">
        <x:v>Yes: self-host instances</x:v>
      </x:c>
      <x:c r="AD387" s="8" t="str">
        <x:v>Future custom instance/federation support</x:v>
      </x:c>
      <x:c r="AE387" s="8" t="str">
        <x:v>No</x:v>
      </x:c>
      <x:c r="AF387" s="8" t="str">
        <x:v>Yes: chosen server</x:v>
      </x:c>
      <x:c r="AG387" s="8" t="str">
        <x:v>Yes: custom Zulip server URL</x:v>
      </x:c>
      <x:c r="AH387" s="14" t="n">
        <x:v>13</x:v>
      </x:c>
      <x:c r="AI387" s="15" t="str">
        <x:v>Canonical source for Client &amp; Distribution!13</x:v>
      </x:c>
    </x:row>
    <x:row r="388" ht="60">
      <x:c r="A388" s="12" t="str">
        <x:v>Client &amp; Distribution</x:v>
      </x:c>
      <x:c r="B388" s="13" t="str">
        <x:v>Third-Party Clients</x:v>
      </x:c>
      <x:c r="C388" s="8" t="str">
        <x:v>No supported third-party clients</x:v>
      </x:c>
      <x:c r="D388" s="8" t="str">
        <x:v>Other clients can use Nostr but not necessarily Armada features</x:v>
      </x:c>
      <x:c r="E388" s="8" t="str">
        <x:v>Open source/custom possible</x:v>
      </x:c>
      <x:c r="F388" s="8" t="str">
        <x:v>No</x:v>
      </x:c>
      <x:c r="G388" s="8" t="str">
        <x:v>No established ecosystem</x:v>
      </x:c>
      <x:c r="H388" s="8"/>
      <x:c r="I388" s="8" t="str">
        <x:v>No established third-party clients</x:v>
      </x:c>
      <x:c r="J388" s="8" t="str">
        <x:v>Yes: API permits independent clients</x:v>
      </x:c>
      <x:c r="K388" s="8" t="str">
        <x:v>No mature third-party client ecosystem</x:v>
      </x:c>
      <x:c r="L388" s="8" t="str">
        <x:v>No established third-party client ecosystem yet</x:v>
      </x:c>
      <x:c r="M388" s="8" t="str">
        <x:v>No</x:v>
      </x:c>
      <x:c r="N388" s="8"/>
      <x:c r="O388" s="8" t="str">
        <x:v>Yes: many interchangeable clients</x:v>
      </x:c>
      <x:c r="P388" s="8" t="str">
        <x:v>Custom clients possible</x:v>
      </x:c>
      <x:c r="Q388" s="8" t="str">
        <x:v>Forks/custom possible</x:v>
      </x:c>
      <x:c r="R388" s="8" t="str">
        <x:v>Yes: third-party Mumble clients</x:v>
      </x:c>
      <x:c r="S388" s="8" t="str">
        <x:v>Community/forks possible</x:v>
      </x:c>
      <x:c r="T388" s="8" t="str">
        <x:v>No established third-party clients</x:v>
      </x:c>
      <x:c r="U388" s="8" t="str">
        <x:v>No third-party client ecosystem claimed; official clients are open source</x:v>
      </x:c>
      <x:c r="V388" s="8" t="str">
        <x:v>No</x:v>
      </x:c>
      <x:c r="W388" s="8" t="str">
        <x:v>Custom clients possible</x:v>
      </x:c>
      <x:c r="X388" s="8"/>
      <x:c r="Y388" s="8" t="str">
        <x:v>No</x:v>
      </x:c>
      <x:c r="Z388" s="8" t="str">
        <x:v>Potential Discord-compatible clients/community clients</x:v>
      </x:c>
      <x:c r="AA388" s="8" t="str">
        <x:v>Community clients exist</x:v>
      </x:c>
      <x:c r="AB388" s="8" t="str">
        <x:v>Limited</x:v>
      </x:c>
      <x:c r="AC388" s="9" t="str">
        <x:v>Open API/custom possible</x:v>
      </x:c>
      <x:c r="AD388" s="8"/>
      <x:c r="AE388" s="8" t="str">
        <x:v>No</x:v>
      </x:c>
      <x:c r="AF388" s="8" t="str">
        <x:v>No</x:v>
      </x:c>
      <x:c r="AG388" s="8" t="str">
        <x:v>Third-party/API clients possible</x:v>
      </x:c>
      <x:c r="AH388" s="14" t="n">
        <x:v>14</x:v>
      </x:c>
      <x:c r="AI388" s="15" t="str">
        <x:v>Shared metric: Client &amp; Distribution: Third-Party Clients | Performance &amp; Client Stack: Third-Party Clients</x:v>
      </x:c>
    </x:row>
    <x:row r="389" ht="60">
      <x:c r="A389" s="12" t="str">
        <x:v>Client &amp; Distribution</x:v>
      </x:c>
      <x:c r="B389" s="13" t="str">
        <x:v>Multi-Account UX</x:v>
      </x:c>
      <x:c r="C389" s="8" t="str">
        <x:v>Desktop Account Switcher up to 5 accounts</x:v>
      </x:c>
      <x:c r="D389" s="8" t="str">
        <x:v>Key-based identity</x:v>
      </x:c>
      <x:c r="E389" s="8"/>
      <x:c r="F389" s="8"/>
      <x:c r="G389" s="8"/>
      <x:c r="H389" s="8"/>
      <x:c r="I389" s="8"/>
      <x:c r="J389" s="8"/>
      <x:c r="K389" s="8" t="str">
        <x:v>Multi-device identity sync</x:v>
      </x:c>
      <x:c r="L389" s="8" t="str">
        <x:v>Not documented</x:v>
      </x:c>
      <x:c r="M389" s="8"/>
      <x:c r="N389" s="8"/>
      <x:c r="O389" s="8" t="str">
        <x:v>Client-dependent; some support multiple accounts</x:v>
      </x:c>
      <x:c r="P389" s="8" t="str">
        <x:v>Multiple servers</x:v>
      </x:c>
      <x:c r="Q389" s="8"/>
      <x:c r="R389" s="8" t="str">
        <x:v>Server identity/bookmarks rather than cloud account switching</x:v>
      </x:c>
      <x:c r="S389" s="8"/>
      <x:c r="T389" s="8"/>
      <x:c r="U389" s="8"/>
      <x:c r="V389" s="8" t="str">
        <x:v>No</x:v>
      </x:c>
      <x:c r="W389" s="8" t="str">
        <x:v>Multiple workspaces</x:v>
      </x:c>
      <x:c r="X389" s="8" t="str">
        <x:v>ATProto identity</x:v>
      </x:c>
      <x:c r="Y389" s="8"/>
      <x:c r="Z389" s="8"/>
      <x:c r="AA389" s="8"/>
      <x:c r="AB389" s="8"/>
      <x:c r="AC389" s="9"/>
      <x:c r="AD389" s="8"/>
      <x:c r="AE389" s="8"/>
      <x:c r="AF389" s="8"/>
      <x:c r="AG389" s="8" t="str">
        <x:v>Multiple accounts/orgs</x:v>
      </x:c>
      <x:c r="AH389" s="14" t="n">
        <x:v>15</x:v>
      </x:c>
      <x:c r="AI389" s="15" t="str">
        <x:v>Shared metric: Client &amp; Distribution: Multi-Account UX | Performance &amp; Client Stack: Multi-Account UX</x:v>
      </x:c>
    </x:row>
    <x:row r="390" ht="60">
      <x:c r="A390" s="12" t="str">
        <x:v>Client &amp; Distribution</x:v>
      </x:c>
      <x:c r="B390" s="13" t="str">
        <x:v>Multiple Server / Instance UX</x:v>
      </x:c>
      <x:c r="C390" s="8" t="str">
        <x:v>Excellent multi-server UX</x:v>
      </x:c>
      <x:c r="D390" s="8" t="str">
        <x:v>Relay/community UX</x:v>
      </x:c>
      <x:c r="E390" s="8" t="str">
        <x:v>Yes: home servers/instances</x:v>
      </x:c>
      <x:c r="F390" s="8" t="str">
        <x:v>Multi-server</x:v>
      </x:c>
      <x:c r="G390" s="8" t="str">
        <x:v>Single hosted service</x:v>
      </x:c>
      <x:c r="H390" s="8" t="str">
        <x:v>Self-host instances supported; federation not yet</x:v>
      </x:c>
      <x:c r="I390" s="8" t="str">
        <x:v>Multi-server</x:v>
      </x:c>
      <x:c r="J390" s="8" t="str">
        <x:v>Yes: instance dropdown</x:v>
      </x:c>
      <x:c r="K390" s="8" t="str">
        <x:v>Relay selection</x:v>
      </x:c>
      <x:c r="L390" s="8" t="str">
        <x:v>One home account reaches federated guilds/DMs across many instances</x:v>
      </x:c>
      <x:c r="M390" s="8" t="str">
        <x:v>Single service</x:v>
      </x:c>
      <x:c r="N390" s="8" t="str">
        <x:v>Federated instance UX planned</x:v>
      </x:c>
      <x:c r="O390" s="8" t="str">
        <x:v>Can use multiple homeservers/servers from one client depending client</x:v>
      </x:c>
      <x:c r="P390" s="8" t="str">
        <x:v>Good multi-server UX</x:v>
      </x:c>
      <x:c r="Q390" s="8" t="str">
        <x:v>Multi-clan</x:v>
      </x:c>
      <x:c r="R390" s="8" t="str">
        <x:v>Good server bookmark UX</x:v>
      </x:c>
      <x:c r="S390" s="8" t="str">
        <x:v>Single primary service</x:v>
      </x:c>
      <x:c r="T390" s="8" t="str">
        <x:v>Multi-community</x:v>
      </x:c>
      <x:c r="U390" s="8"/>
      <x:c r="V390" s="8" t="str">
        <x:v>Multi-community</x:v>
      </x:c>
      <x:c r="W390" s="8" t="str">
        <x:v>Good multi-workspace UX</x:v>
      </x:c>
      <x:c r="X390" s="8" t="str">
        <x:v>ATProto spaces</x:v>
      </x:c>
      <x:c r="Y390" s="8" t="str">
        <x:v>Excellent multi-community UX</x:v>
      </x:c>
      <x:c r="Z390" s="8" t="str">
        <x:v>Multiple independent instances; no federation</x:v>
      </x:c>
      <x:c r="AA390" s="8" t="str">
        <x:v>Instance UX limited compared with Matrix</x:v>
      </x:c>
      <x:c r="AB390" s="8" t="str">
        <x:v>Good multi-server/bookmark model</x:v>
      </x:c>
      <x:c r="AC390" s="9" t="str">
        <x:v>Node/server UX</x:v>
      </x:c>
      <x:c r="AD390" s="8" t="str">
        <x:v>Federation intended</x:v>
      </x:c>
      <x:c r="AE390" s="8" t="str">
        <x:v>Single service</x:v>
      </x:c>
      <x:c r="AF390" s="8" t="str">
        <x:v>Server UX</x:v>
      </x:c>
      <x:c r="AG390" s="8" t="str">
        <x:v>Good multi-organization UX</x:v>
      </x:c>
      <x:c r="AH390" s="14" t="n">
        <x:v>16</x:v>
      </x:c>
      <x:c r="AI390" s="15" t="str">
        <x:v>Canonical source for Client &amp; Distribution!16</x:v>
      </x:c>
    </x:row>
    <x:row r="391" ht="90">
      <x:c r="A391" s="12" t="str">
        <x:v>Client &amp; Distribution</x:v>
      </x:c>
      <x:c r="B391" s="13" t="str">
        <x:v>Client Plugins / Modding</x:v>
      </x:c>
      <x:c r="C391" s="8" t="str">
        <x:v>No official client plugins/mods</x:v>
      </x:c>
      <x:c r="D391" s="8"/>
      <x:c r="E391" s="8" t="str">
        <x:v>Plugin system</x:v>
      </x:c>
      <x:c r="F391" s="8" t="str">
        <x:v>No</x:v>
      </x:c>
      <x:c r="G391" s="8" t="str">
        <x:v>No</x:v>
      </x:c>
      <x:c r="H391" s="8" t="str">
        <x:v>No official plugin/modding architecture verified</x:v>
      </x:c>
      <x:c r="I391" s="8" t="str">
        <x:v>No official modding architecture verified</x:v>
      </x:c>
      <x:c r="J391" s="8" t="str">
        <x:v>No official plugin model</x:v>
      </x:c>
      <x:c r="K391" s="8" t="str">
        <x:v>No plugin architecture verified</x:v>
      </x:c>
      <x:c r="L391" s="8" t="str">
        <x:v>Custom CSS/theme support is developer-reported; no general client-plugin architecture documented</x:v>
      </x:c>
      <x:c r="M391" s="8" t="str">
        <x:v>No</x:v>
      </x:c>
      <x:c r="N391" s="8" t="str">
        <x:v>No official modding architecture verified</x:v>
      </x:c>
      <x:c r="O391" s="8" t="str">
        <x:v>Instead of one modded client, users can choose a different Matrix client</x:v>
      </x:c>
      <x:c r="P391" s="8" t="str">
        <x:v>Server/webapp plugin architecture; not arbitrary desktop client mods</x:v>
      </x:c>
      <x:c r="Q391" s="8"/>
      <x:c r="R391" s="8" t="str">
        <x:v>Plugin system supported</x:v>
      </x:c>
      <x:c r="S391" s="8" t="str">
        <x:v>Themes/community modifications</x:v>
      </x:c>
      <x:c r="T391" s="8"/>
      <x:c r="U391" s="8" t="str">
        <x:v>No official plugin architecture</x:v>
      </x:c>
      <x:c r="V391" s="8" t="str">
        <x:v>No</x:v>
      </x:c>
      <x:c r="W391" s="8" t="str">
        <x:v>Apps framework more than client modding</x:v>
      </x:c>
      <x:c r="X391" s="8" t="str">
        <x:v>No</x:v>
      </x:c>
      <x:c r="Y391" s="8" t="str">
        <x:v>No client mods</x:v>
      </x:c>
      <x:c r="Z391" s="8" t="str">
        <x:v>Project aims for rich theming/plugin support</x:v>
      </x:c>
      <x:c r="AA391" s="8"/>
      <x:c r="AB391" s="8" t="str">
        <x:v>Add-ons/plugins ecosystem</x:v>
      </x:c>
      <x:c r="AC391" s="9" t="str">
        <x:v>Themes marketplace, not arbitrary client plugins</x:v>
      </x:c>
      <x:c r="AD391" s="8" t="str">
        <x:v>No official plugins verified</x:v>
      </x:c>
      <x:c r="AE391" s="8" t="str">
        <x:v>No</x:v>
      </x:c>
      <x:c r="AF391" s="8" t="str">
        <x:v>No</x:v>
      </x:c>
      <x:c r="AG391" s="8" t="str">
        <x:v>No general client plugin architecture</x:v>
      </x:c>
      <x:c r="AH391" s="14" t="n">
        <x:v>17</x:v>
      </x:c>
      <x:c r="AI391" s="15" t="str">
        <x:v>Canonical source for Client &amp; Distribution!17</x:v>
      </x:c>
    </x:row>
    <x:row r="392" ht="105">
      <x:c r="A392" s="12" t="str">
        <x:v>Client &amp; Distribution</x:v>
      </x:c>
      <x:c r="B392" s="13" t="str">
        <x:v>Push Notification Model</x:v>
      </x:c>
      <x:c r="C392" s="8" t="str">
        <x:v>FCM/APNs internally; exact implementation details not all public</x:v>
      </x:c>
      <x:c r="D392" s="8" t="str">
        <x:v>Nostr relay model</x:v>
      </x:c>
      <x:c r="E392" s="8"/>
      <x:c r="F392" s="8" t="str">
        <x:v>Native push on mobile</x:v>
      </x:c>
      <x:c r="G392" s="8"/>
      <x:c r="H392" s="8"/>
      <x:c r="I392" s="8"/>
      <x:c r="J392" s="8"/>
      <x:c r="K392" s="8"/>
      <x:c r="L392" s="8" t="str">
        <x:v>Optional content-free signed wake relay to FCM/APNs for official store apps; self-host/custom relay and no-push builds are supported</x:v>
      </x:c>
      <x:c r="M392" s="8"/>
      <x:c r="N392" s="8"/>
      <x:c r="O392" s="8" t="str">
        <x:v>Homeserver/client-specific (FCM/APNs/UnifiedPush/etc.)</x:v>
      </x:c>
      <x:c r="P392" s="8" t="str">
        <x:v>FCM/APNs; enterprise push options</x:v>
      </x:c>
      <x:c r="Q392" s="8"/>
      <x:c r="R392" s="8" t="str">
        <x:v>Mobile-client dependent</x:v>
      </x:c>
      <x:c r="S392" s="8"/>
      <x:c r="T392" s="8"/>
      <x:c r="U392" s="8"/>
      <x:c r="V392" s="8"/>
      <x:c r="W392" s="8" t="str">
        <x:v>FCM/APNs; self-host configuration</x:v>
      </x:c>
      <x:c r="X392" s="8" t="str">
        <x:v>ATProto/client dependent</x:v>
      </x:c>
      <x:c r="Y392" s="8"/>
      <x:c r="Z392" s="8" t="str">
        <x:v>Client-dependent</x:v>
      </x:c>
      <x:c r="AA392" s="8"/>
      <x:c r="AB392" s="8"/>
      <x:c r="AC392" s="9"/>
      <x:c r="AD392" s="8"/>
      <x:c r="AE392" s="8"/>
      <x:c r="AF392" s="8"/>
      <x:c r="AG392" s="8" t="str">
        <x:v>FCM/APNs; exact self-host push options vary</x:v>
      </x:c>
      <x:c r="AH392" s="14" t="n">
        <x:v>18</x:v>
      </x:c>
      <x:c r="AI392" s="15" t="str">
        <x:v>Canonical source for Client &amp; Distribution!18</x:v>
      </x:c>
    </x:row>
    <x:row r="393" ht="120">
      <x:c r="A393" s="12" t="str">
        <x:v>Client &amp; Distribution</x:v>
      </x:c>
      <x:c r="B393" s="13" t="str">
        <x:v>Client Notes</x:v>
      </x:c>
      <x:c r="C393" s="8" t="str">
        <x:v>One official client family controls UX.</x:v>
      </x:c>
      <x:c r="D393" s="8" t="str">
        <x:v>Client is distinct from relays/protocol.</x:v>
      </x:c>
      <x:c r="E393" s="8" t="str">
        <x:v>Android and desktop share advanced features.</x:v>
      </x:c>
      <x:c r="F393" s="8" t="str">
        <x:v>Wide device support for a small team.</x:v>
      </x:c>
      <x:c r="G393" s="8" t="str">
        <x:v>Product-first hosted alpha.</x:v>
      </x:c>
      <x:c r="H393" s="8" t="str">
        <x:v>Native mobile is still beta as of Sep 2026.</x:v>
      </x:c>
      <x:c r="I393" s="8" t="str">
        <x:v>Native desktop/mobile/web.</x:v>
      </x:c>
      <x:c r="J393" s="8" t="str">
        <x:v>Web + Tauri desktop are current; mobile apps are in development.</x:v>
      </x:c>
      <x:c r="K393" s="8" t="str">
        <x:v>Signed Windows/macOS builds plus mobile work.</x:v>
      </x:c>
      <x:c r="L393" s="8" t="str">
        <x:v>The official relay sees home, subscription, timing, network, and platform metadata. It does not see message text, sender names, conversation IDs, attachments, or encryption keys.</x:v>
      </x:c>
      <x:c r="M393" s="8" t="str">
        <x:v>Very new platform.</x:v>
      </x:c>
      <x:c r="N393" s="8" t="str">
        <x:v>Open beta.</x:v>
      </x:c>
      <x:c r="O393" s="8" t="str">
        <x:v>Element is only one option; do not treat Element's limitations as Matrix-wide limits.</x:v>
      </x:c>
      <x:c r="P393" s="8" t="str">
        <x:v>Enterprise deployment focus.</x:v>
      </x:c>
      <x:c r="Q393" s="8" t="str">
        <x:v>High-performance native stack is a headline differentiator.</x:v>
      </x:c>
      <x:c r="R393" s="8" t="str">
        <x:v>Native desktop focus.</x:v>
      </x:c>
      <x:c r="S393" s="8" t="str">
        <x:v>Open-source web/desktop ecosystem.</x:v>
      </x:c>
      <x:c r="T393" s="8" t="str">
        <x:v>Wide platform coverage.</x:v>
      </x:c>
      <x:c r="U393" s="8" t="str">
        <x:v>Web React/Vite; Electron desktop; native iOS TestFlight; native Android APK. Mobile is not yet in app stores.</x:v>
      </x:c>
      <x:c r="V393" s="8" t="str">
        <x:v>Portal/window workspace is a distinctive UX feature.</x:v>
      </x:c>
      <x:c r="W393" s="8" t="str">
        <x:v>Mature cross-platform collaboration client.</x:v>
      </x:c>
      <x:c r="X393" s="8" t="str">
        <x:v>Bluesky login is a core onboarding path.</x:v>
      </x:c>
      <x:c r="Y393" s="8" t="str">
        <x:v>Mobile can join calls but cannot share screen.</x:v>
      </x:c>
      <x:c r="Z393" s="8" t="str">
        <x:v>Compatibility is a design goal; current completeness varies.</x:v>
      </x:c>
      <x:c r="AA393" s="8" t="str">
        <x:v>Self-host documentation explicitly warn most official clients do not currently support self-hosted instances.</x:v>
      </x:c>
      <x:c r="AB393" s="8" t="str">
        <x:v>Proprietary client family.</x:v>
      </x:c>
      <x:c r="AC393" s="9" t="str">
        <x:v>Distinctive multi-window chat UI.</x:v>
      </x:c>
      <x:c r="AD393" s="8" t="str">
        <x:v>Experimental alpha/beta.</x:v>
      </x:c>
      <x:c r="AE393" s="8" t="str">
        <x:v>Desktop + web now; mobile in progress.</x:v>
      </x:c>
      <x:c r="AF393" s="8" t="str">
        <x:v>Browser-first self-host model.</x:v>
      </x:c>
      <x:c r="AG393" s="8" t="str">
        <x:v>Team-text-first client family.</x:v>
      </x:c>
      <x:c r="AH393" s="14" t="n">
        <x:v>19</x:v>
      </x:c>
      <x:c r="AI393" s="15" t="str">
        <x:v>Canonical source for Client &amp; Distribution!19</x:v>
      </x:c>
    </x:row>
    <x:row r="394" ht="30">
      <x:c r="A394" s="12" t="str">
        <x:v>Client &amp; Distribution</x:v>
      </x:c>
      <x:c r="B394" s="13" t="str">
        <x:v>Portable / Standalone Desktop Build</x:v>
      </x:c>
      <x:c r="C394" s="8" t="str">
        <x:v>No official portable build</x:v>
      </x:c>
      <x:c r="D394" s="8"/>
      <x:c r="E394" s="8"/>
      <x:c r="F394" s="8"/>
      <x:c r="G394" s="8"/>
      <x:c r="H394" s="8"/>
      <x:c r="I394" s="8"/>
      <x:c r="J394" s="8"/>
      <x:c r="K394" s="8"/>
      <x:c r="L394" s="8" t="str">
        <x:v>Not documented</x:v>
      </x:c>
      <x:c r="M394" s="8"/>
      <x:c r="N394" s="8"/>
      <x:c r="O394" s="8"/>
      <x:c r="P394" s="8"/>
      <x:c r="Q394" s="8"/>
      <x:c r="R394" s="8"/>
      <x:c r="S394" s="8"/>
      <x:c r="T394" s="8"/>
      <x:c r="U394" s="8"/>
      <x:c r="V394" s="8" t="str">
        <x:v>N/A</x:v>
      </x:c>
      <x:c r="W394" s="8"/>
      <x:c r="X394" s="8"/>
      <x:c r="Y394" s="8"/>
      <x:c r="Z394" s="8"/>
      <x:c r="AA394" s="8"/>
      <x:c r="AB394" s="8"/>
      <x:c r="AC394" s="9"/>
      <x:c r="AD394" s="8"/>
      <x:c r="AE394" s="8"/>
      <x:c r="AF394" s="8"/>
      <x:c r="AG394" s="8"/>
      <x:c r="AH394" s="14" t="n">
        <x:v>21</x:v>
      </x:c>
      <x:c r="AI394" s="15" t="str">
        <x:v>Canonical source for Client &amp; Distribution!21</x:v>
      </x:c>
    </x:row>
    <x:row r="395" ht="30">
      <x:c r="A395" s="12" t="str">
        <x:v>Client &amp; Distribution</x:v>
      </x:c>
      <x:c r="B395" s="13" t="str">
        <x:v>ARM Desktop Support</x:v>
      </x:c>
      <x:c r="C395" s="8" t="str">
        <x:v>Client/platform dependent</x:v>
      </x:c>
      <x:c r="D395" s="8"/>
      <x:c r="E395" s="8"/>
      <x:c r="F395" s="8"/>
      <x:c r="G395" s="8"/>
      <x:c r="H395" s="8"/>
      <x:c r="I395" s="8"/>
      <x:c r="J395" s="8"/>
      <x:c r="K395" s="8"/>
      <x:c r="L395" s="8" t="str">
        <x:v>Not documented</x:v>
      </x:c>
      <x:c r="M395" s="8"/>
      <x:c r="N395" s="8"/>
      <x:c r="O395" s="8" t="str">
        <x:v>Client-dependent</x:v>
      </x:c>
      <x:c r="P395" s="8"/>
      <x:c r="Q395" s="8"/>
      <x:c r="R395" s="8"/>
      <x:c r="S395" s="8"/>
      <x:c r="T395" s="8"/>
      <x:c r="U395" s="8"/>
      <x:c r="V395" s="8" t="str">
        <x:v>N/A</x:v>
      </x:c>
      <x:c r="W395" s="8"/>
      <x:c r="X395" s="8"/>
      <x:c r="Y395" s="8"/>
      <x:c r="Z395" s="8"/>
      <x:c r="AA395" s="8"/>
      <x:c r="AB395" s="8"/>
      <x:c r="AC395" s="9"/>
      <x:c r="AD395" s="8"/>
      <x:c r="AE395" s="8"/>
      <x:c r="AF395" s="8"/>
      <x:c r="AG395" s="8"/>
      <x:c r="AH395" s="14" t="n">
        <x:v>22</x:v>
      </x:c>
      <x:c r="AI395" s="15" t="str">
        <x:v>Canonical source for Client &amp; Distribution!22</x:v>
      </x:c>
    </x:row>
    <x:row r="396" ht="60">
      <x:c r="A396" s="12" t="str">
        <x:v>Client &amp; Distribution</x:v>
      </x:c>
      <x:c r="B396" s="13" t="str">
        <x:v>Automatic Updates</x:v>
      </x:c>
      <x:c r="C396" s="8" t="str">
        <x:v>Yes</x:v>
      </x:c>
      <x:c r="D396" s="8"/>
      <x:c r="E396" s="8"/>
      <x:c r="F396" s="8"/>
      <x:c r="G396" s="8"/>
      <x:c r="H396" s="8"/>
      <x:c r="I396" s="8"/>
      <x:c r="J396" s="8"/>
      <x:c r="K396" s="8"/>
      <x:c r="L396" s="8" t="str">
        <x:v>Server auto-updater is documented; native release tooling also exists</x:v>
      </x:c>
      <x:c r="M396" s="8"/>
      <x:c r="N396" s="8"/>
      <x:c r="O396" s="8"/>
      <x:c r="P396" s="8"/>
      <x:c r="Q396" s="8"/>
      <x:c r="R396" s="8"/>
      <x:c r="S396" s="8"/>
      <x:c r="T396" s="8"/>
      <x:c r="U396" s="8"/>
      <x:c r="V396" s="8" t="str">
        <x:v>Optional</x:v>
      </x:c>
      <x:c r="W396" s="8"/>
      <x:c r="X396" s="8"/>
      <x:c r="Y396" s="8"/>
      <x:c r="Z396" s="8"/>
      <x:c r="AA396" s="8" t="str">
        <x:v>Client-dependent</x:v>
      </x:c>
      <x:c r="AB396" s="8"/>
      <x:c r="AC396" s="9"/>
      <x:c r="AD396" s="8"/>
      <x:c r="AE396" s="8"/>
      <x:c r="AF396" s="8"/>
      <x:c r="AG396" s="8"/>
      <x:c r="AH396" s="14" t="n">
        <x:v>23</x:v>
      </x:c>
      <x:c r="AI396" s="15" t="str">
        <x:v>Canonical source for Client &amp; Distribution!23</x:v>
      </x:c>
    </x:row>
    <x:row r="397" ht="75">
      <x:c r="A397" s="12" t="str">
        <x:v>Client &amp; Distribution</x:v>
      </x:c>
      <x:c r="B397" s="13" t="str">
        <x:v>System Tray / Background Mode</x:v>
      </x:c>
      <x:c r="C397" s="8" t="str">
        <x:v>Yes</x:v>
      </x:c>
      <x:c r="D397" s="8"/>
      <x:c r="E397" s="8"/>
      <x:c r="F397" s="8"/>
      <x:c r="G397" s="8"/>
      <x:c r="H397" s="8"/>
      <x:c r="I397" s="8"/>
      <x:c r="J397" s="8"/>
      <x:c r="K397" s="8"/>
      <x:c r="L397" s="8" t="str">
        <x:v>Tauri desktop + native Flutter clients support background call/notification behavior</x:v>
      </x:c>
      <x:c r="M397" s="8"/>
      <x:c r="N397" s="8"/>
      <x:c r="O397" s="8"/>
      <x:c r="P397" s="8" t="str">
        <x:v>Yes</x:v>
      </x:c>
      <x:c r="Q397" s="8"/>
      <x:c r="R397" s="8"/>
      <x:c r="S397" s="8"/>
      <x:c r="T397" s="8"/>
      <x:c r="U397" s="8"/>
      <x:c r="V397" s="8" t="str">
        <x:v>Yes</x:v>
      </x:c>
      <x:c r="W397" s="8"/>
      <x:c r="X397" s="8"/>
      <x:c r="Y397" s="8"/>
      <x:c r="Z397" s="8"/>
      <x:c r="AA397" s="8"/>
      <x:c r="AB397" s="8"/>
      <x:c r="AC397" s="9"/>
      <x:c r="AD397" s="8"/>
      <x:c r="AE397" s="8"/>
      <x:c r="AF397" s="8"/>
      <x:c r="AG397" s="8" t="str">
        <x:v>Yes</x:v>
      </x:c>
      <x:c r="AH397" s="14" t="n">
        <x:v>24</x:v>
      </x:c>
      <x:c r="AI397" s="15" t="str">
        <x:v>Canonical source for Client &amp; Distribution!24</x:v>
      </x:c>
    </x:row>
    <x:row r="398" ht="30">
      <x:c r="A398" s="12" t="str">
        <x:v>Client &amp; Distribution</x:v>
      </x:c>
      <x:c r="B398" s="13" t="str">
        <x:v>Voice Overlay</x:v>
      </x:c>
      <x:c r="C398" s="8" t="str">
        <x:v>Yes: game overlay</x:v>
      </x:c>
      <x:c r="D398" s="8"/>
      <x:c r="E398" s="8"/>
      <x:c r="F398" s="8"/>
      <x:c r="G398" s="8"/>
      <x:c r="H398" s="8"/>
      <x:c r="I398" s="8"/>
      <x:c r="J398" s="8"/>
      <x:c r="K398" s="8"/>
      <x:c r="L398" s="8" t="str">
        <x:v>Not documented</x:v>
      </x:c>
      <x:c r="M398" s="8"/>
      <x:c r="N398" s="8"/>
      <x:c r="O398" s="8"/>
      <x:c r="P398" s="8"/>
      <x:c r="Q398" s="8"/>
      <x:c r="R398" s="8"/>
      <x:c r="S398" s="8"/>
      <x:c r="T398" s="8"/>
      <x:c r="U398" s="8"/>
      <x:c r="V398" s="8" t="str">
        <x:v>Yes: always-on-top voice HUD</x:v>
      </x:c>
      <x:c r="W398" s="8"/>
      <x:c r="X398" s="8"/>
      <x:c r="Y398" s="8"/>
      <x:c r="Z398" s="8"/>
      <x:c r="AA398" s="8"/>
      <x:c r="AB398" s="8" t="str">
        <x:v>Client/plugin dependent</x:v>
      </x:c>
      <x:c r="AC398" s="9"/>
      <x:c r="AD398" s="8"/>
      <x:c r="AE398" s="8"/>
      <x:c r="AF398" s="8"/>
      <x:c r="AG398" s="8"/>
      <x:c r="AH398" s="14" t="n">
        <x:v>25</x:v>
      </x:c>
      <x:c r="AI398" s="15" t="str">
        <x:v>Shared metric: Extra Features: Voice Overlay | Client &amp; Distribution: Voice Overlay</x:v>
      </x:c>
    </x:row>
    <x:row r="399" ht="105">
      <x:c r="A399" s="12" t="str">
        <x:v>Performance &amp; Client Stack</x:v>
      </x:c>
      <x:c r="B399" s="13" t="str">
        <x:v>Desktop Client Framework (Native Rust/Qt vs Electron vs PWA)</x:v>
      </x:c>
      <x:c r="C399" s="8" t="str">
        <x:v>Electron 42 desktop; React Native 0.86 mobile (2026)</x:v>
      </x:c>
      <x:c r="D399" s="8"/>
      <x:c r="E399" s="8" t="str">
        <x:v>Web + desktop + Android</x:v>
      </x:c>
      <x:c r="F399" s="8" t="str">
        <x:v>Web + Windows/Linux/macOS/iOS/Android</x:v>
      </x:c>
      <x:c r="G399" s="8" t="str">
        <x:v>Web-first Next.js/TypeScript; PWA</x:v>
      </x:c>
      <x:c r="H399" s="8" t="str">
        <x:v>Web/PWA + Electron desktop; Flutter native mobile beta</x:v>
      </x:c>
      <x:c r="I399" s="8" t="str">
        <x:v>Native apps built with Wails v3; web client</x:v>
      </x:c>
      <x:c r="J399" s="8" t="str">
        <x:v>Tauri desktop</x:v>
      </x:c>
      <x:c r="K399" s="8" t="str">
        <x:v>Native Flutter + Rust</x:v>
      </x:c>
      <x:c r="L399" s="8" t="str">
        <x:v>Tauri + SvelteKit; Rust owns native audio/video/capture/device work</x:v>
      </x:c>
      <x:c r="M399" s="8"/>
      <x:c r="N399" s="8" t="str">
        <x:v>Web; native mobile planned</x:v>
      </x:c>
      <x:c r="O399" s="8" t="str">
        <x:v>No single client stack: Element is one client, not Matrix; clients include Element/Element X, Cinny, FluffyChat, Nheko, etc.</x:v>
      </x:c>
      <x:c r="P399" s="8" t="str">
        <x:v>Electron desktop; web; native mobile</x:v>
      </x:c>
      <x:c r="Q399" s="8" t="str">
        <x:v>Native Rust desktop; native mobile; web</x:v>
      </x:c>
      <x:c r="R399" s="8" t="str">
        <x:v>Native Qt desktop client</x:v>
      </x:c>
      <x:c r="S399" s="8" t="str">
        <x:v>Web + Electron desktop</x:v>
      </x:c>
      <x:c r="T399" s="8" t="str">
        <x:v>Web + native desktop/mobile</x:v>
      </x:c>
      <x:c r="U399" s="8" t="str">
        <x:v>Electron desktop; React/Vite web</x:v>
      </x:c>
      <x:c r="V399" s="8" t="str">
        <x:v>Web/desktop app</x:v>
      </x:c>
      <x:c r="W399" s="8" t="str">
        <x:v>Web + Electron desktop + native mobile</x:v>
      </x:c>
      <x:c r="X399" s="8" t="str">
        <x:v>Web app</x:v>
      </x:c>
      <x:c r="Y399" s="8"/>
      <x:c r="Z399" s="8"/>
      <x:c r="AA399" s="8" t="str">
        <x:v>Web PWA (Solid.js); desktop Electron wrapper; native Android; iOS project</x:v>
      </x:c>
      <x:c r="AB399" s="8"/>
      <x:c r="AC399" s="9" t="str">
        <x:v>Web + Windows + Android</x:v>
      </x:c>
      <x:c r="AD399" s="8"/>
      <x:c r="AE399" s="8" t="str">
        <x:v>Web + Tauri desktop; mobile in works</x:v>
      </x:c>
      <x:c r="AF399" s="8" t="str">
        <x:v>Browser-first; desktop/mobile roadmap/availability evolving</x:v>
      </x:c>
      <x:c r="AG399" s="8" t="str">
        <x:v>Web app + Electron desktop + React Native mobile</x:v>
      </x:c>
      <x:c r="AH399" s="14" t="n">
        <x:v>3</x:v>
      </x:c>
      <x:c r="AI399" s="15" t="str">
        <x:v>Canonical source for Performance &amp; Client Stack!3</x:v>
      </x:c>
    </x:row>
    <x:row r="400" ht="60">
      <x:c r="A400" s="12" t="str">
        <x:v>Performance &amp; Client Stack</x:v>
      </x:c>
      <x:c r="B400" s="13" t="str">
        <x:v>Idle Desktop RAM Usage (MB)</x:v>
      </x:c>
      <x:c r="C400" s="8"/>
      <x:c r="D400" s="8"/>
      <x:c r="E400" s="8"/>
      <x:c r="F400" s="8"/>
      <x:c r="G400" s="8"/>
      <x:c r="H400" s="8"/>
      <x:c r="I400" s="8"/>
      <x:c r="J400" s="8" t="str">
        <x:v>~80 MB (vendor claim)</x:v>
      </x:c>
      <x:c r="K400" s="8"/>
      <x:c r="L400" s="8" t="str">
        <x:v>78 MB RAM on Windows initial boot (developer-reported measurement)</x:v>
      </x:c>
      <x:c r="M400" s="8"/>
      <x:c r="N400" s="8"/>
      <x:c r="O400" s="8" t="str">
        <x:v>Varies by client</x:v>
      </x:c>
      <x:c r="P400" s="8"/>
      <x:c r="Q400" s="8"/>
      <x:c r="R400" s="8"/>
      <x:c r="S400" s="8"/>
      <x:c r="T400" s="8"/>
      <x:c r="U400" s="8" t="str">
        <x:v>No public benchmark claimed</x:v>
      </x:c>
      <x:c r="V400" s="8" t="str">
        <x:v>13.5MB + 315MB
Client + Webview2</x:v>
      </x:c>
      <x:c r="W400" s="8"/>
      <x:c r="X400" s="8"/>
      <x:c r="Y400" s="8"/>
      <x:c r="Z400" s="8"/>
      <x:c r="AA400" s="8"/>
      <x:c r="AB400" s="8"/>
      <x:c r="AC400" s="9"/>
      <x:c r="AD400" s="8"/>
      <x:c r="AE400" s="8"/>
      <x:c r="AF400" s="8"/>
      <x:c r="AG400" s="8"/>
      <x:c r="AH400" s="14" t="n">
        <x:v>4</x:v>
      </x:c>
      <x:c r="AI400" s="15" t="str">
        <x:v>Canonical source for Performance &amp; Client Stack!4</x:v>
      </x:c>
    </x:row>
    <x:row r="401" ht="60">
      <x:c r="A401" s="12" t="str">
        <x:v>Performance &amp; Client Stack</x:v>
      </x:c>
      <x:c r="B401" s="13" t="str">
        <x:v>Linux Support (Flatpak / Deb / AUR)</x:v>
      </x:c>
      <x:c r="C401" s="8" t="str">
        <x:v>Yes: official .deb, .tar.gz, .rpm, .pkg.tar.zst; no official Flatpak listed</x:v>
      </x:c>
      <x:c r="D401" s="8"/>
      <x:c r="E401" s="8"/>
      <x:c r="F401" s="8" t="str">
        <x:v>Yes</x:v>
      </x:c>
      <x:c r="G401" s="8" t="str">
        <x:v>Web/PWA</x:v>
      </x:c>
      <x:c r="H401" s="8" t="str">
        <x:v>Yes: deb/rpm/AppImage/tar.gz</x:v>
      </x:c>
      <x:c r="I401" s="8" t="str">
        <x:v>Yes</x:v>
      </x:c>
      <x:c r="J401" s="8" t="str">
        <x:v>Web</x:v>
      </x:c>
      <x:c r="K401" s="8" t="str">
        <x:v>Yes</x:v>
      </x:c>
      <x:c r="L401" s="8"/>
      <x:c r="M401" s="8"/>
      <x:c r="N401" s="8" t="str">
        <x:v>Web</x:v>
      </x:c>
      <x:c r="O401" s="8" t="str">
        <x:v>Varies by client</x:v>
      </x:c>
      <x:c r="P401" s="8" t="str">
        <x:v>Yes</x:v>
      </x:c>
      <x:c r="Q401" s="8" t="str">
        <x:v>Yes</x:v>
      </x:c>
      <x:c r="R401" s="8" t="str">
        <x:v>Yes</x:v>
      </x:c>
      <x:c r="S401" s="8" t="str">
        <x:v>Yes: deb/AppImage</x:v>
      </x:c>
      <x:c r="T401" s="8" t="str">
        <x:v>Yes: deb/AppImage/rpm/tar</x:v>
      </x:c>
      <x:c r="U401" s="8" t="str">
        <x:v>Yes</x:v>
      </x:c>
      <x:c r="V401" s="8" t="str">
        <x:v>AppImage, .deb, and .rpm</x:v>
      </x:c>
      <x:c r="W401" s="8" t="str">
        <x:v>Yes</x:v>
      </x:c>
      <x:c r="X401" s="8" t="str">
        <x:v>Web</x:v>
      </x:c>
      <x:c r="Y401" s="8"/>
      <x:c r="Z401" s="8" t="str">
        <x:v>Client-dependent</x:v>
      </x:c>
      <x:c r="AA401" s="8" t="str">
        <x:v>Yes</x:v>
      </x:c>
      <x:c r="AB401" s="8" t="str">
        <x:v>Yes</x:v>
      </x:c>
      <x:c r="AC401" s="9"/>
      <x:c r="AD401" s="8"/>
      <x:c r="AE401" s="8"/>
      <x:c r="AF401" s="8" t="str">
        <x:v>Browser</x:v>
      </x:c>
      <x:c r="AG401" s="8" t="str">
        <x:v>Yes</x:v>
      </x:c>
      <x:c r="AH401" s="14" t="n">
        <x:v>7</x:v>
      </x:c>
      <x:c r="AI401" s="15" t="str">
        <x:v>Canonical source for Performance &amp; Client Stack!7</x:v>
      </x:c>
    </x:row>
    <x:row r="402" ht="90">
      <x:c r="A402" s="12" t="str">
        <x:v>Performance &amp; Client Stack</x:v>
      </x:c>
      <x:c r="B402" s="13" t="str">
        <x:v>Mobile App Feature Parity</x:v>
      </x:c>
      <x:c r="C402" s="8" t="str">
        <x:v>High but not full; mobile and desktop are converging, with some feature/surface differences</x:v>
      </x:c>
      <x:c r="D402" s="8"/>
      <x:c r="E402" s="8" t="str">
        <x:v>Yes</x:v>
      </x:c>
      <x:c r="F402" s="8" t="str">
        <x:v>Yes: AppImage/deb beta</x:v>
      </x:c>
      <x:c r="G402" s="8"/>
      <x:c r="H402" s="8" t="str">
        <x:v>Partial: web has more features</x:v>
      </x:c>
      <x:c r="I402" s="8"/>
      <x:c r="J402" s="8" t="str">
        <x:v>Not yet: mobile apps in development</x:v>
      </x:c>
      <x:c r="K402" s="8" t="str">
        <x:v>Yes</x:v>
      </x:c>
      <x:c r="L402" s="8" t="str">
        <x:v>High: Flutter mobile has full chat/guild administration plus native voice/video/screen share</x:v>
      </x:c>
      <x:c r="M402" s="8"/>
      <x:c r="N402" s="8" t="str">
        <x:v>Web</x:v>
      </x:c>
      <x:c r="O402" s="8" t="str">
        <x:v>Varies by client</x:v>
      </x:c>
      <x:c r="P402" s="8" t="str">
        <x:v>High</x:v>
      </x:c>
      <x:c r="Q402" s="8" t="str">
        <x:v>High</x:v>
      </x:c>
      <x:c r="R402" s="8" t="str">
        <x:v>Not full parity; third-party mobile clients</x:v>
      </x:c>
      <x:c r="S402" s="8" t="str">
        <x:v>Partial</x:v>
      </x:c>
      <x:c r="T402" s="8" t="str">
        <x:v>High</x:v>
      </x:c>
      <x:c r="U402" s="8" t="str">
        <x:v>Partial beta: Android known limitations include no push, camera, or large-room screen-share sending</x:v>
      </x:c>
      <x:c r="V402" s="8" t="str">
        <x:v>High</x:v>
      </x:c>
      <x:c r="W402" s="8" t="str">
        <x:v>High</x:v>
      </x:c>
      <x:c r="X402" s="8" t="str">
        <x:v>Web</x:v>
      </x:c>
      <x:c r="Y402" s="8" t="str">
        <x:v>Partial: mobile lacks screen sharing and some management features</x:v>
      </x:c>
      <x:c r="Z402" s="8" t="str">
        <x:v>Client-dependent</x:v>
      </x:c>
      <x:c r="AA402" s="8" t="str">
        <x:v>Partial</x:v>
      </x:c>
      <x:c r="AB402" s="8"/>
      <x:c r="AC402" s="9"/>
      <x:c r="AD402" s="8" t="str">
        <x:v>Linux experimental</x:v>
      </x:c>
      <x:c r="AE402" s="8"/>
      <x:c r="AF402" s="8" t="str">
        <x:v>Browser</x:v>
      </x:c>
      <x:c r="AG402" s="8" t="str">
        <x:v>High but some differences</x:v>
      </x:c>
      <x:c r="AH402" s="14" t="n">
        <x:v>8</x:v>
      </x:c>
      <x:c r="AI402" s="15" t="str">
        <x:v>Canonical source for Performance &amp; Client Stack!8</x:v>
      </x:c>
    </x:row>
    <x:row r="403" ht="75">
      <x:c r="A403" s="12" t="str">
        <x:v>Performance &amp; Client Stack</x:v>
      </x:c>
      <x:c r="B403" s="13" t="str">
        <x:v>Android Distribution (Play Store / F-Droid / APK)</x:v>
      </x:c>
      <x:c r="C403" s="8" t="str">
        <x:v>Google Play (official); F-Droid/APK not officially listed on Discord's download page</x:v>
      </x:c>
      <x:c r="D403" s="8"/>
      <x:c r="E403" s="8" t="str">
        <x:v>Android / Google Play</x:v>
      </x:c>
      <x:c r="F403" s="8" t="str">
        <x:v>Signed APK</x:v>
      </x:c>
      <x:c r="G403" s="8"/>
      <x:c r="H403" s="8" t="str">
        <x:v>Android native beta/public testing + PWA</x:v>
      </x:c>
      <x:c r="I403" s="8" t="str">
        <x:v>Google Play</x:v>
      </x:c>
      <x:c r="J403" s="8" t="str">
        <x:v>Web</x:v>
      </x:c>
      <x:c r="K403" s="8" t="str">
        <x:v>Mobile port</x:v>
      </x:c>
      <x:c r="L403" s="8" t="str">
        <x:v>Android Play Store beta/open-testing + sideload (developer report)</x:v>
      </x:c>
      <x:c r="M403" s="8"/>
      <x:c r="N403" s="8" t="str">
        <x:v>Planned</x:v>
      </x:c>
      <x:c r="O403" s="8" t="str">
        <x:v>Varies by client</x:v>
      </x:c>
      <x:c r="P403" s="8" t="str">
        <x:v>Google Play / enterprise distribution</x:v>
      </x:c>
      <x:c r="Q403" s="8" t="str">
        <x:v>Native Android</x:v>
      </x:c>
      <x:c r="R403" s="8" t="str">
        <x:v>Third-party clients</x:v>
      </x:c>
      <x:c r="S403" s="8" t="str">
        <x:v>Android APK</x:v>
      </x:c>
      <x:c r="T403" s="8" t="str">
        <x:v>Google Play</x:v>
      </x:c>
      <x:c r="U403" s="8" t="str">
        <x:v>Native APK beta: https://pqp.gg/android</x:v>
      </x:c>
      <x:c r="V403" s="8" t="str">
        <x:v>Playstore &amp; APK</x:v>
      </x:c>
      <x:c r="W403" s="8" t="str">
        <x:v>Google Play</x:v>
      </x:c>
      <x:c r="X403" s="8" t="str">
        <x:v>Web</x:v>
      </x:c>
      <x:c r="Y403" s="8" t="str">
        <x:v>Google Play</x:v>
      </x:c>
      <x:c r="Z403" s="8" t="str">
        <x:v>Client-dependent</x:v>
      </x:c>
      <x:c r="AA403" s="8"/>
      <x:c r="AB403" s="8" t="str">
        <x:v>Google Play / availability varies</x:v>
      </x:c>
      <x:c r="AC403" s="9" t="str">
        <x:v>Android APK</x:v>
      </x:c>
      <x:c r="AD403" s="8"/>
      <x:c r="AE403" s="8" t="str">
        <x:v>Mobile in works</x:v>
      </x:c>
      <x:c r="AF403" s="8" t="str">
        <x:v>Mobile browser/app roadmap</x:v>
      </x:c>
      <x:c r="AG403" s="8"/>
      <x:c r="AH403" s="14" t="n">
        <x:v>9</x:v>
      </x:c>
      <x:c r="AI403" s="15" t="str">
        <x:v>Canonical source for Performance &amp; Client Stack!9</x:v>
      </x:c>
    </x:row>
    <x:row r="404" ht="45">
      <x:c r="A404" s="12" t="str">
        <x:v>Performance &amp; Client Stack</x:v>
      </x:c>
      <x:c r="B404" s="13" t="str">
        <x:v>iOS Distribution (App Store / TestFlight / Sideload)</x:v>
      </x:c>
      <x:c r="C404" s="8" t="str">
        <x:v>App Store; TestFlight used for beta/testing</x:v>
      </x:c>
      <x:c r="D404" s="8"/>
      <x:c r="E404" s="8"/>
      <x:c r="F404" s="8" t="str">
        <x:v>App Store</x:v>
      </x:c>
      <x:c r="G404" s="8"/>
      <x:c r="H404" s="8" t="str">
        <x:v>TestFlight beta; no App Store yet</x:v>
      </x:c>
      <x:c r="I404" s="8" t="str">
        <x:v>iOS app available</x:v>
      </x:c>
      <x:c r="J404" s="8" t="str">
        <x:v>Web</x:v>
      </x:c>
      <x:c r="K404" s="8" t="str">
        <x:v>iOS TestFlight planned/coming</x:v>
      </x:c>
      <x:c r="L404" s="8" t="str">
        <x:v>TestFlight and self-build (developer report)</x:v>
      </x:c>
      <x:c r="M404" s="8"/>
      <x:c r="N404" s="8" t="str">
        <x:v>Planned</x:v>
      </x:c>
      <x:c r="O404" s="8" t="str">
        <x:v>Varies by client</x:v>
      </x:c>
      <x:c r="P404" s="8" t="str">
        <x:v>App Store / enterprise distribution</x:v>
      </x:c>
      <x:c r="Q404" s="8" t="str">
        <x:v>Native iOS</x:v>
      </x:c>
      <x:c r="R404" s="8" t="str">
        <x:v>Third-party clients</x:v>
      </x:c>
      <x:c r="S404" s="8" t="str">
        <x:v>No iOS app documented</x:v>
      </x:c>
      <x:c r="T404" s="8" t="str">
        <x:v>App Store</x:v>
      </x:c>
      <x:c r="U404" s="8" t="str">
        <x:v>Native TestFlight beta: https://pqp.gg/beta</x:v>
      </x:c>
      <x:c r="V404" s="8" t="str">
        <x:v>Testflight - Awaiting appstore approval</x:v>
      </x:c>
      <x:c r="W404" s="8" t="str">
        <x:v>App Store</x:v>
      </x:c>
      <x:c r="X404" s="8" t="str">
        <x:v>Web</x:v>
      </x:c>
      <x:c r="Y404" s="8" t="str">
        <x:v>App Store</x:v>
      </x:c>
      <x:c r="Z404" s="8" t="str">
        <x:v>Client-dependent</x:v>
      </x:c>
      <x:c r="AA404" s="8"/>
      <x:c r="AB404" s="8" t="str">
        <x:v>App Store / availability varies</x:v>
      </x:c>
      <x:c r="AC404" s="9"/>
      <x:c r="AD404" s="8"/>
      <x:c r="AE404" s="8" t="str">
        <x:v>Mobile in works</x:v>
      </x:c>
      <x:c r="AF404" s="8" t="str">
        <x:v>Mobile browser/app roadmap</x:v>
      </x:c>
      <x:c r="AG404" s="8" t="str">
        <x:v>App Store</x:v>
      </x:c>
      <x:c r="AH404" s="14" t="n">
        <x:v>10</x:v>
      </x:c>
      <x:c r="AI404" s="15" t="str">
        <x:v>Canonical source for Performance &amp; Client Stack!10</x:v>
      </x:c>
    </x:row>
    <x:row r="405" ht="105">
      <x:c r="A405" s="12" t="str">
        <x:v>Performance &amp; Client Stack</x:v>
      </x:c>
      <x:c r="B405" s="13" t="str">
        <x:v>Push Notification Engine (FCM / APNs / UnifiedPush / Polling)</x:v>
      </x:c>
      <x:c r="C405" s="8"/>
      <x:c r="D405" s="8"/>
      <x:c r="E405" s="8" t="str">
        <x:v>Web</x:v>
      </x:c>
      <x:c r="F405" s="8" t="str">
        <x:v>PWA/add-to-home-screen</x:v>
      </x:c>
      <x:c r="G405" s="8"/>
      <x:c r="H405" s="8"/>
      <x:c r="I405" s="8"/>
      <x:c r="J405" s="8" t="str">
        <x:v>Yes</x:v>
      </x:c>
      <x:c r="K405" s="8" t="str">
        <x:v>No/limited web</x:v>
      </x:c>
      <x:c r="L405" s="8" t="str">
        <x:v>Optional content-free signed wake relay to FCM/APNs for official store apps; self-host/custom relay and no-push builds are supported</x:v>
      </x:c>
      <x:c r="M405" s="8" t="str">
        <x:v>Yes</x:v>
      </x:c>
      <x:c r="N405" s="8" t="str">
        <x:v>Yes</x:v>
      </x:c>
      <x:c r="O405" s="8" t="str">
        <x:v>Varies by client/server</x:v>
      </x:c>
      <x:c r="P405" s="8" t="str">
        <x:v>FCM/APNs; enterprise options vary</x:v>
      </x:c>
      <x:c r="Q405" s="8" t="str">
        <x:v>Web</x:v>
      </x:c>
      <x:c r="R405" s="8" t="str">
        <x:v>Client-dependent</x:v>
      </x:c>
      <x:c r="S405" s="8"/>
      <x:c r="T405" s="8" t="str">
        <x:v>Web app</x:v>
      </x:c>
      <x:c r="U405" s="8" t="str">
        <x:v>Not publicly claimed</x:v>
      </x:c>
      <x:c r="V405" s="8" t="str">
        <x:v>FCM and APNs on mobile, Web Push on web, native on desktop</x:v>
      </x:c>
      <x:c r="W405" s="8" t="str">
        <x:v>FCM/APNs; deployment-specific</x:v>
      </x:c>
      <x:c r="X405" s="8" t="str">
        <x:v>Yes</x:v>
      </x:c>
      <x:c r="Y405" s="8"/>
      <x:c r="Z405" s="8" t="str">
        <x:v>Operator/client-dependent</x:v>
      </x:c>
      <x:c r="AA405" s="8"/>
      <x:c r="AB405" s="8"/>
      <x:c r="AC405" s="9" t="str">
        <x:v>Yes</x:v>
      </x:c>
      <x:c r="AD405" s="8"/>
      <x:c r="AE405" s="8" t="str">
        <x:v>Web</x:v>
      </x:c>
      <x:c r="AF405" s="8" t="str">
        <x:v>Yes</x:v>
      </x:c>
      <x:c r="AG405" s="8"/>
      <x:c r="AH405" s="14" t="n">
        <x:v>11</x:v>
      </x:c>
      <x:c r="AI405" s="15" t="str">
        <x:v>Canonical source for Performance &amp; Client Stack!11</x:v>
      </x:c>
    </x:row>
    <x:row r="406" ht="60">
      <x:c r="A406" s="12" t="str">
        <x:v>Performance &amp; Client Stack</x:v>
      </x:c>
      <x:c r="B406" s="13" t="str">
        <x:v>Auto-Update Delivery</x:v>
      </x:c>
      <x:c r="C406" s="8" t="str">
        <x:v>Yes</x:v>
      </x:c>
      <x:c r="D406" s="8"/>
      <x:c r="E406" s="8"/>
      <x:c r="F406" s="8"/>
      <x:c r="G406" s="8"/>
      <x:c r="H406" s="8"/>
      <x:c r="I406" s="8"/>
      <x:c r="J406" s="8"/>
      <x:c r="K406" s="8"/>
      <x:c r="L406" s="8" t="str">
        <x:v>Server auto-updater is documented; native release tooling also exists</x:v>
      </x:c>
      <x:c r="M406" s="8"/>
      <x:c r="N406" s="8"/>
      <x:c r="O406" s="8"/>
      <x:c r="P406" s="8"/>
      <x:c r="Q406" s="8"/>
      <x:c r="R406" s="8"/>
      <x:c r="S406" s="8"/>
      <x:c r="T406" s="8"/>
      <x:c r="U406" s="8"/>
      <x:c r="V406" s="8" t="str">
        <x:v>optional</x:v>
      </x:c>
      <x:c r="W406" s="8"/>
      <x:c r="X406" s="8"/>
      <x:c r="Y406" s="8"/>
      <x:c r="Z406" s="8"/>
      <x:c r="AA406" s="8" t="str">
        <x:v>Desktop/mobile dependent</x:v>
      </x:c>
      <x:c r="AB406" s="8"/>
      <x:c r="AC406" s="9"/>
      <x:c r="AD406" s="8"/>
      <x:c r="AE406" s="8"/>
      <x:c r="AF406" s="8"/>
      <x:c r="AG406" s="8"/>
      <x:c r="AH406" s="14" t="n">
        <x:v>17</x:v>
      </x:c>
      <x:c r="AI406" s="15" t="str">
        <x:v>Canonical source for Performance &amp; Client Stack!17</x:v>
      </x:c>
    </x:row>
    <x:row r="407">
      <x:c r="A407" s="12" t="str">
        <x:v>Performance &amp; Client Stack</x:v>
      </x:c>
      <x:c r="B407" s="13" t="str">
        <x:v>Hardware Acceleration Controls</x:v>
      </x:c>
      <x:c r="C407" s="8" t="str">
        <x:v>Yes</x:v>
      </x:c>
      <x:c r="D407" s="8"/>
      <x:c r="E407" s="8"/>
      <x:c r="F407" s="8"/>
      <x:c r="G407" s="8"/>
      <x:c r="H407" s="8"/>
      <x:c r="I407" s="8"/>
      <x:c r="J407" s="8"/>
      <x:c r="K407" s="8"/>
      <x:c r="L407" s="8" t="str">
        <x:v>Not documented</x:v>
      </x:c>
      <x:c r="M407" s="8"/>
      <x:c r="N407" s="8"/>
      <x:c r="O407" s="8"/>
      <x:c r="P407" s="8" t="str">
        <x:v>Client-dependent</x:v>
      </x:c>
      <x:c r="Q407" s="8"/>
      <x:c r="R407" s="8"/>
      <x:c r="S407" s="8"/>
      <x:c r="T407" s="8"/>
      <x:c r="U407" s="8"/>
      <x:c r="V407" s="8"/>
      <x:c r="W407" s="8"/>
      <x:c r="X407" s="8"/>
      <x:c r="Y407" s="8"/>
      <x:c r="Z407" s="8"/>
      <x:c r="AA407" s="8"/>
      <x:c r="AB407" s="8"/>
      <x:c r="AC407" s="9"/>
      <x:c r="AD407" s="8"/>
      <x:c r="AE407" s="8"/>
      <x:c r="AF407" s="8"/>
      <x:c r="AG407" s="8"/>
      <x:c r="AH407" s="14" t="n">
        <x:v>18</x:v>
      </x:c>
      <x:c r="AI407" s="15" t="str">
        <x:v>Canonical source for Performance &amp; Client Stack!18</x:v>
      </x:c>
    </x:row>
    <x:row r="408" ht="75">
      <x:c r="A408" s="12" t="str">
        <x:v>Accounts &amp; Identity</x:v>
      </x:c>
      <x:c r="B408" s="13" t="str">
        <x:v>Signup Requirements</x:v>
      </x:c>
      <x:c r="C408" s="8"/>
      <x:c r="D408" s="8"/>
      <x:c r="E408" s="8"/>
      <x:c r="F408" s="8"/>
      <x:c r="G408" s="8"/>
      <x:c r="H408" s="8"/>
      <x:c r="I408" s="8"/>
      <x:c r="J408" s="8"/>
      <x:c r="K408" s="8"/>
      <x:c r="L408" s="8" t="str">
        <x:v>Official instance: username + password + email. Self-host can disable email, leaving username/password.</x:v>
      </x:c>
      <x:c r="M408" s="8"/>
      <x:c r="N408" s="8"/>
      <x:c r="O408" s="8"/>
      <x:c r="P408" s="8"/>
      <x:c r="Q408" s="8"/>
      <x:c r="R408" s="8"/>
      <x:c r="S408" s="8"/>
      <x:c r="T408" s="8"/>
      <x:c r="U408" s="8" t="str">
        <x:v>Accounts are handled through Clerk; exact mandatory signup fields not stated</x:v>
      </x:c>
      <x:c r="V408" s="8" t="str">
        <x:v>Sign up through therift.chat</x:v>
      </x:c>
      <x:c r="W408" s="8"/>
      <x:c r="X408" s="8"/>
      <x:c r="Y408" s="8"/>
      <x:c r="Z408" s="8"/>
      <x:c r="AA408" s="8"/>
      <x:c r="AB408" s="8"/>
      <x:c r="AC408" s="9"/>
      <x:c r="AD408" s="8"/>
      <x:c r="AE408" s="8"/>
      <x:c r="AF408" s="8"/>
      <x:c r="AG408" s="8"/>
      <x:c r="AH408" s="14" t="n">
        <x:v>3</x:v>
      </x:c>
      <x:c r="AI408" s="15" t="str">
        <x:v>Canonical source for Accounts &amp; Identity!3</x:v>
      </x:c>
    </x:row>
    <x:row r="409">
      <x:c r="A409" s="12" t="str">
        <x:v>Accounts &amp; Identity</x:v>
      </x:c>
      <x:c r="B409" s="13" t="str">
        <x:v>Username Required?</x:v>
      </x:c>
      <x:c r="C409" s="8" t="str">
        <x:v>Yes</x:v>
      </x:c>
      <x:c r="D409" s="8"/>
      <x:c r="E409" s="8"/>
      <x:c r="F409" s="8"/>
      <x:c r="G409" s="8"/>
      <x:c r="H409" s="8" t="str">
        <x:v>Yes</x:v>
      </x:c>
      <x:c r="I409" s="8" t="str">
        <x:v>Yes</x:v>
      </x:c>
      <x:c r="J409" s="8"/>
      <x:c r="K409" s="8"/>
      <x:c r="L409" s="8" t="str">
        <x:v>Yes</x:v>
      </x:c>
      <x:c r="M409" s="8"/>
      <x:c r="N409" s="8"/>
      <x:c r="O409" s="8"/>
      <x:c r="P409" s="8"/>
      <x:c r="Q409" s="8"/>
      <x:c r="R409" s="8" t="str">
        <x:v>Yes</x:v>
      </x:c>
      <x:c r="S409" s="8"/>
      <x:c r="T409" s="8" t="str">
        <x:v>Yes</x:v>
      </x:c>
      <x:c r="U409" s="8"/>
      <x:c r="V409" s="8" t="str">
        <x:v>Yes</x:v>
      </x:c>
      <x:c r="W409" s="8"/>
      <x:c r="X409" s="8"/>
      <x:c r="Y409" s="8" t="str">
        <x:v>Yes</x:v>
      </x:c>
      <x:c r="Z409" s="8"/>
      <x:c r="AA409" s="8"/>
      <x:c r="AB409" s="8"/>
      <x:c r="AC409" s="9"/>
      <x:c r="AD409" s="8"/>
      <x:c r="AE409" s="8"/>
      <x:c r="AF409" s="8"/>
      <x:c r="AG409" s="8"/>
      <x:c r="AH409" s="14" t="n">
        <x:v>4</x:v>
      </x:c>
      <x:c r="AI409" s="15" t="str">
        <x:v>Canonical source for Accounts &amp; Identity!4</x:v>
      </x:c>
    </x:row>
    <x:row r="410">
      <x:c r="A410" s="12" t="str">
        <x:v>Accounts &amp; Identity</x:v>
      </x:c>
      <x:c r="B410" s="13" t="str">
        <x:v>Password Required?</x:v>
      </x:c>
      <x:c r="C410" s="8" t="str">
        <x:v>Yes</x:v>
      </x:c>
      <x:c r="D410" s="8" t="str">
        <x:v>No / key-based</x:v>
      </x:c>
      <x:c r="E410" s="8"/>
      <x:c r="F410" s="8"/>
      <x:c r="G410" s="8"/>
      <x:c r="H410" s="8" t="str">
        <x:v>Yes</x:v>
      </x:c>
      <x:c r="I410" s="8" t="str">
        <x:v>Yes</x:v>
      </x:c>
      <x:c r="J410" s="8" t="str">
        <x:v>Yes</x:v>
      </x:c>
      <x:c r="K410" s="8" t="str">
        <x:v>No / key-based</x:v>
      </x:c>
      <x:c r="L410" s="8" t="str">
        <x:v>Yes</x:v>
      </x:c>
      <x:c r="M410" s="8"/>
      <x:c r="N410" s="8"/>
      <x:c r="O410" s="8"/>
      <x:c r="P410" s="8"/>
      <x:c r="Q410" s="8"/>
      <x:c r="R410" s="8" t="str">
        <x:v>Yes</x:v>
      </x:c>
      <x:c r="S410" s="8"/>
      <x:c r="T410" s="8" t="str">
        <x:v>Yes</x:v>
      </x:c>
      <x:c r="U410" s="8"/>
      <x:c r="V410" s="8" t="str">
        <x:v>Yes</x:v>
      </x:c>
      <x:c r="W410" s="8"/>
      <x:c r="X410" s="8"/>
      <x:c r="Y410" s="8" t="str">
        <x:v>Yes</x:v>
      </x:c>
      <x:c r="Z410" s="8"/>
      <x:c r="AA410" s="8"/>
      <x:c r="AB410" s="8"/>
      <x:c r="AC410" s="9"/>
      <x:c r="AD410" s="8"/>
      <x:c r="AE410" s="8"/>
      <x:c r="AF410" s="8" t="str">
        <x:v>Yes</x:v>
      </x:c>
      <x:c r="AG410" s="8"/>
      <x:c r="AH410" s="14" t="n">
        <x:v>5</x:v>
      </x:c>
      <x:c r="AI410" s="15" t="str">
        <x:v>Canonical source for Accounts &amp; Identity!5</x:v>
      </x:c>
    </x:row>
    <x:row r="411" ht="45">
      <x:c r="A411" s="12" t="str">
        <x:v>Accounts &amp; Identity</x:v>
      </x:c>
      <x:c r="B411" s="13" t="str">
        <x:v>Email Required?</x:v>
      </x:c>
      <x:c r="C411" s="8"/>
      <x:c r="D411" s="8"/>
      <x:c r="E411" s="8"/>
      <x:c r="F411" s="8"/>
      <x:c r="G411" s="8" t="str">
        <x:v>Yes</x:v>
      </x:c>
      <x:c r="H411" s="8"/>
      <x:c r="I411" s="8" t="str">
        <x:v>No</x:v>
      </x:c>
      <x:c r="J411" s="8"/>
      <x:c r="K411" s="8"/>
      <x:c r="L411" s="8" t="str">
        <x:v>Yes on official instance; optional on self-host</x:v>
      </x:c>
      <x:c r="M411" s="8" t="str">
        <x:v>No</x:v>
      </x:c>
      <x:c r="N411" s="8"/>
      <x:c r="O411" s="8" t="str">
        <x:v>Optional / provider-dependent</x:v>
      </x:c>
      <x:c r="P411" s="8" t="str">
        <x:v>Yes</x:v>
      </x:c>
      <x:c r="Q411" s="8"/>
      <x:c r="R411" s="8"/>
      <x:c r="S411" s="8"/>
      <x:c r="T411" s="8"/>
      <x:c r="U411" s="8"/>
      <x:c r="V411" s="8" t="str">
        <x:v>No</x:v>
      </x:c>
      <x:c r="W411" s="8" t="str">
        <x:v>Yes</x:v>
      </x:c>
      <x:c r="X411" s="8"/>
      <x:c r="Y411" s="8"/>
      <x:c r="Z411" s="8"/>
      <x:c r="AA411" s="8" t="str">
        <x:v>Yes</x:v>
      </x:c>
      <x:c r="AB411" s="8"/>
      <x:c r="AC411" s="9" t="str">
        <x:v>Yes</x:v>
      </x:c>
      <x:c r="AD411" s="8"/>
      <x:c r="AE411" s="8"/>
      <x:c r="AF411" s="8"/>
      <x:c r="AG411" s="8" t="str">
        <x:v>Yes</x:v>
      </x:c>
      <x:c r="AH411" s="14" t="n">
        <x:v>6</x:v>
      </x:c>
      <x:c r="AI411" s="15" t="str">
        <x:v>Canonical source for Accounts &amp; Identity!6</x:v>
      </x:c>
    </x:row>
    <x:row r="412">
      <x:c r="A412" s="12" t="str">
        <x:v>Accounts &amp; Identity</x:v>
      </x:c>
      <x:c r="B412" s="13" t="str">
        <x:v>Phone Required?</x:v>
      </x:c>
      <x:c r="C412" s="8" t="str">
        <x:v>May be required</x:v>
      </x:c>
      <x:c r="D412" s="8"/>
      <x:c r="E412" s="8"/>
      <x:c r="F412" s="8"/>
      <x:c r="G412" s="8"/>
      <x:c r="H412" s="8" t="str">
        <x:v>May be required</x:v>
      </x:c>
      <x:c r="I412" s="8" t="str">
        <x:v>No</x:v>
      </x:c>
      <x:c r="J412" s="8"/>
      <x:c r="K412" s="8"/>
      <x:c r="L412" s="8" t="str">
        <x:v>No</x:v>
      </x:c>
      <x:c r="M412" s="8" t="str">
        <x:v>No</x:v>
      </x:c>
      <x:c r="N412" s="8"/>
      <x:c r="O412" s="8"/>
      <x:c r="P412" s="8"/>
      <x:c r="Q412" s="8"/>
      <x:c r="R412" s="8"/>
      <x:c r="S412" s="8"/>
      <x:c r="T412" s="8"/>
      <x:c r="U412" s="8"/>
      <x:c r="V412" s="8" t="str">
        <x:v>No</x:v>
      </x:c>
      <x:c r="W412" s="8"/>
      <x:c r="X412" s="8"/>
      <x:c r="Y412" s="8"/>
      <x:c r="Z412" s="8"/>
      <x:c r="AA412" s="8"/>
      <x:c r="AB412" s="8"/>
      <x:c r="AC412" s="9" t="str">
        <x:v>No</x:v>
      </x:c>
      <x:c r="AD412" s="8"/>
      <x:c r="AE412" s="8"/>
      <x:c r="AF412" s="8"/>
      <x:c r="AG412" s="8"/>
      <x:c r="AH412" s="14" t="n">
        <x:v>7</x:v>
      </x:c>
      <x:c r="AI412" s="15" t="str">
        <x:v>Canonical source for Accounts &amp; Identity!7</x:v>
      </x:c>
    </x:row>
    <x:row r="413">
      <x:c r="A413" s="12" t="str">
        <x:v>Accounts &amp; Identity</x:v>
      </x:c>
      <x:c r="B413" s="13" t="str">
        <x:v>Date of Birth Required?</x:v>
      </x:c>
      <x:c r="C413" s="8" t="str">
        <x:v>Yes</x:v>
      </x:c>
      <x:c r="D413" s="8"/>
      <x:c r="E413" s="8"/>
      <x:c r="F413" s="8"/>
      <x:c r="G413" s="8"/>
      <x:c r="H413" s="8" t="str">
        <x:v>Yes</x:v>
      </x:c>
      <x:c r="I413" s="8"/>
      <x:c r="J413" s="8"/>
      <x:c r="K413" s="8"/>
      <x:c r="L413" s="8" t="str">
        <x:v>No</x:v>
      </x:c>
      <x:c r="M413" s="8"/>
      <x:c r="N413" s="8"/>
      <x:c r="O413" s="8"/>
      <x:c r="P413" s="8"/>
      <x:c r="Q413" s="8"/>
      <x:c r="R413" s="8"/>
      <x:c r="S413" s="8"/>
      <x:c r="T413" s="8"/>
      <x:c r="U413" s="8"/>
      <x:c r="V413" s="8" t="str">
        <x:v>No</x:v>
      </x:c>
      <x:c r="W413" s="8"/>
      <x:c r="X413" s="8"/>
      <x:c r="Y413" s="8"/>
      <x:c r="Z413" s="8"/>
      <x:c r="AA413" s="8"/>
      <x:c r="AB413" s="8"/>
      <x:c r="AC413" s="9"/>
      <x:c r="AD413" s="8"/>
      <x:c r="AE413" s="8"/>
      <x:c r="AF413" s="8"/>
      <x:c r="AG413" s="8"/>
      <x:c r="AH413" s="14" t="n">
        <x:v>8</x:v>
      </x:c>
      <x:c r="AI413" s="15" t="str">
        <x:v>Canonical source for Accounts &amp; Identity!8</x:v>
      </x:c>
    </x:row>
    <x:row r="414" ht="30">
      <x:c r="A414" s="12" t="str">
        <x:v>Accounts &amp; Identity</x:v>
      </x:c>
      <x:c r="B414" s="13" t="str">
        <x:v>Government ID / Age Verification Possible?</x:v>
      </x:c>
      <x:c r="C414" s="8" t="str">
        <x:v>Possible in some regions / safety flows</x:v>
      </x:c>
      <x:c r="D414" s="8"/>
      <x:c r="E414" s="8"/>
      <x:c r="F414" s="8"/>
      <x:c r="G414" s="8"/>
      <x:c r="H414" s="8"/>
      <x:c r="I414" s="8" t="str">
        <x:v>No</x:v>
      </x:c>
      <x:c r="J414" s="8"/>
      <x:c r="K414" s="8"/>
      <x:c r="L414" s="8" t="str">
        <x:v>No</x:v>
      </x:c>
      <x:c r="M414" s="8" t="str">
        <x:v>No</x:v>
      </x:c>
      <x:c r="N414" s="8"/>
      <x:c r="O414" s="8"/>
      <x:c r="P414" s="8"/>
      <x:c r="Q414" s="8"/>
      <x:c r="R414" s="8"/>
      <x:c r="S414" s="8"/>
      <x:c r="T414" s="8"/>
      <x:c r="U414" s="8"/>
      <x:c r="V414" s="8" t="str">
        <x:v>No</x:v>
      </x:c>
      <x:c r="W414" s="8"/>
      <x:c r="X414" s="8"/>
      <x:c r="Y414" s="8"/>
      <x:c r="Z414" s="8"/>
      <x:c r="AA414" s="8"/>
      <x:c r="AB414" s="8"/>
      <x:c r="AC414" s="9"/>
      <x:c r="AD414" s="8"/>
      <x:c r="AE414" s="8"/>
      <x:c r="AF414" s="8"/>
      <x:c r="AG414" s="8"/>
      <x:c r="AH414" s="14" t="n">
        <x:v>9</x:v>
      </x:c>
      <x:c r="AI414" s="15" t="str">
        <x:v>Canonical source for Accounts &amp; Identity!9</x:v>
      </x:c>
    </x:row>
    <x:row r="415" ht="105">
      <x:c r="A415" s="12" t="str">
        <x:v>Accounts &amp; Identity</x:v>
      </x:c>
      <x:c r="B415" s="13" t="str">
        <x:v>Cryptographic Keypair / Secret Required?</x:v>
      </x:c>
      <x:c r="C415" s="8" t="str">
        <x:v>No</x:v>
      </x:c>
      <x:c r="D415" s="8" t="str">
        <x:v>Yes</x:v>
      </x:c>
      <x:c r="E415" s="8" t="str">
        <x:v>Yes</x:v>
      </x:c>
      <x:c r="F415" s="8"/>
      <x:c r="G415" s="8"/>
      <x:c r="H415" s="8" t="str">
        <x:v>No</x:v>
      </x:c>
      <x:c r="I415" s="8" t="str">
        <x:v>No</x:v>
      </x:c>
      <x:c r="J415" s="8"/>
      <x:c r="K415" s="8" t="str">
        <x:v>Yes</x:v>
      </x:c>
      <x:c r="L415" s="8" t="str">
        <x:v>E2EE-capable accounts use cryptographic device/account identities, but no user-entered key is required at signup</x:v>
      </x:c>
      <x:c r="M415" s="8" t="str">
        <x:v>Yes</x:v>
      </x:c>
      <x:c r="N415" s="8"/>
      <x:c r="O415" s="8"/>
      <x:c r="P415" s="8"/>
      <x:c r="Q415" s="8"/>
      <x:c r="R415" s="8"/>
      <x:c r="S415" s="8"/>
      <x:c r="T415" s="8"/>
      <x:c r="U415" s="8"/>
      <x:c r="V415" s="8" t="str">
        <x:v>No</x:v>
      </x:c>
      <x:c r="W415" s="8"/>
      <x:c r="X415" s="8"/>
      <x:c r="Y415" s="8" t="str">
        <x:v>No</x:v>
      </x:c>
      <x:c r="Z415" s="8"/>
      <x:c r="AA415" s="8"/>
      <x:c r="AB415" s="8"/>
      <x:c r="AC415" s="9"/>
      <x:c r="AD415" s="8"/>
      <x:c r="AE415" s="8"/>
      <x:c r="AF415" s="8"/>
      <x:c r="AG415" s="8"/>
      <x:c r="AH415" s="14" t="n">
        <x:v>10</x:v>
      </x:c>
      <x:c r="AI415" s="15" t="str">
        <x:v>Canonical source for Accounts &amp; Identity!10</x:v>
      </x:c>
    </x:row>
    <x:row r="416" ht="30">
      <x:c r="A416" s="12" t="str">
        <x:v>Accounts &amp; Identity</x:v>
      </x:c>
      <x:c r="B416" s="13" t="str">
        <x:v>Guest / No-Account Access?</x:v>
      </x:c>
      <x:c r="C416" s="8"/>
      <x:c r="D416" s="8"/>
      <x:c r="E416" s="8"/>
      <x:c r="F416" s="8"/>
      <x:c r="G416" s="8"/>
      <x:c r="H416" s="8"/>
      <x:c r="I416" s="8"/>
      <x:c r="J416" s="8"/>
      <x:c r="K416" s="8"/>
      <x:c r="L416" s="8" t="str">
        <x:v>No</x:v>
      </x:c>
      <x:c r="M416" s="8"/>
      <x:c r="N416" s="8"/>
      <x:c r="O416" s="8"/>
      <x:c r="P416" s="8"/>
      <x:c r="Q416" s="8" t="str">
        <x:v>Yes for some event/link flows</x:v>
      </x:c>
      <x:c r="R416" s="8"/>
      <x:c r="S416" s="8"/>
      <x:c r="T416" s="8"/>
      <x:c r="U416" s="8"/>
      <x:c r="V416" s="8" t="str">
        <x:v>No</x:v>
      </x:c>
      <x:c r="W416" s="8"/>
      <x:c r="X416" s="8"/>
      <x:c r="Y416" s="8"/>
      <x:c r="Z416" s="8"/>
      <x:c r="AA416" s="8"/>
      <x:c r="AB416" s="8"/>
      <x:c r="AC416" s="9"/>
      <x:c r="AD416" s="8"/>
      <x:c r="AE416" s="8"/>
      <x:c r="AF416" s="8"/>
      <x:c r="AG416" s="8"/>
      <x:c r="AH416" s="14" t="n">
        <x:v>12</x:v>
      </x:c>
      <x:c r="AI416" s="15" t="str">
        <x:v>Canonical source for Accounts &amp; Identity!12</x:v>
      </x:c>
    </x:row>
    <x:row r="417" ht="75">
      <x:c r="A417" s="12" t="str">
        <x:v>Accounts &amp; Identity</x:v>
      </x:c>
      <x:c r="B417" s="13" t="str">
        <x:v>Account Recovery Method</x:v>
      </x:c>
      <x:c r="C417" s="8" t="str">
        <x:v>Email reset</x:v>
      </x:c>
      <x:c r="D417" s="8"/>
      <x:c r="E417" s="8"/>
      <x:c r="F417" s="8"/>
      <x:c r="G417" s="8"/>
      <x:c r="H417" s="8" t="str">
        <x:v>Email reset</x:v>
      </x:c>
      <x:c r="I417" s="8"/>
      <x:c r="J417" s="8"/>
      <x:c r="K417" s="8" t="str">
        <x:v>Recovery phrase / key material</x:v>
      </x:c>
      <x:c r="L417" s="8" t="str">
        <x:v>Email reset when email is enabled; operator-assisted policy is needed when email is disabled</x:v>
      </x:c>
      <x:c r="M417" s="8"/>
      <x:c r="N417" s="8"/>
      <x:c r="O417" s="8"/>
      <x:c r="P417" s="8"/>
      <x:c r="Q417" s="8"/>
      <x:c r="R417" s="8"/>
      <x:c r="S417" s="8"/>
      <x:c r="T417" s="8"/>
      <x:c r="U417" s="8"/>
      <x:c r="V417" s="8" t="str">
        <x:v>12-word Rift Key / recovery key</x:v>
      </x:c>
      <x:c r="W417" s="8"/>
      <x:c r="X417" s="8"/>
      <x:c r="Y417" s="8" t="str">
        <x:v>Email reset</x:v>
      </x:c>
      <x:c r="Z417" s="8"/>
      <x:c r="AA417" s="8"/>
      <x:c r="AB417" s="8"/>
      <x:c r="AC417" s="9" t="str">
        <x:v>Email reset</x:v>
      </x:c>
      <x:c r="AD417" s="8"/>
      <x:c r="AE417" s="8"/>
      <x:c r="AF417" s="8"/>
      <x:c r="AG417" s="8"/>
      <x:c r="AH417" s="14" t="n">
        <x:v>13</x:v>
      </x:c>
      <x:c r="AI417" s="15" t="str">
        <x:v>Canonical source for Accounts &amp; Identity!13</x:v>
      </x:c>
    </x:row>
    <x:row r="418" ht="75">
      <x:c r="A418" s="12" t="str">
        <x:v>Accounts &amp; Identity</x:v>
      </x:c>
      <x:c r="B418" s="13" t="str">
        <x:v>Password Reset Available?</x:v>
      </x:c>
      <x:c r="C418" s="8" t="str">
        <x:v>Yes</x:v>
      </x:c>
      <x:c r="D418" s="8"/>
      <x:c r="E418" s="8"/>
      <x:c r="F418" s="8"/>
      <x:c r="G418" s="8"/>
      <x:c r="H418" s="8" t="str">
        <x:v>Yes</x:v>
      </x:c>
      <x:c r="I418" s="8"/>
      <x:c r="J418" s="8"/>
      <x:c r="K418" s="8"/>
      <x:c r="L418" s="8" t="str">
        <x:v>Email reset when email is enabled; operator-assisted policy is needed when email is disabled</x:v>
      </x:c>
      <x:c r="M418" s="8"/>
      <x:c r="N418" s="8"/>
      <x:c r="O418" s="8"/>
      <x:c r="P418" s="8"/>
      <x:c r="Q418" s="8"/>
      <x:c r="R418" s="8"/>
      <x:c r="S418" s="8"/>
      <x:c r="T418" s="8"/>
      <x:c r="U418" s="8"/>
      <x:c r="V418" s="8" t="str">
        <x:v>yes - recovery key</x:v>
      </x:c>
      <x:c r="W418" s="8"/>
      <x:c r="X418" s="8"/>
      <x:c r="Y418" s="8" t="str">
        <x:v>Yes</x:v>
      </x:c>
      <x:c r="Z418" s="8"/>
      <x:c r="AA418" s="8"/>
      <x:c r="AB418" s="8"/>
      <x:c r="AC418" s="9" t="str">
        <x:v>Yes</x:v>
      </x:c>
      <x:c r="AD418" s="8"/>
      <x:c r="AE418" s="8"/>
      <x:c r="AF418" s="8"/>
      <x:c r="AG418" s="8"/>
      <x:c r="AH418" s="14" t="n">
        <x:v>14</x:v>
      </x:c>
      <x:c r="AI418" s="15" t="str">
        <x:v>Canonical source for Accounts &amp; Identity!14</x:v>
      </x:c>
    </x:row>
    <x:row r="419" ht="60">
      <x:c r="A419" s="12" t="str">
        <x:v>Accounts &amp; Identity</x:v>
      </x:c>
      <x:c r="B419" s="13" t="str">
        <x:v>Recovery Without Email/Phone?</x:v>
      </x:c>
      <x:c r="C419" s="8"/>
      <x:c r="D419" s="8"/>
      <x:c r="E419" s="8"/>
      <x:c r="F419" s="8"/>
      <x:c r="G419" s="8"/>
      <x:c r="H419" s="8"/>
      <x:c r="I419" s="8"/>
      <x:c r="J419" s="8"/>
      <x:c r="K419" s="8" t="str">
        <x:v>Yes: recovery key</x:v>
      </x:c>
      <x:c r="L419" s="8" t="str">
        <x:v>Partial: possible only through operator-assisted recovery when email is disabled</x:v>
      </x:c>
      <x:c r="M419" s="8"/>
      <x:c r="N419" s="8"/>
      <x:c r="O419" s="8"/>
      <x:c r="P419" s="8"/>
      <x:c r="Q419" s="8"/>
      <x:c r="R419" s="8"/>
      <x:c r="S419" s="8"/>
      <x:c r="T419" s="8"/>
      <x:c r="U419" s="8"/>
      <x:c r="V419" s="8" t="str">
        <x:v>Yes: recovery key</x:v>
      </x:c>
      <x:c r="W419" s="8"/>
      <x:c r="X419" s="8"/>
      <x:c r="Y419" s="8"/>
      <x:c r="Z419" s="8"/>
      <x:c r="AA419" s="8"/>
      <x:c r="AB419" s="8"/>
      <x:c r="AC419" s="9"/>
      <x:c r="AD419" s="8"/>
      <x:c r="AE419" s="8"/>
      <x:c r="AF419" s="8"/>
      <x:c r="AG419" s="8"/>
      <x:c r="AH419" s="14" t="n">
        <x:v>15</x:v>
      </x:c>
      <x:c r="AI419" s="15" t="str">
        <x:v>Canonical source for Accounts &amp; Identity!15</x:v>
      </x:c>
    </x:row>
    <x:row r="420" ht="30">
      <x:c r="A420" s="12" t="str">
        <x:v>Accounts &amp; Identity</x:v>
      </x:c>
      <x:c r="B420" s="13" t="str">
        <x:v>Global Unique Username?</x:v>
      </x:c>
      <x:c r="C420" s="8" t="str">
        <x:v>Yes / central namespace</x:v>
      </x:c>
      <x:c r="D420" s="8"/>
      <x:c r="E420" s="8"/>
      <x:c r="F420" s="8"/>
      <x:c r="G420" s="8"/>
      <x:c r="H420" s="8" t="str">
        <x:v>Yes / central namespace</x:v>
      </x:c>
      <x:c r="I420" s="8" t="str">
        <x:v>Yes / central namespace</x:v>
      </x:c>
      <x:c r="J420" s="8"/>
      <x:c r="K420" s="8"/>
      <x:c r="L420" s="8" t="str">
        <x:v>Yes: username@domain</x:v>
      </x:c>
      <x:c r="M420" s="8"/>
      <x:c r="N420" s="8"/>
      <x:c r="O420" s="8" t="str">
        <x:v>Homeserver-scoped Matrix ID</x:v>
      </x:c>
      <x:c r="P420" s="8"/>
      <x:c r="Q420" s="8"/>
      <x:c r="R420" s="8"/>
      <x:c r="S420" s="8"/>
      <x:c r="T420" s="8"/>
      <x:c r="U420" s="8"/>
      <x:c r="V420" s="8" t="str">
        <x:v>Yes / central namespace</x:v>
      </x:c>
      <x:c r="W420" s="8"/>
      <x:c r="X420" s="8"/>
      <x:c r="Y420" s="8" t="str">
        <x:v>Yes / central namespace</x:v>
      </x:c>
      <x:c r="Z420" s="8"/>
      <x:c r="AA420" s="8"/>
      <x:c r="AB420" s="8"/>
      <x:c r="AC420" s="9"/>
      <x:c r="AD420" s="8"/>
      <x:c r="AE420" s="8"/>
      <x:c r="AF420" s="8"/>
      <x:c r="AG420" s="8"/>
      <x:c r="AH420" s="14" t="n">
        <x:v>17</x:v>
      </x:c>
      <x:c r="AI420" s="15" t="str">
        <x:v>Canonical source for Accounts &amp; Identity!17</x:v>
      </x:c>
    </x:row>
    <x:row r="421">
      <x:c r="A421" s="12" t="str">
        <x:v>Accounts &amp; Identity</x:v>
      </x:c>
      <x:c r="B421" s="13" t="str">
        <x:v>Display Name Separate from Username?</x:v>
      </x:c>
      <x:c r="C421" s="8" t="str">
        <x:v>Yes</x:v>
      </x:c>
      <x:c r="D421" s="8"/>
      <x:c r="E421" s="8"/>
      <x:c r="F421" s="8"/>
      <x:c r="G421" s="8"/>
      <x:c r="H421" s="8" t="str">
        <x:v>Yes</x:v>
      </x:c>
      <x:c r="I421" s="8"/>
      <x:c r="J421" s="8"/>
      <x:c r="K421" s="8"/>
      <x:c r="L421" s="8" t="str">
        <x:v>Yes</x:v>
      </x:c>
      <x:c r="M421" s="8"/>
      <x:c r="N421" s="8"/>
      <x:c r="O421" s="8" t="str">
        <x:v>Yes</x:v>
      </x:c>
      <x:c r="P421" s="8"/>
      <x:c r="Q421" s="8" t="str">
        <x:v>Yes</x:v>
      </x:c>
      <x:c r="R421" s="8"/>
      <x:c r="S421" s="8"/>
      <x:c r="T421" s="8"/>
      <x:c r="U421" s="8"/>
      <x:c r="V421" s="8" t="str">
        <x:v>Yes</x:v>
      </x:c>
      <x:c r="W421" s="8"/>
      <x:c r="X421" s="8"/>
      <x:c r="Y421" s="8" t="str">
        <x:v>Yes</x:v>
      </x:c>
      <x:c r="Z421" s="8"/>
      <x:c r="AA421" s="8"/>
      <x:c r="AB421" s="8"/>
      <x:c r="AC421" s="9"/>
      <x:c r="AD421" s="8"/>
      <x:c r="AE421" s="8"/>
      <x:c r="AF421" s="8"/>
      <x:c r="AG421" s="8"/>
      <x:c r="AH421" s="14" t="n">
        <x:v>18</x:v>
      </x:c>
      <x:c r="AI421" s="15" t="str">
        <x:v>Canonical source for Accounts &amp; Identity!18</x:v>
      </x:c>
    </x:row>
    <x:row r="422" ht="30">
      <x:c r="A422" s="12" t="str">
        <x:v>Accounts &amp; Identity</x:v>
      </x:c>
      <x:c r="B422" s="13" t="str">
        <x:v>Per-Community Profile?</x:v>
      </x:c>
      <x:c r="C422" s="8" t="str">
        <x:v>Yes</x:v>
      </x:c>
      <x:c r="D422" s="8"/>
      <x:c r="E422" s="8"/>
      <x:c r="F422" s="8"/>
      <x:c r="G422" s="8"/>
      <x:c r="H422" s="8" t="str">
        <x:v>Yes</x:v>
      </x:c>
      <x:c r="I422" s="8"/>
      <x:c r="J422" s="8"/>
      <x:c r="K422" s="8"/>
      <x:c r="L422" s="8" t="str">
        <x:v>Not specifically documented</x:v>
      </x:c>
      <x:c r="M422" s="8"/>
      <x:c r="N422" s="8"/>
      <x:c r="O422" s="8" t="str">
        <x:v>Client/provider-dependent</x:v>
      </x:c>
      <x:c r="P422" s="8"/>
      <x:c r="Q422" s="8"/>
      <x:c r="R422" s="8"/>
      <x:c r="S422" s="8"/>
      <x:c r="T422" s="8"/>
      <x:c r="U422" s="8"/>
      <x:c r="V422" s="8" t="str">
        <x:v>Yes</x:v>
      </x:c>
      <x:c r="W422" s="8"/>
      <x:c r="X422" s="8"/>
      <x:c r="Y422" s="8"/>
      <x:c r="Z422" s="8"/>
      <x:c r="AA422" s="8"/>
      <x:c r="AB422" s="8"/>
      <x:c r="AC422" s="9"/>
      <x:c r="AD422" s="8"/>
      <x:c r="AE422" s="8"/>
      <x:c r="AF422" s="8"/>
      <x:c r="AG422" s="8"/>
      <x:c r="AH422" s="14" t="n">
        <x:v>19</x:v>
      </x:c>
      <x:c r="AI422" s="15" t="str">
        <x:v>Canonical source for Accounts &amp; Identity!19</x:v>
      </x:c>
    </x:row>
    <x:row r="423" ht="60">
      <x:c r="A423" s="12" t="str">
        <x:v>Accounts &amp; Identity</x:v>
      </x:c>
      <x:c r="B423" s="13" t="str">
        <x:v>Multiple Accounts Supported?</x:v>
      </x:c>
      <x:c r="C423" s="8" t="str">
        <x:v>Desktop Account Switcher up to 5 accounts</x:v>
      </x:c>
      <x:c r="D423" s="8" t="str">
        <x:v>Key-based identity</x:v>
      </x:c>
      <x:c r="E423" s="8"/>
      <x:c r="F423" s="8"/>
      <x:c r="G423" s="8"/>
      <x:c r="H423" s="8"/>
      <x:c r="I423" s="8"/>
      <x:c r="J423" s="8"/>
      <x:c r="K423" s="8" t="str">
        <x:v>Multi-device identity sync</x:v>
      </x:c>
      <x:c r="L423" s="8" t="str">
        <x:v>Not documented</x:v>
      </x:c>
      <x:c r="M423" s="8"/>
      <x:c r="N423" s="8"/>
      <x:c r="O423" s="8" t="str">
        <x:v>Client-dependent; some support multiple accounts</x:v>
      </x:c>
      <x:c r="P423" s="8" t="str">
        <x:v>Multiple servers</x:v>
      </x:c>
      <x:c r="Q423" s="8"/>
      <x:c r="R423" s="8" t="str">
        <x:v>Server identity/bookmarks rather than cloud account switching</x:v>
      </x:c>
      <x:c r="S423" s="8"/>
      <x:c r="T423" s="8"/>
      <x:c r="U423" s="8"/>
      <x:c r="V423" s="8" t="str">
        <x:v>No</x:v>
      </x:c>
      <x:c r="W423" s="8" t="str">
        <x:v>Multiple workspaces</x:v>
      </x:c>
      <x:c r="X423" s="8" t="str">
        <x:v>ATProto identity</x:v>
      </x:c>
      <x:c r="Y423" s="8"/>
      <x:c r="Z423" s="8"/>
      <x:c r="AA423" s="8"/>
      <x:c r="AB423" s="8"/>
      <x:c r="AC423" s="9"/>
      <x:c r="AD423" s="8"/>
      <x:c r="AE423" s="8"/>
      <x:c r="AF423" s="8"/>
      <x:c r="AG423" s="8" t="str">
        <x:v>Multiple accounts/orgs</x:v>
      </x:c>
      <x:c r="AH423" s="14" t="n">
        <x:v>20</x:v>
      </x:c>
      <x:c r="AI423" s="15" t="str">
        <x:v>Canonical source for Accounts &amp; Identity!20</x:v>
      </x:c>
    </x:row>
    <x:row r="424">
      <x:c r="A424" s="12" t="str">
        <x:v>Accounts &amp; Identity</x:v>
      </x:c>
      <x:c r="B424" s="13" t="str">
        <x:v>Account Switcher Max Accounts</x:v>
      </x:c>
      <x:c r="C424" s="8" t="str">
        <x:v>5</x:v>
      </x:c>
      <x:c r="D424" s="8"/>
      <x:c r="E424" s="8"/>
      <x:c r="F424" s="8"/>
      <x:c r="G424" s="8"/>
      <x:c r="H424" s="8"/>
      <x:c r="I424" s="8"/>
      <x:c r="J424" s="8"/>
      <x:c r="K424" s="8"/>
      <x:c r="L424" s="8" t="str">
        <x:v>Not documented</x:v>
      </x:c>
      <x:c r="M424" s="8"/>
      <x:c r="N424" s="8"/>
      <x:c r="O424" s="8"/>
      <x:c r="P424" s="8"/>
      <x:c r="Q424" s="8"/>
      <x:c r="R424" s="8"/>
      <x:c r="S424" s="8"/>
      <x:c r="T424" s="8"/>
      <x:c r="U424" s="8"/>
      <x:c r="V424" s="8" t="str">
        <x:v>N/A</x:v>
      </x:c>
      <x:c r="W424" s="8"/>
      <x:c r="X424" s="8"/>
      <x:c r="Y424" s="8"/>
      <x:c r="Z424" s="8"/>
      <x:c r="AA424" s="8"/>
      <x:c r="AB424" s="8"/>
      <x:c r="AC424" s="9"/>
      <x:c r="AD424" s="8"/>
      <x:c r="AE424" s="8"/>
      <x:c r="AF424" s="8"/>
      <x:c r="AG424" s="8"/>
      <x:c r="AH424" s="14" t="n">
        <x:v>21</x:v>
      </x:c>
      <x:c r="AI424" s="15" t="str">
        <x:v>Canonical source for Accounts &amp; Identity!21</x:v>
      </x:c>
    </x:row>
    <x:row r="425" ht="75">
      <x:c r="A425" s="12" t="str">
        <x:v>Accounts &amp; Identity</x:v>
      </x:c>
      <x:c r="B425" s="13" t="str">
        <x:v>Identity Portable Across Servers / Instances?</x:v>
      </x:c>
      <x:c r="C425" s="8"/>
      <x:c r="D425" s="8"/>
      <x:c r="E425" s="8"/>
      <x:c r="F425" s="8"/>
      <x:c r="G425" s="8"/>
      <x:c r="H425" s="8"/>
      <x:c r="I425" s="8"/>
      <x:c r="J425" s="8"/>
      <x:c r="K425" s="8"/>
      <x:c r="L425" s="8" t="str">
        <x:v>Federated identity works across instances, but home-instance migration is not documented</x:v>
      </x:c>
      <x:c r="M425" s="8"/>
      <x:c r="N425" s="8"/>
      <x:c r="O425" s="8"/>
      <x:c r="P425" s="8"/>
      <x:c r="Q425" s="8"/>
      <x:c r="R425" s="8"/>
      <x:c r="S425" s="8"/>
      <x:c r="T425" s="8"/>
      <x:c r="U425" s="8"/>
      <x:c r="V425" s="8" t="str">
        <x:v>N/A</x:v>
      </x:c>
      <x:c r="W425" s="8"/>
      <x:c r="X425" s="8"/>
      <x:c r="Y425" s="8"/>
      <x:c r="Z425" s="8"/>
      <x:c r="AA425" s="8"/>
      <x:c r="AB425" s="8"/>
      <x:c r="AC425" s="9"/>
      <x:c r="AD425" s="8"/>
      <x:c r="AE425" s="8"/>
      <x:c r="AF425" s="8"/>
      <x:c r="AG425" s="8"/>
      <x:c r="AH425" s="14" t="n">
        <x:v>22</x:v>
      </x:c>
      <x:c r="AI425" s="15" t="str">
        <x:v>Canonical source for Accounts &amp; Identity!22</x:v>
      </x:c>
    </x:row>
    <x:row r="426" ht="75">
      <x:c r="A426" s="12" t="str">
        <x:v>Accounts &amp; Identity</x:v>
      </x:c>
      <x:c r="B426" s="13" t="str">
        <x:v>Minimum Age</x:v>
      </x:c>
      <x:c r="C426" s="8"/>
      <x:c r="D426" s="8"/>
      <x:c r="E426" s="8"/>
      <x:c r="F426" s="8"/>
      <x:c r="G426" s="8"/>
      <x:c r="H426" s="8"/>
      <x:c r="I426" s="8"/>
      <x:c r="J426" s="8"/>
      <x:c r="K426" s="8"/>
      <x:c r="L426" s="8" t="str">
        <x:v>Operator-configurable legal minimum age when custom policy pages are enabled; no single Kaede-wide age</x:v>
      </x:c>
      <x:c r="M426" s="8"/>
      <x:c r="N426" s="8"/>
      <x:c r="O426" s="8"/>
      <x:c r="P426" s="8"/>
      <x:c r="Q426" s="8"/>
      <x:c r="R426" s="8"/>
      <x:c r="S426" s="8"/>
      <x:c r="T426" s="8"/>
      <x:c r="U426" s="8"/>
      <x:c r="V426" s="8" t="str">
        <x:v>18+</x:v>
      </x:c>
      <x:c r="W426" s="8"/>
      <x:c r="X426" s="8"/>
      <x:c r="Y426" s="8"/>
      <x:c r="Z426" s="8"/>
      <x:c r="AA426" s="8"/>
      <x:c r="AB426" s="8"/>
      <x:c r="AC426" s="9"/>
      <x:c r="AD426" s="8"/>
      <x:c r="AE426" s="8"/>
      <x:c r="AF426" s="8"/>
      <x:c r="AG426" s="8"/>
      <x:c r="AH426" s="14" t="n">
        <x:v>24</x:v>
      </x:c>
      <x:c r="AI426" s="15" t="str">
        <x:v>Canonical source for Accounts &amp; Identity!24</x:v>
      </x:c>
    </x:row>
    <x:row r="427" ht="60">
      <x:c r="A427" s="12" t="str">
        <x:v>Accounts &amp; Identity</x:v>
      </x:c>
      <x:c r="B427" s="13" t="str">
        <x:v>Self-Service Account Deletion?</x:v>
      </x:c>
      <x:c r="C427" s="8" t="str">
        <x:v>Yes</x:v>
      </x:c>
      <x:c r="D427" s="8"/>
      <x:c r="E427" s="8"/>
      <x:c r="F427" s="8"/>
      <x:c r="G427" s="8"/>
      <x:c r="H427" s="8" t="str">
        <x:v>Yes</x:v>
      </x:c>
      <x:c r="I427" s="8"/>
      <x:c r="J427" s="8"/>
      <x:c r="K427" s="8"/>
      <x:c r="L427" s="8" t="str">
        <x:v>No: operator guide explicitly says no self-service account-deletion control</x:v>
      </x:c>
      <x:c r="M427" s="8"/>
      <x:c r="N427" s="8"/>
      <x:c r="O427" s="8"/>
      <x:c r="P427" s="8"/>
      <x:c r="Q427" s="8" t="str">
        <x:v>Yes</x:v>
      </x:c>
      <x:c r="R427" s="8"/>
      <x:c r="S427" s="8"/>
      <x:c r="T427" s="8"/>
      <x:c r="U427" s="8"/>
      <x:c r="V427" s="8" t="str">
        <x:v>Yes</x:v>
      </x:c>
      <x:c r="W427" s="8"/>
      <x:c r="X427" s="8"/>
      <x:c r="Y427" s="8" t="str">
        <x:v>Yes</x:v>
      </x:c>
      <x:c r="Z427" s="8"/>
      <x:c r="AA427" s="8"/>
      <x:c r="AB427" s="8"/>
      <x:c r="AC427" s="9"/>
      <x:c r="AD427" s="8"/>
      <x:c r="AE427" s="8"/>
      <x:c r="AF427" s="8"/>
      <x:c r="AG427" s="8"/>
      <x:c r="AH427" s="14" t="n">
        <x:v>25</x:v>
      </x:c>
      <x:c r="AI427" s="15" t="str">
        <x:v>Canonical source for Accounts &amp; Identity!25</x:v>
      </x:c>
    </x:row>
    <x:row r="428" ht="90">
      <x:c r="A428" s="12" t="str">
        <x:v>Accounts &amp; Identity</x:v>
      </x:c>
      <x:c r="B428" s="13" t="str">
        <x:v>Account Deletion Retention</x:v>
      </x:c>
      <x:c r="C428" s="8"/>
      <x:c r="D428" s="8"/>
      <x:c r="E428" s="8"/>
      <x:c r="F428" s="8"/>
      <x:c r="G428" s="8"/>
      <x:c r="H428" s="8"/>
      <x:c r="I428" s="8"/>
      <x:c r="J428" s="8"/>
      <x:c r="K428" s="8"/>
      <x:c r="L428" s="8" t="str">
        <x:v>Operator/request workflow; exact purge window is deployment-specific/not publicly fixed</x:v>
      </x:c>
      <x:c r="M428" s="8"/>
      <x:c r="N428" s="8"/>
      <x:c r="O428" s="8"/>
      <x:c r="P428" s="8"/>
      <x:c r="Q428" s="8"/>
      <x:c r="R428" s="8"/>
      <x:c r="S428" s="8"/>
      <x:c r="T428" s="8"/>
      <x:c r="U428" s="8"/>
      <x:c r="V428" s="8"/>
      <x:c r="W428" s="8"/>
      <x:c r="X428" s="8"/>
      <x:c r="Y428" s="8"/>
      <x:c r="Z428" s="8"/>
      <x:c r="AA428" s="8"/>
      <x:c r="AB428" s="8"/>
      <x:c r="AC428" s="9"/>
      <x:c r="AD428" s="8"/>
      <x:c r="AE428" s="8"/>
      <x:c r="AF428" s="8"/>
      <x:c r="AG428" s="8"/>
      <x:c r="AH428" s="14" t="n">
        <x:v>26</x:v>
      </x:c>
      <x:c r="AI428" s="15" t="str">
        <x:v>Canonical source for Accounts &amp; Identity!26</x:v>
      </x:c>
    </x:row>
    <x:row r="429" ht="30">
      <x:c r="A429" s="12" t="str">
        <x:v>Accounts &amp; Identity</x:v>
      </x:c>
      <x:c r="B429" s="13" t="str">
        <x:v>Inactive Account Deletion Policy</x:v>
      </x:c>
      <x:c r="C429" s="8" t="str">
        <x:v>May delete inactive accounts after 2 years</x:v>
      </x:c>
      <x:c r="D429" s="8"/>
      <x:c r="E429" s="8"/>
      <x:c r="F429" s="8"/>
      <x:c r="G429" s="8"/>
      <x:c r="H429" s="8"/>
      <x:c r="I429" s="8"/>
      <x:c r="J429" s="8"/>
      <x:c r="K429" s="8"/>
      <x:c r="L429" s="8" t="str">
        <x:v>Not documented</x:v>
      </x:c>
      <x:c r="M429" s="8"/>
      <x:c r="N429" s="8"/>
      <x:c r="O429" s="8"/>
      <x:c r="P429" s="8"/>
      <x:c r="Q429" s="8"/>
      <x:c r="R429" s="8"/>
      <x:c r="S429" s="8"/>
      <x:c r="T429" s="8"/>
      <x:c r="U429" s="8"/>
      <x:c r="V429" s="8"/>
      <x:c r="W429" s="8"/>
      <x:c r="X429" s="8"/>
      <x:c r="Y429" s="8"/>
      <x:c r="Z429" s="8"/>
      <x:c r="AA429" s="8"/>
      <x:c r="AB429" s="8"/>
      <x:c r="AC429" s="9"/>
      <x:c r="AD429" s="8"/>
      <x:c r="AE429" s="8"/>
      <x:c r="AF429" s="8"/>
      <x:c r="AG429" s="8"/>
      <x:c r="AH429" s="14" t="n">
        <x:v>27</x:v>
      </x:c>
      <x:c r="AI429" s="15" t="str">
        <x:v>Canonical source for Accounts &amp; Identity!27</x:v>
      </x:c>
    </x:row>
    <x:row r="430" ht="75">
      <x:c r="A430" s="12" t="str">
        <x:v>Accounts &amp; Identity</x:v>
      </x:c>
      <x:c r="B430" s="13" t="str">
        <x:v>Source &amp; Notes</x:v>
      </x:c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  <x:c r="M430" s="8"/>
      <x:c r="N430" s="8"/>
      <x:c r="O430" s="8"/>
      <x:c r="P430" s="8"/>
      <x:c r="Q430" s="8"/>
      <x:c r="R430" s="8"/>
      <x:c r="S430" s="8"/>
      <x:c r="T430" s="8"/>
      <x:c r="U430" s="8" t="str">
        <x:v>Hosted account system uses Clerk; exact signup/recovery field requirements were not provided</x:v>
      </x:c>
      <x:c r="V430" s="8"/>
      <x:c r="W430" s="8"/>
      <x:c r="X430" s="8"/>
      <x:c r="Y430" s="8"/>
      <x:c r="Z430" s="8"/>
      <x:c r="AA430" s="8"/>
      <x:c r="AB430" s="8"/>
      <x:c r="AC430" s="9"/>
      <x:c r="AD430" s="8"/>
      <x:c r="AE430" s="8"/>
      <x:c r="AF430" s="8"/>
      <x:c r="AG430" s="8"/>
      <x:c r="AH430" s="14" t="n">
        <x:v>28</x:v>
      </x:c>
      <x:c r="AI430" s="15" t="str">
        <x:v>Canonical source for Accounts &amp; Identity!28</x:v>
      </x:c>
    </x:row>
    <x:row r="431" ht="90">
      <x:c r="A431" s="12" t="str">
        <x:v>Accounts &amp; Identity</x:v>
      </x:c>
      <x:c r="B431" s="13" t="str">
        <x:v>Account / Identity Source URL</x:v>
      </x:c>
      <x:c r="C431" s="8" t="str">
        <x:v>https://support.discord.com/hc/en-us/articles/31676852332439-Discord-Sign-Up-and-Registration-Guide</x:v>
      </x:c>
      <x:c r="D431" s="8" t="str">
        <x:v>See Research Sources</x:v>
      </x:c>
      <x:c r="E431" s="8" t="str">
        <x:v>See Research Sources</x:v>
      </x:c>
      <x:c r="F431" s="8" t="str">
        <x:v>See Research Sources</x:v>
      </x:c>
      <x:c r="G431" s="8" t="str">
        <x:v>See Research Sources</x:v>
      </x:c>
      <x:c r="H431" s="8" t="str">
        <x:v>See Research Sources</x:v>
      </x:c>
      <x:c r="I431" s="8" t="str">
        <x:v>See Research Sources</x:v>
      </x:c>
      <x:c r="J431" s="8" t="str">
        <x:v>See Research Sources</x:v>
      </x:c>
      <x:c r="K431" s="8" t="str">
        <x:v>See Research Sources</x:v>
      </x:c>
      <x:c r="L431" s="8" t="str">
        <x:v>https://github.com/CookieNom/KaedeChat/blob/main/docs/operator.md</x:v>
      </x:c>
      <x:c r="M431" s="8" t="str">
        <x:v>See Research Sources</x:v>
      </x:c>
      <x:c r="N431" s="8" t="str">
        <x:v>See Research Sources</x:v>
      </x:c>
      <x:c r="O431" s="8" t="str">
        <x:v>See Research Sources</x:v>
      </x:c>
      <x:c r="P431" s="8" t="str">
        <x:v>See Research Sources</x:v>
      </x:c>
      <x:c r="Q431" s="8" t="str">
        <x:v>See Research Sources</x:v>
      </x:c>
      <x:c r="R431" s="8" t="str">
        <x:v>See Research Sources</x:v>
      </x:c>
      <x:c r="S431" s="8" t="str">
        <x:v>See Research Sources</x:v>
      </x:c>
      <x:c r="T431" s="8" t="str">
        <x:v>See Research Sources</x:v>
      </x:c>
      <x:c r="U431" s="8" t="str">
        <x:v>See Research Sources</x:v>
      </x:c>
      <x:c r="V431" s="8" t="str">
        <x:v>https://therift.chat/about/</x:v>
      </x:c>
      <x:c r="W431" s="8" t="str">
        <x:v>See Research Sources</x:v>
      </x:c>
      <x:c r="X431" s="8" t="str">
        <x:v>See Research Sources</x:v>
      </x:c>
      <x:c r="Y431" s="8" t="str">
        <x:v>See Research Sources</x:v>
      </x:c>
      <x:c r="Z431" s="8" t="str">
        <x:v>See Research Sources</x:v>
      </x:c>
      <x:c r="AA431" s="8" t="str">
        <x:v>See Research Sources</x:v>
      </x:c>
      <x:c r="AB431" s="8" t="str">
        <x:v>See Research Sources</x:v>
      </x:c>
      <x:c r="AC431" s="9" t="str">
        <x:v>See Research Sources</x:v>
      </x:c>
      <x:c r="AD431" s="8" t="str">
        <x:v>See Research Sources</x:v>
      </x:c>
      <x:c r="AE431" s="8" t="str">
        <x:v>See Research Sources</x:v>
      </x:c>
      <x:c r="AF431" s="8" t="str">
        <x:v>See Research Sources</x:v>
      </x:c>
      <x:c r="AG431" s="8" t="str">
        <x:v>See Research Sources</x:v>
      </x:c>
      <x:c r="AH431" s="14" t="n">
        <x:v>29</x:v>
      </x:c>
      <x:c r="AI431" s="15" t="str">
        <x:v>Canonical source for Accounts &amp; Identity!29</x:v>
      </x:c>
    </x:row>
    <x:row r="432" ht="165">
      <x:c r="A432" s="12" t="str">
        <x:v>Accounts &amp; Identity</x:v>
      </x:c>
      <x:c r="B432" s="13" t="str">
        <x:v>Account / Identity Notes</x:v>
      </x:c>
      <x:c r="C432" s="8" t="str">
        <x:v>Email + username + password + DOB on desktop; phone or email on mobile; verification may be required</x:v>
      </x:c>
      <x:c r="D432" s="8" t="str">
        <x:v>Keypair/secret-based Nostr identity</x:v>
      </x:c>
      <x:c r="E432" s="8" t="str">
        <x:v>Server account or key-based messenger identity</x:v>
      </x:c>
      <x:c r="F432" s="8"/>
      <x:c r="G432" s="8"/>
      <x:c r="H432" s="8" t="str">
        <x:v>Email + username + password + DOB; phone verification may be triggered</x:v>
      </x:c>
      <x:c r="I432" s="8" t="str">
        <x:v>Username + password; no email/phone/ID required</x:v>
      </x:c>
      <x:c r="J432" s="8" t="str">
        <x:v>Email/password on Fermi hosted instance</x:v>
      </x:c>
      <x:c r="K432" s="8" t="str">
        <x:v>No traditional account; Ed25519 key + 24-word recovery phrase</x:v>
      </x:c>
      <x:c r="L432" s="8" t="str">
        <x:v>Handles are immutable username@domain. Operators may disable email. Public operator documentation shows no full account export, account migration, or self-service account deletion.</x:v>
      </x:c>
      <x:c r="M432" s="8" t="str">
        <x:v>No email/phone required; secret-key identity</x:v>
      </x:c>
      <x:c r="N432" s="8"/>
      <x:c r="O432" s="8" t="str">
        <x:v>Account on a homeserver; credential/SSO rules are server-dependent</x:v>
      </x:c>
      <x:c r="P432" s="8" t="str">
        <x:v>Email/SSO/LDAP depending deployment</x:v>
      </x:c>
      <x:c r="Q432" s="8"/>
      <x:c r="R432" s="8" t="str">
        <x:v>Username/certificate/password depending server</x:v>
      </x:c>
      <x:c r="S432" s="8" t="str">
        <x:v>Email verification required for messaging</x:v>
      </x:c>
      <x:c r="T432" s="8" t="str">
        <x:v>Email + username/password</x:v>
      </x:c>
      <x:c r="U432" s="8" t="str">
        <x:v>Hosted accounts via Clerk; self-host operator controls its own deployment</x:v>
      </x:c>
      <x:c r="V432" s="8" t="str">
        <x:v>Username + password only; no email/phone/ID</x:v>
      </x:c>
      <x:c r="W432" s="8" t="str">
        <x:v>Email/SSO/LDAP depending deployment</x:v>
      </x:c>
      <x:c r="X432" s="8" t="str">
        <x:v>Bluesky/ATProto identity by default</x:v>
      </x:c>
      <x:c r="Y432" s="8" t="str">
        <x:v>Username/email/password</x:v>
      </x:c>
      <x:c r="Z432" s="8" t="str">
        <x:v>Operator-configurable account rules</x:v>
      </x:c>
      <x:c r="AA432" s="8"/>
      <x:c r="AB432" s="8"/>
      <x:c r="AC432" s="9" t="str">
        <x:v>Email only; no phone/ID</x:v>
      </x:c>
      <x:c r="AD432" s="8" t="str">
        <x:v>Device/account registration</x:v>
      </x:c>
      <x:c r="AE432" s="8"/>
      <x:c r="AF432" s="8" t="str">
        <x:v>Email/password or account</x:v>
      </x:c>
      <x:c r="AG432" s="8" t="str">
        <x:v>Email/SSO depending deployment</x:v>
      </x:c>
      <x:c r="AH432" s="14" t="n">
        <x:v>30</x:v>
      </x:c>
      <x:c r="AI432" s="15" t="str">
        <x:v>Canonical source for Accounts &amp; Identity!30</x:v>
      </x:c>
    </x:row>
    <x:row r="433" ht="105">
      <x:c r="A433" s="12" t="str">
        <x:v>Accounts &amp; Identity</x:v>
      </x:c>
      <x:c r="B433" s="13" t="str">
        <x:v>Two-Factor Authentication (TOTP)?</x:v>
      </x:c>
      <x:c r="C433" s="8" t="str">
        <x:v>Yes</x:v>
      </x:c>
      <x:c r="D433" s="8"/>
      <x:c r="E433" s="8"/>
      <x:c r="F433" s="8"/>
      <x:c r="G433" s="8"/>
      <x:c r="H433" s="8"/>
      <x:c r="I433" s="8"/>
      <x:c r="J433" s="8"/>
      <x:c r="K433" s="8"/>
      <x:c r="L433" s="8" t="str">
        <x:v>Yes/likely: backend architecture explicitly protects encrypted TOTP material; UI enrollment flow was not independently reviewed</x:v>
      </x:c>
      <x:c r="M433" s="8"/>
      <x:c r="N433" s="8"/>
      <x:c r="O433" s="8" t="str">
        <x:v>Provider/client dependent</x:v>
      </x:c>
      <x:c r="P433" s="8" t="str">
        <x:v>Yes</x:v>
      </x:c>
      <x:c r="Q433" s="8"/>
      <x:c r="R433" s="8"/>
      <x:c r="S433" s="8"/>
      <x:c r="T433" s="8"/>
      <x:c r="U433" s="8"/>
      <x:c r="V433" s="8" t="str">
        <x:v>Yes - Other Logged in Rift Instances</x:v>
      </x:c>
      <x:c r="W433" s="8" t="str">
        <x:v>Yes</x:v>
      </x:c>
      <x:c r="X433" s="8"/>
      <x:c r="Y433" s="8"/>
      <x:c r="Z433" s="8"/>
      <x:c r="AA433" s="8"/>
      <x:c r="AB433" s="8"/>
      <x:c r="AC433" s="9"/>
      <x:c r="AD433" s="8"/>
      <x:c r="AE433" s="8"/>
      <x:c r="AF433" s="8"/>
      <x:c r="AG433" s="8" t="str">
        <x:v>Yes</x:v>
      </x:c>
      <x:c r="AH433" s="14" t="n">
        <x:v>32</x:v>
      </x:c>
      <x:c r="AI433" s="15" t="str">
        <x:v>Canonical source for Accounts &amp; Identity!32</x:v>
      </x:c>
    </x:row>
    <x:row r="434" ht="30">
      <x:c r="A434" s="12" t="str">
        <x:v>Accounts &amp; Identity</x:v>
      </x:c>
      <x:c r="B434" s="13" t="str">
        <x:v>Passkeys / WebAuthn?</x:v>
      </x:c>
      <x:c r="C434" s="8"/>
      <x:c r="D434" s="8"/>
      <x:c r="E434" s="8"/>
      <x:c r="F434" s="8"/>
      <x:c r="G434" s="8"/>
      <x:c r="H434" s="8"/>
      <x:c r="I434" s="8"/>
      <x:c r="J434" s="8"/>
      <x:c r="K434" s="8"/>
      <x:c r="L434" s="8" t="str">
        <x:v>Not documented</x:v>
      </x:c>
      <x:c r="M434" s="8"/>
      <x:c r="N434" s="8"/>
      <x:c r="O434" s="8"/>
      <x:c r="P434" s="8" t="str">
        <x:v>SSO/provider dependent</x:v>
      </x:c>
      <x:c r="Q434" s="8"/>
      <x:c r="R434" s="8"/>
      <x:c r="S434" s="8"/>
      <x:c r="T434" s="8"/>
      <x:c r="U434" s="8"/>
      <x:c r="V434" s="8"/>
      <x:c r="W434" s="8"/>
      <x:c r="X434" s="8"/>
      <x:c r="Y434" s="8"/>
      <x:c r="Z434" s="8"/>
      <x:c r="AA434" s="8"/>
      <x:c r="AB434" s="8"/>
      <x:c r="AC434" s="9"/>
      <x:c r="AD434" s="8"/>
      <x:c r="AE434" s="8"/>
      <x:c r="AF434" s="8"/>
      <x:c r="AG434" s="8"/>
      <x:c r="AH434" s="14" t="n">
        <x:v>33</x:v>
      </x:c>
      <x:c r="AI434" s="15" t="str">
        <x:v>Canonical source for Accounts &amp; Identity!33</x:v>
      </x:c>
    </x:row>
    <x:row r="435" ht="45">
      <x:c r="A435" s="12" t="str">
        <x:v>Accounts &amp; Identity</x:v>
      </x:c>
      <x:c r="B435" s="13" t="str">
        <x:v>SAML / Enterprise SSO?</x:v>
      </x:c>
      <x:c r="C435" s="8"/>
      <x:c r="D435" s="8"/>
      <x:c r="E435" s="8"/>
      <x:c r="F435" s="8"/>
      <x:c r="G435" s="8"/>
      <x:c r="H435" s="8"/>
      <x:c r="I435" s="8"/>
      <x:c r="J435" s="8"/>
      <x:c r="K435" s="8"/>
      <x:c r="L435" s="8" t="str">
        <x:v>Not documented</x:v>
      </x:c>
      <x:c r="M435" s="8"/>
      <x:c r="N435" s="8"/>
      <x:c r="O435" s="8"/>
      <x:c r="P435" s="8" t="str">
        <x:v>Yes: paid editions</x:v>
      </x:c>
      <x:c r="Q435" s="8"/>
      <x:c r="R435" s="8"/>
      <x:c r="S435" s="8"/>
      <x:c r="T435" s="8"/>
      <x:c r="U435" s="8"/>
      <x:c r="V435" s="8"/>
      <x:c r="W435" s="8" t="str">
        <x:v>Yes: enterprise</x:v>
      </x:c>
      <x:c r="X435" s="8"/>
      <x:c r="Y435" s="8"/>
      <x:c r="Z435" s="8"/>
      <x:c r="AA435" s="8"/>
      <x:c r="AB435" s="8"/>
      <x:c r="AC435" s="9"/>
      <x:c r="AD435" s="8"/>
      <x:c r="AE435" s="8"/>
      <x:c r="AF435" s="8"/>
      <x:c r="AG435" s="8" t="str">
        <x:v>Yes: plans/deployment dependent</x:v>
      </x:c>
      <x:c r="AH435" s="14" t="n">
        <x:v>34</x:v>
      </x:c>
      <x:c r="AI435" s="15" t="str">
        <x:v>Canonical source for Accounts &amp; Identity!34</x:v>
      </x:c>
    </x:row>
    <x:row r="436">
      <x:c r="A436" s="12" t="str">
        <x:v>Accounts &amp; Identity</x:v>
      </x:c>
      <x:c r="B436" s="13" t="str">
        <x:v>OIDC / OAuth Login?</x:v>
      </x:c>
      <x:c r="C436" s="8"/>
      <x:c r="D436" s="8"/>
      <x:c r="E436" s="8"/>
      <x:c r="F436" s="8"/>
      <x:c r="G436" s="8"/>
      <x:c r="H436" s="8"/>
      <x:c r="I436" s="8"/>
      <x:c r="J436" s="8"/>
      <x:c r="K436" s="8"/>
      <x:c r="L436" s="8" t="str">
        <x:v>Not documented</x:v>
      </x:c>
      <x:c r="M436" s="8"/>
      <x:c r="N436" s="8"/>
      <x:c r="O436" s="8" t="str">
        <x:v>Provider-dependent</x:v>
      </x:c>
      <x:c r="P436" s="8" t="str">
        <x:v>Yes</x:v>
      </x:c>
      <x:c r="Q436" s="8"/>
      <x:c r="R436" s="8"/>
      <x:c r="S436" s="8"/>
      <x:c r="T436" s="8"/>
      <x:c r="U436" s="8"/>
      <x:c r="V436" s="8"/>
      <x:c r="W436" s="8" t="str">
        <x:v>Yes</x:v>
      </x:c>
      <x:c r="X436" s="8"/>
      <x:c r="Y436" s="8"/>
      <x:c r="Z436" s="8"/>
      <x:c r="AA436" s="8"/>
      <x:c r="AB436" s="8"/>
      <x:c r="AC436" s="9"/>
      <x:c r="AD436" s="8"/>
      <x:c r="AE436" s="8"/>
      <x:c r="AF436" s="8"/>
      <x:c r="AG436" s="8" t="str">
        <x:v>Yes</x:v>
      </x:c>
      <x:c r="AH436" s="14" t="n">
        <x:v>35</x:v>
      </x:c>
      <x:c r="AI436" s="15" t="str">
        <x:v>Canonical source for Accounts &amp; Identity!35</x:v>
      </x:c>
    </x:row>
    <x:row r="437" ht="60">
      <x:c r="A437" s="12" t="str">
        <x:v>Accounts &amp; Identity</x:v>
      </x:c>
      <x:c r="B437" s="13" t="str">
        <x:v>Active Session / Device Management?</x:v>
      </x:c>
      <x:c r="C437" s="8" t="str">
        <x:v>Yes</x:v>
      </x:c>
      <x:c r="D437" s="8"/>
      <x:c r="E437" s="8"/>
      <x:c r="F437" s="8"/>
      <x:c r="G437" s="8"/>
      <x:c r="H437" s="8"/>
      <x:c r="I437" s="8"/>
      <x:c r="J437" s="8"/>
      <x:c r="K437" s="8"/>
      <x:c r="L437" s="8" t="str">
        <x:v>Yes: sessions are independently revocable in the E2EE/security model</x:v>
      </x:c>
      <x:c r="M437" s="8"/>
      <x:c r="N437" s="8"/>
      <x:c r="O437" s="8" t="str">
        <x:v>Client-dependent</x:v>
      </x:c>
      <x:c r="P437" s="8"/>
      <x:c r="Q437" s="8"/>
      <x:c r="R437" s="8"/>
      <x:c r="S437" s="8"/>
      <x:c r="T437" s="8"/>
      <x:c r="U437" s="8"/>
      <x:c r="V437" s="8" t="str">
        <x:v>Yes</x:v>
      </x:c>
      <x:c r="W437" s="8"/>
      <x:c r="X437" s="8"/>
      <x:c r="Y437" s="8"/>
      <x:c r="Z437" s="8"/>
      <x:c r="AA437" s="8"/>
      <x:c r="AB437" s="8"/>
      <x:c r="AC437" s="9"/>
      <x:c r="AD437" s="8"/>
      <x:c r="AE437" s="8"/>
      <x:c r="AF437" s="8"/>
      <x:c r="AG437" s="8"/>
      <x:c r="AH437" s="14" t="n">
        <x:v>36</x:v>
      </x:c>
      <x:c r="AI437" s="15" t="str">
        <x:v>Canonical source for Accounts &amp; Identity!36</x:v>
      </x:c>
    </x:row>
    <x:row r="438" ht="120">
      <x:c r="A438" s="12" t="str">
        <x:v>Portability &amp; Bridging</x:v>
      </x:c>
      <x:c r="B438" s="13" t="str">
        <x:v>Discord Server Importer (Channels / Roles / Emotes)</x:v>
      </x:c>
      <x:c r="C438" s="8" t="str">
        <x:v>N/A: Discord is the source platform</x:v>
      </x:c>
      <x:c r="D438" s="8" t="str">
        <x:v>Yes: channels, roles, emoji and up to 10,000 messages/channel; optional live two-way bridge</x:v>
      </x:c>
      <x:c r="E438" s="8" t="str">
        <x:v>No template importer verified</x:v>
      </x:c>
      <x:c r="F438" s="8" t="str">
        <x:v>No Discord importer verified</x:v>
      </x:c>
      <x:c r="G438" s="8" t="str">
        <x:v>Planned/advertised Discord server template import</x:v>
      </x:c>
      <x:c r="H438" s="8" t="str">
        <x:v>No full Discord importer verified</x:v>
      </x:c>
      <x:c r="I438" s="8" t="str">
        <x:v>Yes: channels/roles/permissions/emojis/soundboard/events/assets</x:v>
      </x:c>
      <x:c r="J438" s="8" t="str">
        <x:v>No self-service importer verified; Creator plan advertises white-glove Discord migration</x:v>
      </x:c>
      <x:c r="K438" s="8" t="str">
        <x:v>No Discord importer verified</x:v>
      </x:c>
      <x:c r="L438" s="8" t="str">
        <x:v>No dedicated importer; official live Discord bridge exists</x:v>
      </x:c>
      <x:c r="M438" s="8" t="str">
        <x:v>No importer verified</x:v>
      </x:c>
      <x:c r="N438" s="8" t="str">
        <x:v>Yes: broad structural importer</x:v>
      </x:c>
      <x:c r="O438" s="8" t="str">
        <x:v>No protocol-level Discord importer; tools/clients may provide migration</x:v>
      </x:c>
      <x:c r="P438" s="8" t="str">
        <x:v>No native Discord importer</x:v>
      </x:c>
      <x:c r="Q438" s="8"/>
      <x:c r="R438" s="8" t="str">
        <x:v>No</x:v>
      </x:c>
      <x:c r="S438" s="8" t="str">
        <x:v>No importer verified</x:v>
      </x:c>
      <x:c r="T438" s="8" t="str">
        <x:v>Partial/template migration reported</x:v>
      </x:c>
      <x:c r="U438" s="8" t="str">
        <x:v>Layout only: categories, channels and main permissions; no messages or members</x:v>
      </x:c>
      <x:c r="V438" s="8" t="str">
        <x:v>Yes: Discord template structure import: categories, channels, forum tags, roles/order/colors, equivalent permissions; no messages/members</x:v>
      </x:c>
      <x:c r="W438" s="8" t="str">
        <x:v>No first-party Discord importer verified</x:v>
      </x:c>
      <x:c r="X438" s="8" t="str">
        <x:v>Discord bridge/import component exists</x:v>
      </x:c>
      <x:c r="Y438" s="8" t="str">
        <x:v>Yes: Discord server template import (roles/channels/groups/permissions)</x:v>
      </x:c>
      <x:c r="Z438" s="8" t="str">
        <x:v>Not an importer; aims for Discord client/bot API compatibility</x:v>
      </x:c>
      <x:c r="AA438" s="8" t="str">
        <x:v>No first-party Discord importer verified</x:v>
      </x:c>
      <x:c r="AB438" s="8" t="str">
        <x:v>No</x:v>
      </x:c>
      <x:c r="AC438" s="9" t="str">
        <x:v>Yes: built-in Discord importer</x:v>
      </x:c>
      <x:c r="AD438" s="8" t="str">
        <x:v>No Discord importer verified</x:v>
      </x:c>
      <x:c r="AE438" s="8" t="str">
        <x:v>No: design intentionally differs from Discord</x:v>
      </x:c>
      <x:c r="AF438" s="8" t="str">
        <x:v>No importer verified</x:v>
      </x:c>
      <x:c r="AG438" s="8" t="str">
        <x:v>No Discord importer; imports Slack/Mattermost/Rocket.Chat supported</x:v>
      </x:c>
      <x:c r="AH438" s="14" t="n">
        <x:v>3</x:v>
      </x:c>
      <x:c r="AI438" s="15" t="str">
        <x:v>Shared metric: At a Glance: Discord Server Importer | Portability &amp; Bridging: Discord Server Importer (Channels / Roles / Emotes)</x:v>
      </x:c>
    </x:row>
    <x:row r="439" ht="75">
      <x:c r="A439" s="12" t="str">
        <x:v>Portability &amp; Bridging</x:v>
      </x:c>
      <x:c r="B439" s="13" t="str">
        <x:v>Full Chat History Export (JSON / CSV / HTML)</x:v>
      </x:c>
      <x:c r="C439" s="8" t="str">
        <x:v>Yes: Data Package ZIP; messages/account data delivered primarily as JSON</x:v>
      </x:c>
      <x:c r="D439" s="8"/>
      <x:c r="E439" s="8" t="str">
        <x:v>Account export/re-import</x:v>
      </x:c>
      <x:c r="F439" s="8"/>
      <x:c r="G439" s="8"/>
      <x:c r="H439" s="8" t="str">
        <x:v>Data export available</x:v>
      </x:c>
      <x:c r="I439" s="8"/>
      <x:c r="J439" s="8"/>
      <x:c r="K439" s="8" t="str">
        <x:v>Local archive export/import</x:v>
      </x:c>
      <x:c r="L439" s="8" t="str">
        <x:v>No full account/chat export workflow documented</x:v>
      </x:c>
      <x:c r="M439" s="8"/>
      <x:c r="N439" s="8" t="str">
        <x:v>Yes</x:v>
      </x:c>
      <x:c r="O439" s="8" t="str">
        <x:v>Homeserver/client-dependent exports</x:v>
      </x:c>
      <x:c r="P439" s="8" t="str">
        <x:v>Bulk export tools/admin export</x:v>
      </x:c>
      <x:c r="Q439" s="8"/>
      <x:c r="R439" s="8" t="str">
        <x:v>Server/operator logs/config; no Discord-style chat export</x:v>
      </x:c>
      <x:c r="S439" s="8"/>
      <x:c r="T439" s="8"/>
      <x:c r="U439" s="8" t="str">
        <x:v>Data export available; exact export format not stated</x:v>
      </x:c>
      <x:c r="V439" s="8" t="str">
        <x:v>No</x:v>
      </x:c>
      <x:c r="W439" s="8" t="str">
        <x:v>Admin export tools</x:v>
      </x:c>
      <x:c r="X439" s="8"/>
      <x:c r="Y439" s="8"/>
      <x:c r="Z439" s="8"/>
      <x:c r="AA439" s="8"/>
      <x:c r="AB439" s="8"/>
      <x:c r="AC439" s="9"/>
      <x:c r="AD439" s="8"/>
      <x:c r="AE439" s="8" t="str">
        <x:v>No</x:v>
      </x:c>
      <x:c r="AF439" s="8"/>
      <x:c r="AG439" s="8" t="str">
        <x:v>Exports available</x:v>
      </x:c>
      <x:c r="AH439" s="14" t="n">
        <x:v>4</x:v>
      </x:c>
      <x:c r="AI439" s="15" t="str">
        <x:v>Canonical source for Portability &amp; Bridging!4</x:v>
      </x:c>
    </x:row>
    <x:row r="440" ht="60">
      <x:c r="A440" s="12" t="str">
        <x:v>Portability &amp; Bridging</x:v>
      </x:c>
      <x:c r="B440" s="13" t="str">
        <x:v>Media / Attachment Backup &amp; Export</x:v>
      </x:c>
      <x:c r="C440" s="8" t="str">
        <x:v>Yes: Data Package can include uploaded attachments in their file formats</x:v>
      </x:c>
      <x:c r="D440" s="8"/>
      <x:c r="E440" s="8" t="str">
        <x:v>Operator data</x:v>
      </x:c>
      <x:c r="F440" s="8"/>
      <x:c r="G440" s="8"/>
      <x:c r="H440" s="8"/>
      <x:c r="I440" s="8"/>
      <x:c r="J440" s="8"/>
      <x:c r="K440" s="8" t="str">
        <x:v>Local files/data export</x:v>
      </x:c>
      <x:c r="L440" s="8" t="str">
        <x:v>Direct attachment download exists; bulk media export is not documented</x:v>
      </x:c>
      <x:c r="M440" s="8"/>
      <x:c r="N440" s="8" t="str">
        <x:v>Yes</x:v>
      </x:c>
      <x:c r="O440" s="8" t="str">
        <x:v>Homeserver/client-dependent</x:v>
      </x:c>
      <x:c r="P440" s="8" t="str">
        <x:v>Export/backup supported admin-side</x:v>
      </x:c>
      <x:c r="Q440" s="8"/>
      <x:c r="R440" s="8" t="str">
        <x:v>N/A</x:v>
      </x:c>
      <x:c r="S440" s="8"/>
      <x:c r="T440" s="8"/>
      <x:c r="U440" s="8" t="str">
        <x:v>Data export exists; attachment-specific export behavior not stated</x:v>
      </x:c>
      <x:c r="V440" s="8" t="str">
        <x:v>Direct Attachement downloads</x:v>
      </x:c>
      <x:c r="W440" s="8" t="str">
        <x:v>Backup/export supported admin-side</x:v>
      </x:c>
      <x:c r="X440" s="8"/>
      <x:c r="Y440" s="8"/>
      <x:c r="Z440" s="8"/>
      <x:c r="AA440" s="8"/>
      <x:c r="AB440" s="8"/>
      <x:c r="AC440" s="9"/>
      <x:c r="AD440" s="8"/>
      <x:c r="AE440" s="8" t="str">
        <x:v>No</x:v>
      </x:c>
      <x:c r="AF440" s="8" t="str">
        <x:v>Operator files</x:v>
      </x:c>
      <x:c r="AG440" s="8" t="str">
        <x:v>Exports include realm data; attachment details deployment-dependent</x:v>
      </x:c>
      <x:c r="AH440" s="14" t="n">
        <x:v>5</x:v>
      </x:c>
      <x:c r="AI440" s="15" t="str">
        <x:v>Canonical source for Portability &amp; Bridging!5</x:v>
      </x:c>
    </x:row>
    <x:row r="441" ht="60">
      <x:c r="A441" s="12" t="str">
        <x:v>Portability &amp; Bridging</x:v>
      </x:c>
      <x:c r="B441" s="13" t="str">
        <x:v>Native Discord Bridge Support</x:v>
      </x:c>
      <x:c r="C441" s="8" t="str">
        <x:v>N/A: Discord is the source platform</x:v>
      </x:c>
      <x:c r="D441" s="8" t="str">
        <x:v>Yes: optional live two-way bridge</x:v>
      </x:c>
      <x:c r="E441" s="8" t="str">
        <x:v>Discord bridge WIP</x:v>
      </x:c>
      <x:c r="F441" s="8" t="str">
        <x:v>No</x:v>
      </x:c>
      <x:c r="G441" s="8" t="str">
        <x:v>No native bridge verified</x:v>
      </x:c>
      <x:c r="H441" s="8" t="str">
        <x:v>No native Discord bridge verified</x:v>
      </x:c>
      <x:c r="I441" s="8" t="str">
        <x:v>No native live bridge verified</x:v>
      </x:c>
      <x:c r="J441" s="8" t="str">
        <x:v>Discord bot/API compatibility can ease bot migration</x:v>
      </x:c>
      <x:c r="K441" s="8" t="str">
        <x:v>No Discord bridge verified</x:v>
      </x:c>
      <x:c r="L441" s="8" t="str">
        <x:v>Yes: official Discord↔Kaede bridge bot is included in the repository</x:v>
      </x:c>
      <x:c r="M441" s="8" t="str">
        <x:v>No</x:v>
      </x:c>
      <x:c r="N441" s="8" t="str">
        <x:v>No live bridge verified</x:v>
      </x:c>
      <x:c r="O441" s="8" t="str">
        <x:v>Yes: ecosystem bridges such as matrix-appservice-discord / mautrix-discord</x:v>
      </x:c>
      <x:c r="P441" s="8" t="str">
        <x:v>No native Discord bridge</x:v>
      </x:c>
      <x:c r="Q441" s="8" t="str">
        <x:v>No</x:v>
      </x:c>
      <x:c r="R441" s="8" t="str">
        <x:v>No</x:v>
      </x:c>
      <x:c r="S441" s="8" t="str">
        <x:v>No</x:v>
      </x:c>
      <x:c r="T441" s="8"/>
      <x:c r="U441" s="8" t="str">
        <x:v>No</x:v>
      </x:c>
      <x:c r="V441" s="8" t="str">
        <x:v>No</x:v>
      </x:c>
      <x:c r="W441" s="8" t="str">
        <x:v>No native Discord bridge</x:v>
      </x:c>
      <x:c r="X441" s="8" t="str">
        <x:v>Yes: bidirectional Discord bridge package</x:v>
      </x:c>
      <x:c r="Y441" s="8" t="str">
        <x:v>No native live Discord bridge</x:v>
      </x:c>
      <x:c r="Z441" s="8" t="str">
        <x:v>API compatibility enables some Discord bots/clients, not a live bridge</x:v>
      </x:c>
      <x:c r="AA441" s="8" t="str">
        <x:v>No native Discord bridge verified</x:v>
      </x:c>
      <x:c r="AB441" s="8" t="str">
        <x:v>No native</x:v>
      </x:c>
      <x:c r="AC441" s="9" t="str">
        <x:v>No live bridge verified</x:v>
      </x:c>
      <x:c r="AD441" s="8" t="str">
        <x:v>Bridge possible by protocol design; no native bridge verified</x:v>
      </x:c>
      <x:c r="AE441" s="8" t="str">
        <x:v>No</x:v>
      </x:c>
      <x:c r="AF441" s="8" t="str">
        <x:v>No</x:v>
      </x:c>
      <x:c r="AG441" s="8" t="str">
        <x:v>No native Discord bridge</x:v>
      </x:c>
      <x:c r="AH441" s="14" t="n">
        <x:v>6</x:v>
      </x:c>
      <x:c r="AI441" s="15" t="str">
        <x:v>Canonical source for Portability &amp; Bridging!6</x:v>
      </x:c>
    </x:row>
    <x:row r="442" ht="75">
      <x:c r="A442" s="12" t="str">
        <x:v>Portability &amp; Bridging</x:v>
      </x:c>
      <x:c r="B442" s="13" t="str">
        <x:v>Matrix Bridge / Appservice Support</x:v>
      </x:c>
      <x:c r="C442" s="8" t="str">
        <x:v>No native official Matrix bridge/appservice</x:v>
      </x:c>
      <x:c r="D442" s="8" t="str">
        <x:v>N/A</x:v>
      </x:c>
      <x:c r="E442" s="8" t="str">
        <x:v>No Matrix bridge verified</x:v>
      </x:c>
      <x:c r="F442" s="8" t="str">
        <x:v>No</x:v>
      </x:c>
      <x:c r="G442" s="8" t="str">
        <x:v>No native Matrix bridge verified</x:v>
      </x:c>
      <x:c r="H442" s="8" t="str">
        <x:v>No Matrix bridge verified</x:v>
      </x:c>
      <x:c r="I442" s="8" t="str">
        <x:v>No native Matrix bridge verified</x:v>
      </x:c>
      <x:c r="J442" s="8" t="str">
        <x:v>No Matrix bridge verified</x:v>
      </x:c>
      <x:c r="K442" s="8" t="str">
        <x:v>No Matrix bridge verified</x:v>
      </x:c>
      <x:c r="L442" s="8" t="str">
        <x:v>No Matrix bridge documented</x:v>
      </x:c>
      <x:c r="M442" s="8" t="str">
        <x:v>No</x:v>
      </x:c>
      <x:c r="N442" s="8" t="str">
        <x:v>No native Matrix bridge verified</x:v>
      </x:c>
      <x:c r="O442" s="8" t="str">
        <x:v>N/A: Matrix is itself the Matrix protocol</x:v>
      </x:c>
      <x:c r="P442" s="8" t="str">
        <x:v>Integrations possible; no native Matrix bridge core</x:v>
      </x:c>
      <x:c r="Q442" s="8" t="str">
        <x:v>No</x:v>
      </x:c>
      <x:c r="R442" s="8" t="str">
        <x:v>No native</x:v>
      </x:c>
      <x:c r="S442" s="8" t="str">
        <x:v>No</x:v>
      </x:c>
      <x:c r="T442" s="8"/>
      <x:c r="U442" s="8" t="str">
        <x:v>No shipping Matrix bridge claim</x:v>
      </x:c>
      <x:c r="V442" s="8" t="str">
        <x:v>No</x:v>
      </x:c>
      <x:c r="W442" s="8" t="str">
        <x:v>Federation uses Matrix protocol components; not the same as a generic Matrix bridge</x:v>
      </x:c>
      <x:c r="X442" s="8" t="str">
        <x:v>N/A</x:v>
      </x:c>
      <x:c r="Y442" s="8" t="str">
        <x:v>No native Matrix bridge</x:v>
      </x:c>
      <x:c r="Z442" s="8" t="str">
        <x:v>No native Matrix bridge verified</x:v>
      </x:c>
      <x:c r="AA442" s="8" t="str">
        <x:v>No native Matrix bridge verified</x:v>
      </x:c>
      <x:c r="AB442" s="8" t="str">
        <x:v>No native</x:v>
      </x:c>
      <x:c r="AC442" s="9" t="str">
        <x:v>No</x:v>
      </x:c>
      <x:c r="AD442" s="8" t="str">
        <x:v>Bridge to Matrix possible in theory, not native</x:v>
      </x:c>
      <x:c r="AE442" s="8" t="str">
        <x:v>No</x:v>
      </x:c>
      <x:c r="AF442" s="8" t="str">
        <x:v>No</x:v>
      </x:c>
      <x:c r="AG442" s="8" t="str">
        <x:v>No native Matrix bridge</x:v>
      </x:c>
      <x:c r="AH442" s="14" t="n">
        <x:v>7</x:v>
      </x:c>
      <x:c r="AI442" s="15" t="str">
        <x:v>Canonical source for Portability &amp; Bridging!7</x:v>
      </x:c>
    </x:row>
    <x:row r="443" ht="60">
      <x:c r="A443" s="12" t="str">
        <x:v>Portability &amp; Bridging</x:v>
      </x:c>
      <x:c r="B443" s="13" t="str">
        <x:v>IRC Relay Bridge Support</x:v>
      </x:c>
      <x:c r="C443" s="8" t="str">
        <x:v>No native official IRC relay bridge</x:v>
      </x:c>
      <x:c r="D443" s="8"/>
      <x:c r="E443" s="8" t="str">
        <x:v>No IRC bridge verified</x:v>
      </x:c>
      <x:c r="F443" s="8" t="str">
        <x:v>No</x:v>
      </x:c>
      <x:c r="G443" s="8" t="str">
        <x:v>No native IRC bridge verified</x:v>
      </x:c>
      <x:c r="H443" s="8" t="str">
        <x:v>No IRC bridge verified</x:v>
      </x:c>
      <x:c r="I443" s="8" t="str">
        <x:v>No native IRC bridge verified</x:v>
      </x:c>
      <x:c r="J443" s="8" t="str">
        <x:v>Discord bridge via Bolt/community mentioned; not core verified</x:v>
      </x:c>
      <x:c r="K443" s="8" t="str">
        <x:v>No IRC bridge</x:v>
      </x:c>
      <x:c r="L443" s="8" t="str">
        <x:v>No IRC bridge documented</x:v>
      </x:c>
      <x:c r="M443" s="8" t="str">
        <x:v>No</x:v>
      </x:c>
      <x:c r="N443" s="8" t="str">
        <x:v>No native IRC bridge verified</x:v>
      </x:c>
      <x:c r="O443" s="8" t="str">
        <x:v>Yes: ecosystem IRC bridges</x:v>
      </x:c>
      <x:c r="P443" s="8" t="str">
        <x:v>Integrations possible</x:v>
      </x:c>
      <x:c r="Q443" s="8" t="str">
        <x:v>No</x:v>
      </x:c>
      <x:c r="R443" s="8" t="str">
        <x:v>No native</x:v>
      </x:c>
      <x:c r="S443" s="8" t="str">
        <x:v>No</x:v>
      </x:c>
      <x:c r="T443" s="8"/>
      <x:c r="U443" s="8" t="str">
        <x:v>No</x:v>
      </x:c>
      <x:c r="V443" s="8" t="str">
        <x:v>No</x:v>
      </x:c>
      <x:c r="W443" s="8"/>
      <x:c r="X443" s="8" t="str">
        <x:v>No native IRC</x:v>
      </x:c>
      <x:c r="Y443" s="8" t="str">
        <x:v>No native IRC bridge</x:v>
      </x:c>
      <x:c r="Z443" s="8" t="str">
        <x:v>No native IRC bridge verified</x:v>
      </x:c>
      <x:c r="AA443" s="8" t="str">
        <x:v>No native IRC bridge verified</x:v>
      </x:c>
      <x:c r="AB443" s="8" t="str">
        <x:v>No native</x:v>
      </x:c>
      <x:c r="AC443" s="9" t="str">
        <x:v>No</x:v>
      </x:c>
      <x:c r="AD443" s="8"/>
      <x:c r="AE443" s="8" t="str">
        <x:v>No</x:v>
      </x:c>
      <x:c r="AF443" s="8" t="str">
        <x:v>No</x:v>
      </x:c>
      <x:c r="AG443" s="8" t="str">
        <x:v>IRC integration possible via bots; no native relay verified</x:v>
      </x:c>
      <x:c r="AH443" s="14" t="n">
        <x:v>8</x:v>
      </x:c>
      <x:c r="AI443" s="15" t="str">
        <x:v>Canonical source for Portability &amp; Bridging!8</x:v>
      </x:c>
    </x:row>
    <x:row r="444" ht="105">
      <x:c r="A444" s="12" t="str">
        <x:v>Portability &amp; Bridging</x:v>
      </x:c>
      <x:c r="B444" s="13" t="str">
        <x:v>Multi-Server / Account Switching UX</x:v>
      </x:c>
      <x:c r="C444" s="8" t="str">
        <x:v>Yes: server switching + desktop Account Switcher for up to 5 accounts</x:v>
      </x:c>
      <x:c r="D444" s="8" t="str">
        <x:v>Nostr identity works across relays</x:v>
      </x:c>
      <x:c r="E444" s="8" t="str">
        <x:v>Accounts can export/import; messenger identity crosses home servers</x:v>
      </x:c>
      <x:c r="F444" s="8" t="str">
        <x:v>Multi-server</x:v>
      </x:c>
      <x:c r="G444" s="8"/>
      <x:c r="H444" s="8" t="str">
        <x:v>Self-host instances supported; federation/account portability not yet</x:v>
      </x:c>
      <x:c r="I444" s="8" t="str">
        <x:v>Multi-server UX</x:v>
      </x:c>
      <x:c r="J444" s="8" t="str">
        <x:v>Instance picker in Fermi</x:v>
      </x:c>
      <x:c r="K444" s="8" t="str">
        <x:v>Identity key works across relays</x:v>
      </x:c>
      <x:c r="L444" s="8" t="str">
        <x:v>One home account accesses federated resources; no cross-home account switcher/migration workflow documented</x:v>
      </x:c>
      <x:c r="M444" s="8" t="str">
        <x:v>Single service</x:v>
      </x:c>
      <x:c r="N444" s="8" t="str">
        <x:v>Self-host/federation design</x:v>
      </x:c>
      <x:c r="O444" s="8" t="str">
        <x:v>Client choice is a core feature; users can switch Matrix clients on the same account</x:v>
      </x:c>
      <x:c r="P444" s="8" t="str">
        <x:v>Desktop supports multiple servers</x:v>
      </x:c>
      <x:c r="Q444" s="8" t="str">
        <x:v>Multi-clan</x:v>
      </x:c>
      <x:c r="R444" s="8" t="str">
        <x:v>Multi-server bookmarks; account identity can use certificates</x:v>
      </x:c>
      <x:c r="S444" s="8" t="str">
        <x:v>Single hosted service UX</x:v>
      </x:c>
      <x:c r="T444" s="8" t="str">
        <x:v>Multi-community</x:v>
      </x:c>
      <x:c r="U444" s="8" t="str">
        <x:v>No</x:v>
      </x:c>
      <x:c r="V444" s="8" t="str">
        <x:v>Multi-community/portal UX</x:v>
      </x:c>
      <x:c r="W444" s="8" t="str">
        <x:v>Multiple workspaces supported by clients</x:v>
      </x:c>
      <x:c r="X444" s="8" t="str">
        <x:v>ATProto identity/client model</x:v>
      </x:c>
      <x:c r="Y444" s="8"/>
      <x:c r="Z444" s="8" t="str">
        <x:v>Instances are separate; no federation</x:v>
      </x:c>
      <x:c r="AA444" s="8" t="str">
        <x:v>Multiple servers/instances are not fully seamless in official clients</x:v>
      </x:c>
      <x:c r="AB444" s="8" t="str">
        <x:v>Multi-server bookmarks/connections</x:v>
      </x:c>
      <x:c r="AC444" s="9" t="str">
        <x:v>Self-host/node migration</x:v>
      </x:c>
      <x:c r="AD444" s="8" t="str">
        <x:v>Federation target is single account across servers</x:v>
      </x:c>
      <x:c r="AE444" s="8" t="str">
        <x:v>Lobby-based UX</x:v>
      </x:c>
      <x:c r="AF444" s="8" t="str">
        <x:v>Server selection</x:v>
      </x:c>
      <x:c r="AG444" s="8" t="str">
        <x:v>Multiple organizations/accounts supported</x:v>
      </x:c>
      <x:c r="AH444" s="14" t="n">
        <x:v>9</x:v>
      </x:c>
      <x:c r="AI444" s="15" t="str">
        <x:v>Canonical source for Portability &amp; Bridging!9</x:v>
      </x:c>
    </x:row>
    <x:row r="445" ht="75">
      <x:c r="A445" s="12" t="str">
        <x:v>Portability &amp; Bridging</x:v>
      </x:c>
      <x:c r="B445" s="13" t="str">
        <x:v>Migration Depth</x:v>
      </x:c>
      <x:c r="C445" s="8"/>
      <x:c r="D445" s="8"/>
      <x:c r="E445" s="8"/>
      <x:c r="F445" s="8"/>
      <x:c r="G445" s="8"/>
      <x:c r="H445" s="8"/>
      <x:c r="I445" s="8"/>
      <x:c r="J445" s="8"/>
      <x:c r="K445" s="8"/>
      <x:c r="L445" s="8" t="str">
        <x:v>Bridge/interoperability exists; no automated Discord data migration/importer</x:v>
      </x:c>
      <x:c r="M445" s="8"/>
      <x:c r="N445" s="8"/>
      <x:c r="O445" s="8"/>
      <x:c r="P445" s="8"/>
      <x:c r="Q445" s="8"/>
      <x:c r="R445" s="8"/>
      <x:c r="S445" s="8"/>
      <x:c r="T445" s="8"/>
      <x:c r="U445" s="8"/>
      <x:c r="V445" s="8"/>
      <x:c r="W445" s="8"/>
      <x:c r="X445" s="8"/>
      <x:c r="Y445" s="8"/>
      <x:c r="Z445" s="8"/>
      <x:c r="AA445" s="8"/>
      <x:c r="AB445" s="8"/>
      <x:c r="AC445" s="9"/>
      <x:c r="AD445" s="8"/>
      <x:c r="AE445" s="8"/>
      <x:c r="AF445" s="8"/>
      <x:c r="AG445" s="8"/>
      <x:c r="AH445" s="14" t="n">
        <x:v>10</x:v>
      </x:c>
      <x:c r="AI445" s="15" t="str">
        <x:v>Canonical source for Portability &amp; Bridging!10</x:v>
      </x:c>
    </x:row>
    <x:row r="446" ht="75">
      <x:c r="A446" s="12" t="str">
        <x:v>Portability &amp; Bridging</x:v>
      </x:c>
      <x:c r="B446" s="13" t="str">
        <x:v>Discord Webhook Compatibility</x:v>
      </x:c>
      <x:c r="C446" s="8" t="str">
        <x:v>N/A</x:v>
      </x:c>
      <x:c r="D446" s="8"/>
      <x:c r="E446" s="8"/>
      <x:c r="F446" s="8"/>
      <x:c r="G446" s="8"/>
      <x:c r="H446" s="8"/>
      <x:c r="I446" s="8"/>
      <x:c r="J446" s="8"/>
      <x:c r="K446" s="8"/>
      <x:c r="L446" s="8" t="str">
        <x:v>No Discord webhook-format compatibility claim; Kaede has its own incoming webhook model</x:v>
      </x:c>
      <x:c r="M446" s="8"/>
      <x:c r="N446" s="8"/>
      <x:c r="O446" s="8"/>
      <x:c r="P446" s="8"/>
      <x:c r="Q446" s="8"/>
      <x:c r="R446" s="8"/>
      <x:c r="S446" s="8"/>
      <x:c r="T446" s="8"/>
      <x:c r="U446" s="8" t="str">
        <x:v>Yes: Discord-compatible incoming webhooks</x:v>
      </x:c>
      <x:c r="V446" s="8" t="str">
        <x:v>Yes: accepts Discord webhook format</x:v>
      </x:c>
      <x:c r="W446" s="8"/>
      <x:c r="X446" s="8"/>
      <x:c r="Y446" s="8"/>
      <x:c r="Z446" s="8"/>
      <x:c r="AA446" s="8"/>
      <x:c r="AB446" s="8"/>
      <x:c r="AC446" s="9"/>
      <x:c r="AD446" s="8"/>
      <x:c r="AE446" s="8"/>
      <x:c r="AF446" s="8"/>
      <x:c r="AG446" s="8"/>
      <x:c r="AH446" s="14" t="n">
        <x:v>16</x:v>
      </x:c>
      <x:c r="AI446" s="15" t="str">
        <x:v>Canonical source for Portability &amp; Bridging!16</x:v>
      </x:c>
    </x:row>
    <x:row r="447" ht="45">
      <x:c r="A447" s="12" t="str">
        <x:v>Interop &amp; Portability Details</x:v>
      </x:c>
      <x:c r="B447" s="13" t="str">
        <x:v>Discord Server Template Import</x:v>
      </x:c>
      <x:c r="C447" s="8" t="str">
        <x:v>N/A</x:v>
      </x:c>
      <x:c r="D447" s="8" t="str">
        <x:v>Yes: built-in Discord import wizard</x:v>
      </x:c>
      <x:c r="E447" s="8" t="str">
        <x:v>No</x:v>
      </x:c>
      <x:c r="F447" s="8" t="str">
        <x:v>No</x:v>
      </x:c>
      <x:c r="G447" s="8" t="str">
        <x:v>Planned/advertised</x:v>
      </x:c>
      <x:c r="H447" s="8" t="str">
        <x:v>No full importer verified</x:v>
      </x:c>
      <x:c r="I447" s="8" t="str">
        <x:v>Yes</x:v>
      </x:c>
      <x:c r="J447" s="8" t="str">
        <x:v>No</x:v>
      </x:c>
      <x:c r="K447" s="8" t="str">
        <x:v>No</x:v>
      </x:c>
      <x:c r="L447" s="8" t="str">
        <x:v>No dedicated Discord server importer documented</x:v>
      </x:c>
      <x:c r="M447" s="8" t="str">
        <x:v>No</x:v>
      </x:c>
      <x:c r="N447" s="8" t="str">
        <x:v>Yes</x:v>
      </x:c>
      <x:c r="O447" s="8" t="str">
        <x:v>Third-party/tool-dependent</x:v>
      </x:c>
      <x:c r="P447" s="8" t="str">
        <x:v>No</x:v>
      </x:c>
      <x:c r="Q447" s="8"/>
      <x:c r="R447" s="8" t="str">
        <x:v>No</x:v>
      </x:c>
      <x:c r="S447" s="8" t="str">
        <x:v>No</x:v>
      </x:c>
      <x:c r="T447" s="8" t="str">
        <x:v>Template/import tools reported</x:v>
      </x:c>
      <x:c r="U447" s="8" t="str">
        <x:v>Yes: paste a discord.new template; layout only</x:v>
      </x:c>
      <x:c r="V447" s="8" t="str">
        <x:v>Yes: previewed structure import</x:v>
      </x:c>
      <x:c r="W447" s="8" t="str">
        <x:v>No verified</x:v>
      </x:c>
      <x:c r="X447" s="8" t="str">
        <x:v>Bridge-based rather than template importer</x:v>
      </x:c>
      <x:c r="Y447" s="8" t="str">
        <x:v>Yes</x:v>
      </x:c>
      <x:c r="Z447" s="8" t="str">
        <x:v>No: API compatibility approach instead</x:v>
      </x:c>
      <x:c r="AA447" s="8" t="str">
        <x:v>No verified</x:v>
      </x:c>
      <x:c r="AB447" s="8" t="str">
        <x:v>No</x:v>
      </x:c>
      <x:c r="AC447" s="9" t="str">
        <x:v>Yes</x:v>
      </x:c>
      <x:c r="AD447" s="8" t="str">
        <x:v>No</x:v>
      </x:c>
      <x:c r="AE447" s="8" t="str">
        <x:v>No</x:v>
      </x:c>
      <x:c r="AF447" s="8" t="str">
        <x:v>No</x:v>
      </x:c>
      <x:c r="AG447" s="8" t="str">
        <x:v>No</x:v>
      </x:c>
      <x:c r="AH447" s="14" t="n">
        <x:v>3</x:v>
      </x:c>
      <x:c r="AI447" s="15" t="str">
        <x:v>Canonical source for Interop &amp; Portability Details!3</x:v>
      </x:c>
    </x:row>
    <x:row r="448" ht="45">
      <x:c r="A448" s="12" t="str">
        <x:v>Interop &amp; Portability Details</x:v>
      </x:c>
      <x:c r="B448" s="13" t="str">
        <x:v>Discord Channels Import</x:v>
      </x:c>
      <x:c r="C448" s="8" t="str">
        <x:v>N/A</x:v>
      </x:c>
      <x:c r="D448" s="8"/>
      <x:c r="E448" s="8" t="str">
        <x:v>No</x:v>
      </x:c>
      <x:c r="F448" s="8" t="str">
        <x:v>No</x:v>
      </x:c>
      <x:c r="G448" s="8" t="str">
        <x:v>Planned/advertised</x:v>
      </x:c>
      <x:c r="H448" s="8" t="str">
        <x:v>No full importer verified</x:v>
      </x:c>
      <x:c r="I448" s="8" t="str">
        <x:v>Yes</x:v>
      </x:c>
      <x:c r="J448" s="8" t="str">
        <x:v>No</x:v>
      </x:c>
      <x:c r="K448" s="8" t="str">
        <x:v>No</x:v>
      </x:c>
      <x:c r="L448" s="8" t="str">
        <x:v>No dedicated Discord server importer documented</x:v>
      </x:c>
      <x:c r="M448" s="8" t="str">
        <x:v>No</x:v>
      </x:c>
      <x:c r="N448" s="8" t="str">
        <x:v>Yes</x:v>
      </x:c>
      <x:c r="O448" s="8" t="str">
        <x:v>Tool-dependent</x:v>
      </x:c>
      <x:c r="P448" s="8" t="str">
        <x:v>No</x:v>
      </x:c>
      <x:c r="Q448" s="8"/>
      <x:c r="R448" s="8" t="str">
        <x:v>No</x:v>
      </x:c>
      <x:c r="S448" s="8" t="str">
        <x:v>No</x:v>
      </x:c>
      <x:c r="T448" s="8"/>
      <x:c r="U448" s="8" t="str">
        <x:v>Yes</x:v>
      </x:c>
      <x:c r="V448" s="8" t="str">
        <x:v>Yes: via template structure import</x:v>
      </x:c>
      <x:c r="W448" s="8" t="str">
        <x:v>No verified</x:v>
      </x:c>
      <x:c r="X448" s="8"/>
      <x:c r="Y448" s="8" t="str">
        <x:v>Yes</x:v>
      </x:c>
      <x:c r="Z448" s="8" t="str">
        <x:v>N/A/compatibility</x:v>
      </x:c>
      <x:c r="AA448" s="8" t="str">
        <x:v>No verified</x:v>
      </x:c>
      <x:c r="AB448" s="8" t="str">
        <x:v>No</x:v>
      </x:c>
      <x:c r="AC448" s="9"/>
      <x:c r="AD448" s="8" t="str">
        <x:v>No</x:v>
      </x:c>
      <x:c r="AE448" s="8" t="str">
        <x:v>No</x:v>
      </x:c>
      <x:c r="AF448" s="8" t="str">
        <x:v>No</x:v>
      </x:c>
      <x:c r="AG448" s="8" t="str">
        <x:v>No</x:v>
      </x:c>
      <x:c r="AH448" s="14" t="n">
        <x:v>4</x:v>
      </x:c>
      <x:c r="AI448" s="15" t="str">
        <x:v>Canonical source for Interop &amp; Portability Details!4</x:v>
      </x:c>
    </x:row>
    <x:row r="449" ht="45">
      <x:c r="A449" s="12" t="str">
        <x:v>Interop &amp; Portability Details</x:v>
      </x:c>
      <x:c r="B449" s="13" t="str">
        <x:v>Discord Roles Import</x:v>
      </x:c>
      <x:c r="C449" s="8" t="str">
        <x:v>N/A</x:v>
      </x:c>
      <x:c r="D449" s="8" t="str">
        <x:v>Yes: names, colors, hierarchy and mapped permissions</x:v>
      </x:c>
      <x:c r="E449" s="8" t="str">
        <x:v>No</x:v>
      </x:c>
      <x:c r="F449" s="8" t="str">
        <x:v>No</x:v>
      </x:c>
      <x:c r="G449" s="8" t="str">
        <x:v>Planned/advertised</x:v>
      </x:c>
      <x:c r="H449" s="8" t="str">
        <x:v>No full importer verified</x:v>
      </x:c>
      <x:c r="I449" s="8" t="str">
        <x:v>Yes</x:v>
      </x:c>
      <x:c r="J449" s="8" t="str">
        <x:v>No</x:v>
      </x:c>
      <x:c r="K449" s="8" t="str">
        <x:v>No</x:v>
      </x:c>
      <x:c r="L449" s="8" t="str">
        <x:v>No dedicated Discord server importer documented</x:v>
      </x:c>
      <x:c r="M449" s="8" t="str">
        <x:v>No</x:v>
      </x:c>
      <x:c r="N449" s="8" t="str">
        <x:v>Yes</x:v>
      </x:c>
      <x:c r="O449" s="8" t="str">
        <x:v>Tool-dependent</x:v>
      </x:c>
      <x:c r="P449" s="8" t="str">
        <x:v>No</x:v>
      </x:c>
      <x:c r="Q449" s="8"/>
      <x:c r="R449" s="8" t="str">
        <x:v>No</x:v>
      </x:c>
      <x:c r="S449" s="8" t="str">
        <x:v>No</x:v>
      </x:c>
      <x:c r="T449" s="8"/>
      <x:c r="U449" s="8" t="str">
        <x:v>Yes: main roles/layout</x:v>
      </x:c>
      <x:c r="V449" s="8" t="str">
        <x:v>Yes: roles, colors, order</x:v>
      </x:c>
      <x:c r="W449" s="8" t="str">
        <x:v>No verified</x:v>
      </x:c>
      <x:c r="X449" s="8"/>
      <x:c r="Y449" s="8" t="str">
        <x:v>Yes</x:v>
      </x:c>
      <x:c r="Z449" s="8" t="str">
        <x:v>N/A/compatibility</x:v>
      </x:c>
      <x:c r="AA449" s="8" t="str">
        <x:v>No verified</x:v>
      </x:c>
      <x:c r="AB449" s="8" t="str">
        <x:v>No</x:v>
      </x:c>
      <x:c r="AC449" s="9"/>
      <x:c r="AD449" s="8" t="str">
        <x:v>No</x:v>
      </x:c>
      <x:c r="AE449" s="8" t="str">
        <x:v>No</x:v>
      </x:c>
      <x:c r="AF449" s="8" t="str">
        <x:v>No</x:v>
      </x:c>
      <x:c r="AG449" s="8" t="str">
        <x:v>No</x:v>
      </x:c>
      <x:c r="AH449" s="14" t="n">
        <x:v>5</x:v>
      </x:c>
      <x:c r="AI449" s="15" t="str">
        <x:v>Canonical source for Interop &amp; Portability Details!5</x:v>
      </x:c>
    </x:row>
    <x:row r="450" ht="105">
      <x:c r="A450" s="12" t="str">
        <x:v>Interop &amp; Portability Details</x:v>
      </x:c>
      <x:c r="B450" s="13" t="str">
        <x:v>Discord Permission Import</x:v>
      </x:c>
      <x:c r="C450" s="8" t="str">
        <x:v>N/A</x:v>
      </x:c>
      <x:c r="D450" s="8" t="str">
        <x:v>Partial: permissions are mapped where Armada has an equivalent; unsupported Discord-only permissions are dropped</x:v>
      </x:c>
      <x:c r="E450" s="8" t="str">
        <x:v>No</x:v>
      </x:c>
      <x:c r="F450" s="8" t="str">
        <x:v>No</x:v>
      </x:c>
      <x:c r="G450" s="8" t="str">
        <x:v>Planned/advertised</x:v>
      </x:c>
      <x:c r="H450" s="8" t="str">
        <x:v>No full importer verified</x:v>
      </x:c>
      <x:c r="I450" s="8" t="str">
        <x:v>Yes</x:v>
      </x:c>
      <x:c r="J450" s="8" t="str">
        <x:v>No</x:v>
      </x:c>
      <x:c r="K450" s="8" t="str">
        <x:v>No</x:v>
      </x:c>
      <x:c r="L450" s="8" t="str">
        <x:v>No dedicated Discord server importer documented</x:v>
      </x:c>
      <x:c r="M450" s="8" t="str">
        <x:v>No</x:v>
      </x:c>
      <x:c r="N450" s="8" t="str">
        <x:v>Yes</x:v>
      </x:c>
      <x:c r="O450" s="8" t="str">
        <x:v>Tool-dependent</x:v>
      </x:c>
      <x:c r="P450" s="8" t="str">
        <x:v>No</x:v>
      </x:c>
      <x:c r="Q450" s="8"/>
      <x:c r="R450" s="8" t="str">
        <x:v>No</x:v>
      </x:c>
      <x:c r="S450" s="8" t="str">
        <x:v>No</x:v>
      </x:c>
      <x:c r="T450" s="8"/>
      <x:c r="U450" s="8" t="str">
        <x:v>Yes: main permissions</x:v>
      </x:c>
      <x:c r="V450" s="8" t="str">
        <x:v>Yes: rules with Rift equivalents</x:v>
      </x:c>
      <x:c r="W450" s="8" t="str">
        <x:v>No verified</x:v>
      </x:c>
      <x:c r="X450" s="8"/>
      <x:c r="Y450" s="8" t="str">
        <x:v>Yes</x:v>
      </x:c>
      <x:c r="Z450" s="8" t="str">
        <x:v>N/A/compatibility</x:v>
      </x:c>
      <x:c r="AA450" s="8" t="str">
        <x:v>No verified</x:v>
      </x:c>
      <x:c r="AB450" s="8" t="str">
        <x:v>No</x:v>
      </x:c>
      <x:c r="AC450" s="9"/>
      <x:c r="AD450" s="8" t="str">
        <x:v>No</x:v>
      </x:c>
      <x:c r="AE450" s="8" t="str">
        <x:v>No</x:v>
      </x:c>
      <x:c r="AF450" s="8" t="str">
        <x:v>No</x:v>
      </x:c>
      <x:c r="AG450" s="8" t="str">
        <x:v>No</x:v>
      </x:c>
      <x:c r="AH450" s="14" t="n">
        <x:v>6</x:v>
      </x:c>
      <x:c r="AI450" s="15" t="str">
        <x:v>Shared metric: Portability &amp; Bridging: Discord Permission Import | Interop &amp; Portability Details: Discord Permission Import</x:v>
      </x:c>
    </x:row>
    <x:row r="451" ht="45">
      <x:c r="A451" s="12" t="str">
        <x:v>Interop &amp; Portability Details</x:v>
      </x:c>
      <x:c r="B451" s="13" t="str">
        <x:v>Discord Emoji / Sticker Import</x:v>
      </x:c>
      <x:c r="C451" s="8" t="str">
        <x:v>N/A</x:v>
      </x:c>
      <x:c r="D451" s="8"/>
      <x:c r="E451" s="8" t="str">
        <x:v>No</x:v>
      </x:c>
      <x:c r="F451" s="8" t="str">
        <x:v>No</x:v>
      </x:c>
      <x:c r="G451" s="8"/>
      <x:c r="H451" s="8" t="str">
        <x:v>No</x:v>
      </x:c>
      <x:c r="I451" s="8" t="str">
        <x:v>Yes</x:v>
      </x:c>
      <x:c r="J451" s="8" t="str">
        <x:v>No</x:v>
      </x:c>
      <x:c r="K451" s="8" t="str">
        <x:v>No</x:v>
      </x:c>
      <x:c r="L451" s="8" t="str">
        <x:v>No dedicated Discord server importer documented</x:v>
      </x:c>
      <x:c r="M451" s="8" t="str">
        <x:v>No</x:v>
      </x:c>
      <x:c r="N451" s="8" t="str">
        <x:v>Yes</x:v>
      </x:c>
      <x:c r="O451" s="8" t="str">
        <x:v>Tool-dependent</x:v>
      </x:c>
      <x:c r="P451" s="8" t="str">
        <x:v>No</x:v>
      </x:c>
      <x:c r="Q451" s="8"/>
      <x:c r="R451" s="8" t="str">
        <x:v>No</x:v>
      </x:c>
      <x:c r="S451" s="8" t="str">
        <x:v>No</x:v>
      </x:c>
      <x:c r="T451" s="8"/>
      <x:c r="U451" s="8"/>
      <x:c r="V451" s="8" t="str">
        <x:v>No / not documented</x:v>
      </x:c>
      <x:c r="W451" s="8" t="str">
        <x:v>No</x:v>
      </x:c>
      <x:c r="X451" s="8"/>
      <x:c r="Y451" s="8" t="str">
        <x:v>No</x:v>
      </x:c>
      <x:c r="Z451" s="8" t="str">
        <x:v>N/A/compatibility</x:v>
      </x:c>
      <x:c r="AA451" s="8" t="str">
        <x:v>No verified</x:v>
      </x:c>
      <x:c r="AB451" s="8" t="str">
        <x:v>No</x:v>
      </x:c>
      <x:c r="AC451" s="9"/>
      <x:c r="AD451" s="8" t="str">
        <x:v>No</x:v>
      </x:c>
      <x:c r="AE451" s="8" t="str">
        <x:v>No</x:v>
      </x:c>
      <x:c r="AF451" s="8" t="str">
        <x:v>No</x:v>
      </x:c>
      <x:c r="AG451" s="8" t="str">
        <x:v>No</x:v>
      </x:c>
      <x:c r="AH451" s="14" t="n">
        <x:v>7</x:v>
      </x:c>
      <x:c r="AI451" s="15" t="str">
        <x:v>Shared metric: Portability &amp; Bridging: Discord Emoji / Sticker Import | Interop &amp; Portability Details: Discord Emoji / Sticker Import</x:v>
      </x:c>
    </x:row>
    <x:row r="452" ht="60">
      <x:c r="A452" s="12" t="str">
        <x:v>Interop &amp; Portability Details</x:v>
      </x:c>
      <x:c r="B452" s="13" t="str">
        <x:v>Discord Message History Import</x:v>
      </x:c>
      <x:c r="C452" s="8" t="str">
        <x:v>N/A</x:v>
      </x:c>
      <x:c r="D452" s="8" t="str">
        <x:v>Yes: newest 10,000 messages/channel for servers with 100 members or fewer</x:v>
      </x:c>
      <x:c r="E452" s="8" t="str">
        <x:v>No</x:v>
      </x:c>
      <x:c r="F452" s="8" t="str">
        <x:v>No</x:v>
      </x:c>
      <x:c r="G452" s="8" t="str">
        <x:v>No</x:v>
      </x:c>
      <x:c r="H452" s="8" t="str">
        <x:v>No</x:v>
      </x:c>
      <x:c r="I452" s="8" t="str">
        <x:v>No</x:v>
      </x:c>
      <x:c r="J452" s="8" t="str">
        <x:v>No</x:v>
      </x:c>
      <x:c r="K452" s="8" t="str">
        <x:v>No</x:v>
      </x:c>
      <x:c r="L452" s="8" t="str">
        <x:v>No dedicated Discord server importer documented</x:v>
      </x:c>
      <x:c r="M452" s="8" t="str">
        <x:v>No</x:v>
      </x:c>
      <x:c r="N452" s="8" t="str">
        <x:v>No</x:v>
      </x:c>
      <x:c r="O452" s="8" t="str">
        <x:v>Possible with bridge/import tooling</x:v>
      </x:c>
      <x:c r="P452" s="8" t="str">
        <x:v>No</x:v>
      </x:c>
      <x:c r="Q452" s="8"/>
      <x:c r="R452" s="8" t="str">
        <x:v>No</x:v>
      </x:c>
      <x:c r="S452" s="8" t="str">
        <x:v>No</x:v>
      </x:c>
      <x:c r="T452" s="8" t="str">
        <x:v>No</x:v>
      </x:c>
      <x:c r="U452" s="8" t="str">
        <x:v>No</x:v>
      </x:c>
      <x:c r="V452" s="8" t="str">
        <x:v>No</x:v>
      </x:c>
      <x:c r="W452" s="8" t="str">
        <x:v>No</x:v>
      </x:c>
      <x:c r="X452" s="8"/>
      <x:c r="Y452" s="8" t="str">
        <x:v>No</x:v>
      </x:c>
      <x:c r="Z452" s="8" t="str">
        <x:v>No</x:v>
      </x:c>
      <x:c r="AA452" s="8" t="str">
        <x:v>No</x:v>
      </x:c>
      <x:c r="AB452" s="8" t="str">
        <x:v>No</x:v>
      </x:c>
      <x:c r="AC452" s="9"/>
      <x:c r="AD452" s="8" t="str">
        <x:v>No</x:v>
      </x:c>
      <x:c r="AE452" s="8" t="str">
        <x:v>No</x:v>
      </x:c>
      <x:c r="AF452" s="8" t="str">
        <x:v>No</x:v>
      </x:c>
      <x:c r="AG452" s="8" t="str">
        <x:v>No</x:v>
      </x:c>
      <x:c r="AH452" s="14" t="n">
        <x:v>8</x:v>
      </x:c>
      <x:c r="AI452" s="15" t="str">
        <x:v>Shared metric: Portability &amp; Bridging: Discord Message History Import | Interop &amp; Portability Details: Discord Message History Import</x:v>
      </x:c>
    </x:row>
    <x:row r="453" ht="45">
      <x:c r="A453" s="12" t="str">
        <x:v>Interop &amp; Portability Details</x:v>
      </x:c>
      <x:c r="B453" s="13" t="str">
        <x:v>Discord Attachment Import</x:v>
      </x:c>
      <x:c r="C453" s="8" t="str">
        <x:v>N/A</x:v>
      </x:c>
      <x:c r="D453" s="8"/>
      <x:c r="E453" s="8" t="str">
        <x:v>No</x:v>
      </x:c>
      <x:c r="F453" s="8" t="str">
        <x:v>No</x:v>
      </x:c>
      <x:c r="G453" s="8" t="str">
        <x:v>No</x:v>
      </x:c>
      <x:c r="H453" s="8" t="str">
        <x:v>No</x:v>
      </x:c>
      <x:c r="I453" s="8" t="str">
        <x:v>No</x:v>
      </x:c>
      <x:c r="J453" s="8" t="str">
        <x:v>No</x:v>
      </x:c>
      <x:c r="K453" s="8" t="str">
        <x:v>No</x:v>
      </x:c>
      <x:c r="L453" s="8" t="str">
        <x:v>No dedicated Discord server importer documented</x:v>
      </x:c>
      <x:c r="M453" s="8" t="str">
        <x:v>No</x:v>
      </x:c>
      <x:c r="N453" s="8" t="str">
        <x:v>No</x:v>
      </x:c>
      <x:c r="O453" s="8" t="str">
        <x:v>Possible with tooling</x:v>
      </x:c>
      <x:c r="P453" s="8" t="str">
        <x:v>No</x:v>
      </x:c>
      <x:c r="Q453" s="8"/>
      <x:c r="R453" s="8" t="str">
        <x:v>No</x:v>
      </x:c>
      <x:c r="S453" s="8" t="str">
        <x:v>No</x:v>
      </x:c>
      <x:c r="T453" s="8" t="str">
        <x:v>No</x:v>
      </x:c>
      <x:c r="U453" s="8" t="str">
        <x:v>No</x:v>
      </x:c>
      <x:c r="V453" s="8" t="str">
        <x:v>No</x:v>
      </x:c>
      <x:c r="W453" s="8" t="str">
        <x:v>No</x:v>
      </x:c>
      <x:c r="X453" s="8"/>
      <x:c r="Y453" s="8" t="str">
        <x:v>No</x:v>
      </x:c>
      <x:c r="Z453" s="8" t="str">
        <x:v>No</x:v>
      </x:c>
      <x:c r="AA453" s="8" t="str">
        <x:v>No</x:v>
      </x:c>
      <x:c r="AB453" s="8" t="str">
        <x:v>No</x:v>
      </x:c>
      <x:c r="AC453" s="9"/>
      <x:c r="AD453" s="8" t="str">
        <x:v>No</x:v>
      </x:c>
      <x:c r="AE453" s="8" t="str">
        <x:v>No</x:v>
      </x:c>
      <x:c r="AF453" s="8" t="str">
        <x:v>No</x:v>
      </x:c>
      <x:c r="AG453" s="8" t="str">
        <x:v>No</x:v>
      </x:c>
      <x:c r="AH453" s="14" t="n">
        <x:v>9</x:v>
      </x:c>
      <x:c r="AI453" s="15" t="str">
        <x:v>Shared metric: Portability &amp; Bridging: Discord Attachment Import | Interop &amp; Portability Details: Discord Attachment Import</x:v>
      </x:c>
    </x:row>
    <x:row r="454" ht="45">
      <x:c r="A454" s="12" t="str">
        <x:v>Interop &amp; Portability Details</x:v>
      </x:c>
      <x:c r="B454" s="13" t="str">
        <x:v>User Data Export</x:v>
      </x:c>
      <x:c r="C454" s="8" t="str">
        <x:v>Yes</x:v>
      </x:c>
      <x:c r="D454" s="8" t="str">
        <x:v>Nostr events/keys are portable</x:v>
      </x:c>
      <x:c r="E454" s="8" t="str">
        <x:v>Yes: account export/import</x:v>
      </x:c>
      <x:c r="F454" s="8"/>
      <x:c r="G454" s="8"/>
      <x:c r="H454" s="8" t="str">
        <x:v>Yes</x:v>
      </x:c>
      <x:c r="I454" s="8"/>
      <x:c r="J454" s="8" t="str">
        <x:v>Operator-defined</x:v>
      </x:c>
      <x:c r="K454" s="8" t="str">
        <x:v>Yes: local archive export/import</x:v>
      </x:c>
      <x:c r="L454" s="8" t="str">
        <x:v>No full account/chat export workflow documented</x:v>
      </x:c>
      <x:c r="M454" s="8"/>
      <x:c r="N454" s="8" t="str">
        <x:v>Export coming soon</x:v>
      </x:c>
      <x:c r="O454" s="8" t="str">
        <x:v>Client/homeserver-dependent</x:v>
      </x:c>
      <x:c r="P454" s="8" t="str">
        <x:v>Yes: admin/bulk export</x:v>
      </x:c>
      <x:c r="Q454" s="8"/>
      <x:c r="R454" s="8" t="str">
        <x:v>Server logs/config only</x:v>
      </x:c>
      <x:c r="S454" s="8"/>
      <x:c r="T454" s="8"/>
      <x:c r="U454" s="8" t="str">
        <x:v>Yes</x:v>
      </x:c>
      <x:c r="V454" s="8" t="str">
        <x:v>Yes - Account Data Export</x:v>
      </x:c>
      <x:c r="W454" s="8" t="str">
        <x:v>Yes/admin tools</x:v>
      </x:c>
      <x:c r="X454" s="8" t="str">
        <x:v>ATProto data portability</x:v>
      </x:c>
      <x:c r="Y454" s="8"/>
      <x:c r="Z454" s="8"/>
      <x:c r="AA454" s="8"/>
      <x:c r="AB454" s="8"/>
      <x:c r="AC454" s="9"/>
      <x:c r="AD454" s="8"/>
      <x:c r="AE454" s="8"/>
      <x:c r="AF454" s="8" t="str">
        <x:v>Operator-controlled</x:v>
      </x:c>
      <x:c r="AG454" s="8" t="str">
        <x:v>Yes</x:v>
      </x:c>
      <x:c r="AH454" s="14" t="n">
        <x:v>10</x:v>
      </x:c>
      <x:c r="AI454" s="15" t="str">
        <x:v>Canonical source for Interop &amp; Portability Details!10</x:v>
      </x:c>
    </x:row>
    <x:row r="455" ht="45">
      <x:c r="A455" s="12" t="str">
        <x:v>Interop &amp; Portability Details</x:v>
      </x:c>
      <x:c r="B455" s="13" t="str">
        <x:v>Export Format</x:v>
      </x:c>
      <x:c r="C455" s="8" t="str">
        <x:v>ZIP / JSON-heavy Data Package</x:v>
      </x:c>
      <x:c r="D455" s="8" t="str">
        <x:v>Nostr events</x:v>
      </x:c>
      <x:c r="E455" s="8" t="str">
        <x:v>DCTS export</x:v>
      </x:c>
      <x:c r="F455" s="8"/>
      <x:c r="G455" s="8"/>
      <x:c r="H455" s="8"/>
      <x:c r="I455" s="8"/>
      <x:c r="J455" s="8"/>
      <x:c r="K455" s="8" t="str">
        <x:v>Encrypted .hollow/local formats</x:v>
      </x:c>
      <x:c r="L455" s="8" t="str">
        <x:v>No full account/chat export workflow documented</x:v>
      </x:c>
      <x:c r="M455" s="8"/>
      <x:c r="N455" s="8"/>
      <x:c r="O455" s="8" t="str">
        <x:v>Client/provider-dependent</x:v>
      </x:c>
      <x:c r="P455" s="8" t="str">
        <x:v>Bulk/export formats</x:v>
      </x:c>
      <x:c r="Q455" s="8"/>
      <x:c r="R455" s="8" t="str">
        <x:v>N/A</x:v>
      </x:c>
      <x:c r="S455" s="8"/>
      <x:c r="T455" s="8"/>
      <x:c r="U455" s="8" t="str">
        <x:v>Not publicly specified in the response</x:v>
      </x:c>
      <x:c r="V455" s="8" t="str">
        <x:v>.json</x:v>
      </x:c>
      <x:c r="W455" s="8" t="str">
        <x:v>Export/backup deployment-dependent</x:v>
      </x:c>
      <x:c r="X455" s="8" t="str">
        <x:v>ATProto records</x:v>
      </x:c>
      <x:c r="Y455" s="8"/>
      <x:c r="Z455" s="8"/>
      <x:c r="AA455" s="8"/>
      <x:c r="AB455" s="8"/>
      <x:c r="AC455" s="9"/>
      <x:c r="AD455" s="8"/>
      <x:c r="AE455" s="8"/>
      <x:c r="AF455" s="8"/>
      <x:c r="AG455" s="8" t="str">
        <x:v>Zulip export archives</x:v>
      </x:c>
      <x:c r="AH455" s="14" t="n">
        <x:v>11</x:v>
      </x:c>
      <x:c r="AI455" s="15" t="str">
        <x:v>Canonical source for Interop &amp; Portability Details!11</x:v>
      </x:c>
    </x:row>
    <x:row r="456" ht="60">
      <x:c r="A456" s="12" t="str">
        <x:v>Interop &amp; Portability Details</x:v>
      </x:c>
      <x:c r="B456" s="13" t="str">
        <x:v>Attachment Export</x:v>
      </x:c>
      <x:c r="C456" s="8" t="str">
        <x:v>Yes in data package</x:v>
      </x:c>
      <x:c r="D456" s="8" t="str">
        <x:v>Relay dependent</x:v>
      </x:c>
      <x:c r="E456" s="8"/>
      <x:c r="F456" s="8"/>
      <x:c r="G456" s="8"/>
      <x:c r="H456" s="8"/>
      <x:c r="I456" s="8"/>
      <x:c r="J456" s="8"/>
      <x:c r="K456" s="8" t="str">
        <x:v>Yes/local</x:v>
      </x:c>
      <x:c r="L456" s="8" t="str">
        <x:v>Direct attachment download exists; bulk media export is not documented</x:v>
      </x:c>
      <x:c r="M456" s="8"/>
      <x:c r="N456" s="8" t="str">
        <x:v>Export coming soon</x:v>
      </x:c>
      <x:c r="O456" s="8" t="str">
        <x:v>Client/provider-dependent</x:v>
      </x:c>
      <x:c r="P456" s="8" t="str">
        <x:v>Yes/admin backup/export</x:v>
      </x:c>
      <x:c r="Q456" s="8"/>
      <x:c r="R456" s="8" t="str">
        <x:v>N/A</x:v>
      </x:c>
      <x:c r="S456" s="8"/>
      <x:c r="T456" s="8"/>
      <x:c r="U456" s="8" t="str">
        <x:v>Yes</x:v>
      </x:c>
      <x:c r="V456" s="8" t="str">
        <x:v>Direct Download</x:v>
      </x:c>
      <x:c r="W456" s="8" t="str">
        <x:v>Yes/admin backup</x:v>
      </x:c>
      <x:c r="X456" s="8"/>
      <x:c r="Y456" s="8"/>
      <x:c r="Z456" s="8"/>
      <x:c r="AA456" s="8"/>
      <x:c r="AB456" s="8"/>
      <x:c r="AC456" s="9"/>
      <x:c r="AD456" s="8"/>
      <x:c r="AE456" s="8"/>
      <x:c r="AF456" s="8" t="str">
        <x:v>Operator-controlled</x:v>
      </x:c>
      <x:c r="AG456" s="8" t="str">
        <x:v>Yes/admin export</x:v>
      </x:c>
      <x:c r="AH456" s="14" t="n">
        <x:v>12</x:v>
      </x:c>
      <x:c r="AI456" s="15" t="str">
        <x:v>Canonical source for Interop &amp; Portability Details!12</x:v>
      </x:c>
    </x:row>
    <x:row r="457" ht="60">
      <x:c r="A457" s="12" t="str">
        <x:v>Interop &amp; Portability Details</x:v>
      </x:c>
      <x:c r="B457" s="13" t="str">
        <x:v>Native Bridge / Appservice Framework</x:v>
      </x:c>
      <x:c r="C457" s="8" t="str">
        <x:v>No general bridge framework</x:v>
      </x:c>
      <x:c r="D457" s="8" t="str">
        <x:v>Yes: Discord two-way bridge; bridge can be self-hosted</x:v>
      </x:c>
      <x:c r="E457" s="8" t="str">
        <x:v>Custom decentralized messenger/server protocol</x:v>
      </x:c>
      <x:c r="F457" s="8" t="str">
        <x:v>No</x:v>
      </x:c>
      <x:c r="G457" s="8" t="str">
        <x:v>No public framework yet</x:v>
      </x:c>
      <x:c r="H457" s="8" t="str">
        <x:v>No federation bridge framework yet</x:v>
      </x:c>
      <x:c r="I457" s="8" t="str">
        <x:v>No general bridge framework</x:v>
      </x:c>
      <x:c r="J457" s="8" t="str">
        <x:v>Discord API compatibility</x:v>
      </x:c>
      <x:c r="K457" s="8" t="str">
        <x:v>No general bridge framework</x:v>
      </x:c>
      <x:c r="L457" s="8" t="str">
        <x:v>Yes: official Discord bridge repository</x:v>
      </x:c>
      <x:c r="M457" s="8" t="str">
        <x:v>No</x:v>
      </x:c>
      <x:c r="N457" s="8" t="str">
        <x:v>Discord-compatible bot/API surface</x:v>
      </x:c>
      <x:c r="O457" s="8" t="str">
        <x:v>Yes: Application Services/bridges are core ecosystem pattern</x:v>
      </x:c>
      <x:c r="P457" s="8" t="str">
        <x:v>Plugins/webhooks/integrations</x:v>
      </x:c>
      <x:c r="Q457" s="8" t="str">
        <x:v>API-first integrations</x:v>
      </x:c>
      <x:c r="R457" s="8" t="str">
        <x:v>No</x:v>
      </x:c>
      <x:c r="S457" s="8" t="str">
        <x:v>No</x:v>
      </x:c>
      <x:c r="T457" s="8" t="str">
        <x:v>No general bridge framework</x:v>
      </x:c>
      <x:c r="U457" s="8" t="str">
        <x:v>No native Matrix/IRC bridge; incoming Discord-compatible webhooks</x:v>
      </x:c>
      <x:c r="V457" s="8" t="str">
        <x:v>No general bridge framework</x:v>
      </x:c>
      <x:c r="W457" s="8" t="str">
        <x:v>Apps/integrations + federation</x:v>
      </x:c>
      <x:c r="X457" s="8" t="str">
        <x:v>Yes: bridge package</x:v>
      </x:c>
      <x:c r="Y457" s="8" t="str">
        <x:v>Apps/Bots can integrate external services</x:v>
      </x:c>
      <x:c r="Z457" s="8" t="str">
        <x:v>Discord-compatible bot/client ecosystem rather than bridges</x:v>
      </x:c>
      <x:c r="AA457" s="8" t="str">
        <x:v>No native appservice framework</x:v>
      </x:c>
      <x:c r="AB457" s="8" t="str">
        <x:v>No general bridge framework</x:v>
      </x:c>
      <x:c r="AC457" s="9" t="str">
        <x:v>Open API/webhooks</x:v>
      </x:c>
      <x:c r="AD457" s="8" t="str">
        <x:v>Federation/bridge architecture in development</x:v>
      </x:c>
      <x:c r="AE457" s="8" t="str">
        <x:v>Game APIs/integrations rather than bridges</x:v>
      </x:c>
      <x:c r="AF457" s="8" t="str">
        <x:v>No</x:v>
      </x:c>
      <x:c r="AG457" s="8" t="str">
        <x:v>Integrations/bots/webhooks</x:v>
      </x:c>
      <x:c r="AH457" s="14" t="n">
        <x:v>13</x:v>
      </x:c>
      <x:c r="AI457" s="15" t="str">
        <x:v>Canonical source for Interop &amp; Portability Details!13</x:v>
      </x:c>
    </x:row>
    <x:row r="458" ht="60">
      <x:c r="A458" s="12" t="str">
        <x:v>Interop &amp; Portability Details</x:v>
      </x:c>
      <x:c r="B458" s="13" t="str">
        <x:v>Discord Bridge</x:v>
      </x:c>
      <x:c r="C458" s="8" t="str">
        <x:v>N/A</x:v>
      </x:c>
      <x:c r="D458" s="8" t="str">
        <x:v>Yes: Discord bridge supported/self-hostable per subreddit reports</x:v>
      </x:c>
      <x:c r="E458" s="8" t="str">
        <x:v>Discord bridge WIP</x:v>
      </x:c>
      <x:c r="F458" s="8" t="str">
        <x:v>No</x:v>
      </x:c>
      <x:c r="G458" s="8" t="str">
        <x:v>No</x:v>
      </x:c>
      <x:c r="H458" s="8" t="str">
        <x:v>No native</x:v>
      </x:c>
      <x:c r="I458" s="8" t="str">
        <x:v>No live Discord bridge</x:v>
      </x:c>
      <x:c r="J458" s="8" t="str">
        <x:v>Community Discord bridge possible</x:v>
      </x:c>
      <x:c r="K458" s="8" t="str">
        <x:v>No</x:v>
      </x:c>
      <x:c r="L458" s="8" t="str">
        <x:v>Yes: official Discord bridge bot is included</x:v>
      </x:c>
      <x:c r="M458" s="8" t="str">
        <x:v>No</x:v>
      </x:c>
      <x:c r="N458" s="8" t="str">
        <x:v>No live bridge</x:v>
      </x:c>
      <x:c r="O458" s="8" t="str">
        <x:v>Yes: matrix-appservice-discord / mautrix-discord</x:v>
      </x:c>
      <x:c r="P458" s="8" t="str">
        <x:v>No</x:v>
      </x:c>
      <x:c r="Q458" s="8" t="str">
        <x:v>No</x:v>
      </x:c>
      <x:c r="R458" s="8" t="str">
        <x:v>No</x:v>
      </x:c>
      <x:c r="S458" s="8" t="str">
        <x:v>No</x:v>
      </x:c>
      <x:c r="T458" s="8" t="str">
        <x:v>No</x:v>
      </x:c>
      <x:c r="U458" s="8" t="str">
        <x:v>No live bridge</x:v>
      </x:c>
      <x:c r="V458" s="8" t="str">
        <x:v>No</x:v>
      </x:c>
      <x:c r="W458" s="8" t="str">
        <x:v>No native</x:v>
      </x:c>
      <x:c r="X458" s="8" t="str">
        <x:v>Yes: bidirectional Discord bridge</x:v>
      </x:c>
      <x:c r="Y458" s="8" t="str">
        <x:v>No live bridge</x:v>
      </x:c>
      <x:c r="Z458" s="8" t="str">
        <x:v>Not live bridge; compatibility target</x:v>
      </x:c>
      <x:c r="AA458" s="8" t="str">
        <x:v>No native</x:v>
      </x:c>
      <x:c r="AB458" s="8" t="str">
        <x:v>No</x:v>
      </x:c>
      <x:c r="AC458" s="9" t="str">
        <x:v>No live bridge</x:v>
      </x:c>
      <x:c r="AD458" s="8" t="str">
        <x:v>No</x:v>
      </x:c>
      <x:c r="AE458" s="8" t="str">
        <x:v>No</x:v>
      </x:c>
      <x:c r="AF458" s="8" t="str">
        <x:v>No</x:v>
      </x:c>
      <x:c r="AG458" s="8" t="str">
        <x:v>No native</x:v>
      </x:c>
      <x:c r="AH458" s="14" t="n">
        <x:v>14</x:v>
      </x:c>
      <x:c r="AI458" s="15" t="str">
        <x:v>Canonical source for Interop &amp; Portability Details!14</x:v>
      </x:c>
    </x:row>
    <x:row r="459" ht="75">
      <x:c r="A459" s="12" t="str">
        <x:v>Interop &amp; Portability Details</x:v>
      </x:c>
      <x:c r="B459" s="13" t="str">
        <x:v>Matrix Bridge</x:v>
      </x:c>
      <x:c r="C459" s="8" t="str">
        <x:v>Third-party Matrix bridges can connect to Discord; not native</x:v>
      </x:c>
      <x:c r="D459" s="8" t="str">
        <x:v>No native Matrix bridge verified</x:v>
      </x:c>
      <x:c r="E459" s="8" t="str">
        <x:v>No</x:v>
      </x:c>
      <x:c r="F459" s="8" t="str">
        <x:v>No</x:v>
      </x:c>
      <x:c r="G459" s="8" t="str">
        <x:v>No</x:v>
      </x:c>
      <x:c r="H459" s="8" t="str">
        <x:v>No native</x:v>
      </x:c>
      <x:c r="I459" s="8" t="str">
        <x:v>No</x:v>
      </x:c>
      <x:c r="J459" s="8" t="str">
        <x:v>No</x:v>
      </x:c>
      <x:c r="K459" s="8" t="str">
        <x:v>No</x:v>
      </x:c>
      <x:c r="L459" s="8" t="str">
        <x:v>No Matrix bridge documented</x:v>
      </x:c>
      <x:c r="M459" s="8" t="str">
        <x:v>No</x:v>
      </x:c>
      <x:c r="N459" s="8" t="str">
        <x:v>No</x:v>
      </x:c>
      <x:c r="O459" s="8" t="str">
        <x:v>N/A</x:v>
      </x:c>
      <x:c r="P459" s="8" t="str">
        <x:v>Integration possible</x:v>
      </x:c>
      <x:c r="Q459" s="8" t="str">
        <x:v>No</x:v>
      </x:c>
      <x:c r="R459" s="8" t="str">
        <x:v>No</x:v>
      </x:c>
      <x:c r="S459" s="8" t="str">
        <x:v>No</x:v>
      </x:c>
      <x:c r="T459" s="8" t="str">
        <x:v>No</x:v>
      </x:c>
      <x:c r="U459" s="8" t="str">
        <x:v>No</x:v>
      </x:c>
      <x:c r="V459" s="8" t="str">
        <x:v>No</x:v>
      </x:c>
      <x:c r="W459" s="8" t="str">
        <x:v>Federation uses Matrix-based technology but is not a generic Matrix client bridge</x:v>
      </x:c>
      <x:c r="X459" s="8" t="str">
        <x:v>N/A</x:v>
      </x:c>
      <x:c r="Y459" s="8" t="str">
        <x:v>No</x:v>
      </x:c>
      <x:c r="Z459" s="8" t="str">
        <x:v>No native</x:v>
      </x:c>
      <x:c r="AA459" s="8" t="str">
        <x:v>No native</x:v>
      </x:c>
      <x:c r="AB459" s="8" t="str">
        <x:v>No</x:v>
      </x:c>
      <x:c r="AC459" s="9" t="str">
        <x:v>No</x:v>
      </x:c>
      <x:c r="AD459" s="8" t="str">
        <x:v>Possible in theory</x:v>
      </x:c>
      <x:c r="AE459" s="8" t="str">
        <x:v>No</x:v>
      </x:c>
      <x:c r="AF459" s="8" t="str">
        <x:v>No</x:v>
      </x:c>
      <x:c r="AG459" s="8" t="str">
        <x:v>No native</x:v>
      </x:c>
      <x:c r="AH459" s="14" t="n">
        <x:v>15</x:v>
      </x:c>
      <x:c r="AI459" s="15" t="str">
        <x:v>Canonical source for Interop &amp; Portability Details!15</x:v>
      </x:c>
    </x:row>
    <x:row r="460" ht="30">
      <x:c r="A460" s="12" t="str">
        <x:v>Interop &amp; Portability Details</x:v>
      </x:c>
      <x:c r="B460" s="13" t="str">
        <x:v>IRC Bridge</x:v>
      </x:c>
      <x:c r="C460" s="8" t="str">
        <x:v>Third-party relays; not native</x:v>
      </x:c>
      <x:c r="D460" s="8" t="str">
        <x:v>Nostr bridges possible</x:v>
      </x:c>
      <x:c r="E460" s="8" t="str">
        <x:v>No</x:v>
      </x:c>
      <x:c r="F460" s="8" t="str">
        <x:v>No</x:v>
      </x:c>
      <x:c r="G460" s="8" t="str">
        <x:v>No</x:v>
      </x:c>
      <x:c r="H460" s="8" t="str">
        <x:v>No native</x:v>
      </x:c>
      <x:c r="I460" s="8" t="str">
        <x:v>No</x:v>
      </x:c>
      <x:c r="J460" s="8" t="str">
        <x:v>No</x:v>
      </x:c>
      <x:c r="K460" s="8" t="str">
        <x:v>No</x:v>
      </x:c>
      <x:c r="L460" s="8" t="str">
        <x:v>No IRC bridge documented</x:v>
      </x:c>
      <x:c r="M460" s="8" t="str">
        <x:v>No</x:v>
      </x:c>
      <x:c r="N460" s="8" t="str">
        <x:v>No</x:v>
      </x:c>
      <x:c r="O460" s="8" t="str">
        <x:v>Yes: IRC bridges</x:v>
      </x:c>
      <x:c r="P460" s="8" t="str">
        <x:v>Integration possible</x:v>
      </x:c>
      <x:c r="Q460" s="8" t="str">
        <x:v>No</x:v>
      </x:c>
      <x:c r="R460" s="8" t="str">
        <x:v>No</x:v>
      </x:c>
      <x:c r="S460" s="8" t="str">
        <x:v>No</x:v>
      </x:c>
      <x:c r="T460" s="8" t="str">
        <x:v>No</x:v>
      </x:c>
      <x:c r="U460" s="8" t="str">
        <x:v>No</x:v>
      </x:c>
      <x:c r="V460" s="8" t="str">
        <x:v>No</x:v>
      </x:c>
      <x:c r="W460" s="8" t="str">
        <x:v>IRC integration possible</x:v>
      </x:c>
      <x:c r="X460" s="8"/>
      <x:c r="Y460" s="8" t="str">
        <x:v>No</x:v>
      </x:c>
      <x:c r="Z460" s="8" t="str">
        <x:v>No native</x:v>
      </x:c>
      <x:c r="AA460" s="8" t="str">
        <x:v>No native</x:v>
      </x:c>
      <x:c r="AB460" s="8" t="str">
        <x:v>No</x:v>
      </x:c>
      <x:c r="AC460" s="9" t="str">
        <x:v>No</x:v>
      </x:c>
      <x:c r="AD460" s="8"/>
      <x:c r="AE460" s="8" t="str">
        <x:v>No</x:v>
      </x:c>
      <x:c r="AF460" s="8" t="str">
        <x:v>No</x:v>
      </x:c>
      <x:c r="AG460" s="8" t="str">
        <x:v>Via integration possible</x:v>
      </x:c>
      <x:c r="AH460" s="14" t="n">
        <x:v>16</x:v>
      </x:c>
      <x:c r="AI460" s="15" t="str">
        <x:v>Canonical source for Interop &amp; Portability Details!16</x:v>
      </x:c>
    </x:row>
    <x:row r="461" ht="45">
      <x:c r="A461" s="12" t="str">
        <x:v>Interop &amp; Portability Details</x:v>
      </x:c>
      <x:c r="B461" s="13" t="str">
        <x:v>Federation / Cross-Instance Interop</x:v>
      </x:c>
      <x:c r="C461" s="8" t="str">
        <x:v>No</x:v>
      </x:c>
      <x:c r="D461" s="8" t="str">
        <x:v>Yes through relays/protocol</x:v>
      </x:c>
      <x:c r="E461" s="8" t="str">
        <x:v>Yes: messenger cross-home-server</x:v>
      </x:c>
      <x:c r="F461" s="8" t="str">
        <x:v>No</x:v>
      </x:c>
      <x:c r="G461" s="8" t="str">
        <x:v>No</x:v>
      </x:c>
      <x:c r="H461" s="8" t="str">
        <x:v>Not yet</x:v>
      </x:c>
      <x:c r="I461" s="8" t="str">
        <x:v>No</x:v>
      </x:c>
      <x:c r="J461" s="8" t="str">
        <x:v>Federation planned</x:v>
      </x:c>
      <x:c r="K461" s="8" t="str">
        <x:v>Relay-based interoperability</x:v>
      </x:c>
      <x:c r="L461" s="8" t="str">
        <x:v>Yes: kaede-fed/1 federation across homes</x:v>
      </x:c>
      <x:c r="M461" s="8" t="str">
        <x:v>No</x:v>
      </x:c>
      <x:c r="N461" s="8" t="str">
        <x:v>Federation/self-hosting</x:v>
      </x:c>
      <x:c r="O461" s="8" t="str">
        <x:v>Yes: native federation</x:v>
      </x:c>
      <x:c r="P461" s="8" t="str">
        <x:v>No</x:v>
      </x:c>
      <x:c r="Q461" s="8" t="str">
        <x:v>No federation verified</x:v>
      </x:c>
      <x:c r="R461" s="8" t="str">
        <x:v>No</x:v>
      </x:c>
      <x:c r="S461" s="8" t="str">
        <x:v>No</x:v>
      </x:c>
      <x:c r="T461" s="8" t="str">
        <x:v>No</x:v>
      </x:c>
      <x:c r="U461" s="8" t="str">
        <x:v>No</x:v>
      </x:c>
      <x:c r="V461" s="8" t="str">
        <x:v>No</x:v>
      </x:c>
      <x:c r="W461" s="8" t="str">
        <x:v>Yes: supported federation features</x:v>
      </x:c>
      <x:c r="X461" s="8" t="str">
        <x:v>ATProto federation</x:v>
      </x:c>
      <x:c r="Y461" s="8" t="str">
        <x:v>No</x:v>
      </x:c>
      <x:c r="Z461" s="8" t="str">
        <x:v>No</x:v>
      </x:c>
      <x:c r="AA461" s="8" t="str">
        <x:v>No federation</x:v>
      </x:c>
      <x:c r="AB461" s="8" t="str">
        <x:v>No</x:v>
      </x:c>
      <x:c r="AC461" s="9" t="str">
        <x:v>Node/federation migration</x:v>
      </x:c>
      <x:c r="AD461" s="8" t="str">
        <x:v>Planned federation</x:v>
      </x:c>
      <x:c r="AE461" s="8" t="str">
        <x:v>No</x:v>
      </x:c>
      <x:c r="AF461" s="8" t="str">
        <x:v>No federation</x:v>
      </x:c>
      <x:c r="AG461" s="8" t="str">
        <x:v>No</x:v>
      </x:c>
      <x:c r="AH461" s="14" t="n">
        <x:v>17</x:v>
      </x:c>
      <x:c r="AI461" s="15" t="str">
        <x:v>Canonical source for Interop &amp; Portability Details!17</x:v>
      </x:c>
    </x:row>
    <x:row r="462" ht="105">
      <x:c r="A462" s="12" t="str">
        <x:v>Interop &amp; Portability Details</x:v>
      </x:c>
      <x:c r="B462" s="13" t="str">
        <x:v>Account Portability</x:v>
      </x:c>
      <x:c r="C462" s="8" t="str">
        <x:v>No</x:v>
      </x:c>
      <x:c r="D462" s="8" t="str">
        <x:v>Yes: keypair identity</x:v>
      </x:c>
      <x:c r="E462" s="8" t="str">
        <x:v>Yes</x:v>
      </x:c>
      <x:c r="F462" s="8" t="str">
        <x:v>No</x:v>
      </x:c>
      <x:c r="G462" s="8" t="str">
        <x:v>No</x:v>
      </x:c>
      <x:c r="H462" s="8" t="str">
        <x:v>No</x:v>
      </x:c>
      <x:c r="I462" s="8" t="str">
        <x:v>Limited</x:v>
      </x:c>
      <x:c r="J462" s="8" t="str">
        <x:v>Planned</x:v>
      </x:c>
      <x:c r="K462" s="8" t="str">
        <x:v>Yes: identity key portable</x:v>
      </x:c>
      <x:c r="L462" s="8" t="str">
        <x:v>One home account accesses federated resources; no cross-home account switcher/migration workflow documented</x:v>
      </x:c>
      <x:c r="M462" s="8" t="str">
        <x:v>No</x:v>
      </x:c>
      <x:c r="N462" s="8"/>
      <x:c r="O462" s="8" t="str">
        <x:v>Partial: ID is homeserver-scoped; migration is not universally seamless</x:v>
      </x:c>
      <x:c r="P462" s="8" t="str">
        <x:v>No</x:v>
      </x:c>
      <x:c r="Q462" s="8" t="str">
        <x:v>No</x:v>
      </x:c>
      <x:c r="R462" s="8" t="str">
        <x:v>Certificates/bookmarks manually portable</x:v>
      </x:c>
      <x:c r="S462" s="8" t="str">
        <x:v>No</x:v>
      </x:c>
      <x:c r="T462" s="8" t="str">
        <x:v>No</x:v>
      </x:c>
      <x:c r="U462" s="8" t="str">
        <x:v>Export/self-host</x:v>
      </x:c>
      <x:c r="V462" s="8" t="str">
        <x:v>No</x:v>
      </x:c>
      <x:c r="W462" s="8" t="str">
        <x:v>Limited</x:v>
      </x:c>
      <x:c r="X462" s="8" t="str">
        <x:v>ATProto identity</x:v>
      </x:c>
      <x:c r="Y462" s="8" t="str">
        <x:v>No</x:v>
      </x:c>
      <x:c r="Z462" s="8" t="str">
        <x:v>No</x:v>
      </x:c>
      <x:c r="AA462" s="8" t="str">
        <x:v>No</x:v>
      </x:c>
      <x:c r="AB462" s="8" t="str">
        <x:v>Limited</x:v>
      </x:c>
      <x:c r="AC462" s="9" t="str">
        <x:v>Community data/node migration</x:v>
      </x:c>
      <x:c r="AD462" s="8" t="str">
        <x:v>Planned</x:v>
      </x:c>
      <x:c r="AE462" s="8" t="str">
        <x:v>No</x:v>
      </x:c>
      <x:c r="AF462" s="8" t="str">
        <x:v>Server/operator migration</x:v>
      </x:c>
      <x:c r="AG462" s="8" t="str">
        <x:v>No cross-server account portability</x:v>
      </x:c>
      <x:c r="AH462" s="14" t="n">
        <x:v>18</x:v>
      </x:c>
      <x:c r="AI462" s="15" t="str">
        <x:v>Shared metric: Portability &amp; Bridging: Account Portability | Interop &amp; Portability Details: Account Portability</x:v>
      </x:c>
    </x:row>
    <x:row r="463" ht="75">
      <x:c r="A463" s="12" t="str">
        <x:v>Interop &amp; Portability Details</x:v>
      </x:c>
      <x:c r="B463" s="13" t="str">
        <x:v>Client Portability</x:v>
      </x:c>
      <x:c r="C463" s="8" t="str">
        <x:v>Official clients only</x:v>
      </x:c>
      <x:c r="D463" s="8" t="str">
        <x:v>Open client/protocol potential</x:v>
      </x:c>
      <x:c r="E463" s="8" t="str">
        <x:v>Open-source clients</x:v>
      </x:c>
      <x:c r="F463" s="8" t="str">
        <x:v>Official clients</x:v>
      </x:c>
      <x:c r="G463" s="8" t="str">
        <x:v>Single first-party client/service</x:v>
      </x:c>
      <x:c r="H463" s="8" t="str">
        <x:v>Open clients/self-host but no federation</x:v>
      </x:c>
      <x:c r="I463" s="8" t="str">
        <x:v>Official clients</x:v>
      </x:c>
      <x:c r="J463" s="8" t="str">
        <x:v>Yes: custom clients</x:v>
      </x:c>
      <x:c r="K463" s="8" t="str">
        <x:v>Single open-source client currently</x:v>
      </x:c>
      <x:c r="L463" s="8" t="str">
        <x:v>Official clients share the same server APIs; third-party portability is possible but ecosystem is nascent</x:v>
      </x:c>
      <x:c r="M463" s="8" t="str">
        <x:v>No</x:v>
      </x:c>
      <x:c r="N463" s="8"/>
      <x:c r="O463" s="8" t="str">
        <x:v>Yes: switch clients freely against same Matrix account</x:v>
      </x:c>
      <x:c r="P463" s="8" t="str">
        <x:v>Official clients can connect to custom servers</x:v>
      </x:c>
      <x:c r="Q463" s="8" t="str">
        <x:v>Open-source clients</x:v>
      </x:c>
      <x:c r="R463" s="8" t="str">
        <x:v>Yes across Mumble-compatible clients</x:v>
      </x:c>
      <x:c r="S463" s="8" t="str">
        <x:v>Open-source clients possible</x:v>
      </x:c>
      <x:c r="T463" s="8" t="str">
        <x:v>Official clients</x:v>
      </x:c>
      <x:c r="U463" s="8" t="str">
        <x:v>Open source</x:v>
      </x:c>
      <x:c r="V463" s="8" t="str">
        <x:v>Official client</x:v>
      </x:c>
      <x:c r="W463" s="8" t="str">
        <x:v>Official clients can connect to custom servers</x:v>
      </x:c>
      <x:c r="X463" s="8" t="str">
        <x:v>Potentially via open protocol</x:v>
      </x:c>
      <x:c r="Y463" s="8" t="str">
        <x:v>First-party clients</x:v>
      </x:c>
      <x:c r="Z463" s="8" t="str">
        <x:v>Potentially compatible clients</x:v>
      </x:c>
      <x:c r="AA463" s="8" t="str">
        <x:v>Limited: client custom-instance support is uneven</x:v>
      </x:c>
      <x:c r="AB463" s="8" t="str">
        <x:v>Official ecosystem</x:v>
      </x:c>
      <x:c r="AC463" s="9" t="str">
        <x:v>Open API/client</x:v>
      </x:c>
      <x:c r="AD463" s="8"/>
      <x:c r="AE463" s="8" t="str">
        <x:v>Official client</x:v>
      </x:c>
      <x:c r="AF463" s="8" t="str">
        <x:v>Official client</x:v>
      </x:c>
      <x:c r="AG463" s="8" t="str">
        <x:v>Official clients can connect to custom servers</x:v>
      </x:c>
      <x:c r="AH463" s="14" t="n">
        <x:v>19</x:v>
      </x:c>
      <x:c r="AI463" s="15" t="str">
        <x:v>Canonical source for Interop &amp; Portability Details!19</x:v>
      </x:c>
    </x:row>
    <x:row r="464" ht="195">
      <x:c r="A464" s="12" t="str">
        <x:v>Interop &amp; Portability Details</x:v>
      </x:c>
      <x:c r="B464" s="13" t="str">
        <x:v>Interop Notes</x:v>
      </x:c>
      <x:c r="C464" s="8" t="str">
        <x:v>Discord is the source platform.</x:v>
      </x:c>
      <x:c r="D464" s="8" t="str">
        <x:v>Imports server metadata, text/announcement channels, roles, custom emoji, and eligible history. Does not migrate members, private channels, forum channels, or media channels. Optional bridge mirrors supported content both ways.</x:v>
      </x:c>
      <x:c r="E464" s="8" t="str">
        <x:v>Discord bridge is experimental/WIP; native cross-instance messenger is more mature.</x:v>
      </x:c>
      <x:c r="F464" s="8" t="str">
        <x:v>No migration/federation framework verified.</x:v>
      </x:c>
      <x:c r="G464" s="8" t="str">
        <x:v>Migration features are still alpha/roadmap.</x:v>
      </x:c>
      <x:c r="H464" s="8" t="str">
        <x:v>Roadmap includes federation; do not mark it available yet.</x:v>
      </x:c>
      <x:c r="I464" s="8" t="str">
        <x:v>Importer handles structural server migration, not message history.</x:v>
      </x:c>
      <x:c r="J464" s="8" t="str">
        <x:v>API compatibility is currently more mature than federation.</x:v>
      </x:c>
      <x:c r="K464" s="8" t="str">
        <x:v>Local-first portability is stronger than migration from Discord.</x:v>
      </x:c>
      <x:c r="L464" s="8" t="str">
        <x:v>Discord bridge copies live messages between paired plaintext channels; it is not a history importer.</x:v>
      </x:c>
      <x:c r="M464" s="8" t="str">
        <x:v>No migration/interop framework verified.</x:v>
      </x:c>
      <x:c r="N464" s="8" t="str">
        <x:v>Importer handles channels/categories/roles/permissions/emoji/bans/icon.</x:v>
      </x:c>
      <x:c r="O464" s="8" t="str">
        <x:v>Matrix is strongest here because interoperability is part of the protocol model, not a single-vendor feature.</x:v>
      </x:c>
      <x:c r="P464" s="8" t="str">
        <x:v>Strong admin migration/export tools, but not federation.</x:v>
      </x:c>
      <x:c r="Q464" s="8" t="str">
        <x:v>Extensible API/integration focus rather than federation.</x:v>
      </x:c>
      <x:c r="R464" s="8" t="str">
        <x:v>Voice protocol interoperability rather than social-platform migration.</x:v>
      </x:c>
      <x:c r="S464" s="8" t="str">
        <x:v>No built-in Discord migration/federation verified.</x:v>
      </x:c>
      <x:c r="T464" s="8" t="str">
        <x:v>Migration features exist, but exact data coverage is not comprehensively documented.</x:v>
      </x:c>
      <x:c r="U464" s="8" t="str">
        <x:v>Discord template import is layout-only: categories, channels and main permissions. Messages and members do not migrate.</x:v>
      </x:c>
      <x:c r="V464" s="8" t="str">
        <x:v>No migration/bridge framework verified.</x:v>
      </x:c>
      <x:c r="W464" s="8" t="str">
        <x:v>Federation is real but has explicit limitations such as no E2EE/calls in federated rooms.</x:v>
      </x:c>
      <x:c r="X464" s="8" t="str">
        <x:v>Discord bridge is first-class in the repository.</x:v>
      </x:c>
      <x:c r="Y464" s="8" t="str">
        <x:v>Discord template import is structural only; it does not move messages, users, files, emojis, bots or webhooks.</x:v>
      </x:c>
      <x:c r="Z464" s="8" t="str">
        <x:v>Designed to make Discord clients/bots easier to reuse on a separate service.</x:v>
      </x:c>
      <x:c r="AA464" s="8" t="str">
        <x:v>Self-hosting exists but migration/interop tooling is still limited.</x:v>
      </x:c>
      <x:c r="AB464" s="8" t="str">
        <x:v>Independent servers are portable operationally, not federated socially.</x:v>
      </x:c>
      <x:c r="AC464" s="9" t="str">
        <x:v>Built-in importer is a major onboarding feature.</x:v>
      </x:c>
      <x:c r="AD464" s="8" t="str">
        <x:v>Open protocol direction should allow bridges, but current production interop is limited.</x:v>
      </x:c>
      <x:c r="AE464" s="8" t="str">
        <x:v>No Discord importer because product model intentionally differs.</x:v>
      </x:c>
      <x:c r="AF464" s="8" t="str">
        <x:v>Self-host control rather than cross-platform bridging.</x:v>
      </x:c>
      <x:c r="AG464" s="8" t="str">
        <x:v>Native importers focus on Slack, Mattermost and Rocket.Chat rather than Discord.</x:v>
      </x:c>
      <x:c r="AH464" s="14" t="n">
        <x:v>20</x:v>
      </x:c>
      <x:c r="AI464" s="15" t="str">
        <x:v>Canonical source for Interop &amp; Portability Details!20</x:v>
      </x:c>
    </x:row>
    <x:row r="465" ht="60">
      <x:c r="A465" s="12" t="str">
        <x:v>Interop &amp; Portability Details</x:v>
      </x:c>
      <x:c r="B465" s="13" t="str">
        <x:v>Discord Categories Import</x:v>
      </x:c>
      <x:c r="C465" s="8" t="str">
        <x:v>N/A</x:v>
      </x:c>
      <x:c r="D465" s="8" t="str">
        <x:v>Yes: category grouping preserved</x:v>
      </x:c>
      <x:c r="E465" s="8"/>
      <x:c r="F465" s="8"/>
      <x:c r="G465" s="8"/>
      <x:c r="H465" s="8"/>
      <x:c r="I465" s="8"/>
      <x:c r="J465" s="8"/>
      <x:c r="K465" s="8"/>
      <x:c r="L465" s="8" t="str">
        <x:v>No dedicated Discord server importer documented</x:v>
      </x:c>
      <x:c r="M465" s="8"/>
      <x:c r="N465" s="8"/>
      <x:c r="O465" s="8"/>
      <x:c r="P465" s="8"/>
      <x:c r="Q465" s="8"/>
      <x:c r="R465" s="8"/>
      <x:c r="S465" s="8"/>
      <x:c r="T465" s="8"/>
      <x:c r="U465" s="8" t="str">
        <x:v>Yes</x:v>
      </x:c>
      <x:c r="V465" s="8" t="str">
        <x:v>Yes: Discord template import preserves categories/order</x:v>
      </x:c>
      <x:c r="W465" s="8"/>
      <x:c r="X465" s="8"/>
      <x:c r="Y465" s="8"/>
      <x:c r="Z465" s="8"/>
      <x:c r="AA465" s="8"/>
      <x:c r="AB465" s="8"/>
      <x:c r="AC465" s="9"/>
      <x:c r="AD465" s="8"/>
      <x:c r="AE465" s="8"/>
      <x:c r="AF465" s="8"/>
      <x:c r="AG465" s="8"/>
      <x:c r="AH465" s="14" t="n">
        <x:v>22</x:v>
      </x:c>
      <x:c r="AI465" s="15" t="str">
        <x:v>Canonical source for Interop &amp; Portability Details!22</x:v>
      </x:c>
    </x:row>
    <x:row r="466" ht="45">
      <x:c r="A466" s="12" t="str">
        <x:v>Interop &amp; Portability Details</x:v>
      </x:c>
      <x:c r="B466" s="13" t="str">
        <x:v>Discord Forum Tags Import</x:v>
      </x:c>
      <x:c r="C466" s="8" t="str">
        <x:v>N/A</x:v>
      </x:c>
      <x:c r="D466" s="8"/>
      <x:c r="E466" s="8"/>
      <x:c r="F466" s="8"/>
      <x:c r="G466" s="8"/>
      <x:c r="H466" s="8"/>
      <x:c r="I466" s="8"/>
      <x:c r="J466" s="8"/>
      <x:c r="K466" s="8"/>
      <x:c r="L466" s="8" t="str">
        <x:v>No dedicated Discord server importer documented</x:v>
      </x:c>
      <x:c r="M466" s="8"/>
      <x:c r="N466" s="8"/>
      <x:c r="O466" s="8"/>
      <x:c r="P466" s="8"/>
      <x:c r="Q466" s="8"/>
      <x:c r="R466" s="8"/>
      <x:c r="S466" s="8"/>
      <x:c r="T466" s="8"/>
      <x:c r="U466" s="8"/>
      <x:c r="V466" s="8" t="str">
        <x:v>Yes: template import includes forum tags</x:v>
      </x:c>
      <x:c r="W466" s="8"/>
      <x:c r="X466" s="8"/>
      <x:c r="Y466" s="8"/>
      <x:c r="Z466" s="8"/>
      <x:c r="AA466" s="8"/>
      <x:c r="AB466" s="8"/>
      <x:c r="AC466" s="9"/>
      <x:c r="AD466" s="8"/>
      <x:c r="AE466" s="8"/>
      <x:c r="AF466" s="8"/>
      <x:c r="AG466" s="8"/>
      <x:c r="AH466" s="14" t="n">
        <x:v>23</x:v>
      </x:c>
      <x:c r="AI466" s="15" t="str">
        <x:v>Canonical source for Interop &amp; Portability Details!23</x:v>
      </x:c>
    </x:row>
    <x:row r="467" ht="75">
      <x:c r="A467" s="12" t="str">
        <x:v>Interop &amp; Portability Details</x:v>
      </x:c>
      <x:c r="B467" s="13" t="str">
        <x:v>Discord Webhook Format Compatibility</x:v>
      </x:c>
      <x:c r="C467" s="8" t="str">
        <x:v>N/A</x:v>
      </x:c>
      <x:c r="D467" s="8"/>
      <x:c r="E467" s="8"/>
      <x:c r="F467" s="8"/>
      <x:c r="G467" s="8"/>
      <x:c r="H467" s="8"/>
      <x:c r="I467" s="8"/>
      <x:c r="J467" s="8"/>
      <x:c r="K467" s="8"/>
      <x:c r="L467" s="8" t="str">
        <x:v>No Discord webhook-format compatibility claim; Kaede has its own incoming webhook model</x:v>
      </x:c>
      <x:c r="M467" s="8"/>
      <x:c r="N467" s="8"/>
      <x:c r="O467" s="8"/>
      <x:c r="P467" s="8"/>
      <x:c r="Q467" s="8"/>
      <x:c r="R467" s="8"/>
      <x:c r="S467" s="8"/>
      <x:c r="T467" s="8"/>
      <x:c r="U467" s="8" t="str">
        <x:v>Yes: incoming Discord-compatible webhooks</x:v>
      </x:c>
      <x:c r="V467" s="8" t="str">
        <x:v>Yes: incoming webhooks accept Discord format</x:v>
      </x:c>
      <x:c r="W467" s="8"/>
      <x:c r="X467" s="8"/>
      <x:c r="Y467" s="8"/>
      <x:c r="Z467" s="8"/>
      <x:c r="AA467" s="8"/>
      <x:c r="AB467" s="8"/>
      <x:c r="AC467" s="9"/>
      <x:c r="AD467" s="8"/>
      <x:c r="AE467" s="8"/>
      <x:c r="AF467" s="8"/>
      <x:c r="AG467" s="8"/>
      <x:c r="AH467" s="14" t="n">
        <x:v>24</x:v>
      </x:c>
      <x:c r="AI467" s="15" t="str">
        <x:v>Canonical source for Interop &amp; Portability Details!24</x:v>
      </x:c>
    </x:row>
    <x:row r="468" ht="45">
      <x:c r="A468" s="12" t="str">
        <x:v>Interop &amp; Portability Details</x:v>
      </x:c>
      <x:c r="B468" s="13" t="str">
        <x:v>Self-Host to Hosted Migration Tooling</x:v>
      </x:c>
      <x:c r="C468" s="8"/>
      <x:c r="D468" s="8"/>
      <x:c r="E468" s="8"/>
      <x:c r="F468" s="8"/>
      <x:c r="G468" s="8"/>
      <x:c r="H468" s="8"/>
      <x:c r="I468" s="8"/>
      <x:c r="J468" s="8"/>
      <x:c r="K468" s="8"/>
      <x:c r="L468" s="8" t="str">
        <x:v>No hosted↔self-host migration tooling documented</x:v>
      </x:c>
      <x:c r="M468" s="8"/>
      <x:c r="N468" s="8"/>
      <x:c r="O468" s="8"/>
      <x:c r="P468" s="8"/>
      <x:c r="Q468" s="8"/>
      <x:c r="R468" s="8"/>
      <x:c r="S468" s="8"/>
      <x:c r="T468" s="8"/>
      <x:c r="U468" s="8" t="str">
        <x:v>No migration tooling claim provided</x:v>
      </x:c>
      <x:c r="V468" s="8" t="str">
        <x:v>N/A: no public self-hosting</x:v>
      </x:c>
      <x:c r="W468" s="8"/>
      <x:c r="X468" s="8"/>
      <x:c r="Y468" s="8"/>
      <x:c r="Z468" s="8"/>
      <x:c r="AA468" s="8"/>
      <x:c r="AB468" s="8"/>
      <x:c r="AC468" s="9"/>
      <x:c r="AD468" s="8"/>
      <x:c r="AE468" s="8"/>
      <x:c r="AF468" s="8"/>
      <x:c r="AG468" s="8"/>
      <x:c r="AH468" s="14" t="n">
        <x:v>25</x:v>
      </x:c>
      <x:c r="AI468" s="15" t="str">
        <x:v>Canonical source for Interop &amp; Portability Details!25</x:v>
      </x:c>
    </x:row>
    <x:row r="469" ht="60">
      <x:c r="A469" s="12" t="str">
        <x:v>Security &amp; Privacy</x:v>
      </x:c>
      <x:c r="B469" s="13" t="str">
        <x:v>Encryption in Transit (TLS 1.3)</x:v>
      </x:c>
      <x:c r="C469" s="8"/>
      <x:c r="D469" s="8" t="str">
        <x:v>TLS + Nostr relay transport</x:v>
      </x:c>
      <x:c r="E469" s="8" t="str">
        <x:v>TLS required for network access</x:v>
      </x:c>
      <x:c r="F469" s="8" t="str">
        <x:v>TLS</x:v>
      </x:c>
      <x:c r="G469" s="8" t="str">
        <x:v>TLS in transit</x:v>
      </x:c>
      <x:c r="H469" s="8" t="str">
        <x:v>Encrypted in transit; at rest for stored content</x:v>
      </x:c>
      <x:c r="I469" s="8" t="str">
        <x:v>TLS in transit</x:v>
      </x:c>
      <x:c r="J469" s="8" t="str">
        <x:v>TLS when deployed</x:v>
      </x:c>
      <x:c r="K469" s="8" t="str">
        <x:v>TLS relays + end-to-end crypto</x:v>
      </x:c>
      <x:c r="L469" s="8" t="str">
        <x:v>Yes: HTTPS/TLS required for production</x:v>
      </x:c>
      <x:c r="M469" s="8" t="str">
        <x:v>TLS</x:v>
      </x:c>
      <x:c r="N469" s="8" t="str">
        <x:v>TLS</x:v>
      </x:c>
      <x:c r="O469" s="8" t="str">
        <x:v>HTTPS/TLS transport; implementation-dependent TLS configuration</x:v>
      </x:c>
      <x:c r="P469" s="8" t="str">
        <x:v>TLS configurable; enterprise deployment-controlled</x:v>
      </x:c>
      <x:c r="Q469" s="8" t="str">
        <x:v>TLS</x:v>
      </x:c>
      <x:c r="R469" s="8" t="str">
        <x:v>TLS control channel + encrypted voice transport</x:v>
      </x:c>
      <x:c r="S469" s="8" t="str">
        <x:v>TLS in transit</x:v>
      </x:c>
      <x:c r="T469" s="8" t="str">
        <x:v>TLS/encrypted connections</x:v>
      </x:c>
      <x:c r="U469" s="8" t="str">
        <x:v>Yes: TLS in transit; TLS 1.3 specifically not claimed</x:v>
      </x:c>
      <x:c r="V469" s="8" t="str">
        <x:v>TLS</x:v>
      </x:c>
      <x:c r="W469" s="8" t="str">
        <x:v>TLS in transit configurable</x:v>
      </x:c>
      <x:c r="X469" s="8" t="str">
        <x:v>TLS</x:v>
      </x:c>
      <x:c r="Y469" s="8" t="str">
        <x:v>TLS in transit</x:v>
      </x:c>
      <x:c r="Z469" s="8" t="str">
        <x:v>TLS when correctly deployed; operator-controlled</x:v>
      </x:c>
      <x:c r="AA469" s="8" t="str">
        <x:v>TLS in transit</x:v>
      </x:c>
      <x:c r="AB469" s="8" t="str">
        <x:v>Encrypted transport</x:v>
      </x:c>
      <x:c r="AC469" s="9" t="str">
        <x:v>TLS</x:v>
      </x:c>
      <x:c r="AD469" s="8" t="str">
        <x:v>TLS</x:v>
      </x:c>
      <x:c r="AE469" s="8" t="str">
        <x:v>TLS</x:v>
      </x:c>
      <x:c r="AF469" s="8" t="str">
        <x:v>TLS</x:v>
      </x:c>
      <x:c r="AG469" s="8" t="str">
        <x:v>TLS in transit</x:v>
      </x:c>
      <x:c r="AH469" s="14" t="n">
        <x:v>3</x:v>
      </x:c>
      <x:c r="AI469" s="15" t="str">
        <x:v>Canonical source for Security &amp; Privacy!3</x:v>
      </x:c>
    </x:row>
    <x:row r="470" ht="75">
      <x:c r="A470" s="12" t="str">
        <x:v>Security &amp; Privacy</x:v>
      </x:c>
      <x:c r="B470" s="13" t="str">
        <x:v>E2EE 1:1 DMs</x:v>
      </x:c>
      <x:c r="C470" s="8" t="str">
        <x:v>No for text DMs; DM voice/video calls are E2EE</x:v>
      </x:c>
      <x:c r="D470" s="8" t="str">
        <x:v>Yes: E2EE community/DM design</x:v>
      </x:c>
      <x:c r="E470" s="8" t="str">
        <x:v>Yes: desktop server DMs can be E2EE; decentralized messenger always E2EE</x:v>
      </x:c>
      <x:c r="F470" s="8" t="str">
        <x:v>No E2EE text claim</x:v>
      </x:c>
      <x:c r="G470" s="8" t="str">
        <x:v>Yes: DM text E2EE by default</x:v>
      </x:c>
      <x:c r="H470" s="8" t="str">
        <x:v>No: latest 2026 privacy policy says nothing is E2EE yet</x:v>
      </x:c>
      <x:c r="I470" s="8" t="str">
        <x:v>No text E2EE claim</x:v>
      </x:c>
      <x:c r="J470" s="8" t="str">
        <x:v>Yes: vodozemac-backed E2EE live</x:v>
      </x:c>
      <x:c r="K470" s="8" t="str">
        <x:v>Yes</x:v>
      </x:c>
      <x:c r="L470" s="8" t="str">
        <x:v>Yes: optional room/DM MLS 1.0</x:v>
      </x:c>
      <x:c r="M470" s="8" t="str">
        <x:v>E2EE not yet verified/currently WIP</x:v>
      </x:c>
      <x:c r="N470" s="8"/>
      <x:c r="O470" s="8" t="str">
        <x:v>Supported by Matrix E2EE; default behavior is client-dependent</x:v>
      </x:c>
      <x:c r="P470" s="8" t="str">
        <x:v>No native E2EE for server-stored messages</x:v>
      </x:c>
      <x:c r="Q470" s="8" t="str">
        <x:v>E2EE claimed</x:v>
      </x:c>
      <x:c r="R470" s="8" t="str">
        <x:v>N/A: not a Discord-style persistent DM platform</x:v>
      </x:c>
      <x:c r="S470" s="8" t="str">
        <x:v>No public default E2EE verified</x:v>
      </x:c>
      <x:c r="T470" s="8" t="str">
        <x:v>No E2EE text claim</x:v>
      </x:c>
      <x:c r="U470" s="8" t="str">
        <x:v>No: not marketed as an E2EE product feature</x:v>
      </x:c>
      <x:c r="V470" s="8" t="str">
        <x:v>Yes: DM text E2EE (Signal-style X3DH/Double Ratchet)</x:v>
      </x:c>
      <x:c r="W470" s="8" t="str">
        <x:v>E2EE available for certain conversations but deployment/client constraints apply</x:v>
      </x:c>
      <x:c r="X470" s="8" t="str">
        <x:v>No E2EE chat claim verified</x:v>
      </x:c>
      <x:c r="Y470" s="8" t="str">
        <x:v>No text E2EE disclosed</x:v>
      </x:c>
      <x:c r="Z470" s="8" t="str">
        <x:v>No documented default text E2EE</x:v>
      </x:c>
      <x:c r="AA470" s="8" t="str">
        <x:v>No default text E2EE verified</x:v>
      </x:c>
      <x:c r="AB470" s="8"/>
      <x:c r="AC470" s="9" t="str">
        <x:v>No default E2EE claim</x:v>
      </x:c>
      <x:c r="AD470" s="8" t="str">
        <x:v>Default unencrypted; per-conversation E2EE planned/opt-in</x:v>
      </x:c>
      <x:c r="AE470" s="8" t="str">
        <x:v>No E2EE text claim</x:v>
      </x:c>
      <x:c r="AF470" s="8" t="str">
        <x:v>Server/operator controlled; E2EE not claimed</x:v>
      </x:c>
      <x:c r="AG470" s="8" t="str">
        <x:v>No native E2EE for server-stored chat</x:v>
      </x:c>
      <x:c r="AH470" s="14" t="n">
        <x:v>4</x:v>
      </x:c>
      <x:c r="AI470" s="15" t="str">
        <x:v>Canonical source for Security &amp; Privacy!4</x:v>
      </x:c>
    </x:row>
    <x:row r="471" ht="60">
      <x:c r="A471" s="12" t="str">
        <x:v>Security &amp; Privacy</x:v>
      </x:c>
      <x:c r="B471" s="13" t="str">
        <x:v>E2EE Group DMs</x:v>
      </x:c>
      <x:c r="C471" s="8" t="str">
        <x:v>No for text Group DMs; GDM voice/video calls are E2EE</x:v>
      </x:c>
      <x:c r="D471" s="8"/>
      <x:c r="E471" s="8"/>
      <x:c r="F471" s="8" t="str">
        <x:v>No</x:v>
      </x:c>
      <x:c r="G471" s="8"/>
      <x:c r="H471" s="8" t="str">
        <x:v>No</x:v>
      </x:c>
      <x:c r="I471" s="8" t="str">
        <x:v>No text E2EE claim</x:v>
      </x:c>
      <x:c r="J471" s="8" t="str">
        <x:v>Not publicly claimed</x:v>
      </x:c>
      <x:c r="K471" s="8" t="str">
        <x:v>Yes</x:v>
      </x:c>
      <x:c r="L471" s="8" t="str">
        <x:v>Yes: optional room/DM MLS 1.0</x:v>
      </x:c>
      <x:c r="M471" s="8"/>
      <x:c r="N471" s="8"/>
      <x:c r="O471" s="8" t="str">
        <x:v>Supported in encrypted rooms; default client behavior varies</x:v>
      </x:c>
      <x:c r="P471" s="8" t="str">
        <x:v>No</x:v>
      </x:c>
      <x:c r="Q471" s="8" t="str">
        <x:v>E2EE claimed</x:v>
      </x:c>
      <x:c r="R471" s="8" t="str">
        <x:v>N/A</x:v>
      </x:c>
      <x:c r="S471" s="8" t="str">
        <x:v>No</x:v>
      </x:c>
      <x:c r="T471" s="8" t="str">
        <x:v>No</x:v>
      </x:c>
      <x:c r="U471" s="8" t="str">
        <x:v>No: not marketed as an E2EE product feature</x:v>
      </x:c>
      <x:c r="V471" s="8" t="str">
        <x:v>No: group chats / Splinters are encrypted at rest, not E2EE</x:v>
      </x:c>
      <x:c r="W471" s="8" t="str">
        <x:v>E2EE support exists; exact group behavior/version-dependent</x:v>
      </x:c>
      <x:c r="X471" s="8" t="str">
        <x:v>No</x:v>
      </x:c>
      <x:c r="Y471" s="8" t="str">
        <x:v>No text E2EE disclosed</x:v>
      </x:c>
      <x:c r="Z471" s="8" t="str">
        <x:v>No documented default text E2EE</x:v>
      </x:c>
      <x:c r="AA471" s="8" t="str">
        <x:v>No default text E2EE verified</x:v>
      </x:c>
      <x:c r="AB471" s="8"/>
      <x:c r="AC471" s="9" t="str">
        <x:v>No</x:v>
      </x:c>
      <x:c r="AD471" s="8"/>
      <x:c r="AE471" s="8" t="str">
        <x:v>No</x:v>
      </x:c>
      <x:c r="AF471" s="8"/>
      <x:c r="AG471" s="8" t="str">
        <x:v>No</x:v>
      </x:c>
      <x:c r="AH471" s="14" t="n">
        <x:v>5</x:v>
      </x:c>
      <x:c r="AI471" s="15" t="str">
        <x:v>Canonical source for Security &amp; Privacy!5</x:v>
      </x:c>
    </x:row>
    <x:row r="472" ht="90">
      <x:c r="A472" s="12" t="str">
        <x:v>Security &amp; Privacy</x:v>
      </x:c>
      <x:c r="B472" s="13" t="str">
        <x:v>E2EE Channels / Rooms</x:v>
      </x:c>
      <x:c r="C472" s="8" t="str">
        <x:v>No for text channels/rooms; voice/video channels are E2EE except Stage</x:v>
      </x:c>
      <x:c r="D472" s="8" t="str">
        <x:v>Yes: encrypted communities</x:v>
      </x:c>
      <x:c r="E472" s="8" t="str">
        <x:v>Server channels generally not E2EE</x:v>
      </x:c>
      <x:c r="F472" s="8" t="str">
        <x:v>No</x:v>
      </x:c>
      <x:c r="G472" s="8" t="str">
        <x:v>No: server/community text channels are plaintext to server</x:v>
      </x:c>
      <x:c r="H472" s="8" t="str">
        <x:v>No</x:v>
      </x:c>
      <x:c r="I472" s="8" t="str">
        <x:v>No channel text E2EE claim</x:v>
      </x:c>
      <x:c r="J472" s="8" t="str">
        <x:v>No published channel E2EE claim</x:v>
      </x:c>
      <x:c r="K472" s="8" t="str">
        <x:v>Encrypted private channels; public channels intentionally unencrypted</x:v>
      </x:c>
      <x:c r="L472" s="8" t="str">
        <x:v>Yes: optional room/DM MLS 1.0</x:v>
      </x:c>
      <x:c r="M472" s="8"/>
      <x:c r="N472" s="8"/>
      <x:c r="O472" s="8" t="str">
        <x:v>Supported for encrypted rooms; not every room is encrypted</x:v>
      </x:c>
      <x:c r="P472" s="8" t="str">
        <x:v>No</x:v>
      </x:c>
      <x:c r="Q472" s="8"/>
      <x:c r="R472" s="8" t="str">
        <x:v>N/A</x:v>
      </x:c>
      <x:c r="S472" s="8" t="str">
        <x:v>No</x:v>
      </x:c>
      <x:c r="T472" s="8" t="str">
        <x:v>No</x:v>
      </x:c>
      <x:c r="U472" s="8" t="str">
        <x:v>No: not marketed as an E2EE product feature</x:v>
      </x:c>
      <x:c r="V472" s="8" t="str">
        <x:v>No: Shard/community channel text is encrypted at rest, not E2EE</x:v>
      </x:c>
      <x:c r="W472" s="8" t="str">
        <x:v>Encrypted rooms supported locally; federation documentation note E2EE is not supported across federated servers</x:v>
      </x:c>
      <x:c r="X472" s="8" t="str">
        <x:v>No</x:v>
      </x:c>
      <x:c r="Y472" s="8" t="str">
        <x:v>No text E2EE disclosed</x:v>
      </x:c>
      <x:c r="Z472" s="8" t="str">
        <x:v>No documented channel E2EE</x:v>
      </x:c>
      <x:c r="AA472" s="8" t="str">
        <x:v>No default channel E2EE</x:v>
      </x:c>
      <x:c r="AB472" s="8"/>
      <x:c r="AC472" s="9" t="str">
        <x:v>No</x:v>
      </x:c>
      <x:c r="AD472" s="8"/>
      <x:c r="AE472" s="8" t="str">
        <x:v>No</x:v>
      </x:c>
      <x:c r="AF472" s="8"/>
      <x:c r="AG472" s="8" t="str">
        <x:v>No</x:v>
      </x:c>
      <x:c r="AH472" s="14" t="n">
        <x:v>6</x:v>
      </x:c>
      <x:c r="AI472" s="15" t="str">
        <x:v>Canonical source for Security &amp; Privacy!6</x:v>
      </x:c>
    </x:row>
    <x:row r="473" ht="90">
      <x:c r="A473" s="12" t="str">
        <x:v>Security &amp; Privacy</x:v>
      </x:c>
      <x:c r="B473" s="13" t="str">
        <x:v>E2EE Voice &amp; Video</x:v>
      </x:c>
      <x:c r="C473" s="8" t="str">
        <x:v>Yes by default for voice/video calls and Go Live; Stage channels excepted</x:v>
      </x:c>
      <x:c r="D473" s="8"/>
      <x:c r="E473" s="8"/>
      <x:c r="F473" s="8"/>
      <x:c r="G473" s="8"/>
      <x:c r="H473" s="8" t="str">
        <x:v>No currently; voice/video E2EE in development</x:v>
      </x:c>
      <x:c r="I473" s="8" t="str">
        <x:v>Voice E2EE claimed</x:v>
      </x:c>
      <x:c r="J473" s="8" t="str">
        <x:v>Not publicly claimed</x:v>
      </x:c>
      <x:c r="K473" s="8" t="str">
        <x:v>Olm+MLS+SFrame stated for media/messages</x:v>
      </x:c>
      <x:c r="L473" s="8" t="str">
        <x:v>Yes: MLS policy also protects supported LiveKit microphone/camera/screen/screen-audio frames</x:v>
      </x:c>
      <x:c r="M473" s="8"/>
      <x:c r="N473" s="8"/>
      <x:c r="O473" s="8" t="str">
        <x:v>MatrixRTC supports E2EE; client/media implementation matters</x:v>
      </x:c>
      <x:c r="P473" s="8"/>
      <x:c r="Q473" s="8" t="str">
        <x:v>E2EE claimed</x:v>
      </x:c>
      <x:c r="R473" s="8" t="str">
        <x:v>Voice encrypted in transit; not E2EE against server operator</x:v>
      </x:c>
      <x:c r="S473" s="8"/>
      <x:c r="T473" s="8" t="str">
        <x:v>Calls use encrypted connections; E2EE not claimed</x:v>
      </x:c>
      <x:c r="U473" s="8" t="str">
        <x:v>Not marketed as an E2EE product feature</x:v>
      </x:c>
      <x:c r="V473" s="8" t="str">
        <x:v>Yes: direct voice/video/screen calls are documented as E2EE</x:v>
      </x:c>
      <x:c r="W473" s="8" t="str">
        <x:v>Call-provider/deployment-dependent</x:v>
      </x:c>
      <x:c r="X473" s="8"/>
      <x:c r="Y473" s="8" t="str">
        <x:v>Calls transmitted in real time; E2EE not claimed in privacy policy</x:v>
      </x:c>
      <x:c r="Z473" s="8"/>
      <x:c r="AA473" s="8"/>
      <x:c r="AB473" s="8"/>
      <x:c r="AC473" s="9"/>
      <x:c r="AD473" s="8"/>
      <x:c r="AE473" s="8"/>
      <x:c r="AF473" s="8"/>
      <x:c r="AG473" s="8" t="str">
        <x:v>External provider-dependent</x:v>
      </x:c>
      <x:c r="AH473" s="14" t="n">
        <x:v>7</x:v>
      </x:c>
      <x:c r="AI473" s="15" t="str">
        <x:v>Canonical source for Security &amp; Privacy!7</x:v>
      </x:c>
    </x:row>
    <x:row r="474" ht="90">
      <x:c r="A474" s="12" t="str">
        <x:v>Security &amp; Privacy</x:v>
      </x:c>
      <x:c r="B474" s="13" t="str">
        <x:v>Mandatory Signup Credentials (Phone / Email / Keypair)</x:v>
      </x:c>
      <x:c r="C474" s="8" t="str">
        <x:v>Email + username + password + DOB on desktop; phone or email on mobile; verification may be required</x:v>
      </x:c>
      <x:c r="D474" s="8" t="str">
        <x:v>Keypair/secret-based Nostr identity</x:v>
      </x:c>
      <x:c r="E474" s="8" t="str">
        <x:v>Server account or key-based messenger identity</x:v>
      </x:c>
      <x:c r="F474" s="8"/>
      <x:c r="G474" s="8"/>
      <x:c r="H474" s="8" t="str">
        <x:v>Email + username + password + DOB; phone verification may be triggered</x:v>
      </x:c>
      <x:c r="I474" s="8" t="str">
        <x:v>Username + password; no email/phone/ID required</x:v>
      </x:c>
      <x:c r="J474" s="8" t="str">
        <x:v>Email/password on Fermi hosted instance</x:v>
      </x:c>
      <x:c r="K474" s="8" t="str">
        <x:v>No traditional account; Ed25519 key + 24-word recovery phrase</x:v>
      </x:c>
      <x:c r="L474" s="8" t="str">
        <x:v>Official instance requires username/password/email; self-host can disable email</x:v>
      </x:c>
      <x:c r="M474" s="8" t="str">
        <x:v>No email/phone required; secret-key identity</x:v>
      </x:c>
      <x:c r="N474" s="8"/>
      <x:c r="O474" s="8" t="str">
        <x:v>Account on a homeserver; credential/SSO rules are server-dependent</x:v>
      </x:c>
      <x:c r="P474" s="8" t="str">
        <x:v>Email/SSO/LDAP depending deployment</x:v>
      </x:c>
      <x:c r="Q474" s="8"/>
      <x:c r="R474" s="8" t="str">
        <x:v>Username/certificate/password depending server</x:v>
      </x:c>
      <x:c r="S474" s="8" t="str">
        <x:v>Email verification required for messaging</x:v>
      </x:c>
      <x:c r="T474" s="8" t="str">
        <x:v>Email + username/password</x:v>
      </x:c>
      <x:c r="U474" s="8" t="str">
        <x:v>Accounts via Clerk; exact mandatory fields not stated</x:v>
      </x:c>
      <x:c r="V474" s="8" t="str">
        <x:v>Username + password only; no email/phone/ID</x:v>
      </x:c>
      <x:c r="W474" s="8" t="str">
        <x:v>Email/SSO/LDAP depending deployment</x:v>
      </x:c>
      <x:c r="X474" s="8" t="str">
        <x:v>Bluesky/ATProto identity by default</x:v>
      </x:c>
      <x:c r="Y474" s="8" t="str">
        <x:v>Username/email/password</x:v>
      </x:c>
      <x:c r="Z474" s="8" t="str">
        <x:v>Operator-configurable account rules</x:v>
      </x:c>
      <x:c r="AA474" s="8"/>
      <x:c r="AB474" s="8"/>
      <x:c r="AC474" s="9" t="str">
        <x:v>Email only; no phone/ID</x:v>
      </x:c>
      <x:c r="AD474" s="8" t="str">
        <x:v>Device/account registration</x:v>
      </x:c>
      <x:c r="AE474" s="8"/>
      <x:c r="AF474" s="8" t="str">
        <x:v>Email/password or account</x:v>
      </x:c>
      <x:c r="AG474" s="8" t="str">
        <x:v>Email/SSO depending deployment</x:v>
      </x:c>
      <x:c r="AH474" s="14" t="n">
        <x:v>8</x:v>
      </x:c>
      <x:c r="AI474" s="15" t="str">
        <x:v>Canonical source for Security &amp; Privacy!8</x:v>
      </x:c>
    </x:row>
    <x:row r="475" ht="120">
      <x:c r="A475" s="12" t="str">
        <x:v>Security &amp; Privacy</x:v>
      </x:c>
      <x:c r="B475" s="13" t="str">
        <x:v>Metadata Retention Policy</x:v>
      </x:c>
      <x:c r="C475" s="8" t="str">
        <x:v>Generally retained while the account is active or as needed. Some data has fixed legal/safety retention periods. Inactive accounts may be deleted after 2 years.</x:v>
      </x:c>
      <x:c r="D475" s="8" t="str">
        <x:v>Relay stores encrypted events</x:v>
      </x:c>
      <x:c r="E475" s="8" t="str">
        <x:v>Operator controlled; messenger relay stores encrypted messages temporarily</x:v>
      </x:c>
      <x:c r="F475" s="8"/>
      <x:c r="G475" s="8"/>
      <x:c r="H475" s="8" t="str">
        <x:v>Published retention policy</x:v>
      </x:c>
      <x:c r="I475" s="8"/>
      <x:c r="J475" s="8" t="str">
        <x:v>Operator controlled</x:v>
      </x:c>
      <x:c r="K475" s="8" t="str">
        <x:v>Data stored locally; relay stores no persistent content</x:v>
      </x:c>
      <x:c r="L475" s="8" t="str">
        <x:v>Developer reports data retained until user deletes/requests deletion; operators have retention/purge jobs and configurable policies</x:v>
      </x:c>
      <x:c r="M475" s="8" t="str">
        <x:v>Published privacy policy</x:v>
      </x:c>
      <x:c r="N475" s="8"/>
      <x:c r="O475" s="8" t="str">
        <x:v>Homeserver-dependent</x:v>
      </x:c>
      <x:c r="P475" s="8" t="str">
        <x:v>Deployment/admin controlled</x:v>
      </x:c>
      <x:c r="Q475" s="8"/>
      <x:c r="R475" s="8" t="str">
        <x:v>Server/operator-controlled</x:v>
      </x:c>
      <x:c r="S475" s="8"/>
      <x:c r="T475" s="8" t="str">
        <x:v>Published privacy policy</x:v>
      </x:c>
      <x:c r="U475" s="8" t="str">
        <x:v>Message retention controls + data export; exact retention windows not stated</x:v>
      </x:c>
      <x:c r="V475" s="8" t="str">
        <x:v>Deletion stated as hard delete</x:v>
      </x:c>
      <x:c r="W475" s="8" t="str">
        <x:v>Admin/deployment policy</x:v>
      </x:c>
      <x:c r="X475" s="8" t="str">
        <x:v>ATProto/provider dependent</x:v>
      </x:c>
      <x:c r="Y475" s="8"/>
      <x:c r="Z475" s="8" t="str">
        <x:v>Operator-controlled</x:v>
      </x:c>
      <x:c r="AA475" s="8"/>
      <x:c r="AB475" s="8" t="str">
        <x:v>Operator/service-dependent</x:v>
      </x:c>
      <x:c r="AC475" s="9"/>
      <x:c r="AD475" s="8"/>
      <x:c r="AE475" s="8"/>
      <x:c r="AF475" s="8" t="str">
        <x:v>Operator controlled</x:v>
      </x:c>
      <x:c r="AG475" s="8" t="str">
        <x:v>Hosted/self-host policy-dependent</x:v>
      </x:c>
      <x:c r="AH475" s="14" t="n">
        <x:v>9</x:v>
      </x:c>
      <x:c r="AI475" s="15" t="str">
        <x:v>Canonical source for Security &amp; Privacy!9</x:v>
      </x:c>
    </x:row>
    <x:row r="476" ht="75">
      <x:c r="A476" s="12" t="str">
        <x:v>Security &amp; Privacy</x:v>
      </x:c>
      <x:c r="B476" s="13" t="str">
        <x:v>IP Address Logging Policy</x:v>
      </x:c>
      <x:c r="C476" s="8" t="str">
        <x:v>Yes: IP address is collected as device/use information</x:v>
      </x:c>
      <x:c r="D476" s="8" t="str">
        <x:v>Relay sees metadata; content encrypted</x:v>
      </x:c>
      <x:c r="E476" s="8" t="str">
        <x:v>Operator controlled; official messenger claims privacy model</x:v>
      </x:c>
      <x:c r="F476" s="8"/>
      <x:c r="G476" s="8"/>
      <x:c r="H476" s="8" t="str">
        <x:v>IP/network data processed; approximate location derived</x:v>
      </x:c>
      <x:c r="I476" s="8" t="str">
        <x:v>Operator/service dependent</x:v>
      </x:c>
      <x:c r="J476" s="8" t="str">
        <x:v>Operator controlled</x:v>
      </x:c>
      <x:c r="K476" s="8" t="str">
        <x:v>Official relay claims no IP logging; self-host operator could log metadata</x:v>
      </x:c>
      <x:c r="L476" s="8" t="str">
        <x:v>Not publicly specified</x:v>
      </x:c>
      <x:c r="M476" s="8"/>
      <x:c r="N476" s="8"/>
      <x:c r="O476" s="8" t="str">
        <x:v>Homeserver/operator sees IP/network metadata; exact logging is operator-dependent</x:v>
      </x:c>
      <x:c r="P476" s="8" t="str">
        <x:v>Deployment/admin controlled</x:v>
      </x:c>
      <x:c r="Q476" s="8"/>
      <x:c r="R476" s="8" t="str">
        <x:v>Server/operator-controlled</x:v>
      </x:c>
      <x:c r="S476" s="8"/>
      <x:c r="T476" s="8"/>
      <x:c r="U476" s="8"/>
      <x:c r="V476" s="8"/>
      <x:c r="W476" s="8" t="str">
        <x:v>Admin/deployment policy</x:v>
      </x:c>
      <x:c r="X476" s="8" t="str">
        <x:v>Provider dependent</x:v>
      </x:c>
      <x:c r="Y476" s="8" t="str">
        <x:v>Yes: device/network info including IP collected</x:v>
      </x:c>
      <x:c r="Z476" s="8" t="str">
        <x:v>Operator-controlled</x:v>
      </x:c>
      <x:c r="AA476" s="8"/>
      <x:c r="AB476" s="8" t="str">
        <x:v>Operator/service-dependent</x:v>
      </x:c>
      <x:c r="AC476" s="9"/>
      <x:c r="AD476" s="8"/>
      <x:c r="AE476" s="8"/>
      <x:c r="AF476" s="8" t="str">
        <x:v>Operator controlled</x:v>
      </x:c>
      <x:c r="AG476" s="8" t="str">
        <x:v>Hosted/operator dependent</x:v>
      </x:c>
      <x:c r="AH476" s="14" t="n">
        <x:v>10</x:v>
      </x:c>
      <x:c r="AI476" s="15" t="str">
        <x:v>Canonical source for Security &amp; Privacy!10</x:v>
      </x:c>
    </x:row>
    <x:row r="477" ht="30">
      <x:c r="A477" s="12" t="str">
        <x:v>Security &amp; Privacy</x:v>
      </x:c>
      <x:c r="B477" s="13" t="str">
        <x:v>EXIF Scrubbing on Uploads</x:v>
      </x:c>
      <x:c r="C477" s="8"/>
      <x:c r="D477" s="8"/>
      <x:c r="E477" s="8"/>
      <x:c r="F477" s="8"/>
      <x:c r="G477" s="8"/>
      <x:c r="H477" s="8"/>
      <x:c r="I477" s="8"/>
      <x:c r="J477" s="8"/>
      <x:c r="K477" s="8"/>
      <x:c r="L477" s="8" t="str">
        <x:v>Not explicitly documented</x:v>
      </x:c>
      <x:c r="M477" s="8"/>
      <x:c r="N477" s="8"/>
      <x:c r="O477" s="8" t="str">
        <x:v>Client/server-dependent</x:v>
      </x:c>
      <x:c r="P477" s="8"/>
      <x:c r="Q477" s="8"/>
      <x:c r="R477" s="8" t="str">
        <x:v>N/A</x:v>
      </x:c>
      <x:c r="S477" s="8"/>
      <x:c r="T477" s="8"/>
      <x:c r="U477" s="8"/>
      <x:c r="V477" s="8" t="str">
        <x:v>Yes: automatic EXIF stripping</x:v>
      </x:c>
      <x:c r="W477" s="8"/>
      <x:c r="X477" s="8"/>
      <x:c r="Y477" s="8"/>
      <x:c r="Z477" s="8"/>
      <x:c r="AA477" s="8"/>
      <x:c r="AB477" s="8"/>
      <x:c r="AC477" s="9"/>
      <x:c r="AD477" s="8"/>
      <x:c r="AE477" s="8"/>
      <x:c r="AF477" s="8"/>
      <x:c r="AG477" s="8"/>
      <x:c r="AH477" s="14" t="n">
        <x:v>11</x:v>
      </x:c>
      <x:c r="AI477" s="15" t="str">
        <x:v>Canonical source for Security &amp; Privacy!11</x:v>
      </x:c>
    </x:row>
    <x:row r="478" ht="120">
      <x:c r="A478" s="12" t="str">
        <x:v>Security &amp; Privacy</x:v>
      </x:c>
      <x:c r="B478" s="13" t="str">
        <x:v>Server Jurisdiction / Location</x:v>
      </x:c>
      <x:c r="C478" s="8"/>
      <x:c r="D478" s="8" t="str">
        <x:v>Relay/operator/global</x:v>
      </x:c>
      <x:c r="E478" s="8" t="str">
        <x:v>Self-host operator controlled</x:v>
      </x:c>
      <x:c r="F478" s="8"/>
      <x:c r="G478" s="8" t="str">
        <x:v>Fenrid LLC (New Mexico, US); global infrastructure</x:v>
      </x:c>
      <x:c r="H478" s="8" t="str">
        <x:v>Fluxer Platform AB (Sweden); most stored data hosted in New Jersey, US</x:v>
      </x:c>
      <x:c r="I478" s="8" t="str">
        <x:v>Hosted + self-host operator dependent</x:v>
      </x:c>
      <x:c r="J478" s="8" t="str">
        <x:v>Self-host/operator jurisdiction</x:v>
      </x:c>
      <x:c r="K478" s="8" t="str">
        <x:v>Local-first; relay jurisdiction replaceable</x:v>
      </x:c>
      <x:c r="L478" s="8" t="str">
        <x:v>Per developer report, the official deployment uses OVH core, Backblaze object storage, and Hivelocity LiveKit capacity for US-East and South America.</x:v>
      </x:c>
      <x:c r="M478" s="8"/>
      <x:c r="N478" s="8" t="str">
        <x:v>Federated/self-host operator-dependent</x:v>
      </x:c>
      <x:c r="O478" s="8" t="str">
        <x:v>Federated: jurisdiction/location depends on homeserver(s) participating in a room</x:v>
      </x:c>
      <x:c r="P478" s="8" t="str">
        <x:v>Cloud or self-host jurisdiction</x:v>
      </x:c>
      <x:c r="Q478" s="8"/>
      <x:c r="R478" s="8" t="str">
        <x:v>Self-hosted: operator-selected jurisdiction</x:v>
      </x:c>
      <x:c r="S478" s="8"/>
      <x:c r="T478" s="8" t="str">
        <x:v>Regional data storage by user/community region</x:v>
      </x:c>
      <x:c r="U478" s="8" t="str">
        <x:v>Hosted in São Paulo, Brazil; self-host location is operator-controlled</x:v>
      </x:c>
      <x:c r="V478" s="8"/>
      <x:c r="W478" s="8" t="str">
        <x:v>Cloud or self-host jurisdiction</x:v>
      </x:c>
      <x:c r="X478" s="8" t="str">
        <x:v>ATProto/PDS-dependent</x:v>
      </x:c>
      <x:c r="Y478" s="8" t="str">
        <x:v>Root Communications, Inc., United States</x:v>
      </x:c>
      <x:c r="Z478" s="8" t="str">
        <x:v>Self-hosted: operator-selected jurisdiction</x:v>
      </x:c>
      <x:c r="AA478" s="8" t="str">
        <x:v>Hosted service: Europe-oriented; self-host location is operator-controlled</x:v>
      </x:c>
      <x:c r="AB478" s="8" t="str">
        <x:v>Self-hosted/hosted: jurisdiction depends operator/provider</x:v>
      </x:c>
      <x:c r="AC478" s="9" t="str">
        <x:v>Hosted/self-host dependent</x:v>
      </x:c>
      <x:c r="AD478" s="8" t="str">
        <x:v>Hosted/self-host dependent</x:v>
      </x:c>
      <x:c r="AE478" s="8"/>
      <x:c r="AF478" s="8" t="str">
        <x:v>Self-host jurisdiction</x:v>
      </x:c>
      <x:c r="AG478" s="8" t="str">
        <x:v>Cloud jurisdiction/provider; self-host operator-controlled</x:v>
      </x:c>
      <x:c r="AH478" s="14" t="n">
        <x:v>12</x:v>
      </x:c>
      <x:c r="AI478" s="15" t="str">
        <x:v>Canonical source for Security &amp; Privacy!12</x:v>
      </x:c>
    </x:row>
    <x:row r="479" ht="45">
      <x:c r="A479" s="12" t="str">
        <x:v>Encryption Details</x:v>
      </x:c>
      <x:c r="B479" s="13" t="str">
        <x:v>Text 1:1 DM E2EE</x:v>
      </x:c>
      <x:c r="C479" s="8" t="str">
        <x:v>No (text)</x:v>
      </x:c>
      <x:c r="D479" s="8" t="str">
        <x:v>Yes</x:v>
      </x:c>
      <x:c r="E479" s="8" t="str">
        <x:v>Yes for desktop server DMs when enabled; messenger always yes</x:v>
      </x:c>
      <x:c r="F479" s="8" t="str">
        <x:v>No default text E2EE verified</x:v>
      </x:c>
      <x:c r="G479" s="8" t="str">
        <x:v>Yes</x:v>
      </x:c>
      <x:c r="H479" s="8" t="str">
        <x:v>No</x:v>
      </x:c>
      <x:c r="I479" s="8" t="str">
        <x:v>No</x:v>
      </x:c>
      <x:c r="J479" s="8" t="str">
        <x:v>No</x:v>
      </x:c>
      <x:c r="K479" s="8" t="str">
        <x:v>Yes</x:v>
      </x:c>
      <x:c r="L479" s="8" t="str">
        <x:v>Yes: optional room/DM MLS 1.0</x:v>
      </x:c>
      <x:c r="M479" s="8"/>
      <x:c r="N479" s="8"/>
      <x:c r="O479" s="8" t="str">
        <x:v>Supported; default depends on client/room</x:v>
      </x:c>
      <x:c r="P479" s="8" t="str">
        <x:v>No</x:v>
      </x:c>
      <x:c r="Q479" s="8" t="str">
        <x:v>E2EE claimed</x:v>
      </x:c>
      <x:c r="R479" s="8" t="str">
        <x:v>N/A</x:v>
      </x:c>
      <x:c r="S479" s="8" t="str">
        <x:v>No default E2EE verified</x:v>
      </x:c>
      <x:c r="T479" s="8" t="str">
        <x:v>No</x:v>
      </x:c>
      <x:c r="U479" s="8" t="str">
        <x:v>No: not marketed as E2EE</x:v>
      </x:c>
      <x:c r="V479" s="8" t="str">
        <x:v>Yes</x:v>
      </x:c>
      <x:c r="W479" s="8" t="str">
        <x:v>Available in supported E2EE conversations</x:v>
      </x:c>
      <x:c r="X479" s="8" t="str">
        <x:v>No default E2EE verified</x:v>
      </x:c>
      <x:c r="Y479" s="8" t="str">
        <x:v>No claim / treated as server-readable</x:v>
      </x:c>
      <x:c r="Z479" s="8" t="str">
        <x:v>No documented default</x:v>
      </x:c>
      <x:c r="AA479" s="8" t="str">
        <x:v>No default E2EE verified</x:v>
      </x:c>
      <x:c r="AB479" s="8"/>
      <x:c r="AC479" s="9" t="str">
        <x:v>No default E2EE claim</x:v>
      </x:c>
      <x:c r="AD479" s="8" t="str">
        <x:v>No by default</x:v>
      </x:c>
      <x:c r="AE479" s="8" t="str">
        <x:v>No</x:v>
      </x:c>
      <x:c r="AF479" s="8"/>
      <x:c r="AG479" s="8" t="str">
        <x:v>No</x:v>
      </x:c>
      <x:c r="AH479" s="14" t="n">
        <x:v>3</x:v>
      </x:c>
      <x:c r="AI479" s="15" t="str">
        <x:v>Canonical source for Encryption Details!3</x:v>
      </x:c>
    </x:row>
    <x:row r="480" ht="60">
      <x:c r="A480" s="12" t="str">
        <x:v>Encryption Details</x:v>
      </x:c>
      <x:c r="B480" s="13" t="str">
        <x:v>Group DM E2EE</x:v>
      </x:c>
      <x:c r="C480" s="8" t="str">
        <x:v>No (text)</x:v>
      </x:c>
      <x:c r="D480" s="8" t="str">
        <x:v>Yes</x:v>
      </x:c>
      <x:c r="E480" s="8"/>
      <x:c r="F480" s="8" t="str">
        <x:v>No</x:v>
      </x:c>
      <x:c r="G480" s="8"/>
      <x:c r="H480" s="8" t="str">
        <x:v>No</x:v>
      </x:c>
      <x:c r="I480" s="8" t="str">
        <x:v>No</x:v>
      </x:c>
      <x:c r="J480" s="8" t="str">
        <x:v>No</x:v>
      </x:c>
      <x:c r="K480" s="8" t="str">
        <x:v>Yes</x:v>
      </x:c>
      <x:c r="L480" s="8" t="str">
        <x:v>Yes: optional room/DM MLS 1.0</x:v>
      </x:c>
      <x:c r="M480" s="8"/>
      <x:c r="N480" s="8"/>
      <x:c r="O480" s="8" t="str">
        <x:v>Supported in encrypted rooms</x:v>
      </x:c>
      <x:c r="P480" s="8" t="str">
        <x:v>No</x:v>
      </x:c>
      <x:c r="Q480" s="8" t="str">
        <x:v>E2EE claimed</x:v>
      </x:c>
      <x:c r="R480" s="8" t="str">
        <x:v>N/A</x:v>
      </x:c>
      <x:c r="S480" s="8" t="str">
        <x:v>No</x:v>
      </x:c>
      <x:c r="T480" s="8" t="str">
        <x:v>No</x:v>
      </x:c>
      <x:c r="U480" s="8" t="str">
        <x:v>No: not marketed as E2EE</x:v>
      </x:c>
      <x:c r="V480" s="8" t="str">
        <x:v>No: Splinters/group chats are server-readable after decryption</x:v>
      </x:c>
      <x:c r="W480" s="8" t="str">
        <x:v>Available with limitations/version-dependent</x:v>
      </x:c>
      <x:c r="X480" s="8" t="str">
        <x:v>No</x:v>
      </x:c>
      <x:c r="Y480" s="8" t="str">
        <x:v>No claim</x:v>
      </x:c>
      <x:c r="Z480" s="8" t="str">
        <x:v>No documented default</x:v>
      </x:c>
      <x:c r="AA480" s="8" t="str">
        <x:v>No default E2EE verified</x:v>
      </x:c>
      <x:c r="AB480" s="8"/>
      <x:c r="AC480" s="9" t="str">
        <x:v>No</x:v>
      </x:c>
      <x:c r="AD480" s="8"/>
      <x:c r="AE480" s="8" t="str">
        <x:v>No</x:v>
      </x:c>
      <x:c r="AF480" s="8"/>
      <x:c r="AG480" s="8" t="str">
        <x:v>No</x:v>
      </x:c>
      <x:c r="AH480" s="14" t="n">
        <x:v>4</x:v>
      </x:c>
      <x:c r="AI480" s="15" t="str">
        <x:v>Canonical source for Encryption Details!4</x:v>
      </x:c>
    </x:row>
    <x:row r="481" ht="75">
      <x:c r="A481" s="12" t="str">
        <x:v>Encryption Details</x:v>
      </x:c>
      <x:c r="B481" s="13" t="str">
        <x:v>Community / Channel Text E2EE</x:v>
      </x:c>
      <x:c r="C481" s="8" t="str">
        <x:v>No (text)</x:v>
      </x:c>
      <x:c r="D481" s="8" t="str">
        <x:v>Yes</x:v>
      </x:c>
      <x:c r="E481" s="8" t="str">
        <x:v>No for normal server channels</x:v>
      </x:c>
      <x:c r="F481" s="8" t="str">
        <x:v>No</x:v>
      </x:c>
      <x:c r="G481" s="8" t="str">
        <x:v>No</x:v>
      </x:c>
      <x:c r="H481" s="8" t="str">
        <x:v>No</x:v>
      </x:c>
      <x:c r="I481" s="8" t="str">
        <x:v>No</x:v>
      </x:c>
      <x:c r="J481" s="8" t="str">
        <x:v>No</x:v>
      </x:c>
      <x:c r="K481" s="8" t="str">
        <x:v>Yes for private channels; public channels are intentionally plaintext/public</x:v>
      </x:c>
      <x:c r="L481" s="8" t="str">
        <x:v>Yes: optional room/DM MLS 1.0</x:v>
      </x:c>
      <x:c r="M481" s="8"/>
      <x:c r="N481" s="8"/>
      <x:c r="O481" s="8" t="str">
        <x:v>Supported in encrypted rooms</x:v>
      </x:c>
      <x:c r="P481" s="8" t="str">
        <x:v>No</x:v>
      </x:c>
      <x:c r="Q481" s="8"/>
      <x:c r="R481" s="8" t="str">
        <x:v>N/A</x:v>
      </x:c>
      <x:c r="S481" s="8" t="str">
        <x:v>No</x:v>
      </x:c>
      <x:c r="T481" s="8" t="str">
        <x:v>No</x:v>
      </x:c>
      <x:c r="U481" s="8" t="str">
        <x:v>No: not marketed as E2EE</x:v>
      </x:c>
      <x:c r="V481" s="8" t="str">
        <x:v>No: community channels are encrypted at rest, not E2EE</x:v>
      </x:c>
      <x:c r="W481" s="8" t="str">
        <x:v>Available for encrypted rooms; federation has limitations</x:v>
      </x:c>
      <x:c r="X481" s="8" t="str">
        <x:v>No</x:v>
      </x:c>
      <x:c r="Y481" s="8" t="str">
        <x:v>No claim</x:v>
      </x:c>
      <x:c r="Z481" s="8" t="str">
        <x:v>No documented default</x:v>
      </x:c>
      <x:c r="AA481" s="8" t="str">
        <x:v>No</x:v>
      </x:c>
      <x:c r="AB481" s="8"/>
      <x:c r="AC481" s="9" t="str">
        <x:v>No</x:v>
      </x:c>
      <x:c r="AD481" s="8" t="str">
        <x:v>No by default</x:v>
      </x:c>
      <x:c r="AE481" s="8" t="str">
        <x:v>No</x:v>
      </x:c>
      <x:c r="AF481" s="8"/>
      <x:c r="AG481" s="8" t="str">
        <x:v>No</x:v>
      </x:c>
      <x:c r="AH481" s="14" t="n">
        <x:v>5</x:v>
      </x:c>
      <x:c r="AI481" s="15" t="str">
        <x:v>Canonical source for Encryption Details!5</x:v>
      </x:c>
    </x:row>
    <x:row r="482" ht="90">
      <x:c r="A482" s="12" t="str">
        <x:v>Encryption Details</x:v>
      </x:c>
      <x:c r="B482" s="13" t="str">
        <x:v>Voice E2EE</x:v>
      </x:c>
      <x:c r="C482" s="8" t="str">
        <x:v>Yes by default for calls/Go Live via DAVE</x:v>
      </x:c>
      <x:c r="D482" s="8"/>
      <x:c r="E482" s="8"/>
      <x:c r="F482" s="8"/>
      <x:c r="G482" s="8"/>
      <x:c r="H482" s="8" t="str">
        <x:v>No currently</x:v>
      </x:c>
      <x:c r="I482" s="8" t="str">
        <x:v>Yes: voice claimed E2EE</x:v>
      </x:c>
      <x:c r="J482" s="8" t="str">
        <x:v>No currently</x:v>
      </x:c>
      <x:c r="K482" s="8" t="str">
        <x:v>Yes/SFrame claim</x:v>
      </x:c>
      <x:c r="L482" s="8" t="str">
        <x:v>Yes: MLS policy also protects supported LiveKit microphone/camera/screen/screen-audio frames</x:v>
      </x:c>
      <x:c r="M482" s="8"/>
      <x:c r="N482" s="8"/>
      <x:c r="O482" s="8" t="str">
        <x:v>Supported by MatrixRTC/capable clients</x:v>
      </x:c>
      <x:c r="P482" s="8" t="str">
        <x:v>Not generally E2EE against server; deployment media security applies</x:v>
      </x:c>
      <x:c r="Q482" s="8" t="str">
        <x:v>E2EE claimed</x:v>
      </x:c>
      <x:c r="R482" s="8" t="str">
        <x:v>No: media is encrypted to server, not E2EE against server operator</x:v>
      </x:c>
      <x:c r="S482" s="8"/>
      <x:c r="T482" s="8" t="str">
        <x:v>Encrypted transport; E2EE not claimed</x:v>
      </x:c>
      <x:c r="U482" s="8" t="str">
        <x:v>Not marketed as an E2EE product feature</x:v>
      </x:c>
      <x:c r="V482" s="8" t="str">
        <x:v>Yes: direct calls</x:v>
      </x:c>
      <x:c r="W482" s="8" t="str">
        <x:v>Provider/deployment-dependent</x:v>
      </x:c>
      <x:c r="X482" s="8" t="str">
        <x:v>N/A</x:v>
      </x:c>
      <x:c r="Y482" s="8" t="str">
        <x:v>No E2EE claim in privacy policy</x:v>
      </x:c>
      <x:c r="Z482" s="8"/>
      <x:c r="AA482" s="8"/>
      <x:c r="AB482" s="8"/>
      <x:c r="AC482" s="9"/>
      <x:c r="AD482" s="8"/>
      <x:c r="AE482" s="8"/>
      <x:c r="AF482" s="8"/>
      <x:c r="AG482" s="8" t="str">
        <x:v>External provider-dependent</x:v>
      </x:c>
      <x:c r="AH482" s="14" t="n">
        <x:v>6</x:v>
      </x:c>
      <x:c r="AI482" s="15" t="str">
        <x:v>Canonical source for Encryption Details!6</x:v>
      </x:c>
    </x:row>
    <x:row r="483" ht="90">
      <x:c r="A483" s="12" t="str">
        <x:v>Encryption Details</x:v>
      </x:c>
      <x:c r="B483" s="13" t="str">
        <x:v>Video E2EE</x:v>
      </x:c>
      <x:c r="C483" s="8" t="str">
        <x:v>Yes by default for calls/Go Live via DAVE</x:v>
      </x:c>
      <x:c r="D483" s="8"/>
      <x:c r="E483" s="8"/>
      <x:c r="F483" s="8"/>
      <x:c r="G483" s="8"/>
      <x:c r="H483" s="8" t="str">
        <x:v>No currently</x:v>
      </x:c>
      <x:c r="I483" s="8"/>
      <x:c r="J483" s="8" t="str">
        <x:v>No currently</x:v>
      </x:c>
      <x:c r="K483" s="8" t="str">
        <x:v>Yes/SFrame claim</x:v>
      </x:c>
      <x:c r="L483" s="8" t="str">
        <x:v>Yes: MLS policy also protects supported LiveKit microphone/camera/screen/screen-audio frames</x:v>
      </x:c>
      <x:c r="M483" s="8"/>
      <x:c r="N483" s="8"/>
      <x:c r="O483" s="8" t="str">
        <x:v>Supported by MatrixRTC/capable clients</x:v>
      </x:c>
      <x:c r="P483" s="8" t="str">
        <x:v>Same</x:v>
      </x:c>
      <x:c r="Q483" s="8" t="str">
        <x:v>E2EE claimed</x:v>
      </x:c>
      <x:c r="R483" s="8" t="str">
        <x:v>N/A</x:v>
      </x:c>
      <x:c r="S483" s="8"/>
      <x:c r="T483" s="8" t="str">
        <x:v>Encrypted transport; E2EE not claimed</x:v>
      </x:c>
      <x:c r="U483" s="8" t="str">
        <x:v>Not marketed as an E2EE product feature</x:v>
      </x:c>
      <x:c r="V483" s="8" t="str">
        <x:v>Yes: direct calls</x:v>
      </x:c>
      <x:c r="W483" s="8" t="str">
        <x:v>Provider/deployment-dependent</x:v>
      </x:c>
      <x:c r="X483" s="8" t="str">
        <x:v>N/A</x:v>
      </x:c>
      <x:c r="Y483" s="8" t="str">
        <x:v>No E2EE claim</x:v>
      </x:c>
      <x:c r="Z483" s="8"/>
      <x:c r="AA483" s="8"/>
      <x:c r="AB483" s="8"/>
      <x:c r="AC483" s="9"/>
      <x:c r="AD483" s="8"/>
      <x:c r="AE483" s="8"/>
      <x:c r="AF483" s="8"/>
      <x:c r="AG483" s="8" t="str">
        <x:v>External provider-dependent</x:v>
      </x:c>
      <x:c r="AH483" s="14" t="n">
        <x:v>7</x:v>
      </x:c>
      <x:c r="AI483" s="15" t="str">
        <x:v>Canonical source for Encryption Details!7</x:v>
      </x:c>
    </x:row>
    <x:row r="484" ht="90">
      <x:c r="A484" s="12" t="str">
        <x:v>Encryption Details</x:v>
      </x:c>
      <x:c r="B484" s="13" t="str">
        <x:v>Screen Share E2EE</x:v>
      </x:c>
      <x:c r="C484" s="8" t="str">
        <x:v>Yes by default for Go Live; Stage exception</x:v>
      </x:c>
      <x:c r="D484" s="8"/>
      <x:c r="E484" s="8"/>
      <x:c r="F484" s="8"/>
      <x:c r="G484" s="8"/>
      <x:c r="H484" s="8" t="str">
        <x:v>No currently</x:v>
      </x:c>
      <x:c r="I484" s="8"/>
      <x:c r="J484" s="8" t="str">
        <x:v>No currently</x:v>
      </x:c>
      <x:c r="K484" s="8"/>
      <x:c r="L484" s="8" t="str">
        <x:v>Yes: MLS policy also protects supported LiveKit microphone/camera/screen/screen-audio frames</x:v>
      </x:c>
      <x:c r="M484" s="8"/>
      <x:c r="N484" s="8"/>
      <x:c r="O484" s="8" t="str">
        <x:v>Supported by MatrixRTC/capable clients</x:v>
      </x:c>
      <x:c r="P484" s="8" t="str">
        <x:v>Same</x:v>
      </x:c>
      <x:c r="Q484" s="8"/>
      <x:c r="R484" s="8" t="str">
        <x:v>N/A</x:v>
      </x:c>
      <x:c r="S484" s="8"/>
      <x:c r="T484" s="8"/>
      <x:c r="U484" s="8" t="str">
        <x:v>Not marketed as an E2EE product feature</x:v>
      </x:c>
      <x:c r="V484" s="8" t="str">
        <x:v>Yes: direct screen sharing/calls</x:v>
      </x:c>
      <x:c r="W484" s="8" t="str">
        <x:v>Provider/deployment-dependent</x:v>
      </x:c>
      <x:c r="X484" s="8" t="str">
        <x:v>N/A</x:v>
      </x:c>
      <x:c r="Y484" s="8" t="str">
        <x:v>No E2EE claim</x:v>
      </x:c>
      <x:c r="Z484" s="8"/>
      <x:c r="AA484" s="8"/>
      <x:c r="AB484" s="8"/>
      <x:c r="AC484" s="9"/>
      <x:c r="AD484" s="8"/>
      <x:c r="AE484" s="8"/>
      <x:c r="AF484" s="8"/>
      <x:c r="AG484" s="8" t="str">
        <x:v>External provider-dependent</x:v>
      </x:c>
      <x:c r="AH484" s="14" t="n">
        <x:v>8</x:v>
      </x:c>
      <x:c r="AI484" s="15" t="str">
        <x:v>Canonical source for Encryption Details!8</x:v>
      </x:c>
    </x:row>
    <x:row r="485" ht="75">
      <x:c r="A485" s="12" t="str">
        <x:v>Encryption Details</x:v>
      </x:c>
      <x:c r="B485" s="13" t="str">
        <x:v>Encryption Default / Optional</x:v>
      </x:c>
      <x:c r="C485" s="8" t="str">
        <x:v>Mandatory for supported voice/video; text not E2EE</x:v>
      </x:c>
      <x:c r="D485" s="8" t="str">
        <x:v>E2EE by default for communities</x:v>
      </x:c>
      <x:c r="E485" s="8" t="str">
        <x:v>Messenger mandatory; server DM encryption optional</x:v>
      </x:c>
      <x:c r="F485" s="8"/>
      <x:c r="G485" s="8" t="str">
        <x:v>DM encryption is intended/default; media status is evolving</x:v>
      </x:c>
      <x:c r="H485" s="8" t="str">
        <x:v>Not E2EE as of 2026-09-13 privacy policy</x:v>
      </x:c>
      <x:c r="I485" s="8" t="str">
        <x:v>Voice only / text not claimed E2EE</x:v>
      </x:c>
      <x:c r="J485" s="8" t="str">
        <x:v>No E2EE currently</x:v>
      </x:c>
      <x:c r="K485" s="8" t="str">
        <x:v>Mandatory for private communication; public channels intentionally not</x:v>
      </x:c>
      <x:c r="L485" s="8" t="str">
        <x:v>Optional, room-level; activation is fail-closed and irreversible for future content once active</x:v>
      </x:c>
      <x:c r="M485" s="8" t="str">
        <x:v>E2EE WIP; TLS today</x:v>
      </x:c>
      <x:c r="N485" s="8" t="str">
        <x:v>Mixed/eligible content</x:v>
      </x:c>
      <x:c r="O485" s="8" t="str">
        <x:v>Optional at protocol level; many clients default private chats to encrypted</x:v>
      </x:c>
      <x:c r="P485" s="8" t="str">
        <x:v>Server-side enterprise collaboration model</x:v>
      </x:c>
      <x:c r="Q485" s="8" t="str">
        <x:v>Claimed zero-knowledge/E2EE</x:v>
      </x:c>
      <x:c r="R485" s="8" t="str">
        <x:v>Transport encryption</x:v>
      </x:c>
      <x:c r="S485" s="8"/>
      <x:c r="T485" s="8" t="str">
        <x:v>Transport encryption</x:v>
      </x:c>
      <x:c r="U485" s="8" t="str">
        <x:v>TLS in transit; no E2EE product claim</x:v>
      </x:c>
      <x:c r="V485" s="8" t="str">
        <x:v>DM E2EE is default; Shard text is not E2EE</x:v>
      </x:c>
      <x:c r="W485" s="8" t="str">
        <x:v>Optional/room-dependent</x:v>
      </x:c>
      <x:c r="X485" s="8" t="str">
        <x:v>No E2EE verified</x:v>
      </x:c>
      <x:c r="Y485" s="8" t="str">
        <x:v>Transport encryption only</x:v>
      </x:c>
      <x:c r="Z485" s="8" t="str">
        <x:v>No platform-wide E2EE guarantee</x:v>
      </x:c>
      <x:c r="AA485" s="8"/>
      <x:c r="AB485" s="8"/>
      <x:c r="AC485" s="9" t="str">
        <x:v>Transport/server-side</x:v>
      </x:c>
      <x:c r="AD485" s="8" t="str">
        <x:v>Per-conversation opt-in planned; default unencrypted</x:v>
      </x:c>
      <x:c r="AE485" s="8" t="str">
        <x:v>Transport encryption</x:v>
      </x:c>
      <x:c r="AF485" s="8" t="str">
        <x:v>Transport/self-host privacy model</x:v>
      </x:c>
      <x:c r="AG485" s="8" t="str">
        <x:v>Server-stored chat, no native E2EE</x:v>
      </x:c>
      <x:c r="AH485" s="14" t="n">
        <x:v>9</x:v>
      </x:c>
      <x:c r="AI485" s="15" t="str">
        <x:v>Canonical source for Encryption Details!9</x:v>
      </x:c>
    </x:row>
    <x:row r="486" ht="90">
      <x:c r="A486" s="12" t="str">
        <x:v>Encryption Details</x:v>
      </x:c>
      <x:c r="B486" s="13" t="str">
        <x:v>Can Hosted Server / Operator Read Text?</x:v>
      </x:c>
      <x:c r="C486" s="8" t="str">
        <x:v>Yes for text</x:v>
      </x:c>
      <x:c r="D486" s="8" t="str">
        <x:v>No for encrypted message bodies</x:v>
      </x:c>
      <x:c r="E486" s="8" t="str">
        <x:v>Server can read normal channel text; encrypted DMs are ciphertext</x:v>
      </x:c>
      <x:c r="F486" s="8" t="str">
        <x:v>Yes for text</x:v>
      </x:c>
      <x:c r="G486" s="8" t="str">
        <x:v>No for encrypted DM plaintext in normal flow; yes for community channels</x:v>
      </x:c>
      <x:c r="H486" s="8" t="str">
        <x:v>Yes</x:v>
      </x:c>
      <x:c r="I486" s="8" t="str">
        <x:v>Yes for text on hosted/self-host server</x:v>
      </x:c>
      <x:c r="J486" s="8" t="str">
        <x:v>Yes</x:v>
      </x:c>
      <x:c r="K486" s="8" t="str">
        <x:v>No for private plaintext</x:v>
      </x:c>
      <x:c r="L486" s="8" t="str">
        <x:v>Plaintext rooms: yes. Active MLS rooms: no message/file/media plaintext is available to honest-but-curious servers.</x:v>
      </x:c>
      <x:c r="M486" s="8" t="str">
        <x:v>Yes for current server-readable content</x:v>
      </x:c>
      <x:c r="N486" s="8" t="str">
        <x:v>Depends encrypted content type</x:v>
      </x:c>
      <x:c r="O486" s="8" t="str">
        <x:v>Not for correctly E2EE-encrypted events; homeserver still stores ciphertext and metadata</x:v>
      </x:c>
      <x:c r="P486" s="8" t="str">
        <x:v>Yes</x:v>
      </x:c>
      <x:c r="Q486" s="8"/>
      <x:c r="R486" s="8" t="str">
        <x:v>N/A for persistent chat; server handles voice routing</x:v>
      </x:c>
      <x:c r="S486" s="8" t="str">
        <x:v>Yes for hosted text</x:v>
      </x:c>
      <x:c r="T486" s="8" t="str">
        <x:v>Yes for text</x:v>
      </x:c>
      <x:c r="U486" s="8" t="str">
        <x:v>No E2EE product claim; exact access policy not stated</x:v>
      </x:c>
      <x:c r="V486" s="8" t="str">
        <x:v>No for E2EE DM plaintext; yes for Shard/community channel plaintext</x:v>
      </x:c>
      <x:c r="W486" s="8" t="str">
        <x:v>Not for local E2EE message bodies when functioning; server still sees metadata</x:v>
      </x:c>
      <x:c r="X486" s="8" t="str">
        <x:v>Potentially visible to hosting services</x:v>
      </x:c>
      <x:c r="Y486" s="8" t="str">
        <x:v>Yes for stored text</x:v>
      </x:c>
      <x:c r="Z486" s="8" t="str">
        <x:v>Yes unless operator adds extra encryption</x:v>
      </x:c>
      <x:c r="AA486" s="8" t="str">
        <x:v>Yes for normal text</x:v>
      </x:c>
      <x:c r="AB486" s="8"/>
      <x:c r="AC486" s="9" t="str">
        <x:v>Yes</x:v>
      </x:c>
      <x:c r="AD486" s="8" t="str">
        <x:v>Yes for unencrypted content</x:v>
      </x:c>
      <x:c r="AE486" s="8" t="str">
        <x:v>Yes</x:v>
      </x:c>
      <x:c r="AF486" s="8" t="str">
        <x:v>Server operator may access text unless separate E2EE exists</x:v>
      </x:c>
      <x:c r="AG486" s="8" t="str">
        <x:v>Yes</x:v>
      </x:c>
      <x:c r="AH486" s="14" t="n">
        <x:v>10</x:v>
      </x:c>
      <x:c r="AI486" s="15" t="str">
        <x:v>Canonical source for Encryption Details!10</x:v>
      </x:c>
    </x:row>
    <x:row r="487" ht="120">
      <x:c r="A487" s="12" t="str">
        <x:v>Encryption Details</x:v>
      </x:c>
      <x:c r="B487" s="13" t="str">
        <x:v>Key Ownership / Storage</x:v>
      </x:c>
      <x:c r="C487" s="8" t="str">
        <x:v>DAVE keys negotiated by clients; text stored server-side</x:v>
      </x:c>
      <x:c r="D487" s="8" t="str">
        <x:v>User-held Nostr keys</x:v>
      </x:c>
      <x:c r="E487" s="8" t="str">
        <x:v>Device-generated key</x:v>
      </x:c>
      <x:c r="F487" s="8" t="str">
        <x:v>Server-side</x:v>
      </x:c>
      <x:c r="G487" s="8" t="str">
        <x:v>Passphrase-derived account key + per-message encryption keys; server stores public key/ciphertext</x:v>
      </x:c>
      <x:c r="H487" s="8" t="str">
        <x:v>Server-side storage; transport/at-rest encryption</x:v>
      </x:c>
      <x:c r="I487" s="8"/>
      <x:c r="J487" s="8" t="str">
        <x:v>Server/operator</x:v>
      </x:c>
      <x:c r="K487" s="8" t="str">
        <x:v>User-held Ed25519/device keys</x:v>
      </x:c>
      <x:c r="L487" s="8" t="str">
        <x:v>Client-held MLS identity/vault; server stores public credentials and encrypted portable state but not MLS group secrets/private keys</x:v>
      </x:c>
      <x:c r="M487" s="8"/>
      <x:c r="N487" s="8"/>
      <x:c r="O487" s="8" t="str">
        <x:v>Client-held device keys; cross-signing/key backup implementations defined by Matrix</x:v>
      </x:c>
      <x:c r="P487" s="8" t="str">
        <x:v>Server-side / deployment-controlled</x:v>
      </x:c>
      <x:c r="Q487" s="8"/>
      <x:c r="R487" s="8" t="str">
        <x:v>TLS/certificate/server session model</x:v>
      </x:c>
      <x:c r="S487" s="8" t="str">
        <x:v>Server-side</x:v>
      </x:c>
      <x:c r="T487" s="8" t="str">
        <x:v>Server-side</x:v>
      </x:c>
      <x:c r="U487" s="8" t="str">
        <x:v>Server-side</x:v>
      </x:c>
      <x:c r="V487" s="8" t="str">
        <x:v>User device / Rift Key roots the encryption keys</x:v>
      </x:c>
      <x:c r="W487" s="8" t="str">
        <x:v>Client keys for E2EE; exact implementation/version-dependent</x:v>
      </x:c>
      <x:c r="X487" s="8" t="str">
        <x:v>ATProto/PDS</x:v>
      </x:c>
      <x:c r="Y487" s="8" t="str">
        <x:v>Server-managed</x:v>
      </x:c>
      <x:c r="Z487" s="8" t="str">
        <x:v>Operator-controlled</x:v>
      </x:c>
      <x:c r="AA487" s="8"/>
      <x:c r="AB487" s="8" t="str">
        <x:v>Proprietary</x:v>
      </x:c>
      <x:c r="AC487" s="9" t="str">
        <x:v>Server-side</x:v>
      </x:c>
      <x:c r="AD487" s="8"/>
      <x:c r="AE487" s="8" t="str">
        <x:v>Server-side</x:v>
      </x:c>
      <x:c r="AF487" s="8"/>
      <x:c r="AG487" s="8" t="str">
        <x:v>Server-side</x:v>
      </x:c>
      <x:c r="AH487" s="14" t="n">
        <x:v>11</x:v>
      </x:c>
      <x:c r="AI487" s="15" t="str">
        <x:v>Canonical source for Encryption Details!11</x:v>
      </x:c>
    </x:row>
    <x:row r="488" ht="75">
      <x:c r="A488" s="12" t="str">
        <x:v>Encryption Details</x:v>
      </x:c>
      <x:c r="B488" s="13" t="str">
        <x:v>Forward Secrecy / Ratcheting</x:v>
      </x:c>
      <x:c r="C488" s="8" t="str">
        <x:v>DAVE design; exact ratchet properties depend spec</x:v>
      </x:c>
      <x:c r="D488" s="8"/>
      <x:c r="E488" s="8"/>
      <x:c r="F488" s="8"/>
      <x:c r="G488" s="8" t="str">
        <x:v>Not Signal Double Ratchet; founder explicitly says mature Signal-level forward secrecy is not claimed</x:v>
      </x:c>
      <x:c r="H488" s="8" t="str">
        <x:v>N/A currently</x:v>
      </x:c>
      <x:c r="I488" s="8"/>
      <x:c r="J488" s="8" t="str">
        <x:v>N/A</x:v>
      </x:c>
      <x:c r="K488" s="8" t="str">
        <x:v>Olm/MLS/SFrame design</x:v>
      </x:c>
      <x:c r="L488" s="8" t="str">
        <x:v>Yes: MLS 1.0 epochs/rekeys; membership/device changes force rekey before writes resume</x:v>
      </x:c>
      <x:c r="M488" s="8"/>
      <x:c r="N488" s="8"/>
      <x:c r="O488" s="8" t="str">
        <x:v>Megolm/Olm-era designs and newer crypto work; properties vary by room/media protocol</x:v>
      </x:c>
      <x:c r="P488" s="8" t="str">
        <x:v>N/A</x:v>
      </x:c>
      <x:c r="Q488" s="8"/>
      <x:c r="R488" s="8" t="str">
        <x:v>N/A</x:v>
      </x:c>
      <x:c r="S488" s="8" t="str">
        <x:v>N/A</x:v>
      </x:c>
      <x:c r="T488" s="8" t="str">
        <x:v>N/A</x:v>
      </x:c>
      <x:c r="U488" s="8" t="str">
        <x:v>N/A</x:v>
      </x:c>
      <x:c r="V488" s="8" t="str">
        <x:v>Yes: X3DH / Double Ratchet design</x:v>
      </x:c>
      <x:c r="W488" s="8" t="str">
        <x:v>Version-dependent</x:v>
      </x:c>
      <x:c r="X488" s="8" t="str">
        <x:v>N/A</x:v>
      </x:c>
      <x:c r="Y488" s="8"/>
      <x:c r="Z488" s="8"/>
      <x:c r="AA488" s="8"/>
      <x:c r="AB488" s="8"/>
      <x:c r="AC488" s="9" t="str">
        <x:v>N/A</x:v>
      </x:c>
      <x:c r="AD488" s="8"/>
      <x:c r="AE488" s="8" t="str">
        <x:v>N/A</x:v>
      </x:c>
      <x:c r="AF488" s="8"/>
      <x:c r="AG488" s="8" t="str">
        <x:v>N/A</x:v>
      </x:c>
      <x:c r="AH488" s="14" t="n">
        <x:v>12</x:v>
      </x:c>
      <x:c r="AI488" s="15" t="str">
        <x:v>Canonical source for Encryption Details!12</x:v>
      </x:c>
    </x:row>
    <x:row r="489" ht="90">
      <x:c r="A489" s="12" t="str">
        <x:v>Encryption Details</x:v>
      </x:c>
      <x:c r="B489" s="13" t="str">
        <x:v>Multi-Device E2EE</x:v>
      </x:c>
      <x:c r="C489" s="8" t="str">
        <x:v>Yes for DAVE-compatible clients</x:v>
      </x:c>
      <x:c r="D489" s="8"/>
      <x:c r="E489" s="8" t="str">
        <x:v>Yes: multi-device sync described</x:v>
      </x:c>
      <x:c r="F489" s="8"/>
      <x:c r="G489" s="8"/>
      <x:c r="H489" s="8" t="str">
        <x:v>N/A currently</x:v>
      </x:c>
      <x:c r="I489" s="8"/>
      <x:c r="J489" s="8" t="str">
        <x:v>N/A</x:v>
      </x:c>
      <x:c r="K489" s="8" t="str">
        <x:v>Multi-device supported</x:v>
      </x:c>
      <x:c r="L489" s="8" t="str">
        <x:v>Yes: portable encrypted account state supports multiple signed-in clients with serialized MLS state updates</x:v>
      </x:c>
      <x:c r="M489" s="8"/>
      <x:c r="N489" s="8"/>
      <x:c r="O489" s="8" t="str">
        <x:v>Yes: designed for multi-device keys</x:v>
      </x:c>
      <x:c r="P489" s="8" t="str">
        <x:v>N/A</x:v>
      </x:c>
      <x:c r="Q489" s="8"/>
      <x:c r="R489" s="8" t="str">
        <x:v>N/A</x:v>
      </x:c>
      <x:c r="S489" s="8" t="str">
        <x:v>N/A</x:v>
      </x:c>
      <x:c r="T489" s="8" t="str">
        <x:v>N/A</x:v>
      </x:c>
      <x:c r="U489" s="8" t="str">
        <x:v>N/A</x:v>
      </x:c>
      <x:c r="V489" s="8" t="str">
        <x:v>Yes: per-device keys, cross-device authentication</x:v>
      </x:c>
      <x:c r="W489" s="8" t="str">
        <x:v>Version-dependent</x:v>
      </x:c>
      <x:c r="X489" s="8" t="str">
        <x:v>N/A</x:v>
      </x:c>
      <x:c r="Y489" s="8"/>
      <x:c r="Z489" s="8"/>
      <x:c r="AA489" s="8"/>
      <x:c r="AB489" s="8"/>
      <x:c r="AC489" s="9" t="str">
        <x:v>N/A</x:v>
      </x:c>
      <x:c r="AD489" s="8"/>
      <x:c r="AE489" s="8" t="str">
        <x:v>N/A</x:v>
      </x:c>
      <x:c r="AF489" s="8"/>
      <x:c r="AG489" s="8" t="str">
        <x:v>N/A</x:v>
      </x:c>
      <x:c r="AH489" s="14" t="n">
        <x:v>13</x:v>
      </x:c>
      <x:c r="AI489" s="15" t="str">
        <x:v>Shared metric: Encryption Details: Multi-Device E2EE | Security Matrix: Multi-Device E2EE?</x:v>
      </x:c>
    </x:row>
    <x:row r="490" ht="105">
      <x:c r="A490" s="12" t="str">
        <x:v>Encryption Details</x:v>
      </x:c>
      <x:c r="B490" s="13" t="str">
        <x:v>Metadata Protected by E2EE?</x:v>
      </x:c>
      <x:c r="C490" s="8" t="str">
        <x:v>No: metadata remains visible</x:v>
      </x:c>
      <x:c r="D490" s="8" t="str">
        <x:v>No: relay metadata remains</x:v>
      </x:c>
      <x:c r="E490" s="8" t="str">
        <x:v>No: home server sees routing metadata</x:v>
      </x:c>
      <x:c r="F490" s="8" t="str">
        <x:v>No</x:v>
      </x:c>
      <x:c r="G490" s="8" t="str">
        <x:v>No: delivery/relationship metadata remains</x:v>
      </x:c>
      <x:c r="H490" s="8" t="str">
        <x:v>No</x:v>
      </x:c>
      <x:c r="I490" s="8" t="str">
        <x:v>No</x:v>
      </x:c>
      <x:c r="J490" s="8" t="str">
        <x:v>No</x:v>
      </x:c>
      <x:c r="K490" s="8" t="str">
        <x:v>No: relay metadata/timing can exist</x:v>
      </x:c>
      <x:c r="L490" s="8" t="str">
        <x:v>No: routing metadata, participants, timestamps, sizes, delivery activity and track kinds remain visible</x:v>
      </x:c>
      <x:c r="M490" s="8" t="str">
        <x:v>No</x:v>
      </x:c>
      <x:c r="N490" s="8" t="str">
        <x:v>No</x:v>
      </x:c>
      <x:c r="O490" s="8" t="str">
        <x:v>No: homeserver/federation metadata remains visible</x:v>
      </x:c>
      <x:c r="P490" s="8" t="str">
        <x:v>No</x:v>
      </x:c>
      <x:c r="Q490" s="8" t="str">
        <x:v>No</x:v>
      </x:c>
      <x:c r="R490" s="8" t="str">
        <x:v>No</x:v>
      </x:c>
      <x:c r="S490" s="8" t="str">
        <x:v>No</x:v>
      </x:c>
      <x:c r="T490" s="8" t="str">
        <x:v>No</x:v>
      </x:c>
      <x:c r="U490" s="8" t="str">
        <x:v>No</x:v>
      </x:c>
      <x:c r="V490" s="8" t="str">
        <x:v>No: metadata/routing information is not hidden by E2EE</x:v>
      </x:c>
      <x:c r="W490" s="8" t="str">
        <x:v>No</x:v>
      </x:c>
      <x:c r="X490" s="8" t="str">
        <x:v>No</x:v>
      </x:c>
      <x:c r="Y490" s="8" t="str">
        <x:v>No</x:v>
      </x:c>
      <x:c r="Z490" s="8" t="str">
        <x:v>No</x:v>
      </x:c>
      <x:c r="AA490" s="8" t="str">
        <x:v>No</x:v>
      </x:c>
      <x:c r="AB490" s="8"/>
      <x:c r="AC490" s="9" t="str">
        <x:v>No</x:v>
      </x:c>
      <x:c r="AD490" s="8" t="str">
        <x:v>No</x:v>
      </x:c>
      <x:c r="AE490" s="8" t="str">
        <x:v>No</x:v>
      </x:c>
      <x:c r="AF490" s="8" t="str">
        <x:v>No</x:v>
      </x:c>
      <x:c r="AG490" s="8" t="str">
        <x:v>No</x:v>
      </x:c>
      <x:c r="AH490" s="14" t="n">
        <x:v>14</x:v>
      </x:c>
      <x:c r="AI490" s="15" t="str">
        <x:v>Canonical source for Encryption Details!14</x:v>
      </x:c>
    </x:row>
    <x:row r="491" ht="60">
      <x:c r="A491" s="12" t="str">
        <x:v>Encryption Details</x:v>
      </x:c>
      <x:c r="B491" s="13" t="str">
        <x:v>Public Cryptographic Design</x:v>
      </x:c>
      <x:c r="C491" s="8" t="str">
        <x:v>Yes: DAVE design public</x:v>
      </x:c>
      <x:c r="D491" s="8" t="str">
        <x:v>Open protocol/code</x:v>
      </x:c>
      <x:c r="E491" s="8" t="str">
        <x:v>public documentation/source</x:v>
      </x:c>
      <x:c r="F491" s="8" t="str">
        <x:v>No public E2EE protocol</x:v>
      </x:c>
      <x:c r="G491" s="8" t="str">
        <x:v>Yes: founder publishes design boundaries/primitives</x:v>
      </x:c>
      <x:c r="H491" s="8" t="str">
        <x:v>E2EE roadmap/design discussion public, but not deployed as policy baseline</x:v>
      </x:c>
      <x:c r="I491" s="8" t="str">
        <x:v>No public cryptographic design found</x:v>
      </x:c>
      <x:c r="J491" s="8" t="str">
        <x:v>No public E2EE design</x:v>
      </x:c>
      <x:c r="K491" s="8" t="str">
        <x:v>Whitepaper/source public</x:v>
      </x:c>
      <x:c r="L491" s="8" t="str">
        <x:v>Yes: public E2EE contract documents threat model, MLS suite and rollout gates</x:v>
      </x:c>
      <x:c r="M491" s="8" t="str">
        <x:v>No public mature E2EE design verified</x:v>
      </x:c>
      <x:c r="N491" s="8"/>
      <x:c r="O491" s="8" t="str">
        <x:v>Yes: open specification/MSC process</x:v>
      </x:c>
      <x:c r="P491" s="8" t="str">
        <x:v>Open-source implementation for core messaging</x:v>
      </x:c>
      <x:c r="Q491" s="8"/>
      <x:c r="R491" s="8" t="str">
        <x:v>Public protocol/source</x:v>
      </x:c>
      <x:c r="S491" s="8" t="str">
        <x:v>No public E2EE design</x:v>
      </x:c>
      <x:c r="T491" s="8" t="str">
        <x:v>No public E2EE design</x:v>
      </x:c>
      <x:c r="U491" s="8" t="str">
        <x:v>No</x:v>
      </x:c>
      <x:c r="V491" s="8" t="str">
        <x:v>Yes: protocol model publicly described</x:v>
      </x:c>
      <x:c r="W491" s="8" t="str">
        <x:v>Public implementation/documentation</x:v>
      </x:c>
      <x:c r="X491" s="8" t="str">
        <x:v>No</x:v>
      </x:c>
      <x:c r="Y491" s="8" t="str">
        <x:v>No public crypto protocol</x:v>
      </x:c>
      <x:c r="Z491" s="8" t="str">
        <x:v>No mature platform-wide crypto design verified</x:v>
      </x:c>
      <x:c r="AA491" s="8" t="str">
        <x:v>No public text-E2EE design verified</x:v>
      </x:c>
      <x:c r="AB491" s="8" t="str">
        <x:v>Limited public details</x:v>
      </x:c>
      <x:c r="AC491" s="9" t="str">
        <x:v>No public E2EE design</x:v>
      </x:c>
      <x:c r="AD491" s="8"/>
      <x:c r="AE491" s="8" t="str">
        <x:v>No public E2EE design</x:v>
      </x:c>
      <x:c r="AF491" s="8" t="str">
        <x:v>No public crypto design</x:v>
      </x:c>
      <x:c r="AG491" s="8" t="str">
        <x:v>Open source but no E2EE protocol</x:v>
      </x:c>
      <x:c r="AH491" s="14" t="n">
        <x:v>15</x:v>
      </x:c>
      <x:c r="AI491" s="15" t="str">
        <x:v>Canonical source for Encryption Details!15</x:v>
      </x:c>
    </x:row>
    <x:row r="492" ht="75">
      <x:c r="A492" s="12" t="str">
        <x:v>Encryption Details</x:v>
      </x:c>
      <x:c r="B492" s="13" t="str">
        <x:v>Independent Cryptographic Audit</x:v>
      </x:c>
      <x:c r="C492" s="8" t="str">
        <x:v>Trail of Bits reviews of DAVE (2024/2025)</x:v>
      </x:c>
      <x:c r="D492" s="8"/>
      <x:c r="E492" s="8"/>
      <x:c r="F492" s="8" t="str">
        <x:v>No audit verified</x:v>
      </x:c>
      <x:c r="G492" s="8" t="str">
        <x:v>No independent audit published</x:v>
      </x:c>
      <x:c r="H492" s="8" t="str">
        <x:v>No comprehensive audit verified</x:v>
      </x:c>
      <x:c r="I492" s="8"/>
      <x:c r="J492" s="8" t="str">
        <x:v>No</x:v>
      </x:c>
      <x:c r="K492" s="8"/>
      <x:c r="L492" s="8" t="str">
        <x:v>No independent cryptographic audit published; documentation lists external review as a remaining release gate.</x:v>
      </x:c>
      <x:c r="M492" s="8" t="str">
        <x:v>No independent audit verified</x:v>
      </x:c>
      <x:c r="N492" s="8"/>
      <x:c r="O492" s="8" t="str">
        <x:v>Multiple implementation/protocol audits; no single universal client audit</x:v>
      </x:c>
      <x:c r="P492" s="8" t="str">
        <x:v>Security certifications/audits vary by offering</x:v>
      </x:c>
      <x:c r="Q492" s="8"/>
      <x:c r="R492" s="8"/>
      <x:c r="S492" s="8"/>
      <x:c r="T492" s="8"/>
      <x:c r="U492" s="8" t="str">
        <x:v>None published</x:v>
      </x:c>
      <x:c r="V492" s="8" t="str">
        <x:v>No independent audit yet; Rift says audits are planned</x:v>
      </x:c>
      <x:c r="W492" s="8"/>
      <x:c r="X492" s="8"/>
      <x:c r="Y492" s="8" t="str">
        <x:v>No public audit verified</x:v>
      </x:c>
      <x:c r="Z492" s="8" t="str">
        <x:v>No</x:v>
      </x:c>
      <x:c r="AA492" s="8" t="str">
        <x:v>No comprehensive crypto audit verified</x:v>
      </x:c>
      <x:c r="AB492" s="8"/>
      <x:c r="AC492" s="9"/>
      <x:c r="AD492" s="8" t="str">
        <x:v>No audit verified</x:v>
      </x:c>
      <x:c r="AE492" s="8"/>
      <x:c r="AF492" s="8"/>
      <x:c r="AG492" s="8"/>
      <x:c r="AH492" s="14" t="n">
        <x:v>16</x:v>
      </x:c>
      <x:c r="AI492" s="15" t="str">
        <x:v>Canonical source for Encryption Details!16</x:v>
      </x:c>
    </x:row>
    <x:row r="493" ht="90">
      <x:c r="A493" s="12" t="str">
        <x:v>Encryption Details</x:v>
      </x:c>
      <x:c r="B493" s="13" t="str">
        <x:v>Encryption Scope Notes</x:v>
      </x:c>
      <x:c r="C493" s="8" t="str">
        <x:v>Discord text chat remains server-readable even though voice/video is now E2EE.</x:v>
      </x:c>
      <x:c r="D493" s="8"/>
      <x:c r="E493" s="8" t="str">
        <x:v>Encryption depends on which DCTS messaging mode is used.</x:v>
      </x:c>
      <x:c r="F493" s="8" t="str">
        <x:v>Security details are sparse; do not infer E2EE from WebRTC/LiveKit.</x:v>
      </x:c>
      <x:c r="G493" s="8" t="str">
        <x:v>Fenrid itself cautions that its home-grown design is not equivalent to Signal's mature ratchet protocol.</x:v>
      </x:c>
      <x:c r="H493" s="8" t="str">
        <x:v>Latest privacy policy explicitly says nothing on Fluxer is E2EE yet; voice/video E2EE is in development.</x:v>
      </x:c>
      <x:c r="I493" s="8" t="str">
        <x:v>Voice E2EE is claimed; do not extend that claim to text messages.</x:v>
      </x:c>
      <x:c r="J493" s="8" t="str">
        <x:v>Project discussions explicitly say E2EE is not currently implemented.</x:v>
      </x:c>
      <x:c r="K493" s="8"/>
      <x:c r="L493" s="8" t="str">
        <x:v>MLS 1.0 RFC 9420; mandatory suite MLS_128_DHKEMX25519_AES128GCM_SHA256_Ed25519</x:v>
      </x:c>
      <x:c r="M493" s="8" t="str">
        <x:v>Do not treat privacy-first marketing as proof of deployed E2EE.</x:v>
      </x:c>
      <x:c r="N493" s="8" t="str">
        <x:v>Treat E2EE claims as feature-scope specific, not universal.</x:v>
      </x:c>
      <x:c r="O493" s="8" t="str">
        <x:v>Matrix supports E2EE, but whether a room is encrypted and how UX works is client/homeserver-dependent.</x:v>
      </x:c>
      <x:c r="P493" s="8" t="str">
        <x:v>Self-hosting can keep plaintext under your organization's control, but is not E2EE.</x:v>
      </x:c>
      <x:c r="Q493" s="8" t="str">
        <x:v>Marketing and repository materials claim E2EE; verify room-level defaults before high-stakes use.</x:v>
      </x:c>
      <x:c r="R493" s="8" t="str">
        <x:v>Strong encrypted transport is not the same as E2EE from client to client.</x:v>
      </x:c>
      <x:c r="S493" s="8" t="str">
        <x:v>No default E2EE was verified.</x:v>
      </x:c>
      <x:c r="T493" s="8" t="str">
        <x:v>The privacy policy says calls use encrypted connections; this does not establish E2EE.</x:v>
      </x:c>
      <x:c r="U493" s="8" t="str">
        <x:v>TLS in transit. pqp does not market E2EE as a product feature.</x:v>
      </x:c>
      <x:c r="V493" s="8" t="str">
        <x:v>DM text and direct calls are E2EE; Shard/community text and Splinters are not.</x:v>
      </x:c>
      <x:c r="W493" s="8" t="str">
        <x:v>Federation documentation explicitly says E2EE is not supported across federated servers.</x:v>
      </x:c>
      <x:c r="X493" s="8" t="str">
        <x:v>Privacy inherits ATProto/server design rather than E2EE.</x:v>
      </x:c>
      <x:c r="Y493" s="8" t="str">
        <x:v>The privacy policy says calls are real-time and not stored, but does not claim E2EE.</x:v>
      </x:c>
      <x:c r="Z493" s="8" t="str">
        <x:v>Self-hosting changes who you trust; it does not automatically create end-to-end encryption.</x:v>
      </x:c>
      <x:c r="AA493" s="8" t="str">
        <x:v>Do not infer LiveKit's E2EE capability means Stoat currently enables E2EE.</x:v>
      </x:c>
      <x:c r="AB493" s="8"/>
      <x:c r="AC493" s="9" t="str">
        <x:v>Privacy focus is data policy/open source/self-hosting rather than E2EE messaging.</x:v>
      </x:c>
      <x:c r="AD493" s="8" t="str">
        <x:v>Developer states E2EE is per-conversation opt-in and default is currently unencrypted.</x:v>
      </x:c>
      <x:c r="AE493" s="8" t="str">
        <x:v>Security model is typical hosted app; no E2EE claim verified.</x:v>
      </x:c>
      <x:c r="AF493" s="8" t="str">
        <x:v>Self-hosting/data sovereignty is the main privacy control, not verified E2EE.</x:v>
      </x:c>
      <x:c r="AG493" s="8" t="str">
        <x:v>Zulip prioritizes searchable server-side team history rather than E2EE chat.</x:v>
      </x:c>
      <x:c r="AH493" s="14" t="n">
        <x:v>17</x:v>
      </x:c>
      <x:c r="AI493" s="15" t="str">
        <x:v>Canonical source for Encryption Details!17</x:v>
      </x:c>
    </x:row>
    <x:row r="494" ht="90">
      <x:c r="A494" s="12" t="str">
        <x:v>Encryption Details</x:v>
      </x:c>
      <x:c r="B494" s="13" t="str">
        <x:v>Encrypted Attachments / Media with E2EE</x:v>
      </x:c>
      <x:c r="C494" s="8" t="str">
        <x:v>Voice/video media E2EE; text attachments not DM-text E2EE</x:v>
      </x:c>
      <x:c r="D494" s="8"/>
      <x:c r="E494" s="8"/>
      <x:c r="F494" s="8"/>
      <x:c r="G494" s="8"/>
      <x:c r="H494" s="8"/>
      <x:c r="I494" s="8"/>
      <x:c r="J494" s="8"/>
      <x:c r="K494" s="8"/>
      <x:c r="L494" s="8" t="str">
        <x:v>Yes: encrypted chunked AEAD attachment format; filenames/MIME/previews stay in encrypted manifest</x:v>
      </x:c>
      <x:c r="M494" s="8"/>
      <x:c r="N494" s="8"/>
      <x:c r="O494" s="8" t="str">
        <x:v>Yes in encrypted rooms (client-dependent)</x:v>
      </x:c>
      <x:c r="P494" s="8"/>
      <x:c r="Q494" s="8"/>
      <x:c r="R494" s="8"/>
      <x:c r="S494" s="8"/>
      <x:c r="T494" s="8"/>
      <x:c r="U494" s="8"/>
      <x:c r="V494" s="8" t="str">
        <x:v>E2EE in DMs</x:v>
      </x:c>
      <x:c r="W494" s="8"/>
      <x:c r="X494" s="8"/>
      <x:c r="Y494" s="8"/>
      <x:c r="Z494" s="8"/>
      <x:c r="AA494" s="8"/>
      <x:c r="AB494" s="8"/>
      <x:c r="AC494" s="9"/>
      <x:c r="AD494" s="8"/>
      <x:c r="AE494" s="8"/>
      <x:c r="AF494" s="8"/>
      <x:c r="AG494" s="8"/>
      <x:c r="AH494" s="14" t="n">
        <x:v>19</x:v>
      </x:c>
      <x:c r="AI494" s="15" t="str">
        <x:v>Canonical source for Encryption Details!19</x:v>
      </x:c>
    </x:row>
    <x:row r="495" ht="60">
      <x:c r="A495" s="12" t="str">
        <x:v>Encryption Details</x:v>
      </x:c>
      <x:c r="B495" s="13" t="str">
        <x:v>Device Verification / Trust UX</x:v>
      </x:c>
      <x:c r="C495" s="8" t="str">
        <x:v>DAVE verification mechanisms exist for calls</x:v>
      </x:c>
      <x:c r="D495" s="8"/>
      <x:c r="E495" s="8"/>
      <x:c r="F495" s="8"/>
      <x:c r="G495" s="8"/>
      <x:c r="H495" s="8"/>
      <x:c r="I495" s="8"/>
      <x:c r="J495" s="8"/>
      <x:c r="K495" s="8"/>
      <x:c r="L495" s="8" t="str">
        <x:v>Yes: room safety number comparison is the identity-verification step</x:v>
      </x:c>
      <x:c r="M495" s="8"/>
      <x:c r="N495" s="8"/>
      <x:c r="O495" s="8" t="str">
        <x:v>Yes: client-dependent cross-signing/device verification</x:v>
      </x:c>
      <x:c r="P495" s="8"/>
      <x:c r="Q495" s="8"/>
      <x:c r="R495" s="8"/>
      <x:c r="S495" s="8"/>
      <x:c r="T495" s="8"/>
      <x:c r="U495" s="8"/>
      <x:c r="V495" s="8"/>
      <x:c r="W495" s="8"/>
      <x:c r="X495" s="8"/>
      <x:c r="Y495" s="8"/>
      <x:c r="Z495" s="8"/>
      <x:c r="AA495" s="8"/>
      <x:c r="AB495" s="8"/>
      <x:c r="AC495" s="9"/>
      <x:c r="AD495" s="8"/>
      <x:c r="AE495" s="8"/>
      <x:c r="AF495" s="8"/>
      <x:c r="AG495" s="8"/>
      <x:c r="AH495" s="14" t="n">
        <x:v>20</x:v>
      </x:c>
      <x:c r="AI495" s="15" t="str">
        <x:v>Canonical source for Encryption Details!20</x:v>
      </x:c>
    </x:row>
    <x:row r="496" ht="105">
      <x:c r="A496" s="12" t="str">
        <x:v>Encryption Details</x:v>
      </x:c>
      <x:c r="B496" s="13" t="str">
        <x:v>Encrypted Backup / Key Recovery</x:v>
      </x:c>
      <x:c r="C496" s="8" t="str">
        <x:v>N/A for non-E2EE text</x:v>
      </x:c>
      <x:c r="D496" s="8"/>
      <x:c r="E496" s="8"/>
      <x:c r="F496" s="8"/>
      <x:c r="G496" s="8"/>
      <x:c r="H496" s="8"/>
      <x:c r="I496" s="8"/>
      <x:c r="J496" s="8"/>
      <x:c r="K496" s="8"/>
      <x:c r="L496" s="8" t="str">
        <x:v>Yes: encrypted recovery/vault flow exists; synchronized plaintext cache is bounded to newest 2,000 messages or 8 MiB</x:v>
      </x:c>
      <x:c r="M496" s="8"/>
      <x:c r="N496" s="8"/>
      <x:c r="O496" s="8" t="str">
        <x:v>Client/provider dependent</x:v>
      </x:c>
      <x:c r="P496" s="8"/>
      <x:c r="Q496" s="8"/>
      <x:c r="R496" s="8"/>
      <x:c r="S496" s="8"/>
      <x:c r="T496" s="8"/>
      <x:c r="U496" s="8"/>
      <x:c r="V496" s="8"/>
      <x:c r="W496" s="8"/>
      <x:c r="X496" s="8"/>
      <x:c r="Y496" s="8"/>
      <x:c r="Z496" s="8"/>
      <x:c r="AA496" s="8"/>
      <x:c r="AB496" s="8"/>
      <x:c r="AC496" s="9"/>
      <x:c r="AD496" s="8"/>
      <x:c r="AE496" s="8"/>
      <x:c r="AF496" s="8"/>
      <x:c r="AG496" s="8"/>
      <x:c r="AH496" s="14" t="n">
        <x:v>21</x:v>
      </x:c>
      <x:c r="AI496" s="15" t="str">
        <x:v>Canonical source for Encryption Details!21</x:v>
      </x:c>
    </x:row>
    <x:row r="497" ht="60">
      <x:c r="A497" s="12" t="str">
        <x:v>Encryption Details</x:v>
      </x:c>
      <x:c r="B497" s="13" t="str">
        <x:v>Server-Side Search Works on E2EE Text</x:v>
      </x:c>
      <x:c r="C497" s="8" t="str">
        <x:v>N/A: text not E2EE</x:v>
      </x:c>
      <x:c r="D497" s="8"/>
      <x:c r="E497" s="8"/>
      <x:c r="F497" s="8"/>
      <x:c r="G497" s="8"/>
      <x:c r="H497" s="8"/>
      <x:c r="I497" s="8"/>
      <x:c r="J497" s="8"/>
      <x:c r="K497" s="8"/>
      <x:c r="L497" s="8" t="str">
        <x:v>No: server-side plaintext search is disabled for E2EE channels</x:v>
      </x:c>
      <x:c r="M497" s="8"/>
      <x:c r="N497" s="8"/>
      <x:c r="O497" s="8" t="str">
        <x:v>Generally limited/client-side depending implementation</x:v>
      </x:c>
      <x:c r="P497" s="8"/>
      <x:c r="Q497" s="8"/>
      <x:c r="R497" s="8"/>
      <x:c r="S497" s="8"/>
      <x:c r="T497" s="8"/>
      <x:c r="U497" s="8"/>
      <x:c r="V497" s="8"/>
      <x:c r="W497" s="8"/>
      <x:c r="X497" s="8"/>
      <x:c r="Y497" s="8"/>
      <x:c r="Z497" s="8"/>
      <x:c r="AA497" s="8"/>
      <x:c r="AB497" s="8"/>
      <x:c r="AC497" s="9"/>
      <x:c r="AD497" s="8"/>
      <x:c r="AE497" s="8"/>
      <x:c r="AF497" s="8"/>
      <x:c r="AG497" s="8"/>
      <x:c r="AH497" s="14" t="n">
        <x:v>22</x:v>
      </x:c>
      <x:c r="AI497" s="15" t="str">
        <x:v>Canonical source for Encryption Details!22</x:v>
      </x:c>
    </x:row>
    <x:row r="498" ht="60">
      <x:c r="A498" s="12" t="str">
        <x:v>Security Matrix</x:v>
      </x:c>
      <x:c r="B498" s="13" t="str">
        <x:v>TLS in Transit?</x:v>
      </x:c>
      <x:c r="C498" s="8"/>
      <x:c r="D498" s="8" t="str">
        <x:v>TLS + Nostr relay transport</x:v>
      </x:c>
      <x:c r="E498" s="8" t="str">
        <x:v>TLS required for network access</x:v>
      </x:c>
      <x:c r="F498" s="8" t="str">
        <x:v>TLS</x:v>
      </x:c>
      <x:c r="G498" s="8" t="str">
        <x:v>TLS in transit</x:v>
      </x:c>
      <x:c r="H498" s="8" t="str">
        <x:v>Encrypted in transit; at rest for stored content</x:v>
      </x:c>
      <x:c r="I498" s="8" t="str">
        <x:v>TLS in transit</x:v>
      </x:c>
      <x:c r="J498" s="8" t="str">
        <x:v>TLS when deployed</x:v>
      </x:c>
      <x:c r="K498" s="8" t="str">
        <x:v>TLS relays + end-to-end crypto</x:v>
      </x:c>
      <x:c r="L498" s="8" t="str">
        <x:v>Yes: HTTPS/TLS required for production</x:v>
      </x:c>
      <x:c r="M498" s="8" t="str">
        <x:v>TLS</x:v>
      </x:c>
      <x:c r="N498" s="8" t="str">
        <x:v>TLS</x:v>
      </x:c>
      <x:c r="O498" s="8" t="str">
        <x:v>HTTPS/TLS transport; implementation-dependent TLS configuration</x:v>
      </x:c>
      <x:c r="P498" s="8" t="str">
        <x:v>TLS configurable; enterprise deployment-controlled</x:v>
      </x:c>
      <x:c r="Q498" s="8" t="str">
        <x:v>TLS</x:v>
      </x:c>
      <x:c r="R498" s="8" t="str">
        <x:v>TLS control channel + encrypted voice transport</x:v>
      </x:c>
      <x:c r="S498" s="8" t="str">
        <x:v>TLS in transit</x:v>
      </x:c>
      <x:c r="T498" s="8" t="str">
        <x:v>TLS/encrypted connections</x:v>
      </x:c>
      <x:c r="U498" s="8" t="str">
        <x:v>Yes</x:v>
      </x:c>
      <x:c r="V498" s="8" t="str">
        <x:v>TLS</x:v>
      </x:c>
      <x:c r="W498" s="8" t="str">
        <x:v>TLS in transit configurable</x:v>
      </x:c>
      <x:c r="X498" s="8" t="str">
        <x:v>TLS</x:v>
      </x:c>
      <x:c r="Y498" s="8" t="str">
        <x:v>TLS in transit</x:v>
      </x:c>
      <x:c r="Z498" s="8" t="str">
        <x:v>TLS when correctly deployed; operator-controlled</x:v>
      </x:c>
      <x:c r="AA498" s="8" t="str">
        <x:v>TLS in transit</x:v>
      </x:c>
      <x:c r="AB498" s="8" t="str">
        <x:v>Encrypted transport</x:v>
      </x:c>
      <x:c r="AC498" s="9" t="str">
        <x:v>TLS</x:v>
      </x:c>
      <x:c r="AD498" s="8" t="str">
        <x:v>TLS</x:v>
      </x:c>
      <x:c r="AE498" s="8" t="str">
        <x:v>TLS</x:v>
      </x:c>
      <x:c r="AF498" s="8" t="str">
        <x:v>TLS</x:v>
      </x:c>
      <x:c r="AG498" s="8" t="str">
        <x:v>TLS in transit</x:v>
      </x:c>
      <x:c r="AH498" s="14" t="n">
        <x:v>4</x:v>
      </x:c>
      <x:c r="AI498" s="15" t="str">
        <x:v>Canonical source for Security Matrix!4</x:v>
      </x:c>
    </x:row>
    <x:row r="499" ht="60">
      <x:c r="A499" s="12" t="str">
        <x:v>Security Matrix</x:v>
      </x:c>
      <x:c r="B499" s="13" t="str">
        <x:v>TLS 1.3 Explicitly Documented?</x:v>
      </x:c>
      <x:c r="C499" s="8" t="str">
        <x:v>Yes</x:v>
      </x:c>
      <x:c r="D499" s="8"/>
      <x:c r="E499" s="8"/>
      <x:c r="F499" s="8"/>
      <x:c r="G499" s="8"/>
      <x:c r="H499" s="8"/>
      <x:c r="I499" s="8"/>
      <x:c r="J499" s="8"/>
      <x:c r="K499" s="8"/>
      <x:c r="L499" s="8" t="str">
        <x:v>TLS required; TLS 1.3 is not explicitly pinned in the reviewed Kaede documentation</x:v>
      </x:c>
      <x:c r="M499" s="8"/>
      <x:c r="N499" s="8"/>
      <x:c r="O499" s="8"/>
      <x:c r="P499" s="8"/>
      <x:c r="Q499" s="8"/>
      <x:c r="R499" s="8"/>
      <x:c r="S499" s="8"/>
      <x:c r="T499" s="8"/>
      <x:c r="U499" s="8" t="str">
        <x:v>No: TLS is claimed, specific TLS version is not</x:v>
      </x:c>
      <x:c r="V499" s="8"/>
      <x:c r="W499" s="8"/>
      <x:c r="X499" s="8"/>
      <x:c r="Y499" s="8"/>
      <x:c r="Z499" s="8"/>
      <x:c r="AA499" s="8"/>
      <x:c r="AB499" s="8"/>
      <x:c r="AC499" s="9"/>
      <x:c r="AD499" s="8"/>
      <x:c r="AE499" s="8"/>
      <x:c r="AF499" s="8"/>
      <x:c r="AG499" s="8"/>
      <x:c r="AH499" s="14" t="n">
        <x:v>5</x:v>
      </x:c>
      <x:c r="AI499" s="15" t="str">
        <x:v>Canonical source for Security Matrix!5</x:v>
      </x:c>
    </x:row>
    <x:row r="500" ht="120">
      <x:c r="A500" s="12" t="str">
        <x:v>Security Matrix</x:v>
      </x:c>
      <x:c r="B500" s="13" t="str">
        <x:v>Encryption at Rest?</x:v>
      </x:c>
      <x:c r="C500" s="8" t="str">
        <x:v>Yes</x:v>
      </x:c>
      <x:c r="D500" s="8"/>
      <x:c r="E500" s="8"/>
      <x:c r="F500" s="8"/>
      <x:c r="G500" s="8"/>
      <x:c r="H500" s="8" t="str">
        <x:v>Yes</x:v>
      </x:c>
      <x:c r="I500" s="8"/>
      <x:c r="J500" s="8"/>
      <x:c r="K500" s="8"/>
      <x:c r="L500" s="8" t="str">
        <x:v>Partial: selected secrets/TOTP/signing material are encrypted, but universal plaintext-message database-at-rest encryption is not claimed</x:v>
      </x:c>
      <x:c r="M500" s="8"/>
      <x:c r="N500" s="8"/>
      <x:c r="O500" s="8"/>
      <x:c r="P500" s="8"/>
      <x:c r="Q500" s="8"/>
      <x:c r="R500" s="8"/>
      <x:c r="S500" s="8"/>
      <x:c r="T500" s="8"/>
      <x:c r="U500" s="8"/>
      <x:c r="V500" s="8" t="str">
        <x:v>Yes</x:v>
      </x:c>
      <x:c r="W500" s="8"/>
      <x:c r="X500" s="8"/>
      <x:c r="Y500" s="8"/>
      <x:c r="Z500" s="8"/>
      <x:c r="AA500" s="8"/>
      <x:c r="AB500" s="8"/>
      <x:c r="AC500" s="9"/>
      <x:c r="AD500" s="8"/>
      <x:c r="AE500" s="8"/>
      <x:c r="AF500" s="8"/>
      <x:c r="AG500" s="8"/>
      <x:c r="AH500" s="14" t="n">
        <x:v>6</x:v>
      </x:c>
      <x:c r="AI500" s="15" t="str">
        <x:v>Shared metric: Security &amp; Privacy: Encryption at Rest? | Security Matrix: Encryption at Rest?</x:v>
      </x:c>
    </x:row>
    <x:row r="501" ht="30">
      <x:c r="A501" s="12" t="str">
        <x:v>Security Matrix</x:v>
      </x:c>
      <x:c r="B501" s="13" t="str">
        <x:v>Text E2EE</x:v>
      </x:c>
      <x:c r="C501" s="8"/>
      <x:c r="D501" s="8"/>
      <x:c r="E501" s="8"/>
      <x:c r="F501" s="8"/>
      <x:c r="G501" s="8"/>
      <x:c r="H501" s="8"/>
      <x:c r="I501" s="8"/>
      <x:c r="J501" s="8"/>
      <x:c r="K501" s="8"/>
      <x:c r="L501" s="8" t="str">
        <x:v>Yes: optional room/DM MLS 1.0</x:v>
      </x:c>
      <x:c r="M501" s="8"/>
      <x:c r="N501" s="8"/>
      <x:c r="O501" s="8"/>
      <x:c r="P501" s="8"/>
      <x:c r="Q501" s="8"/>
      <x:c r="R501" s="8"/>
      <x:c r="S501" s="8"/>
      <x:c r="T501" s="8"/>
      <x:c r="U501" s="8"/>
      <x:c r="V501" s="8" t="str">
        <x:v>DMs E2EE - Other text encrypted at rest</x:v>
      </x:c>
      <x:c r="W501" s="8"/>
      <x:c r="X501" s="8"/>
      <x:c r="Y501" s="8"/>
      <x:c r="Z501" s="8"/>
      <x:c r="AA501" s="8"/>
      <x:c r="AB501" s="8"/>
      <x:c r="AC501" s="9"/>
      <x:c r="AD501" s="8"/>
      <x:c r="AE501" s="8"/>
      <x:c r="AF501" s="8"/>
      <x:c r="AG501" s="8"/>
      <x:c r="AH501" s="14" t="n">
        <x:v>7</x:v>
      </x:c>
      <x:c r="AI501" s="15" t="str">
        <x:v>Canonical source for Security Matrix!7</x:v>
      </x:c>
    </x:row>
    <x:row r="502" ht="45">
      <x:c r="A502" s="12" t="str">
        <x:v>Security Matrix</x:v>
      </x:c>
      <x:c r="B502" s="13" t="str">
        <x:v>1:1 DM Text E2EE?</x:v>
      </x:c>
      <x:c r="C502" s="8" t="str">
        <x:v>No (text)</x:v>
      </x:c>
      <x:c r="D502" s="8" t="str">
        <x:v>Yes</x:v>
      </x:c>
      <x:c r="E502" s="8" t="str">
        <x:v>Yes for desktop server DMs when enabled; messenger always yes</x:v>
      </x:c>
      <x:c r="F502" s="8" t="str">
        <x:v>No default text E2EE verified</x:v>
      </x:c>
      <x:c r="G502" s="8" t="str">
        <x:v>Yes</x:v>
      </x:c>
      <x:c r="H502" s="8" t="str">
        <x:v>No</x:v>
      </x:c>
      <x:c r="I502" s="8" t="str">
        <x:v>No</x:v>
      </x:c>
      <x:c r="J502" s="8" t="str">
        <x:v>No</x:v>
      </x:c>
      <x:c r="K502" s="8" t="str">
        <x:v>Yes</x:v>
      </x:c>
      <x:c r="L502" s="8" t="str">
        <x:v>Yes: optional room/DM MLS 1.0</x:v>
      </x:c>
      <x:c r="M502" s="8"/>
      <x:c r="N502" s="8"/>
      <x:c r="O502" s="8" t="str">
        <x:v>Supported; default depends on client/room</x:v>
      </x:c>
      <x:c r="P502" s="8" t="str">
        <x:v>No</x:v>
      </x:c>
      <x:c r="Q502" s="8" t="str">
        <x:v>E2EE claimed</x:v>
      </x:c>
      <x:c r="R502" s="8" t="str">
        <x:v>N/A</x:v>
      </x:c>
      <x:c r="S502" s="8" t="str">
        <x:v>No default E2EE verified</x:v>
      </x:c>
      <x:c r="T502" s="8" t="str">
        <x:v>No</x:v>
      </x:c>
      <x:c r="U502" s="8" t="str">
        <x:v>No: not marketed as E2EE</x:v>
      </x:c>
      <x:c r="V502" s="8" t="str">
        <x:v>Yes: Signal-style X3DH/Double Ratchet</x:v>
      </x:c>
      <x:c r="W502" s="8" t="str">
        <x:v>Available in supported E2EE conversations</x:v>
      </x:c>
      <x:c r="X502" s="8" t="str">
        <x:v>No default E2EE verified</x:v>
      </x:c>
      <x:c r="Y502" s="8" t="str">
        <x:v>No claim / treated as server-readable</x:v>
      </x:c>
      <x:c r="Z502" s="8" t="str">
        <x:v>No documented default</x:v>
      </x:c>
      <x:c r="AA502" s="8" t="str">
        <x:v>No default E2EE verified</x:v>
      </x:c>
      <x:c r="AB502" s="8"/>
      <x:c r="AC502" s="9" t="str">
        <x:v>No default E2EE claim</x:v>
      </x:c>
      <x:c r="AD502" s="8" t="str">
        <x:v>No by default</x:v>
      </x:c>
      <x:c r="AE502" s="8" t="str">
        <x:v>No</x:v>
      </x:c>
      <x:c r="AF502" s="8"/>
      <x:c r="AG502" s="8" t="str">
        <x:v>No</x:v>
      </x:c>
      <x:c r="AH502" s="14" t="n">
        <x:v>8</x:v>
      </x:c>
      <x:c r="AI502" s="15" t="str">
        <x:v>Canonical source for Security Matrix!8</x:v>
      </x:c>
    </x:row>
    <x:row r="503" ht="45">
      <x:c r="A503" s="12" t="str">
        <x:v>Security Matrix</x:v>
      </x:c>
      <x:c r="B503" s="13" t="str">
        <x:v>Group DM Text E2EE?</x:v>
      </x:c>
      <x:c r="C503" s="8" t="str">
        <x:v>No (text)</x:v>
      </x:c>
      <x:c r="D503" s="8" t="str">
        <x:v>Yes</x:v>
      </x:c>
      <x:c r="E503" s="8"/>
      <x:c r="F503" s="8" t="str">
        <x:v>No</x:v>
      </x:c>
      <x:c r="G503" s="8"/>
      <x:c r="H503" s="8" t="str">
        <x:v>No</x:v>
      </x:c>
      <x:c r="I503" s="8" t="str">
        <x:v>No</x:v>
      </x:c>
      <x:c r="J503" s="8" t="str">
        <x:v>No</x:v>
      </x:c>
      <x:c r="K503" s="8" t="str">
        <x:v>Yes</x:v>
      </x:c>
      <x:c r="L503" s="8" t="str">
        <x:v>Yes: optional room/DM MLS 1.0</x:v>
      </x:c>
      <x:c r="M503" s="8"/>
      <x:c r="N503" s="8"/>
      <x:c r="O503" s="8" t="str">
        <x:v>Supported in encrypted rooms</x:v>
      </x:c>
      <x:c r="P503" s="8" t="str">
        <x:v>No</x:v>
      </x:c>
      <x:c r="Q503" s="8" t="str">
        <x:v>E2EE claimed</x:v>
      </x:c>
      <x:c r="R503" s="8" t="str">
        <x:v>N/A</x:v>
      </x:c>
      <x:c r="S503" s="8" t="str">
        <x:v>No</x:v>
      </x:c>
      <x:c r="T503" s="8" t="str">
        <x:v>No</x:v>
      </x:c>
      <x:c r="U503" s="8" t="str">
        <x:v>No: not marketed as E2EE</x:v>
      </x:c>
      <x:c r="V503" s="8" t="str">
        <x:v>No: Splinters encrypted at rest, not E2EE</x:v>
      </x:c>
      <x:c r="W503" s="8" t="str">
        <x:v>Available with limitations/version-dependent</x:v>
      </x:c>
      <x:c r="X503" s="8" t="str">
        <x:v>No</x:v>
      </x:c>
      <x:c r="Y503" s="8" t="str">
        <x:v>No claim</x:v>
      </x:c>
      <x:c r="Z503" s="8" t="str">
        <x:v>No documented default</x:v>
      </x:c>
      <x:c r="AA503" s="8" t="str">
        <x:v>No default E2EE verified</x:v>
      </x:c>
      <x:c r="AB503" s="8"/>
      <x:c r="AC503" s="9" t="str">
        <x:v>No</x:v>
      </x:c>
      <x:c r="AD503" s="8"/>
      <x:c r="AE503" s="8" t="str">
        <x:v>No</x:v>
      </x:c>
      <x:c r="AF503" s="8"/>
      <x:c r="AG503" s="8" t="str">
        <x:v>No</x:v>
      </x:c>
      <x:c r="AH503" s="14" t="n">
        <x:v>9</x:v>
      </x:c>
      <x:c r="AI503" s="15" t="str">
        <x:v>Canonical source for Security Matrix!9</x:v>
      </x:c>
    </x:row>
    <x:row r="504" ht="75">
      <x:c r="A504" s="12" t="str">
        <x:v>Security Matrix</x:v>
      </x:c>
      <x:c r="B504" s="13" t="str">
        <x:v>Private Channel Text E2EE?</x:v>
      </x:c>
      <x:c r="C504" s="8" t="str">
        <x:v>No (text)</x:v>
      </x:c>
      <x:c r="D504" s="8" t="str">
        <x:v>Yes</x:v>
      </x:c>
      <x:c r="E504" s="8" t="str">
        <x:v>No for normal server channels</x:v>
      </x:c>
      <x:c r="F504" s="8" t="str">
        <x:v>No</x:v>
      </x:c>
      <x:c r="G504" s="8" t="str">
        <x:v>No</x:v>
      </x:c>
      <x:c r="H504" s="8" t="str">
        <x:v>No</x:v>
      </x:c>
      <x:c r="I504" s="8" t="str">
        <x:v>No</x:v>
      </x:c>
      <x:c r="J504" s="8" t="str">
        <x:v>No</x:v>
      </x:c>
      <x:c r="K504" s="8" t="str">
        <x:v>Yes for private channels; public channels are intentionally plaintext/public</x:v>
      </x:c>
      <x:c r="L504" s="8" t="str">
        <x:v>Yes: optional room/DM MLS 1.0</x:v>
      </x:c>
      <x:c r="M504" s="8"/>
      <x:c r="N504" s="8"/>
      <x:c r="O504" s="8" t="str">
        <x:v>Supported in encrypted rooms</x:v>
      </x:c>
      <x:c r="P504" s="8" t="str">
        <x:v>No</x:v>
      </x:c>
      <x:c r="Q504" s="8"/>
      <x:c r="R504" s="8" t="str">
        <x:v>N/A</x:v>
      </x:c>
      <x:c r="S504" s="8" t="str">
        <x:v>No</x:v>
      </x:c>
      <x:c r="T504" s="8" t="str">
        <x:v>No</x:v>
      </x:c>
      <x:c r="U504" s="8" t="str">
        <x:v>No: not marketed as E2EE</x:v>
      </x:c>
      <x:c r="V504" s="8" t="str">
        <x:v>No: Shard/community channels encrypted at rest</x:v>
      </x:c>
      <x:c r="W504" s="8" t="str">
        <x:v>Available for encrypted rooms; federation has limitations</x:v>
      </x:c>
      <x:c r="X504" s="8" t="str">
        <x:v>No</x:v>
      </x:c>
      <x:c r="Y504" s="8" t="str">
        <x:v>No claim</x:v>
      </x:c>
      <x:c r="Z504" s="8" t="str">
        <x:v>No documented default</x:v>
      </x:c>
      <x:c r="AA504" s="8" t="str">
        <x:v>No</x:v>
      </x:c>
      <x:c r="AB504" s="8"/>
      <x:c r="AC504" s="9" t="str">
        <x:v>No</x:v>
      </x:c>
      <x:c r="AD504" s="8" t="str">
        <x:v>No by default</x:v>
      </x:c>
      <x:c r="AE504" s="8" t="str">
        <x:v>No</x:v>
      </x:c>
      <x:c r="AF504" s="8"/>
      <x:c r="AG504" s="8" t="str">
        <x:v>No</x:v>
      </x:c>
      <x:c r="AH504" s="14" t="n">
        <x:v>10</x:v>
      </x:c>
      <x:c r="AI504" s="15" t="str">
        <x:v>Canonical source for Security Matrix!10</x:v>
      </x:c>
    </x:row>
    <x:row r="505" ht="30">
      <x:c r="A505" s="12" t="str">
        <x:v>Security Matrix</x:v>
      </x:c>
      <x:c r="B505" s="13" t="str">
        <x:v>Public Channel Text E2EE?</x:v>
      </x:c>
      <x:c r="C505" s="8" t="str">
        <x:v>No</x:v>
      </x:c>
      <x:c r="D505" s="8"/>
      <x:c r="E505" s="8"/>
      <x:c r="F505" s="8"/>
      <x:c r="G505" s="8" t="str">
        <x:v>No</x:v>
      </x:c>
      <x:c r="H505" s="8" t="str">
        <x:v>No</x:v>
      </x:c>
      <x:c r="I505" s="8"/>
      <x:c r="J505" s="8"/>
      <x:c r="K505" s="8" t="str">
        <x:v>Optional / room-dependent</x:v>
      </x:c>
      <x:c r="L505" s="8" t="str">
        <x:v>Yes: optional room/DM MLS 1.0</x:v>
      </x:c>
      <x:c r="M505" s="8"/>
      <x:c r="N505" s="8"/>
      <x:c r="O505" s="8" t="str">
        <x:v>Optional / room-dependent</x:v>
      </x:c>
      <x:c r="P505" s="8" t="str">
        <x:v>No</x:v>
      </x:c>
      <x:c r="Q505" s="8"/>
      <x:c r="R505" s="8"/>
      <x:c r="S505" s="8"/>
      <x:c r="T505" s="8"/>
      <x:c r="U505" s="8"/>
      <x:c r="V505" s="8" t="str">
        <x:v>No</x:v>
      </x:c>
      <x:c r="W505" s="8" t="str">
        <x:v>Optional / room-dependent</x:v>
      </x:c>
      <x:c r="X505" s="8"/>
      <x:c r="Y505" s="8" t="str">
        <x:v>No</x:v>
      </x:c>
      <x:c r="Z505" s="8"/>
      <x:c r="AA505" s="8"/>
      <x:c r="AB505" s="8"/>
      <x:c r="AC505" s="9"/>
      <x:c r="AD505" s="8"/>
      <x:c r="AE505" s="8"/>
      <x:c r="AF505" s="8"/>
      <x:c r="AG505" s="8" t="str">
        <x:v>No</x:v>
      </x:c>
      <x:c r="AH505" s="14" t="n">
        <x:v>11</x:v>
      </x:c>
      <x:c r="AI505" s="15" t="str">
        <x:v>Canonical source for Security Matrix!11</x:v>
      </x:c>
    </x:row>
    <x:row r="506" ht="75">
      <x:c r="A506" s="12" t="str">
        <x:v>Security Matrix</x:v>
      </x:c>
      <x:c r="B506" s="13" t="str">
        <x:v>E2EE Default or Optional</x:v>
      </x:c>
      <x:c r="C506" s="8" t="str">
        <x:v>Mandatory for supported voice/video; text not E2EE</x:v>
      </x:c>
      <x:c r="D506" s="8" t="str">
        <x:v>E2EE by default for communities</x:v>
      </x:c>
      <x:c r="E506" s="8" t="str">
        <x:v>Messenger mandatory; server DM encryption optional</x:v>
      </x:c>
      <x:c r="F506" s="8"/>
      <x:c r="G506" s="8" t="str">
        <x:v>DM encryption is intended/default; media status is evolving</x:v>
      </x:c>
      <x:c r="H506" s="8" t="str">
        <x:v>Not E2EE as of 2026-09-13 privacy policy</x:v>
      </x:c>
      <x:c r="I506" s="8" t="str">
        <x:v>Voice only / text not claimed E2EE</x:v>
      </x:c>
      <x:c r="J506" s="8" t="str">
        <x:v>No E2EE currently</x:v>
      </x:c>
      <x:c r="K506" s="8" t="str">
        <x:v>Mandatory for private communication; public channels intentionally not</x:v>
      </x:c>
      <x:c r="L506" s="8" t="str">
        <x:v>Optional, room-level; activation is fail-closed and irreversible for future content once active</x:v>
      </x:c>
      <x:c r="M506" s="8" t="str">
        <x:v>E2EE WIP; TLS today</x:v>
      </x:c>
      <x:c r="N506" s="8" t="str">
        <x:v>Mixed/eligible content</x:v>
      </x:c>
      <x:c r="O506" s="8" t="str">
        <x:v>Optional at protocol level; many clients default private chats to encrypted</x:v>
      </x:c>
      <x:c r="P506" s="8" t="str">
        <x:v>Server-side enterprise collaboration model</x:v>
      </x:c>
      <x:c r="Q506" s="8" t="str">
        <x:v>Claimed zero-knowledge/E2EE</x:v>
      </x:c>
      <x:c r="R506" s="8" t="str">
        <x:v>Transport encryption</x:v>
      </x:c>
      <x:c r="S506" s="8"/>
      <x:c r="T506" s="8" t="str">
        <x:v>Transport encryption</x:v>
      </x:c>
      <x:c r="U506" s="8" t="str">
        <x:v>No E2EE product claim</x:v>
      </x:c>
      <x:c r="V506" s="8" t="str">
        <x:v>Default for DMs/direct calls; not used for Shard channels</x:v>
      </x:c>
      <x:c r="W506" s="8" t="str">
        <x:v>Optional/room-dependent</x:v>
      </x:c>
      <x:c r="X506" s="8" t="str">
        <x:v>No E2EE verified</x:v>
      </x:c>
      <x:c r="Y506" s="8" t="str">
        <x:v>Transport encryption only</x:v>
      </x:c>
      <x:c r="Z506" s="8" t="str">
        <x:v>No platform-wide E2EE guarantee</x:v>
      </x:c>
      <x:c r="AA506" s="8"/>
      <x:c r="AB506" s="8"/>
      <x:c r="AC506" s="9" t="str">
        <x:v>Transport/server-side</x:v>
      </x:c>
      <x:c r="AD506" s="8" t="str">
        <x:v>Per-conversation opt-in planned; default unencrypted</x:v>
      </x:c>
      <x:c r="AE506" s="8" t="str">
        <x:v>Transport encryption</x:v>
      </x:c>
      <x:c r="AF506" s="8" t="str">
        <x:v>Transport/self-host privacy model</x:v>
      </x:c>
      <x:c r="AG506" s="8" t="str">
        <x:v>Server-stored chat, no native E2EE</x:v>
      </x:c>
      <x:c r="AH506" s="14" t="n">
        <x:v>12</x:v>
      </x:c>
      <x:c r="AI506" s="15" t="str">
        <x:v>Canonical source for Security Matrix!12</x:v>
      </x:c>
    </x:row>
    <x:row r="507" ht="90">
      <x:c r="A507" s="12" t="str">
        <x:v>Security Matrix</x:v>
      </x:c>
      <x:c r="B507" s="13" t="str">
        <x:v>Can Service / Server Read Text?</x:v>
      </x:c>
      <x:c r="C507" s="8" t="str">
        <x:v>Yes for text</x:v>
      </x:c>
      <x:c r="D507" s="8" t="str">
        <x:v>No for encrypted message bodies</x:v>
      </x:c>
      <x:c r="E507" s="8" t="str">
        <x:v>Server can read normal channel text; encrypted DMs are ciphertext</x:v>
      </x:c>
      <x:c r="F507" s="8" t="str">
        <x:v>Yes for text</x:v>
      </x:c>
      <x:c r="G507" s="8" t="str">
        <x:v>No for encrypted DM plaintext in normal flow; yes for community channels</x:v>
      </x:c>
      <x:c r="H507" s="8" t="str">
        <x:v>Yes</x:v>
      </x:c>
      <x:c r="I507" s="8" t="str">
        <x:v>Yes for text on hosted/self-host server</x:v>
      </x:c>
      <x:c r="J507" s="8" t="str">
        <x:v>Yes</x:v>
      </x:c>
      <x:c r="K507" s="8" t="str">
        <x:v>No for private plaintext</x:v>
      </x:c>
      <x:c r="L507" s="8" t="str">
        <x:v>Plaintext rooms: yes. Active MLS rooms: no message/file/media plaintext is available to honest-but-curious servers.</x:v>
      </x:c>
      <x:c r="M507" s="8" t="str">
        <x:v>Yes for current server-readable content</x:v>
      </x:c>
      <x:c r="N507" s="8" t="str">
        <x:v>Depends encrypted content type</x:v>
      </x:c>
      <x:c r="O507" s="8" t="str">
        <x:v>Not for correctly E2EE-encrypted events; homeserver still stores ciphertext and metadata</x:v>
      </x:c>
      <x:c r="P507" s="8" t="str">
        <x:v>Yes</x:v>
      </x:c>
      <x:c r="Q507" s="8"/>
      <x:c r="R507" s="8" t="str">
        <x:v>N/A for persistent chat; server handles voice routing</x:v>
      </x:c>
      <x:c r="S507" s="8" t="str">
        <x:v>Yes for hosted text</x:v>
      </x:c>
      <x:c r="T507" s="8" t="str">
        <x:v>Yes for text</x:v>
      </x:c>
      <x:c r="U507" s="8" t="str">
        <x:v>No E2EE product claim; exact hosted-message access policy not stated in the response</x:v>
      </x:c>
      <x:c r="V507" s="8" t="str">
        <x:v>Cannot read E2EE DM plaintext; can process Shard/community plaintext</x:v>
      </x:c>
      <x:c r="W507" s="8" t="str">
        <x:v>Not for local E2EE message bodies when functioning; server still sees metadata</x:v>
      </x:c>
      <x:c r="X507" s="8" t="str">
        <x:v>Potentially visible to hosting services</x:v>
      </x:c>
      <x:c r="Y507" s="8" t="str">
        <x:v>Yes for stored text</x:v>
      </x:c>
      <x:c r="Z507" s="8" t="str">
        <x:v>Yes unless operator adds extra encryption</x:v>
      </x:c>
      <x:c r="AA507" s="8" t="str">
        <x:v>Yes for normal text</x:v>
      </x:c>
      <x:c r="AB507" s="8"/>
      <x:c r="AC507" s="9" t="str">
        <x:v>Yes</x:v>
      </x:c>
      <x:c r="AD507" s="8" t="str">
        <x:v>Yes for unencrypted content</x:v>
      </x:c>
      <x:c r="AE507" s="8" t="str">
        <x:v>Yes</x:v>
      </x:c>
      <x:c r="AF507" s="8" t="str">
        <x:v>Server operator may access text unless separate E2EE exists</x:v>
      </x:c>
      <x:c r="AG507" s="8" t="str">
        <x:v>Yes</x:v>
      </x:c>
      <x:c r="AH507" s="14" t="n">
        <x:v>13</x:v>
      </x:c>
      <x:c r="AI507" s="15" t="str">
        <x:v>Shared metric: Security &amp; Privacy: Can Service / Server Read Text? | Security Matrix: Can Service / Server Read Text?</x:v>
      </x:c>
    </x:row>
    <x:row r="508" ht="90">
      <x:c r="A508" s="12" t="str">
        <x:v>Security Matrix</x:v>
      </x:c>
      <x:c r="B508" s="13" t="str">
        <x:v>Voice E2EE?</x:v>
      </x:c>
      <x:c r="C508" s="8" t="str">
        <x:v>Yes by default for calls/Go Live via DAVE</x:v>
      </x:c>
      <x:c r="D508" s="8"/>
      <x:c r="E508" s="8"/>
      <x:c r="F508" s="8"/>
      <x:c r="G508" s="8"/>
      <x:c r="H508" s="8" t="str">
        <x:v>No currently</x:v>
      </x:c>
      <x:c r="I508" s="8" t="str">
        <x:v>Yes: voice claimed E2EE</x:v>
      </x:c>
      <x:c r="J508" s="8" t="str">
        <x:v>No currently</x:v>
      </x:c>
      <x:c r="K508" s="8" t="str">
        <x:v>Yes/SFrame claim</x:v>
      </x:c>
      <x:c r="L508" s="8" t="str">
        <x:v>Yes: MLS policy also protects supported LiveKit microphone/camera/screen/screen-audio frames</x:v>
      </x:c>
      <x:c r="M508" s="8"/>
      <x:c r="N508" s="8"/>
      <x:c r="O508" s="8" t="str">
        <x:v>Supported by MatrixRTC/capable clients</x:v>
      </x:c>
      <x:c r="P508" s="8" t="str">
        <x:v>Not generally E2EE against server; deployment media security applies</x:v>
      </x:c>
      <x:c r="Q508" s="8" t="str">
        <x:v>E2EE claimed</x:v>
      </x:c>
      <x:c r="R508" s="8" t="str">
        <x:v>No: media is encrypted to server, not E2EE against server operator</x:v>
      </x:c>
      <x:c r="S508" s="8"/>
      <x:c r="T508" s="8" t="str">
        <x:v>Encrypted transport; E2EE not claimed</x:v>
      </x:c>
      <x:c r="U508" s="8" t="str">
        <x:v>Not marketed as E2EE</x:v>
      </x:c>
      <x:c r="V508" s="8" t="str">
        <x:v>Yes: direct calls</x:v>
      </x:c>
      <x:c r="W508" s="8" t="str">
        <x:v>Provider/deployment-dependent</x:v>
      </x:c>
      <x:c r="X508" s="8" t="str">
        <x:v>N/A</x:v>
      </x:c>
      <x:c r="Y508" s="8" t="str">
        <x:v>No E2EE claim in privacy policy</x:v>
      </x:c>
      <x:c r="Z508" s="8"/>
      <x:c r="AA508" s="8"/>
      <x:c r="AB508" s="8"/>
      <x:c r="AC508" s="9"/>
      <x:c r="AD508" s="8"/>
      <x:c r="AE508" s="8"/>
      <x:c r="AF508" s="8"/>
      <x:c r="AG508" s="8" t="str">
        <x:v>External provider-dependent</x:v>
      </x:c>
      <x:c r="AH508" s="14" t="n">
        <x:v>15</x:v>
      </x:c>
      <x:c r="AI508" s="15" t="str">
        <x:v>Canonical source for Security Matrix!15</x:v>
      </x:c>
    </x:row>
    <x:row r="509" ht="90">
      <x:c r="A509" s="12" t="str">
        <x:v>Security Matrix</x:v>
      </x:c>
      <x:c r="B509" s="13" t="str">
        <x:v>Video E2EE?</x:v>
      </x:c>
      <x:c r="C509" s="8" t="str">
        <x:v>Yes by default for calls/Go Live via DAVE</x:v>
      </x:c>
      <x:c r="D509" s="8"/>
      <x:c r="E509" s="8"/>
      <x:c r="F509" s="8"/>
      <x:c r="G509" s="8"/>
      <x:c r="H509" s="8" t="str">
        <x:v>No currently</x:v>
      </x:c>
      <x:c r="I509" s="8"/>
      <x:c r="J509" s="8" t="str">
        <x:v>No currently</x:v>
      </x:c>
      <x:c r="K509" s="8" t="str">
        <x:v>Yes/SFrame claim</x:v>
      </x:c>
      <x:c r="L509" s="8" t="str">
        <x:v>Yes: MLS policy also protects supported LiveKit microphone/camera/screen/screen-audio frames</x:v>
      </x:c>
      <x:c r="M509" s="8"/>
      <x:c r="N509" s="8"/>
      <x:c r="O509" s="8" t="str">
        <x:v>Supported by MatrixRTC/capable clients</x:v>
      </x:c>
      <x:c r="P509" s="8" t="str">
        <x:v>Same</x:v>
      </x:c>
      <x:c r="Q509" s="8" t="str">
        <x:v>E2EE claimed</x:v>
      </x:c>
      <x:c r="R509" s="8" t="str">
        <x:v>N/A</x:v>
      </x:c>
      <x:c r="S509" s="8"/>
      <x:c r="T509" s="8" t="str">
        <x:v>Encrypted transport; E2EE not claimed</x:v>
      </x:c>
      <x:c r="U509" s="8" t="str">
        <x:v>Not marketed as E2EE</x:v>
      </x:c>
      <x:c r="V509" s="8" t="str">
        <x:v>Yes: direct calls</x:v>
      </x:c>
      <x:c r="W509" s="8" t="str">
        <x:v>Provider/deployment-dependent</x:v>
      </x:c>
      <x:c r="X509" s="8" t="str">
        <x:v>N/A</x:v>
      </x:c>
      <x:c r="Y509" s="8" t="str">
        <x:v>No E2EE claim</x:v>
      </x:c>
      <x:c r="Z509" s="8"/>
      <x:c r="AA509" s="8"/>
      <x:c r="AB509" s="8"/>
      <x:c r="AC509" s="9"/>
      <x:c r="AD509" s="8"/>
      <x:c r="AE509" s="8"/>
      <x:c r="AF509" s="8"/>
      <x:c r="AG509" s="8" t="str">
        <x:v>External provider-dependent</x:v>
      </x:c>
      <x:c r="AH509" s="14" t="n">
        <x:v>16</x:v>
      </x:c>
      <x:c r="AI509" s="15" t="str">
        <x:v>Canonical source for Security Matrix!16</x:v>
      </x:c>
    </x:row>
    <x:row r="510" ht="90">
      <x:c r="A510" s="12" t="str">
        <x:v>Security Matrix</x:v>
      </x:c>
      <x:c r="B510" s="13" t="str">
        <x:v>Screen Share E2EE?</x:v>
      </x:c>
      <x:c r="C510" s="8" t="str">
        <x:v>Yes by default for Go Live; Stage exception</x:v>
      </x:c>
      <x:c r="D510" s="8"/>
      <x:c r="E510" s="8"/>
      <x:c r="F510" s="8"/>
      <x:c r="G510" s="8"/>
      <x:c r="H510" s="8" t="str">
        <x:v>No currently</x:v>
      </x:c>
      <x:c r="I510" s="8"/>
      <x:c r="J510" s="8" t="str">
        <x:v>No currently</x:v>
      </x:c>
      <x:c r="K510" s="8"/>
      <x:c r="L510" s="8" t="str">
        <x:v>Yes: MLS policy also protects supported LiveKit microphone/camera/screen/screen-audio frames</x:v>
      </x:c>
      <x:c r="M510" s="8"/>
      <x:c r="N510" s="8"/>
      <x:c r="O510" s="8" t="str">
        <x:v>Supported by MatrixRTC/capable clients</x:v>
      </x:c>
      <x:c r="P510" s="8" t="str">
        <x:v>Same</x:v>
      </x:c>
      <x:c r="Q510" s="8"/>
      <x:c r="R510" s="8" t="str">
        <x:v>N/A</x:v>
      </x:c>
      <x:c r="S510" s="8"/>
      <x:c r="T510" s="8"/>
      <x:c r="U510" s="8" t="str">
        <x:v>Not marketed as E2EE</x:v>
      </x:c>
      <x:c r="V510" s="8" t="str">
        <x:v>Yes: direct calls</x:v>
      </x:c>
      <x:c r="W510" s="8" t="str">
        <x:v>Provider/deployment-dependent</x:v>
      </x:c>
      <x:c r="X510" s="8" t="str">
        <x:v>N/A</x:v>
      </x:c>
      <x:c r="Y510" s="8" t="str">
        <x:v>No E2EE claim</x:v>
      </x:c>
      <x:c r="Z510" s="8"/>
      <x:c r="AA510" s="8"/>
      <x:c r="AB510" s="8"/>
      <x:c r="AC510" s="9"/>
      <x:c r="AD510" s="8"/>
      <x:c r="AE510" s="8"/>
      <x:c r="AF510" s="8"/>
      <x:c r="AG510" s="8" t="str">
        <x:v>External provider-dependent</x:v>
      </x:c>
      <x:c r="AH510" s="14" t="n">
        <x:v>17</x:v>
      </x:c>
      <x:c r="AI510" s="15" t="str">
        <x:v>Canonical source for Security Matrix!17</x:v>
      </x:c>
    </x:row>
    <x:row r="511" ht="75">
      <x:c r="A511" s="12" t="str">
        <x:v>Security Matrix</x:v>
      </x:c>
      <x:c r="B511" s="13" t="str">
        <x:v>Key &amp; Crypto Model</x:v>
      </x:c>
      <x:c r="C511" s="8"/>
      <x:c r="D511" s="8"/>
      <x:c r="E511" s="8"/>
      <x:c r="F511" s="8"/>
      <x:c r="G511" s="8"/>
      <x:c r="H511" s="8"/>
      <x:c r="I511" s="8"/>
      <x:c r="J511" s="8"/>
      <x:c r="K511" s="8"/>
      <x:c r="L511" s="8" t="str">
        <x:v>MLS 1.0 RFC 9420; mandatory suite MLS_128_DHKEMX25519_AES128GCM_SHA256_Ed25519</x:v>
      </x:c>
      <x:c r="M511" s="8"/>
      <x:c r="N511" s="8"/>
      <x:c r="O511" s="8"/>
      <x:c r="P511" s="8"/>
      <x:c r="Q511" s="8"/>
      <x:c r="R511" s="8"/>
      <x:c r="S511" s="8"/>
      <x:c r="T511" s="8"/>
      <x:c r="U511" s="8"/>
      <x:c r="V511" s="8"/>
      <x:c r="W511" s="8"/>
      <x:c r="X511" s="8"/>
      <x:c r="Y511" s="8"/>
      <x:c r="Z511" s="8"/>
      <x:c r="AA511" s="8"/>
      <x:c r="AB511" s="8"/>
      <x:c r="AC511" s="9"/>
      <x:c r="AD511" s="8"/>
      <x:c r="AE511" s="8"/>
      <x:c r="AF511" s="8"/>
      <x:c r="AG511" s="8"/>
      <x:c r="AH511" s="14" t="n">
        <x:v>18</x:v>
      </x:c>
      <x:c r="AI511" s="15" t="str">
        <x:v>Canonical source for Security Matrix!18</x:v>
      </x:c>
    </x:row>
    <x:row r="512" ht="120">
      <x:c r="A512" s="12" t="str">
        <x:v>Security Matrix</x:v>
      </x:c>
      <x:c r="B512" s="13" t="str">
        <x:v>Client-Held Keys?</x:v>
      </x:c>
      <x:c r="C512" s="8" t="str">
        <x:v>No</x:v>
      </x:c>
      <x:c r="D512" s="8" t="str">
        <x:v>Yes</x:v>
      </x:c>
      <x:c r="E512" s="8" t="str">
        <x:v>Yes</x:v>
      </x:c>
      <x:c r="F512" s="8" t="str">
        <x:v>No</x:v>
      </x:c>
      <x:c r="G512" s="8" t="str">
        <x:v>Yes</x:v>
      </x:c>
      <x:c r="H512" s="8" t="str">
        <x:v>No</x:v>
      </x:c>
      <x:c r="I512" s="8"/>
      <x:c r="J512" s="8"/>
      <x:c r="K512" s="8" t="str">
        <x:v>Yes</x:v>
      </x:c>
      <x:c r="L512" s="8" t="str">
        <x:v>Client-held MLS identity/vault; server stores public credentials and encrypted portable state but not MLS group secrets/private keys</x:v>
      </x:c>
      <x:c r="M512" s="8"/>
      <x:c r="N512" s="8"/>
      <x:c r="O512" s="8" t="str">
        <x:v>Yes</x:v>
      </x:c>
      <x:c r="P512" s="8" t="str">
        <x:v>No</x:v>
      </x:c>
      <x:c r="Q512" s="8"/>
      <x:c r="R512" s="8"/>
      <x:c r="S512" s="8" t="str">
        <x:v>No</x:v>
      </x:c>
      <x:c r="T512" s="8" t="str">
        <x:v>No</x:v>
      </x:c>
      <x:c r="U512" s="8" t="str">
        <x:v>No</x:v>
      </x:c>
      <x:c r="V512" s="8" t="str">
        <x:v>Yes: Rift Key/device key model</x:v>
      </x:c>
      <x:c r="W512" s="8"/>
      <x:c r="X512" s="8"/>
      <x:c r="Y512" s="8" t="str">
        <x:v>No</x:v>
      </x:c>
      <x:c r="Z512" s="8"/>
      <x:c r="AA512" s="8" t="str">
        <x:v>No</x:v>
      </x:c>
      <x:c r="AB512" s="8"/>
      <x:c r="AC512" s="9" t="str">
        <x:v>No</x:v>
      </x:c>
      <x:c r="AD512" s="8"/>
      <x:c r="AE512" s="8" t="str">
        <x:v>No</x:v>
      </x:c>
      <x:c r="AF512" s="8"/>
      <x:c r="AG512" s="8" t="str">
        <x:v>No</x:v>
      </x:c>
      <x:c r="AH512" s="14" t="n">
        <x:v>19</x:v>
      </x:c>
      <x:c r="AI512" s="15" t="str">
        <x:v>Canonical source for Security Matrix!19</x:v>
      </x:c>
    </x:row>
    <x:row r="513" ht="75">
      <x:c r="A513" s="12" t="str">
        <x:v>Security Matrix</x:v>
      </x:c>
      <x:c r="B513" s="13" t="str">
        <x:v>Forward Secrecy / Ratcheting?</x:v>
      </x:c>
      <x:c r="C513" s="8" t="str">
        <x:v>DAVE design; exact ratchet properties depend spec</x:v>
      </x:c>
      <x:c r="D513" s="8"/>
      <x:c r="E513" s="8"/>
      <x:c r="F513" s="8"/>
      <x:c r="G513" s="8" t="str">
        <x:v>Not Signal Double Ratchet; founder explicitly says mature Signal-level forward secrecy is not claimed</x:v>
      </x:c>
      <x:c r="H513" s="8" t="str">
        <x:v>N/A currently</x:v>
      </x:c>
      <x:c r="I513" s="8"/>
      <x:c r="J513" s="8" t="str">
        <x:v>N/A</x:v>
      </x:c>
      <x:c r="K513" s="8" t="str">
        <x:v>Olm/MLS/SFrame design</x:v>
      </x:c>
      <x:c r="L513" s="8" t="str">
        <x:v>Yes: MLS 1.0 epochs/rekeys; membership/device changes force rekey before writes resume</x:v>
      </x:c>
      <x:c r="M513" s="8"/>
      <x:c r="N513" s="8"/>
      <x:c r="O513" s="8" t="str">
        <x:v>Megolm/Olm-era designs and newer crypto work; properties vary by room/media protocol</x:v>
      </x:c>
      <x:c r="P513" s="8" t="str">
        <x:v>N/A</x:v>
      </x:c>
      <x:c r="Q513" s="8"/>
      <x:c r="R513" s="8" t="str">
        <x:v>N/A</x:v>
      </x:c>
      <x:c r="S513" s="8" t="str">
        <x:v>N/A</x:v>
      </x:c>
      <x:c r="T513" s="8" t="str">
        <x:v>N/A</x:v>
      </x:c>
      <x:c r="U513" s="8" t="str">
        <x:v>N/A</x:v>
      </x:c>
      <x:c r="V513" s="8" t="str">
        <x:v>Yes: X3DH / Double Ratchet</x:v>
      </x:c>
      <x:c r="W513" s="8" t="str">
        <x:v>Version-dependent</x:v>
      </x:c>
      <x:c r="X513" s="8" t="str">
        <x:v>N/A</x:v>
      </x:c>
      <x:c r="Y513" s="8"/>
      <x:c r="Z513" s="8"/>
      <x:c r="AA513" s="8"/>
      <x:c r="AB513" s="8"/>
      <x:c r="AC513" s="9" t="str">
        <x:v>N/A</x:v>
      </x:c>
      <x:c r="AD513" s="8"/>
      <x:c r="AE513" s="8" t="str">
        <x:v>N/A</x:v>
      </x:c>
      <x:c r="AF513" s="8"/>
      <x:c r="AG513" s="8" t="str">
        <x:v>N/A</x:v>
      </x:c>
      <x:c r="AH513" s="14" t="n">
        <x:v>21</x:v>
      </x:c>
      <x:c r="AI513" s="15" t="str">
        <x:v>Canonical source for Security Matrix!21</x:v>
      </x:c>
    </x:row>
    <x:row r="514" ht="105">
      <x:c r="A514" s="12" t="str">
        <x:v>Security Matrix</x:v>
      </x:c>
      <x:c r="B514" s="13" t="str">
        <x:v>Metadata Hidden by E2EE?</x:v>
      </x:c>
      <x:c r="C514" s="8" t="str">
        <x:v>No: metadata remains visible</x:v>
      </x:c>
      <x:c r="D514" s="8" t="str">
        <x:v>No: relay metadata remains</x:v>
      </x:c>
      <x:c r="E514" s="8" t="str">
        <x:v>No: home server sees routing metadata</x:v>
      </x:c>
      <x:c r="F514" s="8" t="str">
        <x:v>No</x:v>
      </x:c>
      <x:c r="G514" s="8" t="str">
        <x:v>No: delivery/relationship metadata remains</x:v>
      </x:c>
      <x:c r="H514" s="8" t="str">
        <x:v>No</x:v>
      </x:c>
      <x:c r="I514" s="8" t="str">
        <x:v>No</x:v>
      </x:c>
      <x:c r="J514" s="8" t="str">
        <x:v>No</x:v>
      </x:c>
      <x:c r="K514" s="8" t="str">
        <x:v>No: relay metadata/timing can exist</x:v>
      </x:c>
      <x:c r="L514" s="8" t="str">
        <x:v>No: routing metadata, participants, timestamps, sizes, delivery activity and track kinds remain visible</x:v>
      </x:c>
      <x:c r="M514" s="8" t="str">
        <x:v>No</x:v>
      </x:c>
      <x:c r="N514" s="8" t="str">
        <x:v>No</x:v>
      </x:c>
      <x:c r="O514" s="8" t="str">
        <x:v>No: homeserver/federation metadata remains visible</x:v>
      </x:c>
      <x:c r="P514" s="8" t="str">
        <x:v>No</x:v>
      </x:c>
      <x:c r="Q514" s="8" t="str">
        <x:v>No</x:v>
      </x:c>
      <x:c r="R514" s="8" t="str">
        <x:v>No</x:v>
      </x:c>
      <x:c r="S514" s="8" t="str">
        <x:v>No</x:v>
      </x:c>
      <x:c r="T514" s="8" t="str">
        <x:v>No</x:v>
      </x:c>
      <x:c r="U514" s="8" t="str">
        <x:v>No</x:v>
      </x:c>
      <x:c r="V514" s="8" t="str">
        <x:v>No: metadata/routing information is not hidden by E2EE</x:v>
      </x:c>
      <x:c r="W514" s="8" t="str">
        <x:v>No</x:v>
      </x:c>
      <x:c r="X514" s="8" t="str">
        <x:v>No</x:v>
      </x:c>
      <x:c r="Y514" s="8" t="str">
        <x:v>No</x:v>
      </x:c>
      <x:c r="Z514" s="8" t="str">
        <x:v>No</x:v>
      </x:c>
      <x:c r="AA514" s="8" t="str">
        <x:v>No</x:v>
      </x:c>
      <x:c r="AB514" s="8"/>
      <x:c r="AC514" s="9" t="str">
        <x:v>No</x:v>
      </x:c>
      <x:c r="AD514" s="8" t="str">
        <x:v>No</x:v>
      </x:c>
      <x:c r="AE514" s="8" t="str">
        <x:v>No</x:v>
      </x:c>
      <x:c r="AF514" s="8" t="str">
        <x:v>No</x:v>
      </x:c>
      <x:c r="AG514" s="8" t="str">
        <x:v>No</x:v>
      </x:c>
      <x:c r="AH514" s="14" t="n">
        <x:v>22</x:v>
      </x:c>
      <x:c r="AI514" s="15" t="str">
        <x:v>Canonical source for Security Matrix!22</x:v>
      </x:c>
    </x:row>
    <x:row r="515" ht="60">
      <x:c r="A515" s="12" t="str">
        <x:v>Security Matrix</x:v>
      </x:c>
      <x:c r="B515" s="13" t="str">
        <x:v>Public Crypto Design?</x:v>
      </x:c>
      <x:c r="C515" s="8" t="str">
        <x:v>Yes: DAVE design public</x:v>
      </x:c>
      <x:c r="D515" s="8" t="str">
        <x:v>Open protocol/code</x:v>
      </x:c>
      <x:c r="E515" s="8" t="str">
        <x:v>public documentation/source</x:v>
      </x:c>
      <x:c r="F515" s="8" t="str">
        <x:v>No public E2EE protocol</x:v>
      </x:c>
      <x:c r="G515" s="8" t="str">
        <x:v>Yes: founder publishes design boundaries/primitives</x:v>
      </x:c>
      <x:c r="H515" s="8" t="str">
        <x:v>E2EE roadmap/design discussion public, but not deployed as policy baseline</x:v>
      </x:c>
      <x:c r="I515" s="8" t="str">
        <x:v>No public cryptographic design found</x:v>
      </x:c>
      <x:c r="J515" s="8" t="str">
        <x:v>No public E2EE design</x:v>
      </x:c>
      <x:c r="K515" s="8" t="str">
        <x:v>Whitepaper/source public</x:v>
      </x:c>
      <x:c r="L515" s="8" t="str">
        <x:v>Yes: public E2EE contract documents threat model, MLS suite and rollout gates</x:v>
      </x:c>
      <x:c r="M515" s="8" t="str">
        <x:v>No public mature E2EE design verified</x:v>
      </x:c>
      <x:c r="N515" s="8"/>
      <x:c r="O515" s="8" t="str">
        <x:v>Yes: open specification/MSC process</x:v>
      </x:c>
      <x:c r="P515" s="8" t="str">
        <x:v>Open-source implementation for core messaging</x:v>
      </x:c>
      <x:c r="Q515" s="8"/>
      <x:c r="R515" s="8" t="str">
        <x:v>Public protocol/source</x:v>
      </x:c>
      <x:c r="S515" s="8" t="str">
        <x:v>No public E2EE design</x:v>
      </x:c>
      <x:c r="T515" s="8" t="str">
        <x:v>No public E2EE design</x:v>
      </x:c>
      <x:c r="U515" s="8" t="str">
        <x:v>No</x:v>
      </x:c>
      <x:c r="V515" s="8" t="str">
        <x:v>Yes: protocol model described publicly</x:v>
      </x:c>
      <x:c r="W515" s="8" t="str">
        <x:v>Public implementation/documentation</x:v>
      </x:c>
      <x:c r="X515" s="8" t="str">
        <x:v>No</x:v>
      </x:c>
      <x:c r="Y515" s="8" t="str">
        <x:v>No public crypto protocol</x:v>
      </x:c>
      <x:c r="Z515" s="8" t="str">
        <x:v>No mature platform-wide crypto design verified</x:v>
      </x:c>
      <x:c r="AA515" s="8" t="str">
        <x:v>No public text-E2EE design verified</x:v>
      </x:c>
      <x:c r="AB515" s="8" t="str">
        <x:v>Limited public details</x:v>
      </x:c>
      <x:c r="AC515" s="9" t="str">
        <x:v>No public E2EE design</x:v>
      </x:c>
      <x:c r="AD515" s="8"/>
      <x:c r="AE515" s="8" t="str">
        <x:v>No public E2EE design</x:v>
      </x:c>
      <x:c r="AF515" s="8" t="str">
        <x:v>No public crypto design</x:v>
      </x:c>
      <x:c r="AG515" s="8" t="str">
        <x:v>Open source but no E2EE protocol</x:v>
      </x:c>
      <x:c r="AH515" s="14" t="n">
        <x:v>23</x:v>
      </x:c>
      <x:c r="AI515" s="15" t="str">
        <x:v>Canonical source for Security Matrix!23</x:v>
      </x:c>
    </x:row>
    <x:row r="516" ht="75">
      <x:c r="A516" s="12" t="str">
        <x:v>Security Matrix</x:v>
      </x:c>
      <x:c r="B516" s="13" t="str">
        <x:v>Independent Crypto Audit?</x:v>
      </x:c>
      <x:c r="C516" s="8" t="str">
        <x:v>Trail of Bits reviews of DAVE (2024/2025)</x:v>
      </x:c>
      <x:c r="D516" s="8"/>
      <x:c r="E516" s="8"/>
      <x:c r="F516" s="8" t="str">
        <x:v>No audit verified</x:v>
      </x:c>
      <x:c r="G516" s="8" t="str">
        <x:v>No independent audit published</x:v>
      </x:c>
      <x:c r="H516" s="8" t="str">
        <x:v>No comprehensive audit verified</x:v>
      </x:c>
      <x:c r="I516" s="8"/>
      <x:c r="J516" s="8" t="str">
        <x:v>No</x:v>
      </x:c>
      <x:c r="K516" s="8"/>
      <x:c r="L516" s="8" t="str">
        <x:v>No independent cryptographic audit published; documentation lists external review as a remaining release gate.</x:v>
      </x:c>
      <x:c r="M516" s="8" t="str">
        <x:v>No independent audit verified</x:v>
      </x:c>
      <x:c r="N516" s="8"/>
      <x:c r="O516" s="8" t="str">
        <x:v>Multiple implementation/protocol audits; no single universal client audit</x:v>
      </x:c>
      <x:c r="P516" s="8" t="str">
        <x:v>Security certifications/audits vary by offering</x:v>
      </x:c>
      <x:c r="Q516" s="8"/>
      <x:c r="R516" s="8"/>
      <x:c r="S516" s="8"/>
      <x:c r="T516" s="8"/>
      <x:c r="U516" s="8" t="str">
        <x:v>None published</x:v>
      </x:c>
      <x:c r="V516" s="8" t="str">
        <x:v>No: audits listed as future work</x:v>
      </x:c>
      <x:c r="W516" s="8"/>
      <x:c r="X516" s="8"/>
      <x:c r="Y516" s="8" t="str">
        <x:v>No public audit verified</x:v>
      </x:c>
      <x:c r="Z516" s="8" t="str">
        <x:v>No</x:v>
      </x:c>
      <x:c r="AA516" s="8" t="str">
        <x:v>No comprehensive crypto audit verified</x:v>
      </x:c>
      <x:c r="AB516" s="8"/>
      <x:c r="AC516" s="9"/>
      <x:c r="AD516" s="8" t="str">
        <x:v>No audit verified</x:v>
      </x:c>
      <x:c r="AE516" s="8"/>
      <x:c r="AF516" s="8"/>
      <x:c r="AG516" s="8"/>
      <x:c r="AH516" s="14" t="n">
        <x:v>24</x:v>
      </x:c>
      <x:c r="AI516" s="15" t="str">
        <x:v>Canonical source for Security Matrix!24</x:v>
      </x:c>
    </x:row>
    <x:row r="517" ht="75">
      <x:c r="A517" s="12" t="str">
        <x:v>Security Matrix</x:v>
      </x:c>
      <x:c r="B517" s="13" t="str">
        <x:v>IP Address Collected?</x:v>
      </x:c>
      <x:c r="C517" s="8" t="str">
        <x:v>Yes: IP address is collected as device/use information</x:v>
      </x:c>
      <x:c r="D517" s="8" t="str">
        <x:v>Relay sees metadata; content encrypted</x:v>
      </x:c>
      <x:c r="E517" s="8" t="str">
        <x:v>Operator controlled; official messenger claims privacy model</x:v>
      </x:c>
      <x:c r="F517" s="8"/>
      <x:c r="G517" s="8"/>
      <x:c r="H517" s="8" t="str">
        <x:v>IP/network data processed; approximate location derived</x:v>
      </x:c>
      <x:c r="I517" s="8" t="str">
        <x:v>Operator/service dependent</x:v>
      </x:c>
      <x:c r="J517" s="8" t="str">
        <x:v>Operator controlled</x:v>
      </x:c>
      <x:c r="K517" s="8" t="str">
        <x:v>Official relay claims no IP logging; self-host operator could log metadata</x:v>
      </x:c>
      <x:c r="L517" s="8" t="str">
        <x:v>Not publicly specified</x:v>
      </x:c>
      <x:c r="M517" s="8"/>
      <x:c r="N517" s="8"/>
      <x:c r="O517" s="8" t="str">
        <x:v>Homeserver/operator sees IP/network metadata; exact logging is operator-dependent</x:v>
      </x:c>
      <x:c r="P517" s="8" t="str">
        <x:v>Deployment/admin controlled</x:v>
      </x:c>
      <x:c r="Q517" s="8"/>
      <x:c r="R517" s="8" t="str">
        <x:v>Server/operator-controlled</x:v>
      </x:c>
      <x:c r="S517" s="8"/>
      <x:c r="T517" s="8"/>
      <x:c r="U517" s="8"/>
      <x:c r="V517" s="8"/>
      <x:c r="W517" s="8" t="str">
        <x:v>Admin/deployment policy</x:v>
      </x:c>
      <x:c r="X517" s="8" t="str">
        <x:v>Provider dependent</x:v>
      </x:c>
      <x:c r="Y517" s="8" t="str">
        <x:v>Yes: device/network info including IP collected</x:v>
      </x:c>
      <x:c r="Z517" s="8" t="str">
        <x:v>Operator-controlled</x:v>
      </x:c>
      <x:c r="AA517" s="8"/>
      <x:c r="AB517" s="8" t="str">
        <x:v>Operator/service-dependent</x:v>
      </x:c>
      <x:c r="AC517" s="9"/>
      <x:c r="AD517" s="8"/>
      <x:c r="AE517" s="8"/>
      <x:c r="AF517" s="8" t="str">
        <x:v>Operator controlled</x:v>
      </x:c>
      <x:c r="AG517" s="8" t="str">
        <x:v>Hosted/operator dependent</x:v>
      </x:c>
      <x:c r="AH517" s="14" t="n">
        <x:v>26</x:v>
      </x:c>
      <x:c r="AI517" s="15" t="str">
        <x:v>Shared metric: Security &amp; Privacy: IP Address Collected? | Security Matrix: IP Address Collected?</x:v>
      </x:c>
    </x:row>
    <x:row r="518" ht="45">
      <x:c r="A518" s="12" t="str">
        <x:v>Security Matrix</x:v>
      </x:c>
      <x:c r="B518" s="13" t="str">
        <x:v>IP Retention Window</x:v>
      </x:c>
      <x:c r="C518" s="8"/>
      <x:c r="D518" s="8"/>
      <x:c r="E518" s="8"/>
      <x:c r="F518" s="8"/>
      <x:c r="G518" s="8"/>
      <x:c r="H518" s="8"/>
      <x:c r="I518" s="8"/>
      <x:c r="J518" s="8"/>
      <x:c r="K518" s="8"/>
      <x:c r="L518" s="8" t="str">
        <x:v>Not publicly specified</x:v>
      </x:c>
      <x:c r="M518" s="8"/>
      <x:c r="N518" s="8"/>
      <x:c r="O518" s="8"/>
      <x:c r="P518" s="8"/>
      <x:c r="Q518" s="8"/>
      <x:c r="R518" s="8"/>
      <x:c r="S518" s="8"/>
      <x:c r="T518" s="8"/>
      <x:c r="U518" s="8"/>
      <x:c r="V518" s="8" t="str">
        <x:v>48 hours / HMAC fingerprint</x:v>
      </x:c>
      <x:c r="W518" s="8"/>
      <x:c r="X518" s="8"/>
      <x:c r="Y518" s="8"/>
      <x:c r="Z518" s="8"/>
      <x:c r="AA518" s="8"/>
      <x:c r="AB518" s="8"/>
      <x:c r="AC518" s="9"/>
      <x:c r="AD518" s="8"/>
      <x:c r="AE518" s="8"/>
      <x:c r="AF518" s="8"/>
      <x:c r="AG518" s="8"/>
      <x:c r="AH518" s="14" t="n">
        <x:v>27</x:v>
      </x:c>
      <x:c r="AI518" s="15" t="str">
        <x:v>Shared metric: Security &amp; Privacy: IP Retention Window | Security Matrix: IP Retention Window</x:v>
      </x:c>
    </x:row>
    <x:row r="519" ht="30">
      <x:c r="A519" s="12" t="str">
        <x:v>Security Matrix</x:v>
      </x:c>
      <x:c r="B519" s="13" t="str">
        <x:v>Voice Stored?</x:v>
      </x:c>
      <x:c r="C519" s="8" t="str">
        <x:v>Generally no</x:v>
      </x:c>
      <x:c r="D519" s="8"/>
      <x:c r="E519" s="8"/>
      <x:c r="F519" s="8"/>
      <x:c r="G519" s="8"/>
      <x:c r="H519" s="8"/>
      <x:c r="I519" s="8"/>
      <x:c r="J519" s="8"/>
      <x:c r="K519" s="8"/>
      <x:c r="L519" s="8" t="str">
        <x:v>No native recording documented</x:v>
      </x:c>
      <x:c r="M519" s="8"/>
      <x:c r="N519" s="8"/>
      <x:c r="O519" s="8"/>
      <x:c r="P519" s="8"/>
      <x:c r="Q519" s="8"/>
      <x:c r="R519" s="8" t="str">
        <x:v>Generally no</x:v>
      </x:c>
      <x:c r="S519" s="8"/>
      <x:c r="T519" s="8"/>
      <x:c r="U519" s="8"/>
      <x:c r="V519" s="8" t="str">
        <x:v>Generally no</x:v>
      </x:c>
      <x:c r="W519" s="8"/>
      <x:c r="X519" s="8"/>
      <x:c r="Y519" s="8" t="str">
        <x:v>Generally no</x:v>
      </x:c>
      <x:c r="Z519" s="8"/>
      <x:c r="AA519" s="8"/>
      <x:c r="AB519" s="8"/>
      <x:c r="AC519" s="9"/>
      <x:c r="AD519" s="8"/>
      <x:c r="AE519" s="8"/>
      <x:c r="AF519" s="8"/>
      <x:c r="AG519" s="8"/>
      <x:c r="AH519" s="14" t="n">
        <x:v>29</x:v>
      </x:c>
      <x:c r="AI519" s="15" t="str">
        <x:v>Canonical source for Security Matrix!29</x:v>
      </x:c>
    </x:row>
    <x:row r="520" ht="30">
      <x:c r="A520" s="12" t="str">
        <x:v>Security Matrix</x:v>
      </x:c>
      <x:c r="B520" s="13" t="str">
        <x:v>Video Stored?</x:v>
      </x:c>
      <x:c r="C520" s="8" t="str">
        <x:v>Generally no</x:v>
      </x:c>
      <x:c r="D520" s="8"/>
      <x:c r="E520" s="8"/>
      <x:c r="F520" s="8"/>
      <x:c r="G520" s="8"/>
      <x:c r="H520" s="8"/>
      <x:c r="I520" s="8"/>
      <x:c r="J520" s="8"/>
      <x:c r="K520" s="8"/>
      <x:c r="L520" s="8" t="str">
        <x:v>No native recording documented</x:v>
      </x:c>
      <x:c r="M520" s="8"/>
      <x:c r="N520" s="8"/>
      <x:c r="O520" s="8"/>
      <x:c r="P520" s="8"/>
      <x:c r="Q520" s="8"/>
      <x:c r="R520" s="8"/>
      <x:c r="S520" s="8"/>
      <x:c r="T520" s="8"/>
      <x:c r="U520" s="8"/>
      <x:c r="V520" s="8" t="str">
        <x:v>Generally no</x:v>
      </x:c>
      <x:c r="W520" s="8"/>
      <x:c r="X520" s="8"/>
      <x:c r="Y520" s="8" t="str">
        <x:v>Generally no</x:v>
      </x:c>
      <x:c r="Z520" s="8"/>
      <x:c r="AA520" s="8"/>
      <x:c r="AB520" s="8"/>
      <x:c r="AC520" s="9"/>
      <x:c r="AD520" s="8"/>
      <x:c r="AE520" s="8"/>
      <x:c r="AF520" s="8"/>
      <x:c r="AG520" s="8"/>
      <x:c r="AH520" s="14" t="n">
        <x:v>30</x:v>
      </x:c>
      <x:c r="AI520" s="15" t="str">
        <x:v>Canonical source for Security Matrix!30</x:v>
      </x:c>
    </x:row>
    <x:row r="521" ht="120">
      <x:c r="A521" s="12" t="str">
        <x:v>Security Matrix</x:v>
      </x:c>
      <x:c r="B521" s="13" t="str">
        <x:v>Message Retention Default</x:v>
      </x:c>
      <x:c r="C521" s="8" t="str">
        <x:v>Generally retained while the account is active or as needed. Some data has fixed legal/safety retention periods. Inactive accounts may be deleted after 2 years.</x:v>
      </x:c>
      <x:c r="D521" s="8" t="str">
        <x:v>Relay stores encrypted events</x:v>
      </x:c>
      <x:c r="E521" s="8" t="str">
        <x:v>Operator controlled; messenger relay stores encrypted messages temporarily</x:v>
      </x:c>
      <x:c r="F521" s="8"/>
      <x:c r="G521" s="8"/>
      <x:c r="H521" s="8" t="str">
        <x:v>Published retention policy</x:v>
      </x:c>
      <x:c r="I521" s="8"/>
      <x:c r="J521" s="8" t="str">
        <x:v>Operator controlled</x:v>
      </x:c>
      <x:c r="K521" s="8" t="str">
        <x:v>Data stored locally; relay stores no persistent content</x:v>
      </x:c>
      <x:c r="L521" s="8" t="str">
        <x:v>Developer reports message/content retention until user deletion/request; operator jobs enforce configured cleanup</x:v>
      </x:c>
      <x:c r="M521" s="8" t="str">
        <x:v>Published privacy policy</x:v>
      </x:c>
      <x:c r="N521" s="8"/>
      <x:c r="O521" s="8" t="str">
        <x:v>Homeserver-dependent</x:v>
      </x:c>
      <x:c r="P521" s="8" t="str">
        <x:v>Deployment/admin controlled</x:v>
      </x:c>
      <x:c r="Q521" s="8"/>
      <x:c r="R521" s="8" t="str">
        <x:v>Server/operator-controlled</x:v>
      </x:c>
      <x:c r="S521" s="8"/>
      <x:c r="T521" s="8" t="str">
        <x:v>Published privacy policy</x:v>
      </x:c>
      <x:c r="U521" s="8" t="str">
        <x:v>Retention controls exist; default window not publicly stated</x:v>
      </x:c>
      <x:c r="V521" s="8" t="str">
        <x:v>Deletion stated as hard delete</x:v>
      </x:c>
      <x:c r="W521" s="8" t="str">
        <x:v>Admin/deployment policy</x:v>
      </x:c>
      <x:c r="X521" s="8" t="str">
        <x:v>ATProto/provider dependent</x:v>
      </x:c>
      <x:c r="Y521" s="8"/>
      <x:c r="Z521" s="8" t="str">
        <x:v>Operator-controlled</x:v>
      </x:c>
      <x:c r="AA521" s="8"/>
      <x:c r="AB521" s="8" t="str">
        <x:v>Operator/service-dependent</x:v>
      </x:c>
      <x:c r="AC521" s="9"/>
      <x:c r="AD521" s="8"/>
      <x:c r="AE521" s="8"/>
      <x:c r="AF521" s="8" t="str">
        <x:v>Operator controlled</x:v>
      </x:c>
      <x:c r="AG521" s="8" t="str">
        <x:v>Hosted/self-host policy-dependent</x:v>
      </x:c>
      <x:c r="AH521" s="14" t="n">
        <x:v>31</x:v>
      </x:c>
      <x:c r="AI521" s="15" t="str">
        <x:v>Canonical source for Security Matrix!31</x:v>
      </x:c>
    </x:row>
    <x:row r="522" ht="60">
      <x:c r="A522" s="12" t="str">
        <x:v>Security Matrix</x:v>
      </x:c>
      <x:c r="B522" s="13" t="str">
        <x:v>Deleted Message Retention</x:v>
      </x:c>
      <x:c r="C522" s="8"/>
      <x:c r="D522" s="8"/>
      <x:c r="E522" s="8"/>
      <x:c r="F522" s="8"/>
      <x:c r="G522" s="8"/>
      <x:c r="H522" s="8"/>
      <x:c r="I522" s="8"/>
      <x:c r="J522" s="8"/>
      <x:c r="K522" s="8"/>
      <x:c r="L522" s="8" t="str">
        <x:v>No single public deleted-message retention interval located</x:v>
      </x:c>
      <x:c r="M522" s="8"/>
      <x:c r="N522" s="8"/>
      <x:c r="O522" s="8"/>
      <x:c r="P522" s="8"/>
      <x:c r="Q522" s="8"/>
      <x:c r="R522" s="8"/>
      <x:c r="S522" s="8"/>
      <x:c r="T522" s="8"/>
      <x:c r="U522" s="8"/>
      <x:c r="V522" s="8" t="str">
        <x:v>Immediate hard delete claimed</x:v>
      </x:c>
      <x:c r="W522" s="8"/>
      <x:c r="X522" s="8"/>
      <x:c r="Y522" s="8"/>
      <x:c r="Z522" s="8"/>
      <x:c r="AA522" s="8"/>
      <x:c r="AB522" s="8"/>
      <x:c r="AC522" s="9"/>
      <x:c r="AD522" s="8"/>
      <x:c r="AE522" s="8"/>
      <x:c r="AF522" s="8"/>
      <x:c r="AG522" s="8"/>
      <x:c r="AH522" s="14" t="n">
        <x:v>32</x:v>
      </x:c>
      <x:c r="AI522" s="15" t="str">
        <x:v>Canonical source for Security Matrix!32</x:v>
      </x:c>
    </x:row>
    <x:row r="523" ht="105">
      <x:c r="A523" s="12" t="str">
        <x:v>Security Matrix</x:v>
      </x:c>
      <x:c r="B523" s="13" t="str">
        <x:v>Data Region Selectable?</x:v>
      </x:c>
      <x:c r="C523" s="8"/>
      <x:c r="D523" s="8" t="str">
        <x:v>Operator-selected</x:v>
      </x:c>
      <x:c r="E523" s="8" t="str">
        <x:v>Operator-selected</x:v>
      </x:c>
      <x:c r="F523" s="8"/>
      <x:c r="G523" s="8"/>
      <x:c r="H523" s="8"/>
      <x:c r="I523" s="8" t="str">
        <x:v>Operator-selected</x:v>
      </x:c>
      <x:c r="J523" s="8" t="str">
        <x:v>Operator-selected</x:v>
      </x:c>
      <x:c r="K523" s="8"/>
      <x:c r="L523" s="8" t="str">
        <x:v>Self-host: operator chooses region/providers; official hosted service does not document per-user region selection</x:v>
      </x:c>
      <x:c r="M523" s="8"/>
      <x:c r="N523" s="8" t="str">
        <x:v>Operator-selected</x:v>
      </x:c>
      <x:c r="O523" s="8"/>
      <x:c r="P523" s="8" t="str">
        <x:v>Operator-selected</x:v>
      </x:c>
      <x:c r="Q523" s="8"/>
      <x:c r="R523" s="8" t="str">
        <x:v>Operator-selected</x:v>
      </x:c>
      <x:c r="S523" s="8"/>
      <x:c r="T523" s="8" t="str">
        <x:v>Yes</x:v>
      </x:c>
      <x:c r="U523" s="8" t="str">
        <x:v>Hosted service is in São Paulo; self-hosters choose their own region</x:v>
      </x:c>
      <x:c r="V523" s="8"/>
      <x:c r="W523" s="8" t="str">
        <x:v>Operator-selected</x:v>
      </x:c>
      <x:c r="X523" s="8"/>
      <x:c r="Y523" s="8"/>
      <x:c r="Z523" s="8" t="str">
        <x:v>Operator-selected</x:v>
      </x:c>
      <x:c r="AA523" s="8" t="str">
        <x:v>Operator-selected</x:v>
      </x:c>
      <x:c r="AB523" s="8" t="str">
        <x:v>Operator-selected</x:v>
      </x:c>
      <x:c r="AC523" s="9" t="str">
        <x:v>Operator-selected</x:v>
      </x:c>
      <x:c r="AD523" s="8" t="str">
        <x:v>Operator-selected</x:v>
      </x:c>
      <x:c r="AE523" s="8"/>
      <x:c r="AF523" s="8" t="str">
        <x:v>Operator-selected</x:v>
      </x:c>
      <x:c r="AG523" s="8" t="str">
        <x:v>Operator-selected</x:v>
      </x:c>
      <x:c r="AH523" s="14" t="n">
        <x:v>33</x:v>
      </x:c>
      <x:c r="AI523" s="15" t="str">
        <x:v>Shared metric: Security &amp; Privacy: Data Region Selectable? | Security Matrix: Data Region Selectable?</x:v>
      </x:c>
    </x:row>
    <x:row r="524" ht="105">
      <x:c r="A524" s="12" t="str">
        <x:v>Security Matrix</x:v>
      </x:c>
      <x:c r="B524" s="13" t="str">
        <x:v>Security / Privacy Notes</x:v>
      </x:c>
      <x:c r="C524" s="8" t="str">
        <x:v>Discord text chat remains server-readable even though voice/video is now E2EE.</x:v>
      </x:c>
      <x:c r="D524" s="8"/>
      <x:c r="E524" s="8" t="str">
        <x:v>Encryption depends on which DCTS messaging mode is used.</x:v>
      </x:c>
      <x:c r="F524" s="8" t="str">
        <x:v>Security details are sparse; do not infer E2EE from WebRTC/LiveKit.</x:v>
      </x:c>
      <x:c r="G524" s="8" t="str">
        <x:v>Fenrid itself cautions that its home-grown design is not equivalent to Signal's mature ratchet protocol.</x:v>
      </x:c>
      <x:c r="H524" s="8" t="str">
        <x:v>Latest privacy policy explicitly says nothing on Fluxer is E2EE yet; voice/video E2EE is in development.</x:v>
      </x:c>
      <x:c r="I524" s="8" t="str">
        <x:v>Voice E2EE is claimed; do not extend that claim to text messages.</x:v>
      </x:c>
      <x:c r="J524" s="8" t="str">
        <x:v>Project discussions explicitly say E2EE is not currently implemented.</x:v>
      </x:c>
      <x:c r="K524" s="8"/>
      <x:c r="L524" s="8" t="str">
        <x:v>https://github.com/CookieNom/KaedeChat/blob/main/docs/e2ee.md</x:v>
      </x:c>
      <x:c r="M524" s="8" t="str">
        <x:v>Do not treat privacy-first marketing as proof of deployed E2EE.</x:v>
      </x:c>
      <x:c r="N524" s="8" t="str">
        <x:v>Treat E2EE claims as feature-scope specific, not universal.</x:v>
      </x:c>
      <x:c r="O524" s="8" t="str">
        <x:v>Matrix supports E2EE, but whether a room is encrypted and how UX works is client/homeserver-dependent.</x:v>
      </x:c>
      <x:c r="P524" s="8" t="str">
        <x:v>Self-hosting can keep plaintext under your organization's control, but is not E2EE.</x:v>
      </x:c>
      <x:c r="Q524" s="8" t="str">
        <x:v>Marketing and repository materials claim E2EE; verify room-level defaults before high-stakes use.</x:v>
      </x:c>
      <x:c r="R524" s="8" t="str">
        <x:v>Strong encrypted transport is not the same as E2EE from client to client.</x:v>
      </x:c>
      <x:c r="S524" s="8" t="str">
        <x:v>No default E2EE was verified.</x:v>
      </x:c>
      <x:c r="T524" s="8" t="str">
        <x:v>The privacy policy says calls use encrypted connections; this does not establish E2EE.</x:v>
      </x:c>
      <x:c r="U524" s="8" t="str">
        <x:v>TLS in transit; hosted in São Paulo; Clerk accounts; cookie-less Umami analytics + signup conversion tag; no E2EE product claim.</x:v>
      </x:c>
      <x:c r="V524" s="8" t="str">
        <x:v>DM text uses client-side Signal-style X3DH/Double Ratchet (AES-256-GCM); Shard messages are encrypted at rest but not E2EE.</x:v>
      </x:c>
      <x:c r="W524" s="8" t="str">
        <x:v>Federation documentation explicitly says E2EE is not supported across federated servers.</x:v>
      </x:c>
      <x:c r="X524" s="8" t="str">
        <x:v>Privacy inherits ATProto/server design rather than E2EE.</x:v>
      </x:c>
      <x:c r="Y524" s="8" t="str">
        <x:v>The privacy policy says calls are real-time and not stored, but does not claim E2EE.</x:v>
      </x:c>
      <x:c r="Z524" s="8" t="str">
        <x:v>Self-hosting changes who you trust; it does not automatically create end-to-end encryption.</x:v>
      </x:c>
      <x:c r="AA524" s="8" t="str">
        <x:v>Do not infer LiveKit's E2EE capability means Stoat currently enables E2EE.</x:v>
      </x:c>
      <x:c r="AB524" s="8"/>
      <x:c r="AC524" s="9" t="str">
        <x:v>Privacy focus is data policy/open source/self-hosting rather than E2EE messaging.</x:v>
      </x:c>
      <x:c r="AD524" s="8" t="str">
        <x:v>Developer states E2EE is per-conversation opt-in and default is currently unencrypted.</x:v>
      </x:c>
      <x:c r="AE524" s="8" t="str">
        <x:v>Security model is typical hosted app; no E2EE claim verified.</x:v>
      </x:c>
      <x:c r="AF524" s="8" t="str">
        <x:v>Self-hosting/data sovereignty is the main privacy control, not verified E2EE.</x:v>
      </x:c>
      <x:c r="AG524" s="8" t="str">
        <x:v>Zulip prioritizes searchable server-side team history rather than E2EE chat.</x:v>
      </x:c>
      <x:c r="AH524" s="14" t="n">
        <x:v>35</x:v>
      </x:c>
      <x:c r="AI524" s="15" t="str">
        <x:v>Canonical source for Security Matrix!35</x:v>
      </x:c>
    </x:row>
    <x:row r="525" ht="60">
      <x:c r="A525" s="12" t="str">
        <x:v>Security Matrix</x:v>
      </x:c>
      <x:c r="B525" s="13" t="str">
        <x:v>2FA / TOTP Available?</x:v>
      </x:c>
      <x:c r="C525" s="8" t="str">
        <x:v>Yes</x:v>
      </x:c>
      <x:c r="D525" s="8"/>
      <x:c r="E525" s="8"/>
      <x:c r="F525" s="8"/>
      <x:c r="G525" s="8"/>
      <x:c r="H525" s="8"/>
      <x:c r="I525" s="8"/>
      <x:c r="J525" s="8"/>
      <x:c r="K525" s="8"/>
      <x:c r="L525" s="8" t="str">
        <x:v>Yes/likely: architecture explicitly references protected TOTP material</x:v>
      </x:c>
      <x:c r="M525" s="8"/>
      <x:c r="N525" s="8"/>
      <x:c r="O525" s="8"/>
      <x:c r="P525" s="8" t="str">
        <x:v>Yes</x:v>
      </x:c>
      <x:c r="Q525" s="8"/>
      <x:c r="R525" s="8"/>
      <x:c r="S525" s="8"/>
      <x:c r="T525" s="8"/>
      <x:c r="U525" s="8"/>
      <x:c r="V525" s="8"/>
      <x:c r="W525" s="8" t="str">
        <x:v>Yes</x:v>
      </x:c>
      <x:c r="X525" s="8"/>
      <x:c r="Y525" s="8"/>
      <x:c r="Z525" s="8"/>
      <x:c r="AA525" s="8"/>
      <x:c r="AB525" s="8"/>
      <x:c r="AC525" s="9"/>
      <x:c r="AD525" s="8"/>
      <x:c r="AE525" s="8"/>
      <x:c r="AF525" s="8"/>
      <x:c r="AG525" s="8" t="str">
        <x:v>Yes</x:v>
      </x:c>
      <x:c r="AH525" s="14" t="n">
        <x:v>37</x:v>
      </x:c>
      <x:c r="AI525" s="15" t="str">
        <x:v>Canonical source for Security Matrix!37</x:v>
      </x:c>
    </x:row>
    <x:row r="526" ht="30">
      <x:c r="A526" s="12" t="str">
        <x:v>Security Matrix</x:v>
      </x:c>
      <x:c r="B526" s="13" t="str">
        <x:v>SSO / Enterprise Identity?</x:v>
      </x:c>
      <x:c r="C526" s="8"/>
      <x:c r="D526" s="8"/>
      <x:c r="E526" s="8"/>
      <x:c r="F526" s="8"/>
      <x:c r="G526" s="8"/>
      <x:c r="H526" s="8"/>
      <x:c r="I526" s="8"/>
      <x:c r="J526" s="8"/>
      <x:c r="K526" s="8"/>
      <x:c r="L526" s="8" t="str">
        <x:v>No enterprise SSO documented</x:v>
      </x:c>
      <x:c r="M526" s="8"/>
      <x:c r="N526" s="8"/>
      <x:c r="O526" s="8" t="str">
        <x:v>Provider-dependent</x:v>
      </x:c>
      <x:c r="P526" s="8" t="str">
        <x:v>Yes</x:v>
      </x:c>
      <x:c r="Q526" s="8"/>
      <x:c r="R526" s="8"/>
      <x:c r="S526" s="8"/>
      <x:c r="T526" s="8"/>
      <x:c r="U526" s="8"/>
      <x:c r="V526" s="8"/>
      <x:c r="W526" s="8" t="str">
        <x:v>Yes</x:v>
      </x:c>
      <x:c r="X526" s="8"/>
      <x:c r="Y526" s="8"/>
      <x:c r="Z526" s="8"/>
      <x:c r="AA526" s="8"/>
      <x:c r="AB526" s="8"/>
      <x:c r="AC526" s="9"/>
      <x:c r="AD526" s="8"/>
      <x:c r="AE526" s="8"/>
      <x:c r="AF526" s="8"/>
      <x:c r="AG526" s="8" t="str">
        <x:v>Yes</x:v>
      </x:c>
      <x:c r="AH526" s="14" t="n">
        <x:v>38</x:v>
      </x:c>
      <x:c r="AI526" s="15" t="str">
        <x:v>Canonical source for Security Matrix!38</x:v>
      </x:c>
    </x:row>
    <x:row r="527" ht="45">
      <x:c r="A527" s="12" t="str">
        <x:v>Security Matrix</x:v>
      </x:c>
      <x:c r="B527" s="13" t="str">
        <x:v>Public Vulnerability Disclosure Policy?</x:v>
      </x:c>
      <x:c r="C527" s="8" t="str">
        <x:v>Yes</x:v>
      </x:c>
      <x:c r="D527" s="8"/>
      <x:c r="E527" s="8"/>
      <x:c r="F527" s="8"/>
      <x:c r="G527" s="8"/>
      <x:c r="H527" s="8"/>
      <x:c r="I527" s="8"/>
      <x:c r="J527" s="8"/>
      <x:c r="K527" s="8"/>
      <x:c r="L527" s="8" t="str">
        <x:v>No public vulnerability disclosure policy located</x:v>
      </x:c>
      <x:c r="M527" s="8"/>
      <x:c r="N527" s="8"/>
      <x:c r="O527" s="8"/>
      <x:c r="P527" s="8"/>
      <x:c r="Q527" s="8"/>
      <x:c r="R527" s="8"/>
      <x:c r="S527" s="8"/>
      <x:c r="T527" s="8"/>
      <x:c r="U527" s="8" t="str">
        <x:v>Yes: https://pqp.gg/.well-known/security.txt</x:v>
      </x:c>
      <x:c r="V527" s="8"/>
      <x:c r="W527" s="8"/>
      <x:c r="X527" s="8"/>
      <x:c r="Y527" s="8"/>
      <x:c r="Z527" s="8"/>
      <x:c r="AA527" s="8"/>
      <x:c r="AB527" s="8"/>
      <x:c r="AC527" s="9"/>
      <x:c r="AD527" s="8"/>
      <x:c r="AE527" s="8"/>
      <x:c r="AF527" s="8"/>
      <x:c r="AG527" s="8"/>
      <x:c r="AH527" s="14" t="n">
        <x:v>39</x:v>
      </x:c>
      <x:c r="AI527" s="15" t="str">
        <x:v>Canonical source for Security Matrix!39</x:v>
      </x:c>
    </x:row>
    <x:row r="528" ht="45">
      <x:c r="A528" s="12" t="str">
        <x:v>Security Matrix</x:v>
      </x:c>
      <x:c r="B528" s="13" t="str">
        <x:v>Security Advisories Published?</x:v>
      </x:c>
      <x:c r="C528" s="8" t="str">
        <x:v>Yes</x:v>
      </x:c>
      <x:c r="D528" s="8"/>
      <x:c r="E528" s="8"/>
      <x:c r="F528" s="8"/>
      <x:c r="G528" s="8"/>
      <x:c r="H528" s="8"/>
      <x:c r="I528" s="8"/>
      <x:c r="J528" s="8"/>
      <x:c r="K528" s="8"/>
      <x:c r="L528" s="8" t="str">
        <x:v>No public security-advisory feed located</x:v>
      </x:c>
      <x:c r="M528" s="8"/>
      <x:c r="N528" s="8"/>
      <x:c r="O528" s="8" t="str">
        <x:v>Yes</x:v>
      </x:c>
      <x:c r="P528" s="8" t="str">
        <x:v>Yes</x:v>
      </x:c>
      <x:c r="Q528" s="8"/>
      <x:c r="R528" s="8" t="str">
        <x:v>Yes</x:v>
      </x:c>
      <x:c r="S528" s="8"/>
      <x:c r="T528" s="8"/>
      <x:c r="U528" s="8" t="str">
        <x:v>No public breach/CVE story reported by the project</x:v>
      </x:c>
      <x:c r="V528" s="8"/>
      <x:c r="W528" s="8" t="str">
        <x:v>Yes</x:v>
      </x:c>
      <x:c r="X528" s="8"/>
      <x:c r="Y528" s="8"/>
      <x:c r="Z528" s="8"/>
      <x:c r="AA528" s="8"/>
      <x:c r="AB528" s="8"/>
      <x:c r="AC528" s="9"/>
      <x:c r="AD528" s="8"/>
      <x:c r="AE528" s="8"/>
      <x:c r="AF528" s="8"/>
      <x:c r="AG528" s="8"/>
      <x:c r="AH528" s="14" t="n">
        <x:v>40</x:v>
      </x:c>
      <x:c r="AI528" s="15" t="str">
        <x:v>Canonical source for Security Matrix!40</x:v>
      </x:c>
    </x:row>
    <x:row r="529" ht="60">
      <x:c r="A529" s="12" t="str">
        <x:v>Security History &amp; Audits</x:v>
      </x:c>
      <x:c r="B529" s="13" t="str">
        <x:v>Known Past CVEs / Exploits</x:v>
      </x:c>
      <x:c r="C529" s="8"/>
      <x:c r="D529" s="8"/>
      <x:c r="E529" s="8"/>
      <x:c r="F529" s="8"/>
      <x:c r="G529" s="8"/>
      <x:c r="H529" s="8"/>
      <x:c r="I529" s="8"/>
      <x:c r="J529" s="8"/>
      <x:c r="K529" s="8"/>
      <x:c r="L529" s="8" t="str">
        <x:v>None publicly known/reported by developer</x:v>
      </x:c>
      <x:c r="M529" s="8"/>
      <x:c r="N529" s="8"/>
      <x:c r="O529" s="8" t="str">
        <x:v>Implementation-specific; protocol/clients/servers have had CVEs</x:v>
      </x:c>
      <x:c r="P529" s="8" t="str">
        <x:v>Public CVEs/security advisories</x:v>
      </x:c>
      <x:c r="Q529" s="8"/>
      <x:c r="R529" s="8" t="str">
        <x:v>Public CVEs/advisories exist over long project history</x:v>
      </x:c>
      <x:c r="S529" s="8"/>
      <x:c r="T529" s="8"/>
      <x:c r="U529" s="8" t="str">
        <x:v>No public CVE/exploit story reported by the project</x:v>
      </x:c>
      <x:c r="V529" s="8" t="str">
        <x:v>No Known</x:v>
      </x:c>
      <x:c r="W529" s="8" t="str">
        <x:v>Public CVEs/security advisories</x:v>
      </x:c>
      <x:c r="X529" s="8"/>
      <x:c r="Y529" s="8"/>
      <x:c r="Z529" s="8"/>
      <x:c r="AA529" s="8"/>
      <x:c r="AB529" s="8"/>
      <x:c r="AC529" s="9"/>
      <x:c r="AD529" s="8"/>
      <x:c r="AE529" s="8"/>
      <x:c r="AF529" s="8"/>
      <x:c r="AG529" s="8"/>
      <x:c r="AH529" s="14" t="n">
        <x:v>3</x:v>
      </x:c>
      <x:c r="AI529" s="15" t="str">
        <x:v>Canonical source for Security History &amp; Audits!3</x:v>
      </x:c>
    </x:row>
    <x:row r="530" ht="135">
      <x:c r="A530" s="12" t="str">
        <x:v>Security History &amp; Audits</x:v>
      </x:c>
      <x:c r="B530" s="13" t="str">
        <x:v>Data Breach / Leak History</x:v>
      </x:c>
      <x:c r="C530" s="8" t="str">
        <x:v>Yes: 2025 third-party customer-support vendor incident; ~70,000 users may have had government-ID photos exposed; core Discord service was not breached</x:v>
      </x:c>
      <x:c r="D530" s="8"/>
      <x:c r="E530" s="8"/>
      <x:c r="F530" s="8"/>
      <x:c r="G530" s="8" t="str">
        <x:v>No public breach verified</x:v>
      </x:c>
      <x:c r="H530" s="8" t="str">
        <x:v>No major public breach verified</x:v>
      </x:c>
      <x:c r="I530" s="8"/>
      <x:c r="J530" s="8"/>
      <x:c r="K530" s="8"/>
      <x:c r="L530" s="8" t="str">
        <x:v>None publicly known/reported by developer</x:v>
      </x:c>
      <x:c r="M530" s="8"/>
      <x:c r="N530" s="8"/>
      <x:c r="O530" s="8" t="str">
        <x:v>Incidents are provider/implementation-specific</x:v>
      </x:c>
      <x:c r="P530" s="8" t="str">
        <x:v>Past vulnerabilities; major breach of vendor service not verified</x:v>
      </x:c>
      <x:c r="Q530" s="8"/>
      <x:c r="R530" s="8" t="str">
        <x:v>No central hosted data breach model</x:v>
      </x:c>
      <x:c r="S530" s="8"/>
      <x:c r="T530" s="8"/>
      <x:c r="U530" s="8" t="str">
        <x:v>No public breach story reported by the project</x:v>
      </x:c>
      <x:c r="V530" s="8" t="str">
        <x:v>No Known</x:v>
      </x:c>
      <x:c r="W530" s="8"/>
      <x:c r="X530" s="8"/>
      <x:c r="Y530" s="8" t="str">
        <x:v>No public breach verified</x:v>
      </x:c>
      <x:c r="Z530" s="8" t="str">
        <x:v>No major public breach verified</x:v>
      </x:c>
      <x:c r="AA530" s="8" t="str">
        <x:v>No major public hosted-service breach verified</x:v>
      </x:c>
      <x:c r="AB530" s="8" t="str">
        <x:v>No recent major breach verified here</x:v>
      </x:c>
      <x:c r="AC530" s="9"/>
      <x:c r="AD530" s="8"/>
      <x:c r="AE530" s="8"/>
      <x:c r="AF530" s="8"/>
      <x:c r="AG530" s="8" t="str">
        <x:v>No major current breach verified</x:v>
      </x:c>
      <x:c r="AH530" s="14" t="n">
        <x:v>4</x:v>
      </x:c>
      <x:c r="AI530" s="15" t="str">
        <x:v>Canonical source for Security History &amp; Audits!4</x:v>
      </x:c>
    </x:row>
    <x:row r="531" ht="75">
      <x:c r="A531" s="12" t="str">
        <x:v>Security History &amp; Audits</x:v>
      </x:c>
      <x:c r="B531" s="13" t="str">
        <x:v>Independent Security Audits (Public / Private / None)</x:v>
      </x:c>
      <x:c r="C531" s="8" t="str">
        <x:v>Public targeted audits of DAVE E2EE; no comprehensive public whole-platform audit verified</x:v>
      </x:c>
      <x:c r="D531" s="8" t="str">
        <x:v>No comprehensive independent security audit verified</x:v>
      </x:c>
      <x:c r="E531" s="8" t="str">
        <x:v>No comprehensive independent security audit verified</x:v>
      </x:c>
      <x:c r="F531" s="8" t="str">
        <x:v>No comprehensive independent security audit verified</x:v>
      </x:c>
      <x:c r="G531" s="8" t="str">
        <x:v>No independent audit published</x:v>
      </x:c>
      <x:c r="H531" s="8" t="str">
        <x:v>No comprehensive independent audit verified</x:v>
      </x:c>
      <x:c r="I531" s="8" t="str">
        <x:v>No comprehensive independent security audit verified</x:v>
      </x:c>
      <x:c r="J531" s="8" t="str">
        <x:v>No comprehensive independent security audit verified</x:v>
      </x:c>
      <x:c r="K531" s="8" t="str">
        <x:v>No comprehensive independent security audit verified</x:v>
      </x:c>
      <x:c r="L531" s="8" t="str">
        <x:v>None published</x:v>
      </x:c>
      <x:c r="M531" s="8" t="str">
        <x:v>No comprehensive independent security audit verified</x:v>
      </x:c>
      <x:c r="N531" s="8" t="str">
        <x:v>No comprehensive independent security audit verified</x:v>
      </x:c>
      <x:c r="O531" s="8" t="str">
        <x:v>Multiple independent audits across implementations; no single Matrix-wide audit</x:v>
      </x:c>
      <x:c r="P531" s="8"/>
      <x:c r="Q531" s="8" t="str">
        <x:v>No comprehensive independent security audit verified</x:v>
      </x:c>
      <x:c r="R531" s="8"/>
      <x:c r="S531" s="8" t="str">
        <x:v>No comprehensive independent security audit verified</x:v>
      </x:c>
      <x:c r="T531" s="8" t="str">
        <x:v>No comprehensive independent security audit verified</x:v>
      </x:c>
      <x:c r="U531" s="8" t="str">
        <x:v>None published</x:v>
      </x:c>
      <x:c r="V531" s="8" t="str">
        <x:v>No comprehensive independent security audit verified</x:v>
      </x:c>
      <x:c r="W531" s="8" t="str">
        <x:v>Security audits/certifications vary by offering</x:v>
      </x:c>
      <x:c r="X531" s="8" t="str">
        <x:v>No comprehensive independent security audit verified</x:v>
      </x:c>
      <x:c r="Y531" s="8" t="str">
        <x:v>No independent audit published</x:v>
      </x:c>
      <x:c r="Z531" s="8" t="str">
        <x:v>No independent audit published</x:v>
      </x:c>
      <x:c r="AA531" s="8" t="str">
        <x:v>No comprehensive independent audit verified</x:v>
      </x:c>
      <x:c r="AB531" s="8"/>
      <x:c r="AC531" s="9" t="str">
        <x:v>No comprehensive independent security audit verified</x:v>
      </x:c>
      <x:c r="AD531" s="8" t="str">
        <x:v>No comprehensive independent security audit verified</x:v>
      </x:c>
      <x:c r="AE531" s="8" t="str">
        <x:v>No comprehensive independent security audit verified</x:v>
      </x:c>
      <x:c r="AF531" s="8" t="str">
        <x:v>No comprehensive independent security audit verified</x:v>
      </x:c>
      <x:c r="AG531" s="8"/>
      <x:c r="AH531" s="14" t="n">
        <x:v>5</x:v>
      </x:c>
      <x:c r="AI531" s="15" t="str">
        <x:v>Canonical source for Security History &amp; Audits!5</x:v>
      </x:c>
    </x:row>
    <x:row r="532" ht="75">
      <x:c r="A532" s="12" t="str">
        <x:v>Security History &amp; Audits</x:v>
      </x:c>
      <x:c r="B532" s="13" t="str">
        <x:v>Auditing Firm &amp; Date of Last Audit</x:v>
      </x:c>
      <x:c r="C532" s="8" t="str">
        <x:v>Trail of Bits: DAVE design/implementation review (2024) and follow-up audit (2025)</x:v>
      </x:c>
      <x:c r="D532" s="8"/>
      <x:c r="E532" s="8"/>
      <x:c r="F532" s="8"/>
      <x:c r="G532" s="8"/>
      <x:c r="H532" s="8"/>
      <x:c r="I532" s="8"/>
      <x:c r="J532" s="8"/>
      <x:c r="K532" s="8"/>
      <x:c r="L532" s="8" t="str">
        <x:v>None published</x:v>
      </x:c>
      <x:c r="M532" s="8"/>
      <x:c r="N532" s="8"/>
      <x:c r="O532" s="8" t="str">
        <x:v>Implementation-specific</x:v>
      </x:c>
      <x:c r="P532" s="8"/>
      <x:c r="Q532" s="8"/>
      <x:c r="R532" s="8"/>
      <x:c r="S532" s="8"/>
      <x:c r="T532" s="8"/>
      <x:c r="U532" s="8" t="str">
        <x:v>N/A: no independent audit published</x:v>
      </x:c>
      <x:c r="V532" s="8"/>
      <x:c r="W532" s="8"/>
      <x:c r="X532" s="8"/>
      <x:c r="Y532" s="8"/>
      <x:c r="Z532" s="8"/>
      <x:c r="AA532" s="8"/>
      <x:c r="AB532" s="8"/>
      <x:c r="AC532" s="9"/>
      <x:c r="AD532" s="8"/>
      <x:c r="AE532" s="8"/>
      <x:c r="AF532" s="8"/>
      <x:c r="AG532" s="8"/>
      <x:c r="AH532" s="14" t="n">
        <x:v>6</x:v>
      </x:c>
      <x:c r="AI532" s="15" t="str">
        <x:v>Canonical source for Security History &amp; Audits!6</x:v>
      </x:c>
    </x:row>
    <x:row r="533" ht="60">
      <x:c r="A533" s="12" t="str">
        <x:v>Security History &amp; Audits</x:v>
      </x:c>
      <x:c r="B533" s="13" t="str">
        <x:v>Active Bug Bounty Program</x:v>
      </x:c>
      <x:c r="C533" s="8" t="str">
        <x:v>Yes: private Bugcrowd program with cash bounties; DAVE is in scope</x:v>
      </x:c>
      <x:c r="D533" s="8"/>
      <x:c r="E533" s="8"/>
      <x:c r="F533" s="8"/>
      <x:c r="G533" s="8" t="str">
        <x:v>No public bug bounty verified</x:v>
      </x:c>
      <x:c r="H533" s="8"/>
      <x:c r="I533" s="8"/>
      <x:c r="J533" s="8"/>
      <x:c r="K533" s="8"/>
      <x:c r="L533" s="8" t="str">
        <x:v>No public bug bounty located</x:v>
      </x:c>
      <x:c r="M533" s="8"/>
      <x:c r="N533" s="8"/>
      <x:c r="O533" s="8" t="str">
        <x:v>Implementation-specific</x:v>
      </x:c>
      <x:c r="P533" s="8" t="str">
        <x:v>Security disclosure/bounty program</x:v>
      </x:c>
      <x:c r="Q533" s="8"/>
      <x:c r="R533" s="8" t="str">
        <x:v>No formal bounty verified</x:v>
      </x:c>
      <x:c r="S533" s="8"/>
      <x:c r="T533" s="8"/>
      <x:c r="U533" s="8"/>
      <x:c r="V533" s="8"/>
      <x:c r="W533" s="8"/>
      <x:c r="X533" s="8"/>
      <x:c r="Y533" s="8" t="str">
        <x:v>No public bug bounty verified</x:v>
      </x:c>
      <x:c r="Z533" s="8" t="str">
        <x:v>No formal bounty verified</x:v>
      </x:c>
      <x:c r="AA533" s="8"/>
      <x:c r="AB533" s="8"/>
      <x:c r="AC533" s="9"/>
      <x:c r="AD533" s="8"/>
      <x:c r="AE533" s="8"/>
      <x:c r="AF533" s="8"/>
      <x:c r="AG533" s="8"/>
      <x:c r="AH533" s="14" t="n">
        <x:v>7</x:v>
      </x:c>
      <x:c r="AI533" s="15" t="str">
        <x:v>Canonical source for Security History &amp; Audits!7</x:v>
      </x:c>
    </x:row>
    <x:row r="534" ht="105">
      <x:c r="A534" s="12" t="str">
        <x:v>Security History &amp; Audits</x:v>
      </x:c>
      <x:c r="B534" s="13" t="str">
        <x:v>Vulnerability Disclosure Responsiveness</x:v>
      </x:c>
      <x:c r="C534" s="8" t="str">
        <x:v>Reports are usually answered within ~24 hours, per Discord's security page</x:v>
      </x:c>
      <x:c r="D534" s="8"/>
      <x:c r="E534" s="8"/>
      <x:c r="F534" s="8"/>
      <x:c r="G534" s="8"/>
      <x:c r="H534" s="8" t="str">
        <x:v>Public security/privacy documentation</x:v>
      </x:c>
      <x:c r="I534" s="8"/>
      <x:c r="J534" s="8"/>
      <x:c r="K534" s="8"/>
      <x:c r="L534" s="8" t="str">
        <x:v>Developer reports a security-researcher friend has privately reported bugs before production; no formal public disclosure program located</x:v>
      </x:c>
      <x:c r="M534" s="8"/>
      <x:c r="N534" s="8"/>
      <x:c r="O534" s="8" t="str">
        <x:v>Public security advisories across ecosystem</x:v>
      </x:c>
      <x:c r="P534" s="8" t="str">
        <x:v>Public advisories/responsive security process</x:v>
      </x:c>
      <x:c r="Q534" s="8"/>
      <x:c r="R534" s="8" t="str">
        <x:v>Public GitHub/security channels</x:v>
      </x:c>
      <x:c r="S534" s="8"/>
      <x:c r="T534" s="8"/>
      <x:c r="U534" s="8" t="str">
        <x:v>Security contact published at /.well-known/security.txt; response history not independently established</x:v>
      </x:c>
      <x:c r="V534" s="8"/>
      <x:c r="W534" s="8" t="str">
        <x:v>Public security advisories</x:v>
      </x:c>
      <x:c r="X534" s="8"/>
      <x:c r="Y534" s="8"/>
      <x:c r="Z534" s="8" t="str">
        <x:v>Public GitHub</x:v>
      </x:c>
      <x:c r="AA534" s="8" t="str">
        <x:v>Public issues/security advisories</x:v>
      </x:c>
      <x:c r="AB534" s="8"/>
      <x:c r="AC534" s="9"/>
      <x:c r="AD534" s="8"/>
      <x:c r="AE534" s="8"/>
      <x:c r="AF534" s="8"/>
      <x:c r="AG534" s="8" t="str">
        <x:v>Public security process</x:v>
      </x:c>
      <x:c r="AH534" s="14" t="n">
        <x:v>8</x:v>
      </x:c>
      <x:c r="AI534" s="15" t="str">
        <x:v>Canonical source for Security History &amp; Audits!8</x:v>
      </x:c>
    </x:row>
    <x:row r="535" ht="105">
      <x:c r="A535" s="12" t="str">
        <x:v>Security History &amp; Audits</x:v>
      </x:c>
      <x:c r="B535" s="13" t="str">
        <x:v>Security Program Maturity</x:v>
      </x:c>
      <x:c r="C535" s="8"/>
      <x:c r="D535" s="8"/>
      <x:c r="E535" s="8"/>
      <x:c r="F535" s="8"/>
      <x:c r="G535" s="8"/>
      <x:c r="H535" s="8"/>
      <x:c r="I535" s="8"/>
      <x:c r="J535" s="8"/>
      <x:c r="K535" s="8"/>
      <x:c r="L535" s="8" t="str">
        <x:v>Developer reports a security-researcher friend has privately reported bugs before production; no formal public disclosure program located</x:v>
      </x:c>
      <x:c r="M535" s="8"/>
      <x:c r="N535" s="8"/>
      <x:c r="O535" s="8"/>
      <x:c r="P535" s="8"/>
      <x:c r="Q535" s="8"/>
      <x:c r="R535" s="8"/>
      <x:c r="S535" s="8"/>
      <x:c r="T535" s="8"/>
      <x:c r="U535" s="8" t="str">
        <x:v>Early product; security contact published; no independent audit yet</x:v>
      </x:c>
      <x:c r="V535" s="8"/>
      <x:c r="W535" s="8"/>
      <x:c r="X535" s="8"/>
      <x:c r="Y535" s="8"/>
      <x:c r="Z535" s="8"/>
      <x:c r="AA535" s="8"/>
      <x:c r="AB535" s="8"/>
      <x:c r="AC535" s="9"/>
      <x:c r="AD535" s="8"/>
      <x:c r="AE535" s="8"/>
      <x:c r="AF535" s="8"/>
      <x:c r="AG535" s="8"/>
      <x:c r="AH535" s="14" t="n">
        <x:v>9</x:v>
      </x:c>
      <x:c r="AI535" s="15" t="str">
        <x:v>Canonical source for Security History &amp; Audits!9</x:v>
      </x:c>
    </x:row>
    <x:row r="536" ht="75">
      <x:c r="A536" s="12" t="str">
        <x:v>Security History &amp; Audits</x:v>
      </x:c>
      <x:c r="B536" s="13" t="str">
        <x:v>Public Security Advisory / CVE Process</x:v>
      </x:c>
      <x:c r="C536" s="8" t="str">
        <x:v>Yes</x:v>
      </x:c>
      <x:c r="D536" s="8"/>
      <x:c r="E536" s="8"/>
      <x:c r="F536" s="8"/>
      <x:c r="G536" s="8"/>
      <x:c r="H536" s="8"/>
      <x:c r="I536" s="8"/>
      <x:c r="J536" s="8"/>
      <x:c r="K536" s="8"/>
      <x:c r="L536" s="8" t="str">
        <x:v>No public CVE/advisory process located</x:v>
      </x:c>
      <x:c r="M536" s="8"/>
      <x:c r="N536" s="8"/>
      <x:c r="O536" s="8" t="str">
        <x:v>Yes</x:v>
      </x:c>
      <x:c r="P536" s="8" t="str">
        <x:v>Yes</x:v>
      </x:c>
      <x:c r="Q536" s="8"/>
      <x:c r="R536" s="8" t="str">
        <x:v>Yes</x:v>
      </x:c>
      <x:c r="S536" s="8"/>
      <x:c r="T536" s="8"/>
      <x:c r="U536" s="8" t="str">
        <x:v>Security contact: https://pqp.gg/.well-known/security.txt; no public CVE story reported</x:v>
      </x:c>
      <x:c r="V536" s="8"/>
      <x:c r="W536" s="8" t="str">
        <x:v>Yes</x:v>
      </x:c>
      <x:c r="X536" s="8"/>
      <x:c r="Y536" s="8"/>
      <x:c r="Z536" s="8"/>
      <x:c r="AA536" s="8"/>
      <x:c r="AB536" s="8"/>
      <x:c r="AC536" s="9"/>
      <x:c r="AD536" s="8"/>
      <x:c r="AE536" s="8"/>
      <x:c r="AF536" s="8"/>
      <x:c r="AG536" s="8"/>
      <x:c r="AH536" s="14" t="n">
        <x:v>10</x:v>
      </x:c>
      <x:c r="AI536" s="15" t="str">
        <x:v>Canonical source for Security History &amp; Audits!10</x:v>
      </x:c>
    </x:row>
    <x:row r="537" ht="60">
      <x:c r="A537" s="12" t="str">
        <x:v>Security History &amp; Audits</x:v>
      </x:c>
      <x:c r="B537" s="13" t="str">
        <x:v>Independent Penetration Tests Published</x:v>
      </x:c>
      <x:c r="C537" s="8" t="str">
        <x:v>Security/audit details vary; DAVE cryptographic audits published</x:v>
      </x:c>
      <x:c r="D537" s="8"/>
      <x:c r="E537" s="8"/>
      <x:c r="F537" s="8"/>
      <x:c r="G537" s="8"/>
      <x:c r="H537" s="8"/>
      <x:c r="I537" s="8"/>
      <x:c r="J537" s="8"/>
      <x:c r="K537" s="8"/>
      <x:c r="L537" s="8" t="str">
        <x:v>None published</x:v>
      </x:c>
      <x:c r="M537" s="8"/>
      <x:c r="N537" s="8"/>
      <x:c r="O537" s="8"/>
      <x:c r="P537" s="8"/>
      <x:c r="Q537" s="8"/>
      <x:c r="R537" s="8"/>
      <x:c r="S537" s="8"/>
      <x:c r="T537" s="8"/>
      <x:c r="U537" s="8" t="str">
        <x:v>None published</x:v>
      </x:c>
      <x:c r="V537" s="8"/>
      <x:c r="W537" s="8"/>
      <x:c r="X537" s="8"/>
      <x:c r="Y537" s="8"/>
      <x:c r="Z537" s="8"/>
      <x:c r="AA537" s="8"/>
      <x:c r="AB537" s="8"/>
      <x:c r="AC537" s="9"/>
      <x:c r="AD537" s="8"/>
      <x:c r="AE537" s="8"/>
      <x:c r="AF537" s="8"/>
      <x:c r="AG537" s="8"/>
      <x:c r="AH537" s="14" t="n">
        <x:v>11</x:v>
      </x:c>
      <x:c r="AI537" s="15" t="str">
        <x:v>Canonical source for Security History &amp; Audits!11</x:v>
      </x:c>
    </x:row>
    <x:row r="538" ht="45">
      <x:c r="A538" s="12" t="str">
        <x:v>Security History &amp; Audits</x:v>
      </x:c>
      <x:c r="B538" s="13" t="str">
        <x:v>Release / Artifact Signing Documented</x:v>
      </x:c>
      <x:c r="C538" s="8"/>
      <x:c r="D538" s="8"/>
      <x:c r="E538" s="8"/>
      <x:c r="F538" s="8"/>
      <x:c r="G538" s="8"/>
      <x:c r="H538" s="8"/>
      <x:c r="I538" s="8"/>
      <x:c r="J538" s="8"/>
      <x:c r="K538" s="8"/>
      <x:c r="L538" s="8" t="str">
        <x:v>No release-signing documentation located</x:v>
      </x:c>
      <x:c r="M538" s="8"/>
      <x:c r="N538" s="8"/>
      <x:c r="O538" s="8"/>
      <x:c r="P538" s="8"/>
      <x:c r="Q538" s="8"/>
      <x:c r="R538" s="8"/>
      <x:c r="S538" s="8"/>
      <x:c r="T538" s="8"/>
      <x:c r="U538" s="8"/>
      <x:c r="V538" s="8"/>
      <x:c r="W538" s="8"/>
      <x:c r="X538" s="8"/>
      <x:c r="Y538" s="8"/>
      <x:c r="Z538" s="8"/>
      <x:c r="AA538" s="8"/>
      <x:c r="AB538" s="8"/>
      <x:c r="AC538" s="9"/>
      <x:c r="AD538" s="8"/>
      <x:c r="AE538" s="8"/>
      <x:c r="AF538" s="8"/>
      <x:c r="AG538" s="8"/>
      <x:c r="AH538" s="14" t="n">
        <x:v>12</x:v>
      </x:c>
      <x:c r="AI538" s="15" t="str">
        <x:v>Canonical source for Security History &amp; Audits!12</x:v>
      </x:c>
    </x:row>
    <x:row r="539" ht="45">
      <x:c r="A539" s="12" t="str">
        <x:v>Security History &amp; Audits</x:v>
      </x:c>
      <x:c r="B539" s="13" t="str">
        <x:v>SBOM / Supply-Chain Transparency</x:v>
      </x:c>
      <x:c r="C539" s="8"/>
      <x:c r="D539" s="8"/>
      <x:c r="E539" s="8"/>
      <x:c r="F539" s="8"/>
      <x:c r="G539" s="8"/>
      <x:c r="H539" s="8"/>
      <x:c r="I539" s="8"/>
      <x:c r="J539" s="8"/>
      <x:c r="K539" s="8"/>
      <x:c r="L539" s="8" t="str">
        <x:v>No SBOM/public supply-chain inventory located</x:v>
      </x:c>
      <x:c r="M539" s="8"/>
      <x:c r="N539" s="8"/>
      <x:c r="O539" s="8"/>
      <x:c r="P539" s="8"/>
      <x:c r="Q539" s="8"/>
      <x:c r="R539" s="8"/>
      <x:c r="S539" s="8"/>
      <x:c r="T539" s="8"/>
      <x:c r="U539" s="8"/>
      <x:c r="V539" s="8"/>
      <x:c r="W539" s="8"/>
      <x:c r="X539" s="8"/>
      <x:c r="Y539" s="8"/>
      <x:c r="Z539" s="8"/>
      <x:c r="AA539" s="8"/>
      <x:c r="AB539" s="8"/>
      <x:c r="AC539" s="9"/>
      <x:c r="AD539" s="8"/>
      <x:c r="AE539" s="8"/>
      <x:c r="AF539" s="8"/>
      <x:c r="AG539" s="8"/>
      <x:c r="AH539" s="14" t="n">
        <x:v>13</x:v>
      </x:c>
      <x:c r="AI539" s="15" t="str">
        <x:v>Canonical source for Security History &amp; Audits!13</x:v>
      </x:c>
    </x:row>
    <x:row r="540" ht="75">
      <x:c r="A540" s="12" t="str">
        <x:v>Moderation &amp; Safety</x:v>
      </x:c>
      <x:c r="B540" s="13" t="str">
        <x:v>Native AutoMod Engine</x:v>
      </x:c>
      <x:c r="C540" s="8" t="str">
        <x:v>Yes: AutoMod</x:v>
      </x:c>
      <x:c r="D540" s="8"/>
      <x:c r="E540" s="8" t="str">
        <x:v>Server/operator moderation</x:v>
      </x:c>
      <x:c r="F540" s="8"/>
      <x:c r="G540" s="8" t="str">
        <x:v>Native moderation</x:v>
      </x:c>
      <x:c r="H540" s="8" t="str">
        <x:v>Native moderation</x:v>
      </x:c>
      <x:c r="I540" s="8"/>
      <x:c r="J540" s="8"/>
      <x:c r="K540" s="8"/>
      <x:c r="L540" s="8" t="str">
        <x:v>Yes: developer reports native AutoMod</x:v>
      </x:c>
      <x:c r="M540" s="8" t="str">
        <x:v>Native moderation</x:v>
      </x:c>
      <x:c r="N540" s="8"/>
      <x:c r="O540" s="8" t="str">
        <x:v>Protocol supports room permissions/power levels; tooling varies by client/server</x:v>
      </x:c>
      <x:c r="P540" s="8" t="str">
        <x:v>Moderation/admin/retention/compliance tools</x:v>
      </x:c>
      <x:c r="Q540" s="8"/>
      <x:c r="R540" s="8" t="str">
        <x:v>ACLs/permissions rather than AutoMod</x:v>
      </x:c>
      <x:c r="S540" s="8"/>
      <x:c r="T540" s="8"/>
      <x:c r="U540" s="8" t="str">
        <x:v>Native moderation</x:v>
      </x:c>
      <x:c r="V540" s="8" t="str">
        <x:v>Yes: built-in AutoMod</x:v>
      </x:c>
      <x:c r="W540" s="8" t="str">
        <x:v>Moderation/admin tools</x:v>
      </x:c>
      <x:c r="X540" s="8"/>
      <x:c r="Y540" s="8" t="str">
        <x:v>Yes: Moderation App + native controls</x:v>
      </x:c>
      <x:c r="Z540" s="8" t="str">
        <x:v>Discord-compatible moderation target</x:v>
      </x:c>
      <x:c r="AA540" s="8" t="str">
        <x:v>Partial/native moderation controls</x:v>
      </x:c>
      <x:c r="AB540" s="8" t="str">
        <x:v>Permissions/admin tools</x:v>
      </x:c>
      <x:c r="AC540" s="9" t="str">
        <x:v>Built-in automod</x:v>
      </x:c>
      <x:c r="AD540" s="8"/>
      <x:c r="AE540" s="8"/>
      <x:c r="AF540" s="8"/>
      <x:c r="AG540" s="8" t="str">
        <x:v>Moderation/admin controls; no Discord-style AutoMod core</x:v>
      </x:c>
      <x:c r="AH540" s="14" t="n">
        <x:v>3</x:v>
      </x:c>
      <x:c r="AI540" s="15" t="str">
        <x:v>Canonical source for Moderation &amp; Safety!3</x:v>
      </x:c>
    </x:row>
    <x:row r="541" ht="75">
      <x:c r="A541" s="12" t="str">
        <x:v>Moderation &amp; Safety</x:v>
      </x:c>
      <x:c r="B541" s="13" t="str">
        <x:v>Custom Keyword &amp; Regex Blocklists</x:v>
      </x:c>
      <x:c r="C541" s="8" t="str">
        <x:v>Yes: custom keywords + Rust-flavor regex</x:v>
      </x:c>
      <x:c r="D541" s="8"/>
      <x:c r="E541" s="8" t="str">
        <x:v>Advanced anti-spam advertised</x:v>
      </x:c>
      <x:c r="F541" s="8"/>
      <x:c r="G541" s="8"/>
      <x:c r="H541" s="8"/>
      <x:c r="I541" s="8"/>
      <x:c r="J541" s="8"/>
      <x:c r="K541" s="8"/>
      <x:c r="L541" s="8" t="str">
        <x:v>AutoMod exists; exact keyword and regex rule types were not fully documented in reviewed public sources.</x:v>
      </x:c>
      <x:c r="M541" s="8"/>
      <x:c r="N541" s="8"/>
      <x:c r="O541" s="8" t="str">
        <x:v>Client/server/bot-dependent</x:v>
      </x:c>
      <x:c r="P541" s="8"/>
      <x:c r="Q541" s="8"/>
      <x:c r="R541" s="8" t="str">
        <x:v>No text AutoMod focus</x:v>
      </x:c>
      <x:c r="S541" s="8"/>
      <x:c r="T541" s="8"/>
      <x:c r="U541" s="8"/>
      <x:c r="V541" s="8" t="str">
        <x:v>Yes - built-in automod</x:v>
      </x:c>
      <x:c r="W541" s="8"/>
      <x:c r="X541" s="8"/>
      <x:c r="Y541" s="8"/>
      <x:c r="Z541" s="8"/>
      <x:c r="AA541" s="8"/>
      <x:c r="AB541" s="8"/>
      <x:c r="AC541" s="9" t="str">
        <x:v>Blocklists/automod</x:v>
      </x:c>
      <x:c r="AD541" s="8"/>
      <x:c r="AE541" s="8"/>
      <x:c r="AF541" s="8"/>
      <x:c r="AG541" s="8"/>
      <x:c r="AH541" s="14" t="n">
        <x:v>4</x:v>
      </x:c>
      <x:c r="AI541" s="15" t="str">
        <x:v>Canonical source for Moderation &amp; Safety!4</x:v>
      </x:c>
    </x:row>
    <x:row r="542" ht="60">
      <x:c r="A542" s="12" t="str">
        <x:v>Moderation &amp; Safety</x:v>
      </x:c>
      <x:c r="B542" s="13" t="str">
        <x:v>Anti-Spam &amp; Rate Limiting</x:v>
      </x:c>
      <x:c r="C542" s="8" t="str">
        <x:v>Yes: AutoMod spam filter, platform/API rate limits, verification levels, and slowmode</x:v>
      </x:c>
      <x:c r="D542" s="8"/>
      <x:c r="E542" s="8" t="str">
        <x:v>Advanced anti-spam/rate controls</x:v>
      </x:c>
      <x:c r="F542" s="8"/>
      <x:c r="G542" s="8" t="str">
        <x:v>Yes / planned native</x:v>
      </x:c>
      <x:c r="H542" s="8" t="str">
        <x:v>Rate limits + moderation tools</x:v>
      </x:c>
      <x:c r="I542" s="8"/>
      <x:c r="J542" s="8"/>
      <x:c r="K542" s="8"/>
      <x:c r="L542" s="8" t="str">
        <x:v>Yes: API/gateway mutation rate limits and bounded report limits are documented</x:v>
      </x:c>
      <x:c r="M542" s="8"/>
      <x:c r="N542" s="8"/>
      <x:c r="O542" s="8" t="str">
        <x:v>Homeserver and bot-dependent</x:v>
      </x:c>
      <x:c r="P542" s="8" t="str">
        <x:v>Rate limits + admin controls</x:v>
      </x:c>
      <x:c r="Q542" s="8"/>
      <x:c r="R542" s="8" t="str">
        <x:v>Server ACLs/rate controls</x:v>
      </x:c>
      <x:c r="S542" s="8"/>
      <x:c r="T542" s="8"/>
      <x:c r="U542" s="8" t="str">
        <x:v>Rate controls</x:v>
      </x:c>
      <x:c r="V542" s="8" t="str">
        <x:v>Yes: spam protection + slowmode</x:v>
      </x:c>
      <x:c r="W542" s="8" t="str">
        <x:v>Rate limiting + moderation</x:v>
      </x:c>
      <x:c r="X542" s="8"/>
      <x:c r="Y542" s="8" t="str">
        <x:v>Yes: spam rules</x:v>
      </x:c>
      <x:c r="Z542" s="8" t="str">
        <x:v>Configurable rate limiting</x:v>
      </x:c>
      <x:c r="AA542" s="8" t="str">
        <x:v>Rate limiting + moderation controls</x:v>
      </x:c>
      <x:c r="AB542" s="8" t="str">
        <x:v>Anti-spam/flood controls</x:v>
      </x:c>
      <x:c r="AC542" s="9" t="str">
        <x:v>Spam/raid tools</x:v>
      </x:c>
      <x:c r="AD542" s="8"/>
      <x:c r="AE542" s="8"/>
      <x:c r="AF542" s="8"/>
      <x:c r="AG542" s="8" t="str">
        <x:v>Rate limiting/admin controls</x:v>
      </x:c>
      <x:c r="AH542" s="14" t="n">
        <x:v>5</x:v>
      </x:c>
      <x:c r="AI542" s="15" t="str">
        <x:v>Canonical source for Moderation &amp; Safety!5</x:v>
      </x:c>
    </x:row>
    <x:row r="543" ht="75">
      <x:c r="A543" s="12" t="str">
        <x:v>Moderation &amp; Safety</x:v>
      </x:c>
      <x:c r="B543" s="13" t="str">
        <x:v>Anti-Raid / Mass Join Mitigation</x:v>
      </x:c>
      <x:c r="C543" s="8" t="str">
        <x:v>Yes: Raid Protection uses ML signals and can require CAPTCHA; verification/security controls also available</x:v>
      </x:c>
      <x:c r="D543" s="8"/>
      <x:c r="E543" s="8" t="str">
        <x:v>Federated ban-sharing planned</x:v>
      </x:c>
      <x:c r="F543" s="8"/>
      <x:c r="G543" s="8"/>
      <x:c r="H543" s="8"/>
      <x:c r="I543" s="8"/>
      <x:c r="J543" s="8"/>
      <x:c r="K543" s="8"/>
      <x:c r="L543" s="8" t="str">
        <x:v>Not fully documented</x:v>
      </x:c>
      <x:c r="M543" s="8"/>
      <x:c r="N543" s="8"/>
      <x:c r="O543" s="8" t="str">
        <x:v>Homeserver/operator-dependent</x:v>
      </x:c>
      <x:c r="P543" s="8"/>
      <x:c r="Q543" s="8"/>
      <x:c r="R543" s="8" t="str">
        <x:v>N/A</x:v>
      </x:c>
      <x:c r="S543" s="8"/>
      <x:c r="T543" s="8"/>
      <x:c r="U543" s="8"/>
      <x:c r="V543" s="8" t="str">
        <x:v>Yes: join-spike detection, account-age gate, raid mode</x:v>
      </x:c>
      <x:c r="W543" s="8"/>
      <x:c r="X543" s="8"/>
      <x:c r="Y543" s="8"/>
      <x:c r="Z543" s="8"/>
      <x:c r="AA543" s="8"/>
      <x:c r="AB543" s="8"/>
      <x:c r="AC543" s="9" t="str">
        <x:v>Automod raid protection</x:v>
      </x:c>
      <x:c r="AD543" s="8"/>
      <x:c r="AE543" s="8"/>
      <x:c r="AF543" s="8"/>
      <x:c r="AG543" s="8"/>
      <x:c r="AH543" s="14" t="n">
        <x:v>6</x:v>
      </x:c>
      <x:c r="AI543" s="15" t="str">
        <x:v>Canonical source for Moderation &amp; Safety!6</x:v>
      </x:c>
    </x:row>
    <x:row r="544" ht="90">
      <x:c r="A544" s="12" t="str">
        <x:v>Moderation &amp; Safety</x:v>
      </x:c>
      <x:c r="B544" s="13" t="str">
        <x:v>Audit Log Retention Period</x:v>
      </x:c>
      <x:c r="C544" s="8" t="str">
        <x:v>45 days</x:v>
      </x:c>
      <x:c r="D544" s="8"/>
      <x:c r="E544" s="8" t="str">
        <x:v>Operator controlled</x:v>
      </x:c>
      <x:c r="F544" s="8"/>
      <x:c r="G544" s="8"/>
      <x:c r="H544" s="8"/>
      <x:c r="I544" s="8"/>
      <x:c r="J544" s="8"/>
      <x:c r="K544" s="8"/>
      <x:c r="L544" s="8" t="str">
        <x:v>Developer reports no audit-depth limit; public documentation confirm audit records but do not publish a retention cap</x:v>
      </x:c>
      <x:c r="M544" s="8"/>
      <x:c r="N544" s="8"/>
      <x:c r="O544" s="8" t="str">
        <x:v>Homeserver-dependent</x:v>
      </x:c>
      <x:c r="P544" s="8" t="str">
        <x:v>Audit logs enterprise/deployment-dependent</x:v>
      </x:c>
      <x:c r="Q544" s="8"/>
      <x:c r="R544" s="8" t="str">
        <x:v>Server logs operator-controlled</x:v>
      </x:c>
      <x:c r="S544" s="8"/>
      <x:c r="T544" s="8"/>
      <x:c r="U544" s="8" t="str">
        <x:v>Audit log exists; retention period not publicly claimed</x:v>
      </x:c>
      <x:c r="V544" s="8"/>
      <x:c r="W544" s="8" t="str">
        <x:v>Audit logs enterprise/admin</x:v>
      </x:c>
      <x:c r="X544" s="8"/>
      <x:c r="Y544" s="8"/>
      <x:c r="Z544" s="8"/>
      <x:c r="AA544" s="8"/>
      <x:c r="AB544" s="8" t="str">
        <x:v>Server logs/operator-controlled</x:v>
      </x:c>
      <x:c r="AC544" s="9"/>
      <x:c r="AD544" s="8"/>
      <x:c r="AE544" s="8"/>
      <x:c r="AF544" s="8"/>
      <x:c r="AG544" s="8" t="str">
        <x:v>Audit/admin logs deployment-dependent</x:v>
      </x:c>
      <x:c r="AH544" s="14" t="n">
        <x:v>7</x:v>
      </x:c>
      <x:c r="AI544" s="15" t="str">
        <x:v>Canonical source for Moderation &amp; Safety!7</x:v>
      </x:c>
    </x:row>
    <x:row r="545" ht="90">
      <x:c r="A545" s="12" t="str">
        <x:v>Moderation &amp; Safety</x:v>
      </x:c>
      <x:c r="B545" s="13" t="str">
        <x:v>Audit Log Granularity &amp; Filtering</x:v>
      </x:c>
      <x:c r="C545" s="8" t="str">
        <x:v>Granular administrative actions with actor/target/changes/reason; available in client and API</x:v>
      </x:c>
      <x:c r="D545" s="8"/>
      <x:c r="E545" s="8" t="str">
        <x:v>Operator tools</x:v>
      </x:c>
      <x:c r="F545" s="8"/>
      <x:c r="G545" s="8"/>
      <x:c r="H545" s="8"/>
      <x:c r="I545" s="8"/>
      <x:c r="J545" s="8"/>
      <x:c r="K545" s="8"/>
      <x:c r="L545" s="8" t="str">
        <x:v>Yes: administration audit includes actor, action, target, safe metadata and timestamp</x:v>
      </x:c>
      <x:c r="M545" s="8"/>
      <x:c r="N545" s="8"/>
      <x:c r="O545" s="8" t="str">
        <x:v>Homeserver-dependent</x:v>
      </x:c>
      <x:c r="P545" s="8" t="str">
        <x:v>Detailed audit/compliance tooling</x:v>
      </x:c>
      <x:c r="Q545" s="8"/>
      <x:c r="R545" s="8" t="str">
        <x:v>ACL/log tools</x:v>
      </x:c>
      <x:c r="S545" s="8"/>
      <x:c r="T545" s="8"/>
      <x:c r="U545" s="8" t="str">
        <x:v>Audit log exists; detailed filtering/granularity not stated</x:v>
      </x:c>
      <x:c r="V545" s="8" t="str">
        <x:v>Yes: searchable mod feed by user/date/action</x:v>
      </x:c>
      <x:c r="W545" s="8" t="str">
        <x:v>Detailed enterprise audit tools</x:v>
      </x:c>
      <x:c r="X545" s="8"/>
      <x:c r="Y545" s="8"/>
      <x:c r="Z545" s="8"/>
      <x:c r="AA545" s="8"/>
      <x:c r="AB545" s="8" t="str">
        <x:v>Detailed permissions/logging</x:v>
      </x:c>
      <x:c r="AC545" s="9" t="str">
        <x:v>Moderation tooling</x:v>
      </x:c>
      <x:c r="AD545" s="8"/>
      <x:c r="AE545" s="8"/>
      <x:c r="AF545" s="8"/>
      <x:c r="AG545" s="8" t="str">
        <x:v>Admin tooling</x:v>
      </x:c>
      <x:c r="AH545" s="14" t="n">
        <x:v>8</x:v>
      </x:c>
      <x:c r="AI545" s="15" t="str">
        <x:v>Canonical source for Moderation &amp; Safety!8</x:v>
      </x:c>
    </x:row>
    <x:row r="546" ht="75">
      <x:c r="A546" s="12" t="str">
        <x:v>Moderation &amp; Safety</x:v>
      </x:c>
      <x:c r="B546" s="13" t="str">
        <x:v>New Member Screening / Gate</x:v>
      </x:c>
      <x:c r="C546" s="8" t="str">
        <x:v>Yes: Rules Screening + verification levels; Server Member Applications are available/rolling out</x:v>
      </x:c>
      <x:c r="D546" s="8"/>
      <x:c r="E546" s="8" t="str">
        <x:v>Instance controls</x:v>
      </x:c>
      <x:c r="F546" s="8"/>
      <x:c r="G546" s="8"/>
      <x:c r="H546" s="8"/>
      <x:c r="I546" s="8"/>
      <x:c r="J546" s="8"/>
      <x:c r="K546" s="8"/>
      <x:c r="L546" s="8"/>
      <x:c r="M546" s="8"/>
      <x:c r="N546" s="8"/>
      <x:c r="O546" s="8" t="str">
        <x:v>Client/server-dependent</x:v>
      </x:c>
      <x:c r="P546" s="8" t="str">
        <x:v>Invite/SSO/admin restrictions</x:v>
      </x:c>
      <x:c r="Q546" s="8"/>
      <x:c r="R546" s="8" t="str">
        <x:v>Password/cert/ACL gates</x:v>
      </x:c>
      <x:c r="S546" s="8"/>
      <x:c r="T546" s="8"/>
      <x:c r="U546" s="8"/>
      <x:c r="V546" s="8" t="str">
        <x:v>Yes - Join Applications</x:v>
      </x:c>
      <x:c r="W546" s="8" t="str">
        <x:v>Invite/SSO/approval options</x:v>
      </x:c>
      <x:c r="X546" s="8"/>
      <x:c r="Y546" s="8"/>
      <x:c r="Z546" s="8"/>
      <x:c r="AA546" s="8"/>
      <x:c r="AB546" s="8" t="str">
        <x:v>Password/permissions</x:v>
      </x:c>
      <x:c r="AC546" s="9"/>
      <x:c r="AD546" s="8"/>
      <x:c r="AE546" s="8"/>
      <x:c r="AF546" s="8"/>
      <x:c r="AG546" s="8" t="str">
        <x:v>Invite/SSO/domain controls</x:v>
      </x:c>
      <x:c r="AH546" s="14" t="n">
        <x:v>9</x:v>
      </x:c>
      <x:c r="AI546" s="15" t="str">
        <x:v>Canonical source for Moderation &amp; Safety!9</x:v>
      </x:c>
    </x:row>
    <x:row r="547" ht="105">
      <x:c r="A547" s="12" t="str">
        <x:v>Moderation &amp; Safety</x:v>
      </x:c>
      <x:c r="B547" s="13" t="str">
        <x:v>Report Management Queue &amp; Mod Dashboard</x:v>
      </x:c>
      <x:c r="C547" s="8"/>
      <x:c r="D547" s="8"/>
      <x:c r="E547" s="8" t="str">
        <x:v>Operator responsibility</x:v>
      </x:c>
      <x:c r="F547" s="8"/>
      <x:c r="G547" s="8" t="str">
        <x:v>Native moderation controls</x:v>
      </x:c>
      <x:c r="H547" s="8"/>
      <x:c r="I547" s="8"/>
      <x:c r="J547" s="8"/>
      <x:c r="K547" s="8"/>
      <x:c r="L547" s="8" t="str">
        <x:v>Yes: instance Trust &amp; Safety report queue with triage/review/request-info/action/no-action/duplicate/reopen workflow</x:v>
      </x:c>
      <x:c r="M547" s="8"/>
      <x:c r="N547" s="8"/>
      <x:c r="O547" s="8" t="str">
        <x:v>Client/server-dependent</x:v>
      </x:c>
      <x:c r="P547" s="8" t="str">
        <x:v>Admin console</x:v>
      </x:c>
      <x:c r="Q547" s="8"/>
      <x:c r="R547" s="8" t="str">
        <x:v>Admin tools</x:v>
      </x:c>
      <x:c r="S547" s="8"/>
      <x:c r="T547" s="8"/>
      <x:c r="U547" s="8" t="str">
        <x:v>Reports in-app</x:v>
      </x:c>
      <x:c r="V547" s="8" t="str">
        <x:v>Yes: structured reports + Shard Command Center</x:v>
      </x:c>
      <x:c r="W547" s="8" t="str">
        <x:v>Admin console</x:v>
      </x:c>
      <x:c r="X547" s="8"/>
      <x:c r="Y547" s="8" t="str">
        <x:v>Moderation App dashboards/analytics</x:v>
      </x:c>
      <x:c r="Z547" s="8"/>
      <x:c r="AA547" s="8"/>
      <x:c r="AB547" s="8" t="str">
        <x:v>Admin tools</x:v>
      </x:c>
      <x:c r="AC547" s="9" t="str">
        <x:v>Admin/mod tools</x:v>
      </x:c>
      <x:c r="AD547" s="8"/>
      <x:c r="AE547" s="8"/>
      <x:c r="AF547" s="8"/>
      <x:c r="AG547" s="8" t="str">
        <x:v>Admin UI</x:v>
      </x:c>
      <x:c r="AH547" s="14" t="n">
        <x:v>10</x:v>
      </x:c>
      <x:c r="AI547" s="15" t="str">
        <x:v>Canonical source for Moderation &amp; Safety!10</x:v>
      </x:c>
    </x:row>
    <x:row r="548" ht="105">
      <x:c r="A548" s="12" t="str">
        <x:v>Moderation &amp; Safety</x:v>
      </x:c>
      <x:c r="B548" s="13" t="str">
        <x:v>Moderator Workflow &amp; Enforcement</x:v>
      </x:c>
      <x:c r="C548" s="8"/>
      <x:c r="D548" s="8"/>
      <x:c r="E548" s="8"/>
      <x:c r="F548" s="8"/>
      <x:c r="G548" s="8"/>
      <x:c r="H548" s="8"/>
      <x:c r="I548" s="8"/>
      <x:c r="J548" s="8"/>
      <x:c r="K548" s="8"/>
      <x:c r="L548" s="8" t="str">
        <x:v>Yes: instance Trust &amp; Safety report queue with triage/review/request-info/action/no-action/duplicate/reopen workflow</x:v>
      </x:c>
      <x:c r="M548" s="8"/>
      <x:c r="N548" s="8"/>
      <x:c r="O548" s="8"/>
      <x:c r="P548" s="8"/>
      <x:c r="Q548" s="8"/>
      <x:c r="R548" s="8"/>
      <x:c r="S548" s="8"/>
      <x:c r="T548" s="8"/>
      <x:c r="U548" s="8"/>
      <x:c r="V548" s="8" t="str">
        <x:v>Yes - Command Center</x:v>
      </x:c>
      <x:c r="W548" s="8"/>
      <x:c r="X548" s="8"/>
      <x:c r="Y548" s="8"/>
      <x:c r="Z548" s="8"/>
      <x:c r="AA548" s="8"/>
      <x:c r="AB548" s="8"/>
      <x:c r="AC548" s="9"/>
      <x:c r="AD548" s="8"/>
      <x:c r="AE548" s="8"/>
      <x:c r="AF548" s="8"/>
      <x:c r="AG548" s="8"/>
      <x:c r="AH548" s="14" t="n">
        <x:v>11</x:v>
      </x:c>
      <x:c r="AI548" s="15" t="str">
        <x:v>Canonical source for Moderation &amp; Safety!11</x:v>
      </x:c>
    </x:row>
    <x:row r="549" ht="75">
      <x:c r="A549" s="12" t="str">
        <x:v>Moderation Detail</x:v>
      </x:c>
      <x:c r="B549" s="13" t="str">
        <x:v>Native AutoMod?</x:v>
      </x:c>
      <x:c r="C549" s="8" t="str">
        <x:v>Yes: AutoMod</x:v>
      </x:c>
      <x:c r="D549" s="8"/>
      <x:c r="E549" s="8" t="str">
        <x:v>Server/operator moderation</x:v>
      </x:c>
      <x:c r="F549" s="8"/>
      <x:c r="G549" s="8" t="str">
        <x:v>Native moderation</x:v>
      </x:c>
      <x:c r="H549" s="8" t="str">
        <x:v>Native moderation</x:v>
      </x:c>
      <x:c r="I549" s="8"/>
      <x:c r="J549" s="8"/>
      <x:c r="K549" s="8"/>
      <x:c r="L549" s="8" t="str">
        <x:v>Yes: developer reports native AutoMod</x:v>
      </x:c>
      <x:c r="M549" s="8" t="str">
        <x:v>Native moderation</x:v>
      </x:c>
      <x:c r="N549" s="8"/>
      <x:c r="O549" s="8" t="str">
        <x:v>Protocol supports room permissions/power levels; tooling varies by client/server</x:v>
      </x:c>
      <x:c r="P549" s="8" t="str">
        <x:v>Moderation/admin/retention/compliance tools</x:v>
      </x:c>
      <x:c r="Q549" s="8"/>
      <x:c r="R549" s="8" t="str">
        <x:v>ACLs/permissions rather than AutoMod</x:v>
      </x:c>
      <x:c r="S549" s="8"/>
      <x:c r="T549" s="8"/>
      <x:c r="U549" s="8" t="str">
        <x:v>Native moderation</x:v>
      </x:c>
      <x:c r="V549" s="8" t="str">
        <x:v>Yes</x:v>
      </x:c>
      <x:c r="W549" s="8" t="str">
        <x:v>Moderation/admin tools</x:v>
      </x:c>
      <x:c r="X549" s="8"/>
      <x:c r="Y549" s="8" t="str">
        <x:v>Yes: Moderation App + native controls</x:v>
      </x:c>
      <x:c r="Z549" s="8" t="str">
        <x:v>Discord-compatible moderation target</x:v>
      </x:c>
      <x:c r="AA549" s="8" t="str">
        <x:v>Partial/native moderation controls</x:v>
      </x:c>
      <x:c r="AB549" s="8" t="str">
        <x:v>Permissions/admin tools</x:v>
      </x:c>
      <x:c r="AC549" s="9" t="str">
        <x:v>Built-in automod</x:v>
      </x:c>
      <x:c r="AD549" s="8"/>
      <x:c r="AE549" s="8"/>
      <x:c r="AF549" s="8"/>
      <x:c r="AG549" s="8" t="str">
        <x:v>Moderation/admin controls; no Discord-style AutoMod core</x:v>
      </x:c>
      <x:c r="AH549" s="14" t="n">
        <x:v>4</x:v>
      </x:c>
      <x:c r="AI549" s="15" t="str">
        <x:v>Canonical source for Moderation Detail!4</x:v>
      </x:c>
    </x:row>
    <x:row r="550" ht="75">
      <x:c r="A550" s="12" t="str">
        <x:v>Moderation Detail</x:v>
      </x:c>
      <x:c r="B550" s="13" t="str">
        <x:v>Custom Keyword Blocklist?</x:v>
      </x:c>
      <x:c r="C550" s="8" t="str">
        <x:v>Yes: custom keywords + Rust-flavor regex</x:v>
      </x:c>
      <x:c r="D550" s="8"/>
      <x:c r="E550" s="8" t="str">
        <x:v>Advanced anti-spam advertised</x:v>
      </x:c>
      <x:c r="F550" s="8"/>
      <x:c r="G550" s="8"/>
      <x:c r="H550" s="8"/>
      <x:c r="I550" s="8"/>
      <x:c r="J550" s="8"/>
      <x:c r="K550" s="8"/>
      <x:c r="L550" s="8" t="str">
        <x:v>AutoMod exists; exact keyword and regex rule types were not fully documented in reviewed public sources.</x:v>
      </x:c>
      <x:c r="M550" s="8"/>
      <x:c r="N550" s="8"/>
      <x:c r="O550" s="8" t="str">
        <x:v>Client/server/bot-dependent</x:v>
      </x:c>
      <x:c r="P550" s="8"/>
      <x:c r="Q550" s="8"/>
      <x:c r="R550" s="8" t="str">
        <x:v>No text AutoMod focus</x:v>
      </x:c>
      <x:c r="S550" s="8"/>
      <x:c r="T550" s="8"/>
      <x:c r="U550" s="8"/>
      <x:c r="V550" s="8" t="str">
        <x:v>Yes</x:v>
      </x:c>
      <x:c r="W550" s="8"/>
      <x:c r="X550" s="8"/>
      <x:c r="Y550" s="8"/>
      <x:c r="Z550" s="8"/>
      <x:c r="AA550" s="8"/>
      <x:c r="AB550" s="8"/>
      <x:c r="AC550" s="9" t="str">
        <x:v>Blocklists/automod</x:v>
      </x:c>
      <x:c r="AD550" s="8"/>
      <x:c r="AE550" s="8"/>
      <x:c r="AF550" s="8"/>
      <x:c r="AG550" s="8"/>
      <x:c r="AH550" s="14" t="n">
        <x:v>5</x:v>
      </x:c>
      <x:c r="AI550" s="15" t="str">
        <x:v>Canonical source for Moderation Detail!5</x:v>
      </x:c>
    </x:row>
    <x:row r="551" ht="75">
      <x:c r="A551" s="12" t="str">
        <x:v>Moderation Detail</x:v>
      </x:c>
      <x:c r="B551" s="13" t="str">
        <x:v>Regex Blocklist?</x:v>
      </x:c>
      <x:c r="C551" s="8" t="str">
        <x:v>Yes</x:v>
      </x:c>
      <x:c r="D551" s="8"/>
      <x:c r="E551" s="8"/>
      <x:c r="F551" s="8"/>
      <x:c r="G551" s="8"/>
      <x:c r="H551" s="8"/>
      <x:c r="I551" s="8"/>
      <x:c r="J551" s="8"/>
      <x:c r="K551" s="8"/>
      <x:c r="L551" s="8" t="str">
        <x:v>AutoMod exists; exact keyword and regex rule types were not fully documented in reviewed public sources.</x:v>
      </x:c>
      <x:c r="M551" s="8"/>
      <x:c r="N551" s="8"/>
      <x:c r="O551" s="8"/>
      <x:c r="P551" s="8" t="str">
        <x:v>Yes</x:v>
      </x:c>
      <x:c r="Q551" s="8"/>
      <x:c r="R551" s="8" t="str">
        <x:v>No</x:v>
      </x:c>
      <x:c r="S551" s="8"/>
      <x:c r="T551" s="8"/>
      <x:c r="U551" s="8"/>
      <x:c r="V551" s="8"/>
      <x:c r="W551" s="8" t="str">
        <x:v>Yes</x:v>
      </x:c>
      <x:c r="X551" s="8"/>
      <x:c r="Y551" s="8" t="str">
        <x:v>Yes</x:v>
      </x:c>
      <x:c r="Z551" s="8"/>
      <x:c r="AA551" s="8" t="str">
        <x:v>Yes</x:v>
      </x:c>
      <x:c r="AB551" s="8"/>
      <x:c r="AC551" s="9"/>
      <x:c r="AD551" s="8"/>
      <x:c r="AE551" s="8"/>
      <x:c r="AF551" s="8"/>
      <x:c r="AG551" s="8"/>
      <x:c r="AH551" s="14" t="n">
        <x:v>6</x:v>
      </x:c>
      <x:c r="AI551" s="15" t="str">
        <x:v>Canonical source for Moderation Detail!6</x:v>
      </x:c>
    </x:row>
    <x:row r="552" ht="75">
      <x:c r="A552" s="12" t="str">
        <x:v>Moderation Detail</x:v>
      </x:c>
      <x:c r="B552" s="13" t="str">
        <x:v>Link Filter?</x:v>
      </x:c>
      <x:c r="C552" s="8"/>
      <x:c r="D552" s="8"/>
      <x:c r="E552" s="8"/>
      <x:c r="F552" s="8"/>
      <x:c r="G552" s="8"/>
      <x:c r="H552" s="8"/>
      <x:c r="I552" s="8"/>
      <x:c r="J552" s="8"/>
      <x:c r="K552" s="8"/>
      <x:c r="L552" s="8" t="str">
        <x:v>AutoMod exists; exact keyword and regex rule types were not fully documented in reviewed public sources.</x:v>
      </x:c>
      <x:c r="M552" s="8"/>
      <x:c r="N552" s="8"/>
      <x:c r="O552" s="8"/>
      <x:c r="P552" s="8"/>
      <x:c r="Q552" s="8"/>
      <x:c r="R552" s="8"/>
      <x:c r="S552" s="8"/>
      <x:c r="T552" s="8"/>
      <x:c r="U552" s="8"/>
      <x:c r="V552" s="8" t="str">
        <x:v>Yes</x:v>
      </x:c>
      <x:c r="W552" s="8"/>
      <x:c r="X552" s="8"/>
      <x:c r="Y552" s="8"/>
      <x:c r="Z552" s="8"/>
      <x:c r="AA552" s="8"/>
      <x:c r="AB552" s="8"/>
      <x:c r="AC552" s="9"/>
      <x:c r="AD552" s="8"/>
      <x:c r="AE552" s="8"/>
      <x:c r="AF552" s="8"/>
      <x:c r="AG552" s="8"/>
      <x:c r="AH552" s="14" t="n">
        <x:v>7</x:v>
      </x:c>
      <x:c r="AI552" s="15" t="str">
        <x:v>Canonical source for Moderation Detail!7</x:v>
      </x:c>
    </x:row>
    <x:row r="553" ht="75">
      <x:c r="A553" s="12" t="str">
        <x:v>Moderation Detail</x:v>
      </x:c>
      <x:c r="B553" s="13" t="str">
        <x:v>Mention Spam Protection?</x:v>
      </x:c>
      <x:c r="C553" s="8" t="str">
        <x:v>Yes / included in anti-spam</x:v>
      </x:c>
      <x:c r="D553" s="8"/>
      <x:c r="E553" s="8" t="str">
        <x:v>Yes / included in anti-spam</x:v>
      </x:c>
      <x:c r="F553" s="8"/>
      <x:c r="G553" s="8"/>
      <x:c r="H553" s="8"/>
      <x:c r="I553" s="8"/>
      <x:c r="J553" s="8"/>
      <x:c r="K553" s="8"/>
      <x:c r="L553" s="8" t="str">
        <x:v>AutoMod exists; exact keyword and regex rule types were not fully documented in reviewed public sources.</x:v>
      </x:c>
      <x:c r="M553" s="8"/>
      <x:c r="N553" s="8"/>
      <x:c r="O553" s="8"/>
      <x:c r="P553" s="8"/>
      <x:c r="Q553" s="8"/>
      <x:c r="R553" s="8"/>
      <x:c r="S553" s="8"/>
      <x:c r="T553" s="8"/>
      <x:c r="U553" s="8"/>
      <x:c r="V553" s="8" t="str">
        <x:v>Yes</x:v>
      </x:c>
      <x:c r="W553" s="8"/>
      <x:c r="X553" s="8"/>
      <x:c r="Y553" s="8" t="str">
        <x:v>Yes / included in anti-spam</x:v>
      </x:c>
      <x:c r="Z553" s="8"/>
      <x:c r="AA553" s="8"/>
      <x:c r="AB553" s="8" t="str">
        <x:v>Yes / included in anti-spam</x:v>
      </x:c>
      <x:c r="AC553" s="9" t="str">
        <x:v>Yes / included in anti-spam</x:v>
      </x:c>
      <x:c r="AD553" s="8"/>
      <x:c r="AE553" s="8"/>
      <x:c r="AF553" s="8"/>
      <x:c r="AG553" s="8"/>
      <x:c r="AH553" s="14" t="n">
        <x:v>8</x:v>
      </x:c>
      <x:c r="AI553" s="15" t="str">
        <x:v>Shared metric: Moderation &amp; Safety: Mention Spam Protection? | Moderation Detail: Mention Spam Protection?</x:v>
      </x:c>
    </x:row>
    <x:row r="554" ht="75">
      <x:c r="A554" s="12" t="str">
        <x:v>Moderation Detail</x:v>
      </x:c>
      <x:c r="B554" s="13" t="str">
        <x:v>Message Spam Detection?</x:v>
      </x:c>
      <x:c r="C554" s="8" t="str">
        <x:v>Yes: AutoMod spam filter, platform/API rate limits, verification levels, and slowmode</x:v>
      </x:c>
      <x:c r="D554" s="8"/>
      <x:c r="E554" s="8" t="str">
        <x:v>Advanced anti-spam/rate controls</x:v>
      </x:c>
      <x:c r="F554" s="8"/>
      <x:c r="G554" s="8" t="str">
        <x:v>Yes / planned native</x:v>
      </x:c>
      <x:c r="H554" s="8" t="str">
        <x:v>Rate limits + moderation tools</x:v>
      </x:c>
      <x:c r="I554" s="8"/>
      <x:c r="J554" s="8"/>
      <x:c r="K554" s="8"/>
      <x:c r="L554" s="8" t="str">
        <x:v>AutoMod exists; exact keyword and regex rule types were not fully documented in reviewed public sources.</x:v>
      </x:c>
      <x:c r="M554" s="8"/>
      <x:c r="N554" s="8"/>
      <x:c r="O554" s="8" t="str">
        <x:v>Homeserver and bot-dependent</x:v>
      </x:c>
      <x:c r="P554" s="8" t="str">
        <x:v>Rate limits + admin controls</x:v>
      </x:c>
      <x:c r="Q554" s="8"/>
      <x:c r="R554" s="8" t="str">
        <x:v>Server ACLs/rate controls</x:v>
      </x:c>
      <x:c r="S554" s="8"/>
      <x:c r="T554" s="8"/>
      <x:c r="U554" s="8" t="str">
        <x:v>Rate controls</x:v>
      </x:c>
      <x:c r="V554" s="8" t="str">
        <x:v>Yes</x:v>
      </x:c>
      <x:c r="W554" s="8" t="str">
        <x:v>Rate limiting + moderation</x:v>
      </x:c>
      <x:c r="X554" s="8"/>
      <x:c r="Y554" s="8" t="str">
        <x:v>Yes: spam rules</x:v>
      </x:c>
      <x:c r="Z554" s="8" t="str">
        <x:v>Configurable rate limiting</x:v>
      </x:c>
      <x:c r="AA554" s="8" t="str">
        <x:v>Rate limiting + moderation controls</x:v>
      </x:c>
      <x:c r="AB554" s="8" t="str">
        <x:v>Anti-spam/flood controls</x:v>
      </x:c>
      <x:c r="AC554" s="9" t="str">
        <x:v>Spam/raid tools</x:v>
      </x:c>
      <x:c r="AD554" s="8"/>
      <x:c r="AE554" s="8"/>
      <x:c r="AF554" s="8"/>
      <x:c r="AG554" s="8" t="str">
        <x:v>Rate limiting/admin controls</x:v>
      </x:c>
      <x:c r="AH554" s="14" t="n">
        <x:v>9</x:v>
      </x:c>
      <x:c r="AI554" s="15" t="str">
        <x:v>Canonical source for Moderation Detail!9</x:v>
      </x:c>
    </x:row>
    <x:row r="555" ht="60">
      <x:c r="A555" s="12" t="str">
        <x:v>Moderation Detail</x:v>
      </x:c>
      <x:c r="B555" s="13" t="str">
        <x:v>Rate Limits?</x:v>
      </x:c>
      <x:c r="C555" s="8" t="str">
        <x:v>Yes: AutoMod spam filter, platform/API rate limits, verification levels, and slowmode</x:v>
      </x:c>
      <x:c r="D555" s="8"/>
      <x:c r="E555" s="8" t="str">
        <x:v>Advanced anti-spam/rate controls</x:v>
      </x:c>
      <x:c r="F555" s="8"/>
      <x:c r="G555" s="8" t="str">
        <x:v>Yes / planned native</x:v>
      </x:c>
      <x:c r="H555" s="8" t="str">
        <x:v>Rate limits + moderation tools</x:v>
      </x:c>
      <x:c r="I555" s="8"/>
      <x:c r="J555" s="8"/>
      <x:c r="K555" s="8"/>
      <x:c r="L555" s="8" t="str">
        <x:v>Yes: API/gateway mutation rate limits and bounded report limits are documented</x:v>
      </x:c>
      <x:c r="M555" s="8"/>
      <x:c r="N555" s="8"/>
      <x:c r="O555" s="8" t="str">
        <x:v>Homeserver and bot-dependent</x:v>
      </x:c>
      <x:c r="P555" s="8" t="str">
        <x:v>Rate limits + admin controls</x:v>
      </x:c>
      <x:c r="Q555" s="8"/>
      <x:c r="R555" s="8" t="str">
        <x:v>Server ACLs/rate controls</x:v>
      </x:c>
      <x:c r="S555" s="8"/>
      <x:c r="T555" s="8"/>
      <x:c r="U555" s="8" t="str">
        <x:v>Rate controls</x:v>
      </x:c>
      <x:c r="V555" s="8" t="str">
        <x:v>Yes / slowmode</x:v>
      </x:c>
      <x:c r="W555" s="8" t="str">
        <x:v>Rate limiting + moderation</x:v>
      </x:c>
      <x:c r="X555" s="8"/>
      <x:c r="Y555" s="8" t="str">
        <x:v>Yes: spam rules</x:v>
      </x:c>
      <x:c r="Z555" s="8" t="str">
        <x:v>Configurable rate limiting</x:v>
      </x:c>
      <x:c r="AA555" s="8" t="str">
        <x:v>Rate limiting + moderation controls</x:v>
      </x:c>
      <x:c r="AB555" s="8" t="str">
        <x:v>Anti-spam/flood controls</x:v>
      </x:c>
      <x:c r="AC555" s="9" t="str">
        <x:v>Spam/raid tools</x:v>
      </x:c>
      <x:c r="AD555" s="8"/>
      <x:c r="AE555" s="8"/>
      <x:c r="AF555" s="8"/>
      <x:c r="AG555" s="8" t="str">
        <x:v>Rate limiting/admin controls</x:v>
      </x:c>
      <x:c r="AH555" s="14" t="n">
        <x:v>10</x:v>
      </x:c>
      <x:c r="AI555" s="15" t="str">
        <x:v>Canonical source for Moderation Detail!10</x:v>
      </x:c>
    </x:row>
    <x:row r="556" ht="30">
      <x:c r="A556" s="12" t="str">
        <x:v>Moderation Detail</x:v>
      </x:c>
      <x:c r="B556" s="13" t="str">
        <x:v>Slowmode?</x:v>
      </x:c>
      <x:c r="C556" s="8" t="str">
        <x:v>Yes</x:v>
      </x:c>
      <x:c r="D556" s="8"/>
      <x:c r="E556" s="8"/>
      <x:c r="F556" s="8"/>
      <x:c r="G556" s="8"/>
      <x:c r="H556" s="8"/>
      <x:c r="I556" s="8"/>
      <x:c r="J556" s="8"/>
      <x:c r="K556" s="8"/>
      <x:c r="L556" s="8" t="str">
        <x:v>Not documented</x:v>
      </x:c>
      <x:c r="M556" s="8"/>
      <x:c r="N556" s="8"/>
      <x:c r="O556" s="8"/>
      <x:c r="P556" s="8"/>
      <x:c r="Q556" s="8"/>
      <x:c r="R556" s="8"/>
      <x:c r="S556" s="8"/>
      <x:c r="T556" s="8"/>
      <x:c r="U556" s="8"/>
      <x:c r="V556" s="8" t="str">
        <x:v>Yes</x:v>
      </x:c>
      <x:c r="W556" s="8"/>
      <x:c r="X556" s="8"/>
      <x:c r="Y556" s="8"/>
      <x:c r="Z556" s="8"/>
      <x:c r="AA556" s="8"/>
      <x:c r="AB556" s="8"/>
      <x:c r="AC556" s="9"/>
      <x:c r="AD556" s="8"/>
      <x:c r="AE556" s="8"/>
      <x:c r="AF556" s="8"/>
      <x:c r="AG556" s="8"/>
      <x:c r="AH556" s="14" t="n">
        <x:v>11</x:v>
      </x:c>
      <x:c r="AI556" s="15" t="str">
        <x:v>Shared metric: Moderation &amp; Safety: Slowmode? | Moderation Detail: Slowmode?</x:v>
      </x:c>
    </x:row>
    <x:row r="557" ht="75">
      <x:c r="A557" s="12" t="str">
        <x:v>Moderation Detail</x:v>
      </x:c>
      <x:c r="B557" s="13" t="str">
        <x:v>Raid Detection?</x:v>
      </x:c>
      <x:c r="C557" s="8" t="str">
        <x:v>Yes: Raid Protection uses ML signals and can require CAPTCHA; verification/security controls also available</x:v>
      </x:c>
      <x:c r="D557" s="8"/>
      <x:c r="E557" s="8" t="str">
        <x:v>Federated ban-sharing planned</x:v>
      </x:c>
      <x:c r="F557" s="8"/>
      <x:c r="G557" s="8"/>
      <x:c r="H557" s="8"/>
      <x:c r="I557" s="8"/>
      <x:c r="J557" s="8"/>
      <x:c r="K557" s="8"/>
      <x:c r="L557" s="8" t="str">
        <x:v>Not fully documented</x:v>
      </x:c>
      <x:c r="M557" s="8"/>
      <x:c r="N557" s="8"/>
      <x:c r="O557" s="8" t="str">
        <x:v>Homeserver/operator-dependent</x:v>
      </x:c>
      <x:c r="P557" s="8"/>
      <x:c r="Q557" s="8"/>
      <x:c r="R557" s="8" t="str">
        <x:v>N/A</x:v>
      </x:c>
      <x:c r="S557" s="8"/>
      <x:c r="T557" s="8"/>
      <x:c r="U557" s="8"/>
      <x:c r="V557" s="8" t="str">
        <x:v>Yes</x:v>
      </x:c>
      <x:c r="W557" s="8"/>
      <x:c r="X557" s="8"/>
      <x:c r="Y557" s="8"/>
      <x:c r="Z557" s="8"/>
      <x:c r="AA557" s="8"/>
      <x:c r="AB557" s="8"/>
      <x:c r="AC557" s="9" t="str">
        <x:v>Automod raid protection</x:v>
      </x:c>
      <x:c r="AD557" s="8"/>
      <x:c r="AE557" s="8"/>
      <x:c r="AF557" s="8"/>
      <x:c r="AG557" s="8"/>
      <x:c r="AH557" s="14" t="n">
        <x:v>13</x:v>
      </x:c>
      <x:c r="AI557" s="15" t="str">
        <x:v>Canonical source for Moderation Detail!13</x:v>
      </x:c>
    </x:row>
    <x:row r="558" ht="75">
      <x:c r="A558" s="12" t="str">
        <x:v>Moderation Detail</x:v>
      </x:c>
      <x:c r="B558" s="13" t="str">
        <x:v>Mass-Join Protection?</x:v>
      </x:c>
      <x:c r="C558" s="8" t="str">
        <x:v>Yes: Raid Protection uses ML signals and can require CAPTCHA; verification/security controls also available</x:v>
      </x:c>
      <x:c r="D558" s="8"/>
      <x:c r="E558" s="8" t="str">
        <x:v>Federated ban-sharing planned</x:v>
      </x:c>
      <x:c r="F558" s="8"/>
      <x:c r="G558" s="8"/>
      <x:c r="H558" s="8"/>
      <x:c r="I558" s="8"/>
      <x:c r="J558" s="8"/>
      <x:c r="K558" s="8"/>
      <x:c r="L558" s="8" t="str">
        <x:v>Not fully documented</x:v>
      </x:c>
      <x:c r="M558" s="8"/>
      <x:c r="N558" s="8"/>
      <x:c r="O558" s="8" t="str">
        <x:v>Homeserver/operator-dependent</x:v>
      </x:c>
      <x:c r="P558" s="8"/>
      <x:c r="Q558" s="8"/>
      <x:c r="R558" s="8" t="str">
        <x:v>N/A</x:v>
      </x:c>
      <x:c r="S558" s="8"/>
      <x:c r="T558" s="8"/>
      <x:c r="U558" s="8"/>
      <x:c r="V558" s="8" t="str">
        <x:v>Yes</x:v>
      </x:c>
      <x:c r="W558" s="8"/>
      <x:c r="X558" s="8"/>
      <x:c r="Y558" s="8"/>
      <x:c r="Z558" s="8"/>
      <x:c r="AA558" s="8"/>
      <x:c r="AB558" s="8"/>
      <x:c r="AC558" s="9" t="str">
        <x:v>Automod raid protection</x:v>
      </x:c>
      <x:c r="AD558" s="8"/>
      <x:c r="AE558" s="8"/>
      <x:c r="AF558" s="8"/>
      <x:c r="AG558" s="8"/>
      <x:c r="AH558" s="14" t="n">
        <x:v>14</x:v>
      </x:c>
      <x:c r="AI558" s="15" t="str">
        <x:v>Canonical source for Moderation Detail!14</x:v>
      </x:c>
    </x:row>
    <x:row r="559" ht="60">
      <x:c r="A559" s="12" t="str">
        <x:v>Moderation Detail</x:v>
      </x:c>
      <x:c r="B559" s="13" t="str">
        <x:v>CAPTCHA / Challenge?</x:v>
      </x:c>
      <x:c r="C559" s="8" t="str">
        <x:v>Yes</x:v>
      </x:c>
      <x:c r="D559" s="8"/>
      <x:c r="E559" s="8"/>
      <x:c r="F559" s="8"/>
      <x:c r="G559" s="8"/>
      <x:c r="H559" s="8"/>
      <x:c r="I559" s="8"/>
      <x:c r="J559" s="8"/>
      <x:c r="K559" s="8"/>
      <x:c r="L559" s="8" t="str">
        <x:v>Optional Turnstile can be enabled for registration/failed sign-in challenges</x:v>
      </x:c>
      <x:c r="M559" s="8"/>
      <x:c r="N559" s="8"/>
      <x:c r="O559" s="8"/>
      <x:c r="P559" s="8"/>
      <x:c r="Q559" s="8"/>
      <x:c r="R559" s="8"/>
      <x:c r="S559" s="8"/>
      <x:c r="T559" s="8"/>
      <x:c r="U559" s="8"/>
      <x:c r="V559" s="8" t="str">
        <x:v>No</x:v>
      </x:c>
      <x:c r="W559" s="8"/>
      <x:c r="X559" s="8"/>
      <x:c r="Y559" s="8"/>
      <x:c r="Z559" s="8"/>
      <x:c r="AA559" s="8"/>
      <x:c r="AB559" s="8"/>
      <x:c r="AC559" s="9"/>
      <x:c r="AD559" s="8"/>
      <x:c r="AE559" s="8"/>
      <x:c r="AF559" s="8"/>
      <x:c r="AG559" s="8"/>
      <x:c r="AH559" s="14" t="n">
        <x:v>15</x:v>
      </x:c>
      <x:c r="AI559" s="15" t="str">
        <x:v>Canonical source for Moderation Detail!15</x:v>
      </x:c>
    </x:row>
    <x:row r="560" ht="45">
      <x:c r="A560" s="12" t="str">
        <x:v>Moderation Detail</x:v>
      </x:c>
      <x:c r="B560" s="13" t="str">
        <x:v>Verification Levels?</x:v>
      </x:c>
      <x:c r="C560" s="8" t="str">
        <x:v>Yes</x:v>
      </x:c>
      <x:c r="D560" s="8"/>
      <x:c r="E560" s="8"/>
      <x:c r="F560" s="8"/>
      <x:c r="G560" s="8"/>
      <x:c r="H560" s="8"/>
      <x:c r="I560" s="8"/>
      <x:c r="J560" s="8"/>
      <x:c r="K560" s="8"/>
      <x:c r="L560" s="8" t="str">
        <x:v>Not documented</x:v>
      </x:c>
      <x:c r="M560" s="8"/>
      <x:c r="N560" s="8"/>
      <x:c r="O560" s="8"/>
      <x:c r="P560" s="8"/>
      <x:c r="Q560" s="8"/>
      <x:c r="R560" s="8"/>
      <x:c r="S560" s="8"/>
      <x:c r="T560" s="8"/>
      <x:c r="U560" s="8"/>
      <x:c r="V560" s="8" t="n">
        <x:v>1</x:v>
      </x:c>
      <x:c r="W560" s="8"/>
      <x:c r="X560" s="8"/>
      <x:c r="Y560" s="8"/>
      <x:c r="Z560" s="8"/>
      <x:c r="AA560" s="8"/>
      <x:c r="AB560" s="8"/>
      <x:c r="AC560" s="9"/>
      <x:c r="AD560" s="8"/>
      <x:c r="AE560" s="8"/>
      <x:c r="AF560" s="8"/>
      <x:c r="AG560" s="8"/>
      <x:c r="AH560" s="14" t="n">
        <x:v>16</x:v>
      </x:c>
      <x:c r="AI560" s="15" t="str">
        <x:v>Shared metric: Moderation &amp; Safety: Verification Levels? | Moderation Detail: Verification Levels?</x:v>
      </x:c>
    </x:row>
    <x:row r="561" ht="75">
      <x:c r="A561" s="12" t="str">
        <x:v>Moderation Detail</x:v>
      </x:c>
      <x:c r="B561" s="13" t="str">
        <x:v>Rules Screening?</x:v>
      </x:c>
      <x:c r="C561" s="8" t="str">
        <x:v>Yes: Rules Screening + verification levels; Server Member Applications are available/rolling out</x:v>
      </x:c>
      <x:c r="D561" s="8"/>
      <x:c r="E561" s="8" t="str">
        <x:v>Instance controls</x:v>
      </x:c>
      <x:c r="F561" s="8"/>
      <x:c r="G561" s="8"/>
      <x:c r="H561" s="8"/>
      <x:c r="I561" s="8"/>
      <x:c r="J561" s="8"/>
      <x:c r="K561" s="8"/>
      <x:c r="L561" s="8" t="str">
        <x:v>Not documented</x:v>
      </x:c>
      <x:c r="M561" s="8"/>
      <x:c r="N561" s="8"/>
      <x:c r="O561" s="8" t="str">
        <x:v>Client/server-dependent</x:v>
      </x:c>
      <x:c r="P561" s="8" t="str">
        <x:v>Invite/SSO/admin restrictions</x:v>
      </x:c>
      <x:c r="Q561" s="8"/>
      <x:c r="R561" s="8" t="str">
        <x:v>Password/cert/ACL gates</x:v>
      </x:c>
      <x:c r="S561" s="8"/>
      <x:c r="T561" s="8"/>
      <x:c r="U561" s="8"/>
      <x:c r="V561" s="8" t="str">
        <x:v>Yes</x:v>
      </x:c>
      <x:c r="W561" s="8" t="str">
        <x:v>Invite/SSO/approval options</x:v>
      </x:c>
      <x:c r="X561" s="8"/>
      <x:c r="Y561" s="8"/>
      <x:c r="Z561" s="8"/>
      <x:c r="AA561" s="8"/>
      <x:c r="AB561" s="8" t="str">
        <x:v>Password/permissions</x:v>
      </x:c>
      <x:c r="AC561" s="9"/>
      <x:c r="AD561" s="8"/>
      <x:c r="AE561" s="8"/>
      <x:c r="AF561" s="8"/>
      <x:c r="AG561" s="8" t="str">
        <x:v>Invite/SSO/domain controls</x:v>
      </x:c>
      <x:c r="AH561" s="14" t="n">
        <x:v>17</x:v>
      </x:c>
      <x:c r="AI561" s="15" t="str">
        <x:v>Shared metric: Moderation &amp; Safety: Rules Screening? | Moderation Detail: Rules Screening?</x:v>
      </x:c>
    </x:row>
    <x:row r="562" ht="75">
      <x:c r="A562" s="12" t="str">
        <x:v>Moderation Detail</x:v>
      </x:c>
      <x:c r="B562" s="13" t="str">
        <x:v>Join Questions / Application?</x:v>
      </x:c>
      <x:c r="C562" s="8" t="str">
        <x:v>Yes: Rules Screening + verification levels; Server Member Applications are available/rolling out</x:v>
      </x:c>
      <x:c r="D562" s="8"/>
      <x:c r="E562" s="8" t="str">
        <x:v>Instance controls</x:v>
      </x:c>
      <x:c r="F562" s="8"/>
      <x:c r="G562" s="8"/>
      <x:c r="H562" s="8"/>
      <x:c r="I562" s="8"/>
      <x:c r="J562" s="8"/>
      <x:c r="K562" s="8"/>
      <x:c r="L562" s="8" t="str">
        <x:v>Not documented</x:v>
      </x:c>
      <x:c r="M562" s="8"/>
      <x:c r="N562" s="8"/>
      <x:c r="O562" s="8" t="str">
        <x:v>Client/server-dependent</x:v>
      </x:c>
      <x:c r="P562" s="8" t="str">
        <x:v>Invite/SSO/admin restrictions</x:v>
      </x:c>
      <x:c r="Q562" s="8"/>
      <x:c r="R562" s="8" t="str">
        <x:v>Password/cert/ACL gates</x:v>
      </x:c>
      <x:c r="S562" s="8"/>
      <x:c r="T562" s="8"/>
      <x:c r="U562" s="8"/>
      <x:c r="V562" s="8" t="str">
        <x:v>Yes</x:v>
      </x:c>
      <x:c r="W562" s="8" t="str">
        <x:v>Invite/SSO/approval options</x:v>
      </x:c>
      <x:c r="X562" s="8"/>
      <x:c r="Y562" s="8"/>
      <x:c r="Z562" s="8"/>
      <x:c r="AA562" s="8"/>
      <x:c r="AB562" s="8" t="str">
        <x:v>Password/permissions</x:v>
      </x:c>
      <x:c r="AC562" s="9"/>
      <x:c r="AD562" s="8"/>
      <x:c r="AE562" s="8"/>
      <x:c r="AF562" s="8"/>
      <x:c r="AG562" s="8" t="str">
        <x:v>Invite/SSO/domain controls</x:v>
      </x:c>
      <x:c r="AH562" s="14" t="n">
        <x:v>18</x:v>
      </x:c>
      <x:c r="AI562" s="15" t="str">
        <x:v>Shared metric: Moderation &amp; Safety: Join Questions / Application? | Moderation Detail: Join Questions / Application?</x:v>
      </x:c>
    </x:row>
    <x:row r="563" ht="105">
      <x:c r="A563" s="12" t="str">
        <x:v>Moderation Detail</x:v>
      </x:c>
      <x:c r="B563" s="13" t="str">
        <x:v>Mod Queue?</x:v>
      </x:c>
      <x:c r="C563" s="8"/>
      <x:c r="D563" s="8"/>
      <x:c r="E563" s="8" t="str">
        <x:v>Operator responsibility</x:v>
      </x:c>
      <x:c r="F563" s="8"/>
      <x:c r="G563" s="8" t="str">
        <x:v>Native moderation controls</x:v>
      </x:c>
      <x:c r="H563" s="8"/>
      <x:c r="I563" s="8"/>
      <x:c r="J563" s="8"/>
      <x:c r="K563" s="8"/>
      <x:c r="L563" s="8" t="str">
        <x:v>Yes: instance Trust &amp; Safety report queue with triage/review/request-info/action/no-action/duplicate/reopen workflow</x:v>
      </x:c>
      <x:c r="M563" s="8"/>
      <x:c r="N563" s="8"/>
      <x:c r="O563" s="8" t="str">
        <x:v>Client/server-dependent</x:v>
      </x:c>
      <x:c r="P563" s="8" t="str">
        <x:v>Admin console</x:v>
      </x:c>
      <x:c r="Q563" s="8"/>
      <x:c r="R563" s="8" t="str">
        <x:v>Admin tools</x:v>
      </x:c>
      <x:c r="S563" s="8"/>
      <x:c r="T563" s="8"/>
      <x:c r="U563" s="8" t="str">
        <x:v>Reports in-app</x:v>
      </x:c>
      <x:c r="V563" s="8" t="str">
        <x:v>Yes: Shard Command Center/mod feed</x:v>
      </x:c>
      <x:c r="W563" s="8" t="str">
        <x:v>Admin console</x:v>
      </x:c>
      <x:c r="X563" s="8"/>
      <x:c r="Y563" s="8" t="str">
        <x:v>Moderation App dashboards/analytics</x:v>
      </x:c>
      <x:c r="Z563" s="8"/>
      <x:c r="AA563" s="8"/>
      <x:c r="AB563" s="8" t="str">
        <x:v>Admin tools</x:v>
      </x:c>
      <x:c r="AC563" s="9" t="str">
        <x:v>Admin/mod tools</x:v>
      </x:c>
      <x:c r="AD563" s="8"/>
      <x:c r="AE563" s="8"/>
      <x:c r="AF563" s="8"/>
      <x:c r="AG563" s="8" t="str">
        <x:v>Admin UI</x:v>
      </x:c>
      <x:c r="AH563" s="14" t="n">
        <x:v>20</x:v>
      </x:c>
      <x:c r="AI563" s="15" t="str">
        <x:v>Canonical source for Moderation Detail!20</x:v>
      </x:c>
    </x:row>
    <x:row r="564" ht="105">
      <x:c r="A564" s="12" t="str">
        <x:v>Moderation Detail</x:v>
      </x:c>
      <x:c r="B564" s="13" t="str">
        <x:v>User Report Queue?</x:v>
      </x:c>
      <x:c r="C564" s="8"/>
      <x:c r="D564" s="8"/>
      <x:c r="E564" s="8" t="str">
        <x:v>Operator responsibility</x:v>
      </x:c>
      <x:c r="F564" s="8"/>
      <x:c r="G564" s="8" t="str">
        <x:v>Native moderation controls</x:v>
      </x:c>
      <x:c r="H564" s="8"/>
      <x:c r="I564" s="8"/>
      <x:c r="J564" s="8"/>
      <x:c r="K564" s="8"/>
      <x:c r="L564" s="8" t="str">
        <x:v>Yes: instance Trust &amp; Safety report queue with triage/review/request-info/action/no-action/duplicate/reopen workflow</x:v>
      </x:c>
      <x:c r="M564" s="8"/>
      <x:c r="N564" s="8"/>
      <x:c r="O564" s="8" t="str">
        <x:v>Client/server-dependent</x:v>
      </x:c>
      <x:c r="P564" s="8" t="str">
        <x:v>Admin console</x:v>
      </x:c>
      <x:c r="Q564" s="8"/>
      <x:c r="R564" s="8" t="str">
        <x:v>Admin tools</x:v>
      </x:c>
      <x:c r="S564" s="8"/>
      <x:c r="T564" s="8"/>
      <x:c r="U564" s="8" t="str">
        <x:v>Reports in-app</x:v>
      </x:c>
      <x:c r="V564" s="8" t="str">
        <x:v>Yes: structured reports/status</x:v>
      </x:c>
      <x:c r="W564" s="8" t="str">
        <x:v>Admin console</x:v>
      </x:c>
      <x:c r="X564" s="8"/>
      <x:c r="Y564" s="8" t="str">
        <x:v>Moderation App dashboards/analytics</x:v>
      </x:c>
      <x:c r="Z564" s="8"/>
      <x:c r="AA564" s="8"/>
      <x:c r="AB564" s="8" t="str">
        <x:v>Admin tools</x:v>
      </x:c>
      <x:c r="AC564" s="9" t="str">
        <x:v>Admin/mod tools</x:v>
      </x:c>
      <x:c r="AD564" s="8"/>
      <x:c r="AE564" s="8"/>
      <x:c r="AF564" s="8"/>
      <x:c r="AG564" s="8" t="str">
        <x:v>Admin UI</x:v>
      </x:c>
      <x:c r="AH564" s="14" t="n">
        <x:v>21</x:v>
      </x:c>
      <x:c r="AI564" s="15" t="str">
        <x:v>Canonical source for Moderation Detail!21</x:v>
      </x:c>
    </x:row>
    <x:row r="565">
      <x:c r="A565" s="12" t="str">
        <x:v>Moderation Detail</x:v>
      </x:c>
      <x:c r="B565" s="13" t="str">
        <x:v>AutoMod Alert Channel?</x:v>
      </x:c>
      <x:c r="C565" s="8" t="str">
        <x:v>Yes</x:v>
      </x:c>
      <x:c r="D565" s="8"/>
      <x:c r="E565" s="8"/>
      <x:c r="F565" s="8"/>
      <x:c r="G565" s="8"/>
      <x:c r="H565" s="8"/>
      <x:c r="I565" s="8"/>
      <x:c r="J565" s="8"/>
      <x:c r="K565" s="8"/>
      <x:c r="L565" s="8" t="str">
        <x:v>Not documented</x:v>
      </x:c>
      <x:c r="M565" s="8"/>
      <x:c r="N565" s="8"/>
      <x:c r="O565" s="8"/>
      <x:c r="P565" s="8"/>
      <x:c r="Q565" s="8"/>
      <x:c r="R565" s="8"/>
      <x:c r="S565" s="8"/>
      <x:c r="T565" s="8"/>
      <x:c r="U565" s="8"/>
      <x:c r="V565" s="8" t="str">
        <x:v>Command Center</x:v>
      </x:c>
      <x:c r="W565" s="8"/>
      <x:c r="X565" s="8"/>
      <x:c r="Y565" s="8"/>
      <x:c r="Z565" s="8"/>
      <x:c r="AA565" s="8"/>
      <x:c r="AB565" s="8"/>
      <x:c r="AC565" s="9"/>
      <x:c r="AD565" s="8"/>
      <x:c r="AE565" s="8"/>
      <x:c r="AF565" s="8"/>
      <x:c r="AG565" s="8"/>
      <x:c r="AH565" s="14" t="n">
        <x:v>22</x:v>
      </x:c>
      <x:c r="AI565" s="15" t="str">
        <x:v>Canonical source for Moderation Detail!22</x:v>
      </x:c>
    </x:row>
    <x:row r="566" ht="90">
      <x:c r="A566" s="12" t="str">
        <x:v>Moderation Detail</x:v>
      </x:c>
      <x:c r="B566" s="13" t="str">
        <x:v>Audit Log?</x:v>
      </x:c>
      <x:c r="C566" s="8" t="str">
        <x:v>Granular administrative actions with actor/target/changes/reason; available in client and API</x:v>
      </x:c>
      <x:c r="D566" s="8"/>
      <x:c r="E566" s="8" t="str">
        <x:v>Operator tools</x:v>
      </x:c>
      <x:c r="F566" s="8"/>
      <x:c r="G566" s="8"/>
      <x:c r="H566" s="8"/>
      <x:c r="I566" s="8"/>
      <x:c r="J566" s="8"/>
      <x:c r="K566" s="8"/>
      <x:c r="L566" s="8" t="str">
        <x:v>Yes: administration audit includes actor, action, target, safe metadata and timestamp</x:v>
      </x:c>
      <x:c r="M566" s="8"/>
      <x:c r="N566" s="8"/>
      <x:c r="O566" s="8" t="str">
        <x:v>Homeserver-dependent</x:v>
      </x:c>
      <x:c r="P566" s="8" t="str">
        <x:v>Detailed audit/compliance tooling</x:v>
      </x:c>
      <x:c r="Q566" s="8"/>
      <x:c r="R566" s="8" t="str">
        <x:v>ACL/log tools</x:v>
      </x:c>
      <x:c r="S566" s="8"/>
      <x:c r="T566" s="8"/>
      <x:c r="U566" s="8" t="str">
        <x:v>Yes</x:v>
      </x:c>
      <x:c r="V566" s="8" t="str">
        <x:v>Yes</x:v>
      </x:c>
      <x:c r="W566" s="8" t="str">
        <x:v>Detailed enterprise audit tools</x:v>
      </x:c>
      <x:c r="X566" s="8"/>
      <x:c r="Y566" s="8"/>
      <x:c r="Z566" s="8"/>
      <x:c r="AA566" s="8"/>
      <x:c r="AB566" s="8" t="str">
        <x:v>Detailed permissions/logging</x:v>
      </x:c>
      <x:c r="AC566" s="9" t="str">
        <x:v>Moderation tooling</x:v>
      </x:c>
      <x:c r="AD566" s="8"/>
      <x:c r="AE566" s="8"/>
      <x:c r="AF566" s="8"/>
      <x:c r="AG566" s="8" t="str">
        <x:v>Admin tooling</x:v>
      </x:c>
      <x:c r="AH566" s="14" t="n">
        <x:v>23</x:v>
      </x:c>
      <x:c r="AI566" s="15" t="str">
        <x:v>Canonical source for Moderation Detail!23</x:v>
      </x:c>
    </x:row>
    <x:row r="567" ht="90">
      <x:c r="A567" s="12" t="str">
        <x:v>Moderation Detail</x:v>
      </x:c>
      <x:c r="B567" s="13" t="str">
        <x:v>Audit Retention Days</x:v>
      </x:c>
      <x:c r="C567" s="8" t="str">
        <x:v>45 days</x:v>
      </x:c>
      <x:c r="D567" s="8"/>
      <x:c r="E567" s="8" t="str">
        <x:v>Operator controlled</x:v>
      </x:c>
      <x:c r="F567" s="8"/>
      <x:c r="G567" s="8"/>
      <x:c r="H567" s="8"/>
      <x:c r="I567" s="8"/>
      <x:c r="J567" s="8"/>
      <x:c r="K567" s="8"/>
      <x:c r="L567" s="8" t="str">
        <x:v>Developer reports no audit-depth limit; public documentation confirm audit records but do not publish a retention cap</x:v>
      </x:c>
      <x:c r="M567" s="8"/>
      <x:c r="N567" s="8"/>
      <x:c r="O567" s="8" t="str">
        <x:v>Homeserver-dependent</x:v>
      </x:c>
      <x:c r="P567" s="8" t="str">
        <x:v>Audit logs enterprise/deployment-dependent</x:v>
      </x:c>
      <x:c r="Q567" s="8"/>
      <x:c r="R567" s="8" t="str">
        <x:v>Server logs operator-controlled</x:v>
      </x:c>
      <x:c r="S567" s="8"/>
      <x:c r="T567" s="8"/>
      <x:c r="U567" s="8" t="str">
        <x:v>Not publicly claimed</x:v>
      </x:c>
      <x:c r="V567" s="8"/>
      <x:c r="W567" s="8" t="str">
        <x:v>Audit logs enterprise/admin</x:v>
      </x:c>
      <x:c r="X567" s="8"/>
      <x:c r="Y567" s="8"/>
      <x:c r="Z567" s="8"/>
      <x:c r="AA567" s="8"/>
      <x:c r="AB567" s="8" t="str">
        <x:v>Server logs/operator-controlled</x:v>
      </x:c>
      <x:c r="AC567" s="9"/>
      <x:c r="AD567" s="8"/>
      <x:c r="AE567" s="8"/>
      <x:c r="AF567" s="8"/>
      <x:c r="AG567" s="8" t="str">
        <x:v>Audit/admin logs deployment-dependent</x:v>
      </x:c>
      <x:c r="AH567" s="14" t="n">
        <x:v>24</x:v>
      </x:c>
      <x:c r="AI567" s="15" t="str">
        <x:v>Canonical source for Moderation Detail!24</x:v>
      </x:c>
    </x:row>
    <x:row r="568" ht="90">
      <x:c r="A568" s="12" t="str">
        <x:v>Moderation Detail</x:v>
      </x:c>
      <x:c r="B568" s="13" t="str">
        <x:v>Audit Search / Filtering?</x:v>
      </x:c>
      <x:c r="C568" s="8" t="str">
        <x:v>Granular administrative actions with actor/target/changes/reason; available in client and API</x:v>
      </x:c>
      <x:c r="D568" s="8"/>
      <x:c r="E568" s="8" t="str">
        <x:v>Operator tools</x:v>
      </x:c>
      <x:c r="F568" s="8"/>
      <x:c r="G568" s="8"/>
      <x:c r="H568" s="8"/>
      <x:c r="I568" s="8"/>
      <x:c r="J568" s="8"/>
      <x:c r="K568" s="8"/>
      <x:c r="L568" s="8" t="str">
        <x:v>Yes: administration audit includes actor, action, target, safe metadata and timestamp</x:v>
      </x:c>
      <x:c r="M568" s="8"/>
      <x:c r="N568" s="8"/>
      <x:c r="O568" s="8" t="str">
        <x:v>Homeserver-dependent</x:v>
      </x:c>
      <x:c r="P568" s="8" t="str">
        <x:v>Detailed audit/compliance tooling</x:v>
      </x:c>
      <x:c r="Q568" s="8"/>
      <x:c r="R568" s="8" t="str">
        <x:v>ACL/log tools</x:v>
      </x:c>
      <x:c r="S568" s="8"/>
      <x:c r="T568" s="8"/>
      <x:c r="U568" s="8" t="str">
        <x:v>Not publicly claimed</x:v>
      </x:c>
      <x:c r="V568" s="8" t="str">
        <x:v>Yes</x:v>
      </x:c>
      <x:c r="W568" s="8" t="str">
        <x:v>Detailed enterprise audit tools</x:v>
      </x:c>
      <x:c r="X568" s="8"/>
      <x:c r="Y568" s="8"/>
      <x:c r="Z568" s="8"/>
      <x:c r="AA568" s="8"/>
      <x:c r="AB568" s="8" t="str">
        <x:v>Detailed permissions/logging</x:v>
      </x:c>
      <x:c r="AC568" s="9" t="str">
        <x:v>Moderation tooling</x:v>
      </x:c>
      <x:c r="AD568" s="8"/>
      <x:c r="AE568" s="8"/>
      <x:c r="AF568" s="8"/>
      <x:c r="AG568" s="8" t="str">
        <x:v>Admin tooling</x:v>
      </x:c>
      <x:c r="AH568" s="14" t="n">
        <x:v>25</x:v>
      </x:c>
      <x:c r="AI568" s="15" t="str">
        <x:v>Canonical source for Moderation Detail!25</x:v>
      </x:c>
    </x:row>
    <x:row r="569" ht="30">
      <x:c r="A569" s="12" t="str">
        <x:v>Moderation Detail</x:v>
      </x:c>
      <x:c r="B569" s="13" t="str">
        <x:v>Ban?</x:v>
      </x:c>
      <x:c r="C569" s="8" t="str">
        <x:v>Yes</x:v>
      </x:c>
      <x:c r="D569" s="8" t="str">
        <x:v>Yes</x:v>
      </x:c>
      <x:c r="E569" s="8" t="str">
        <x:v>Yes</x:v>
      </x:c>
      <x:c r="F569" s="8" t="str">
        <x:v>Yes</x:v>
      </x:c>
      <x:c r="G569" s="8" t="str">
        <x:v>Yes</x:v>
      </x:c>
      <x:c r="H569" s="8" t="str">
        <x:v>Yes</x:v>
      </x:c>
      <x:c r="I569" s="8" t="str">
        <x:v>Yes</x:v>
      </x:c>
      <x:c r="J569" s="8" t="str">
        <x:v>Yes</x:v>
      </x:c>
      <x:c r="K569" s="8" t="str">
        <x:v>Yes</x:v>
      </x:c>
      <x:c r="L569" s="8" t="str">
        <x:v>Yes</x:v>
      </x:c>
      <x:c r="M569" s="8" t="str">
        <x:v>Yes</x:v>
      </x:c>
      <x:c r="N569" s="8" t="str">
        <x:v>Yes</x:v>
      </x:c>
      <x:c r="O569" s="8" t="str">
        <x:v>Yes</x:v>
      </x:c>
      <x:c r="P569" s="8" t="str">
        <x:v>Yes</x:v>
      </x:c>
      <x:c r="Q569" s="8" t="str">
        <x:v>Yes</x:v>
      </x:c>
      <x:c r="R569" s="8" t="str">
        <x:v>Yes</x:v>
      </x:c>
      <x:c r="S569" s="8" t="str">
        <x:v>Yes</x:v>
      </x:c>
      <x:c r="T569" s="8" t="str">
        <x:v>Yes</x:v>
      </x:c>
      <x:c r="U569" s="8" t="str">
        <x:v>Yes</x:v>
      </x:c>
      <x:c r="V569" s="8" t="str">
        <x:v>Yes</x:v>
      </x:c>
      <x:c r="W569" s="8" t="str">
        <x:v>Yes</x:v>
      </x:c>
      <x:c r="X569" s="8" t="str">
        <x:v>Yes</x:v>
      </x:c>
      <x:c r="Y569" s="8" t="str">
        <x:v>Yes</x:v>
      </x:c>
      <x:c r="Z569" s="8" t="str">
        <x:v>Yes</x:v>
      </x:c>
      <x:c r="AA569" s="8" t="str">
        <x:v>Yes</x:v>
      </x:c>
      <x:c r="AB569" s="8" t="str">
        <x:v>Yes</x:v>
      </x:c>
      <x:c r="AC569" s="9" t="str">
        <x:v>Yes</x:v>
      </x:c>
      <x:c r="AD569" s="8" t="str">
        <x:v>Yes</x:v>
      </x:c>
      <x:c r="AE569" s="8" t="str">
        <x:v>Yes</x:v>
      </x:c>
      <x:c r="AF569" s="8" t="str">
        <x:v>Yes</x:v>
      </x:c>
      <x:c r="AG569" s="8" t="str">
        <x:v>Yes</x:v>
      </x:c>
      <x:c r="AH569" s="14" t="n">
        <x:v>27</x:v>
      </x:c>
      <x:c r="AI569" s="15" t="str">
        <x:v>Shared metric: Moderation &amp; Safety: Ban? | Moderation Detail: Ban?</x:v>
      </x:c>
    </x:row>
    <x:row r="570" ht="30">
      <x:c r="A570" s="12" t="str">
        <x:v>Moderation Detail</x:v>
      </x:c>
      <x:c r="B570" s="13" t="str">
        <x:v>Kick?</x:v>
      </x:c>
      <x:c r="C570" s="8" t="str">
        <x:v>Yes</x:v>
      </x:c>
      <x:c r="D570" s="8" t="str">
        <x:v>Yes</x:v>
      </x:c>
      <x:c r="E570" s="8" t="str">
        <x:v>Yes</x:v>
      </x:c>
      <x:c r="F570" s="8" t="str">
        <x:v>Yes</x:v>
      </x:c>
      <x:c r="G570" s="8" t="str">
        <x:v>Yes</x:v>
      </x:c>
      <x:c r="H570" s="8" t="str">
        <x:v>Yes</x:v>
      </x:c>
      <x:c r="I570" s="8" t="str">
        <x:v>Yes</x:v>
      </x:c>
      <x:c r="J570" s="8" t="str">
        <x:v>Yes</x:v>
      </x:c>
      <x:c r="K570" s="8" t="str">
        <x:v>Yes</x:v>
      </x:c>
      <x:c r="L570" s="8" t="str">
        <x:v>Yes</x:v>
      </x:c>
      <x:c r="M570" s="8" t="str">
        <x:v>Yes</x:v>
      </x:c>
      <x:c r="N570" s="8" t="str">
        <x:v>Yes</x:v>
      </x:c>
      <x:c r="O570" s="8" t="str">
        <x:v>Yes</x:v>
      </x:c>
      <x:c r="P570" s="8" t="str">
        <x:v>Yes</x:v>
      </x:c>
      <x:c r="Q570" s="8" t="str">
        <x:v>Yes</x:v>
      </x:c>
      <x:c r="R570" s="8" t="str">
        <x:v>Yes</x:v>
      </x:c>
      <x:c r="S570" s="8" t="str">
        <x:v>Yes</x:v>
      </x:c>
      <x:c r="T570" s="8" t="str">
        <x:v>Yes</x:v>
      </x:c>
      <x:c r="U570" s="8" t="str">
        <x:v>Yes</x:v>
      </x:c>
      <x:c r="V570" s="8" t="str">
        <x:v>Yes</x:v>
      </x:c>
      <x:c r="W570" s="8" t="str">
        <x:v>Yes</x:v>
      </x:c>
      <x:c r="X570" s="8" t="str">
        <x:v>Yes</x:v>
      </x:c>
      <x:c r="Y570" s="8" t="str">
        <x:v>Yes</x:v>
      </x:c>
      <x:c r="Z570" s="8" t="str">
        <x:v>Yes</x:v>
      </x:c>
      <x:c r="AA570" s="8" t="str">
        <x:v>Yes</x:v>
      </x:c>
      <x:c r="AB570" s="8" t="str">
        <x:v>Yes</x:v>
      </x:c>
      <x:c r="AC570" s="9" t="str">
        <x:v>Yes</x:v>
      </x:c>
      <x:c r="AD570" s="8" t="str">
        <x:v>Yes</x:v>
      </x:c>
      <x:c r="AE570" s="8" t="str">
        <x:v>Yes</x:v>
      </x:c>
      <x:c r="AF570" s="8" t="str">
        <x:v>Yes</x:v>
      </x:c>
      <x:c r="AG570" s="8" t="str">
        <x:v>Yes</x:v>
      </x:c>
      <x:c r="AH570" s="14" t="n">
        <x:v>28</x:v>
      </x:c>
      <x:c r="AI570" s="15" t="str">
        <x:v>Shared metric: Moderation &amp; Safety: Kick? | Moderation Detail: Kick?</x:v>
      </x:c>
    </x:row>
    <x:row r="571" ht="45">
      <x:c r="A571" s="12" t="str">
        <x:v>Moderation Detail</x:v>
      </x:c>
      <x:c r="B571" s="13" t="str">
        <x:v>Timeout / Mute?</x:v>
      </x:c>
      <x:c r="C571" s="8" t="str">
        <x:v>Yes</x:v>
      </x:c>
      <x:c r="D571" s="8"/>
      <x:c r="E571" s="8"/>
      <x:c r="F571" s="8"/>
      <x:c r="G571" s="8"/>
      <x:c r="H571" s="8"/>
      <x:c r="I571" s="8"/>
      <x:c r="J571" s="8"/>
      <x:c r="K571" s="8"/>
      <x:c r="L571" s="8" t="str">
        <x:v>Yes</x:v>
      </x:c>
      <x:c r="M571" s="8"/>
      <x:c r="N571" s="8"/>
      <x:c r="O571" s="8"/>
      <x:c r="P571" s="8" t="str">
        <x:v>Yes</x:v>
      </x:c>
      <x:c r="Q571" s="8"/>
      <x:c r="R571" s="8" t="str">
        <x:v>Yes</x:v>
      </x:c>
      <x:c r="S571" s="8"/>
      <x:c r="T571" s="8"/>
      <x:c r="U571" s="8"/>
      <x:c r="V571" s="8" t="str">
        <x:v>Yes</x:v>
      </x:c>
      <x:c r="W571" s="8" t="str">
        <x:v>Yes</x:v>
      </x:c>
      <x:c r="X571" s="8"/>
      <x:c r="Y571" s="8"/>
      <x:c r="Z571" s="8"/>
      <x:c r="AA571" s="8"/>
      <x:c r="AB571" s="8" t="str">
        <x:v>Yes</x:v>
      </x:c>
      <x:c r="AC571" s="9"/>
      <x:c r="AD571" s="8"/>
      <x:c r="AE571" s="8"/>
      <x:c r="AF571" s="8"/>
      <x:c r="AG571" s="8"/>
      <x:c r="AH571" s="14" t="n">
        <x:v>29</x:v>
      </x:c>
      <x:c r="AI571" s="15" t="str">
        <x:v>Shared metric: Moderation &amp; Safety: Timeout / Mute? | Moderation Detail: Timeout / Mute?</x:v>
      </x:c>
    </x:row>
    <x:row r="572" ht="60">
      <x:c r="A572" s="12" t="str">
        <x:v>Moderation Detail</x:v>
      </x:c>
      <x:c r="B572" s="13" t="str">
        <x:v>Role-Based Moderation?</x:v>
      </x:c>
      <x:c r="C572" s="8" t="str">
        <x:v>Yes</x:v>
      </x:c>
      <x:c r="D572" s="8" t="str">
        <x:v>Yes</x:v>
      </x:c>
      <x:c r="E572" s="8" t="str">
        <x:v>Yes</x:v>
      </x:c>
      <x:c r="F572" s="8" t="str">
        <x:v>Yes</x:v>
      </x:c>
      <x:c r="G572" s="8" t="str">
        <x:v>Yes</x:v>
      </x:c>
      <x:c r="H572" s="8" t="str">
        <x:v>Yes</x:v>
      </x:c>
      <x:c r="I572" s="8" t="str">
        <x:v>Yes</x:v>
      </x:c>
      <x:c r="J572" s="8" t="str">
        <x:v>Yes</x:v>
      </x:c>
      <x:c r="K572" s="8" t="str">
        <x:v>Yes</x:v>
      </x:c>
      <x:c r="L572" s="8" t="str">
        <x:v>Yes</x:v>
      </x:c>
      <x:c r="M572" s="8" t="str">
        <x:v>Yes</x:v>
      </x:c>
      <x:c r="N572" s="8" t="str">
        <x:v>Yes</x:v>
      </x:c>
      <x:c r="O572" s="8" t="str">
        <x:v>Yes</x:v>
      </x:c>
      <x:c r="P572" s="8" t="str">
        <x:v>Yes</x:v>
      </x:c>
      <x:c r="Q572" s="8" t="str">
        <x:v>Yes</x:v>
      </x:c>
      <x:c r="R572" s="8" t="str">
        <x:v>ACL-based</x:v>
      </x:c>
      <x:c r="S572" s="8" t="str">
        <x:v>Yes</x:v>
      </x:c>
      <x:c r="T572" s="8" t="str">
        <x:v>Yes</x:v>
      </x:c>
      <x:c r="U572" s="8" t="str">
        <x:v>Yes: role permissions with allow / inherit / deny per channel</x:v>
      </x:c>
      <x:c r="V572" s="8" t="str">
        <x:v>Yes</x:v>
      </x:c>
      <x:c r="W572" s="8" t="str">
        <x:v>Yes</x:v>
      </x:c>
      <x:c r="X572" s="8" t="str">
        <x:v>Yes</x:v>
      </x:c>
      <x:c r="Y572" s="8" t="str">
        <x:v>Yes</x:v>
      </x:c>
      <x:c r="Z572" s="8" t="str">
        <x:v>Yes</x:v>
      </x:c>
      <x:c r="AA572" s="8" t="str">
        <x:v>Yes</x:v>
      </x:c>
      <x:c r="AB572" s="8" t="str">
        <x:v>Yes</x:v>
      </x:c>
      <x:c r="AC572" s="9" t="str">
        <x:v>Yes</x:v>
      </x:c>
      <x:c r="AD572" s="8" t="str">
        <x:v>Yes</x:v>
      </x:c>
      <x:c r="AE572" s="8" t="str">
        <x:v>Yes</x:v>
      </x:c>
      <x:c r="AF572" s="8" t="str">
        <x:v>Yes</x:v>
      </x:c>
      <x:c r="AG572" s="8" t="str">
        <x:v>Yes</x:v>
      </x:c>
      <x:c r="AH572" s="14" t="n">
        <x:v>30</x:v>
      </x:c>
      <x:c r="AI572" s="15" t="str">
        <x:v>Canonical source for Moderation Detail!30</x:v>
      </x:c>
    </x:row>
    <x:row r="573" ht="75">
      <x:c r="A573" s="12" t="str">
        <x:v>Moderation Detail</x:v>
      </x:c>
      <x:c r="B573" s="13" t="str">
        <x:v>Federated Ban Sharing?</x:v>
      </x:c>
      <x:c r="C573" s="8"/>
      <x:c r="D573" s="8"/>
      <x:c r="E573" s="8"/>
      <x:c r="F573" s="8"/>
      <x:c r="G573" s="8"/>
      <x:c r="H573" s="8"/>
      <x:c r="I573" s="8"/>
      <x:c r="J573" s="8"/>
      <x:c r="K573" s="8"/>
      <x:c r="L573" s="8" t="str">
        <x:v>Instance-level domain silence/suspend rules exist; not a shared federated ban-list service</x:v>
      </x:c>
      <x:c r="M573" s="8"/>
      <x:c r="N573" s="8"/>
      <x:c r="O573" s="8"/>
      <x:c r="P573" s="8"/>
      <x:c r="Q573" s="8"/>
      <x:c r="R573" s="8"/>
      <x:c r="S573" s="8"/>
      <x:c r="T573" s="8"/>
      <x:c r="U573" s="8"/>
      <x:c r="V573" s="30" t="str">
        <x:v>N/A</x:v>
      </x:c>
      <x:c r="W573" s="8"/>
      <x:c r="X573" s="8"/>
      <x:c r="Y573" s="8"/>
      <x:c r="Z573" s="8"/>
      <x:c r="AA573" s="8"/>
      <x:c r="AB573" s="8"/>
      <x:c r="AC573" s="9"/>
      <x:c r="AD573" s="8"/>
      <x:c r="AE573" s="8"/>
      <x:c r="AF573" s="8"/>
      <x:c r="AG573" s="8"/>
      <x:c r="AH573" s="14" t="n">
        <x:v>31</x:v>
      </x:c>
      <x:c r="AI573" s="15" t="str">
        <x:v>Canonical source for Moderation Detail!31</x:v>
      </x:c>
    </x:row>
    <x:row r="574" ht="135">
      <x:c r="A574" s="12" t="str">
        <x:v>Moderation Detail</x:v>
      </x:c>
      <x:c r="B574" s="13" t="str">
        <x:v>Moderation Notes</x:v>
      </x:c>
      <x:c r="C574" s="8"/>
      <x:c r="D574" s="8"/>
      <x:c r="E574" s="8" t="str">
        <x:v>Server/operator moderation; Federated ban-sharing planned; Operator responsibility</x:v>
      </x:c>
      <x:c r="F574" s="8"/>
      <x:c r="G574" s="8"/>
      <x:c r="H574" s="8"/>
      <x:c r="I574" s="8"/>
      <x:c r="J574" s="8"/>
      <x:c r="K574" s="8"/>
      <x:c r="L574" s="8" t="str">
        <x:v>https://github.com/CookieNom/KaedeChat/blob/main/docs/administration-and-developer-portals.md</x:v>
      </x:c>
      <x:c r="M574" s="8"/>
      <x:c r="N574" s="8"/>
      <x:c r="O574" s="8" t="str">
        <x:v>Protocol supports room permissions/power levels; tooling varies by client/server; Homeserver/operator-dependent; Client/server-dependent</x:v>
      </x:c>
      <x:c r="P574" s="8"/>
      <x:c r="Q574" s="8"/>
      <x:c r="R574" s="8" t="str">
        <x:v>ACLs/permissions rather than AutoMod; N/A; Admin tools</x:v>
      </x:c>
      <x:c r="S574" s="8"/>
      <x:c r="T574" s="8"/>
      <x:c r="U574" s="8"/>
      <x:c r="V574" s="8" t="str">
        <x:v>Command Center</x:v>
      </x:c>
      <x:c r="W574" s="8"/>
      <x:c r="X574" s="8"/>
      <x:c r="Y574" s="8"/>
      <x:c r="Z574" s="8"/>
      <x:c r="AA574" s="8"/>
      <x:c r="AB574" s="8"/>
      <x:c r="AC574" s="9" t="str">
        <x:v>Built-in automod; Automod raid protection; Admin/mod tools</x:v>
      </x:c>
      <x:c r="AD574" s="8"/>
      <x:c r="AE574" s="8"/>
      <x:c r="AF574" s="8"/>
      <x:c r="AG574" s="8"/>
      <x:c r="AH574" s="14" t="n">
        <x:v>33</x:v>
      </x:c>
      <x:c r="AI574" s="15" t="str">
        <x:v>Canonical source for Moderation Detail!33</x:v>
      </x:c>
    </x:row>
    <x:row r="575" ht="45">
      <x:c r="A575" s="12" t="str">
        <x:v>Moderation Detail</x:v>
      </x:c>
      <x:c r="B575" s="13" t="str">
        <x:v>Bulk Moderation Actions?</x:v>
      </x:c>
      <x:c r="C575" s="8" t="str">
        <x:v>Limited/native + bots</x:v>
      </x:c>
      <x:c r="D575" s="8"/>
      <x:c r="E575" s="8"/>
      <x:c r="F575" s="8"/>
      <x:c r="G575" s="8"/>
      <x:c r="H575" s="8"/>
      <x:c r="I575" s="8"/>
      <x:c r="J575" s="8"/>
      <x:c r="K575" s="8"/>
      <x:c r="L575" s="8" t="str">
        <x:v>Not documented</x:v>
      </x:c>
      <x:c r="M575" s="8"/>
      <x:c r="N575" s="8"/>
      <x:c r="O575" s="8"/>
      <x:c r="P575" s="8"/>
      <x:c r="Q575" s="8"/>
      <x:c r="R575" s="8"/>
      <x:c r="S575" s="8"/>
      <x:c r="T575" s="8"/>
      <x:c r="U575" s="8"/>
      <x:c r="V575" s="8" t="str">
        <x:v>Yes: searchable member table + bulk kick/ban/unban</x:v>
      </x:c>
      <x:c r="W575" s="8"/>
      <x:c r="X575" s="8"/>
      <x:c r="Y575" s="8"/>
      <x:c r="Z575" s="8"/>
      <x:c r="AA575" s="8"/>
      <x:c r="AB575" s="8"/>
      <x:c r="AC575" s="9"/>
      <x:c r="AD575" s="8"/>
      <x:c r="AE575" s="8"/>
      <x:c r="AF575" s="8"/>
      <x:c r="AG575" s="8"/>
      <x:c r="AH575" s="14" t="n">
        <x:v>35</x:v>
      </x:c>
      <x:c r="AI575" s="15" t="str">
        <x:v>Canonical source for Moderation Detail!35</x:v>
      </x:c>
    </x:row>
    <x:row r="576" ht="90">
      <x:c r="A576" s="12" t="str">
        <x:v>Moderation Detail</x:v>
      </x:c>
      <x:c r="B576" s="13" t="str">
        <x:v>Deleted-Message Log?</x:v>
      </x:c>
      <x:c r="C576" s="8" t="str">
        <x:v>Audit log action metadata; deleted content generally not preserved</x:v>
      </x:c>
      <x:c r="D576" s="8"/>
      <x:c r="E576" s="8"/>
      <x:c r="F576" s="8"/>
      <x:c r="G576" s="8"/>
      <x:c r="H576" s="8"/>
      <x:c r="I576" s="8"/>
      <x:c r="J576" s="8"/>
      <x:c r="K576" s="8"/>
      <x:c r="L576" s="8" t="str">
        <x:v>Reported-message snapshots survive later edit/deletion, but there is no general deleted-message log documented</x:v>
      </x:c>
      <x:c r="M576" s="8"/>
      <x:c r="N576" s="8"/>
      <x:c r="O576" s="8"/>
      <x:c r="P576" s="8"/>
      <x:c r="Q576" s="8"/>
      <x:c r="R576" s="8"/>
      <x:c r="S576" s="8"/>
      <x:c r="T576" s="8"/>
      <x:c r="U576" s="8"/>
      <x:c r="V576" s="8" t="str">
        <x:v>Yes: 12h self-delete / 14d mod-removal log</x:v>
      </x:c>
      <x:c r="W576" s="8"/>
      <x:c r="X576" s="8"/>
      <x:c r="Y576" s="8"/>
      <x:c r="Z576" s="8"/>
      <x:c r="AA576" s="8"/>
      <x:c r="AB576" s="8"/>
      <x:c r="AC576" s="9"/>
      <x:c r="AD576" s="8"/>
      <x:c r="AE576" s="8"/>
      <x:c r="AF576" s="8"/>
      <x:c r="AG576" s="8"/>
      <x:c r="AH576" s="14" t="n">
        <x:v>36</x:v>
      </x:c>
      <x:c r="AI576" s="15" t="str">
        <x:v>Canonical source for Moderation Detail!36</x:v>
      </x:c>
    </x:row>
    <x:row r="577" ht="30">
      <x:c r="A577" s="12" t="str">
        <x:v>Moderation Detail</x:v>
      </x:c>
      <x:c r="B577" s="13" t="str">
        <x:v>Edit History Lookup?</x:v>
      </x:c>
      <x:c r="C577" s="8" t="str">
        <x:v>No general native mod edit-history view</x:v>
      </x:c>
      <x:c r="D577" s="8"/>
      <x:c r="E577" s="8"/>
      <x:c r="F577" s="8"/>
      <x:c r="G577" s="8"/>
      <x:c r="H577" s="8"/>
      <x:c r="I577" s="8"/>
      <x:c r="J577" s="8"/>
      <x:c r="K577" s="8"/>
      <x:c r="L577" s="8" t="str">
        <x:v>Not documented</x:v>
      </x:c>
      <x:c r="M577" s="8"/>
      <x:c r="N577" s="8"/>
      <x:c r="O577" s="8"/>
      <x:c r="P577" s="8"/>
      <x:c r="Q577" s="8"/>
      <x:c r="R577" s="8"/>
      <x:c r="S577" s="8"/>
      <x:c r="T577" s="8"/>
      <x:c r="U577" s="8"/>
      <x:c r="V577" s="8" t="str">
        <x:v>Yes</x:v>
      </x:c>
      <x:c r="W577" s="8"/>
      <x:c r="X577" s="8"/>
      <x:c r="Y577" s="8"/>
      <x:c r="Z577" s="8"/>
      <x:c r="AA577" s="8"/>
      <x:c r="AB577" s="8"/>
      <x:c r="AC577" s="9"/>
      <x:c r="AD577" s="8"/>
      <x:c r="AE577" s="8"/>
      <x:c r="AF577" s="8"/>
      <x:c r="AG577" s="8"/>
      <x:c r="AH577" s="14" t="n">
        <x:v>37</x:v>
      </x:c>
      <x:c r="AI577" s="15" t="str">
        <x:v>Canonical source for Moderation Detail!37</x:v>
      </x:c>
    </x:row>
    <x:row r="578" ht="60">
      <x:c r="A578" s="12" t="str">
        <x:v>Moderation Detail</x:v>
      </x:c>
      <x:c r="B578" s="13" t="str">
        <x:v>Permission Audit Trail / Revert?</x:v>
      </x:c>
      <x:c r="C578" s="8" t="str">
        <x:v>Audit log records permission changes</x:v>
      </x:c>
      <x:c r="D578" s="8"/>
      <x:c r="E578" s="8"/>
      <x:c r="F578" s="8"/>
      <x:c r="G578" s="8"/>
      <x:c r="H578" s="8"/>
      <x:c r="I578" s="8"/>
      <x:c r="J578" s="8"/>
      <x:c r="K578" s="8"/>
      <x:c r="L578" s="8" t="str">
        <x:v>Audit trail exists; automatic permission revert is not documented</x:v>
      </x:c>
      <x:c r="M578" s="8"/>
      <x:c r="N578" s="8"/>
      <x:c r="O578" s="8"/>
      <x:c r="P578" s="8"/>
      <x:c r="Q578" s="8"/>
      <x:c r="R578" s="8"/>
      <x:c r="S578" s="8"/>
      <x:c r="T578" s="8"/>
      <x:c r="U578" s="8"/>
      <x:c r="V578" s="8" t="str">
        <x:v>Yes: audit trail + one-click revert</x:v>
      </x:c>
      <x:c r="W578" s="8"/>
      <x:c r="X578" s="8"/>
      <x:c r="Y578" s="8"/>
      <x:c r="Z578" s="8"/>
      <x:c r="AA578" s="8"/>
      <x:c r="AB578" s="8"/>
      <x:c r="AC578" s="9"/>
      <x:c r="AD578" s="8"/>
      <x:c r="AE578" s="8"/>
      <x:c r="AF578" s="8"/>
      <x:c r="AG578" s="8"/>
      <x:c r="AH578" s="14" t="n">
        <x:v>38</x:v>
      </x:c>
      <x:c r="AI578" s="15" t="str">
        <x:v>Canonical source for Moderation Detail!38</x:v>
      </x:c>
    </x:row>
    <x:row r="579" ht="30">
      <x:c r="A579" s="12" t="str">
        <x:v>Moderation Detail</x:v>
      </x:c>
      <x:c r="B579" s="13" t="str">
        <x:v>Giveaway Abuse / Entry Controls?</x:v>
      </x:c>
      <x:c r="C579" s="8" t="str">
        <x:v>Apps/bots</x:v>
      </x:c>
      <x:c r="D579" s="8"/>
      <x:c r="E579" s="8"/>
      <x:c r="F579" s="8"/>
      <x:c r="G579" s="8"/>
      <x:c r="H579" s="8"/>
      <x:c r="I579" s="8"/>
      <x:c r="J579" s="8"/>
      <x:c r="K579" s="8"/>
      <x:c r="L579" s="8" t="str">
        <x:v>Not documented</x:v>
      </x:c>
      <x:c r="M579" s="8"/>
      <x:c r="N579" s="8"/>
      <x:c r="O579" s="8"/>
      <x:c r="P579" s="8"/>
      <x:c r="Q579" s="8"/>
      <x:c r="R579" s="8"/>
      <x:c r="S579" s="8"/>
      <x:c r="T579" s="8"/>
      <x:c r="U579" s="8"/>
      <x:c r="V579" s="8" t="str">
        <x:v>Yes: entry rules + verifiable draw</x:v>
      </x:c>
      <x:c r="W579" s="8"/>
      <x:c r="X579" s="8"/>
      <x:c r="Y579" s="8"/>
      <x:c r="Z579" s="8"/>
      <x:c r="AA579" s="8"/>
      <x:c r="AB579" s="8"/>
      <x:c r="AC579" s="9"/>
      <x:c r="AD579" s="8"/>
      <x:c r="AE579" s="8"/>
      <x:c r="AF579" s="8"/>
      <x:c r="AG579" s="8"/>
      <x:c r="AH579" s="14" t="n">
        <x:v>39</x:v>
      </x:c>
      <x:c r="AI579" s="15" t="str">
        <x:v>Canonical source for Moderation Detail!39</x:v>
      </x:c>
    </x:row>
    <x:row r="580" ht="60">
      <x:c r="A580" s="12" t="str">
        <x:v>Project Origin &amp; Longevity</x:v>
      </x:c>
      <x:c r="B580" s="13" t="str">
        <x:v>Inception Date</x:v>
      </x:c>
      <x:c r="C580" s="8" t="str">
        <x:v>May 2015</x:v>
      </x:c>
      <x:c r="D580" s="8" t="str">
        <x:v>2026-era project</x:v>
      </x:c>
      <x:c r="E580" s="8" t="str">
        <x:v>2023</x:v>
      </x:c>
      <x:c r="F580" s="8" t="str">
        <x:v>2026</x:v>
      </x:c>
      <x:c r="G580" s="8" t="str">
        <x:v>November 2025</x:v>
      </x:c>
      <x:c r="H580" s="8" t="str">
        <x:v>2020</x:v>
      </x:c>
      <x:c r="I580" s="8" t="str">
        <x:v>2026 ground-up rebuild</x:v>
      </x:c>
      <x:c r="J580" s="8" t="str">
        <x:v>2026 fork era</x:v>
      </x:c>
      <x:c r="K580" s="8" t="str">
        <x:v>2026-era public project</x:v>
      </x:c>
      <x:c r="L580" s="8" t="str">
        <x:v>≈ late 2025 (developer report: private use for nearly a year as of Sep 2026)</x:v>
      </x:c>
      <x:c r="M580" s="8"/>
      <x:c r="N580" s="8" t="str">
        <x:v>2026-era project</x:v>
      </x:c>
      <x:c r="O580" s="8" t="str">
        <x:v>2014</x:v>
      </x:c>
      <x:c r="P580" s="8" t="str">
        <x:v>2015</x:v>
      </x:c>
      <x:c r="Q580" s="8"/>
      <x:c r="R580" s="8" t="str">
        <x:v>2005</x:v>
      </x:c>
      <x:c r="S580" s="8"/>
      <x:c r="T580" s="8" t="str">
        <x:v>Summer 2024</x:v>
      </x:c>
      <x:c r="U580" s="8" t="str">
        <x:v>Young open beta; exact first-commit date is available in the GitHub history</x:v>
      </x:c>
      <x:c r="V580" s="8" t="str">
        <x:v>2026</x:v>
      </x:c>
      <x:c r="W580" s="8" t="str">
        <x:v>2015</x:v>
      </x:c>
      <x:c r="X580" s="8"/>
      <x:c r="Y580" s="8"/>
      <x:c r="Z580" s="8" t="str">
        <x:v>2021 (as Fosscord/Spacebar project era)</x:v>
      </x:c>
      <x:c r="AA580" s="8" t="str">
        <x:v>2021 (as Revolt; rebranded Stoat in 2025)</x:v>
      </x:c>
      <x:c r="AB580" s="8" t="str">
        <x:v>1999 project origin</x:v>
      </x:c>
      <x:c r="AC580" s="9"/>
      <x:c r="AD580" s="8" t="str">
        <x:v>Early 2026</x:v>
      </x:c>
      <x:c r="AE580" s="8" t="str">
        <x:v>~2025</x:v>
      </x:c>
      <x:c r="AF580" s="8" t="str">
        <x:v>2026-era project</x:v>
      </x:c>
      <x:c r="AG580" s="8" t="str">
        <x:v>2012</x:v>
      </x:c>
      <x:c r="AH580" s="14" t="n">
        <x:v>3</x:v>
      </x:c>
      <x:c r="AI580" s="15" t="str">
        <x:v>Shared metric: At a Glance: Inception Date | Core Features: Inception Date | Project Origin &amp; Longevity: Inception Date</x:v>
      </x:c>
    </x:row>
    <x:row r="581" ht="45">
      <x:c r="A581" s="12" t="str">
        <x:v>Project Origin &amp; Longevity</x:v>
      </x:c>
      <x:c r="B581" s="13" t="str">
        <x:v>Public Release Date</x:v>
      </x:c>
      <x:c r="C581" s="8" t="str">
        <x:v>2015-05-13</x:v>
      </x:c>
      <x:c r="D581" s="8" t="str">
        <x:v>Public beta/dev 2026</x:v>
      </x:c>
      <x:c r="E581" s="8" t="str">
        <x:v>Public project by 2024</x:v>
      </x:c>
      <x:c r="F581" s="8" t="str">
        <x:v>Public 2026</x:v>
      </x:c>
      <x:c r="G581" s="8" t="str">
        <x:v>Alpha access in 2026; public v1 release not yet</x:v>
      </x:c>
      <x:c r="H581" s="8" t="str">
        <x:v>2026-01-02 public release</x:v>
      </x:c>
      <x:c r="I581" s="8" t="str">
        <x:v>2026 open beta</x:v>
      </x:c>
      <x:c r="J581" s="8" t="str">
        <x:v>Early public 2026</x:v>
      </x:c>
      <x:c r="K581" s="8" t="str">
        <x:v>Public alpha/beta 2026</x:v>
      </x:c>
      <x:c r="L581" s="8" t="str">
        <x:v>No formal public launch</x:v>
      </x:c>
      <x:c r="M581" s="8" t="str">
        <x:v>Alpha/public 2026</x:v>
      </x:c>
      <x:c r="N581" s="8" t="str">
        <x:v>Open beta 2026</x:v>
      </x:c>
      <x:c r="O581" s="8" t="str">
        <x:v>2014-09-03 (first public alpha)</x:v>
      </x:c>
      <x:c r="P581" s="8" t="str">
        <x:v>2015</x:v>
      </x:c>
      <x:c r="Q581" s="8"/>
      <x:c r="R581" s="8"/>
      <x:c r="S581" s="8"/>
      <x:c r="T581" s="8" t="str">
        <x:v>Public beta in 2026</x:v>
      </x:c>
      <x:c r="U581" s="8" t="str">
        <x:v>Open beta; exact public-beta launch date not stated</x:v>
      </x:c>
      <x:c r="V581" s="8" t="str">
        <x:v>Public Beta 2026</x:v>
      </x:c>
      <x:c r="W581" s="8" t="str">
        <x:v>2015</x:v>
      </x:c>
      <x:c r="X581" s="8" t="str">
        <x:v>Early public project</x:v>
      </x:c>
      <x:c r="Y581" s="8"/>
      <x:c r="Z581" s="8"/>
      <x:c r="AA581" s="8"/>
      <x:c r="AB581" s="8" t="str">
        <x:v>2001 first public release</x:v>
      </x:c>
      <x:c r="AC581" s="9" t="str">
        <x:v>Alpha/public before 2026</x:v>
      </x:c>
      <x:c r="AD581" s="8" t="str">
        <x:v>Alpha/beta 2026</x:v>
      </x:c>
      <x:c r="AE581" s="8" t="str">
        <x:v>Public beta 2026</x:v>
      </x:c>
      <x:c r="AF581" s="8" t="str">
        <x:v>Public beta/service 2026</x:v>
      </x:c>
      <x:c r="AG581" s="8" t="str">
        <x:v>2012 hosted; open-sourced 2015</x:v>
      </x:c>
      <x:c r="AH581" s="14" t="n">
        <x:v>4</x:v>
      </x:c>
      <x:c r="AI581" s="15" t="str">
        <x:v>Shared metric: Core Features: Public Release Date | Project Origin &amp; Longevity: Public Release Date</x:v>
      </x:c>
    </x:row>
    <x:row r="582" ht="30">
      <x:c r="A582" s="12" t="str">
        <x:v>Project Origin &amp; Longevity</x:v>
      </x:c>
      <x:c r="B582" s="13" t="str">
        <x:v>Project Age (Years / Months)</x:v>
      </x:c>
      <x:c r="C582" s="8" t="str">
        <x:v>11 years 4 months (as of 2026-09-15)</x:v>
      </x:c>
      <x:c r="D582" s="8" t="str">
        <x:v>&lt;1 year</x:v>
      </x:c>
      <x:c r="E582" s="8" t="str">
        <x:v>~3 years</x:v>
      </x:c>
      <x:c r="F582" s="8" t="str">
        <x:v>&lt;1 year</x:v>
      </x:c>
      <x:c r="G582" s="8" t="str">
        <x:v>10 months</x:v>
      </x:c>
      <x:c r="H582" s="8" t="str">
        <x:v>~6 years</x:v>
      </x:c>
      <x:c r="I582" s="8" t="str">
        <x:v>&lt;1 year</x:v>
      </x:c>
      <x:c r="J582" s="8" t="str">
        <x:v>&lt;1 year</x:v>
      </x:c>
      <x:c r="K582" s="8" t="str">
        <x:v>&lt;1 year</x:v>
      </x:c>
      <x:c r="L582" s="8"/>
      <x:c r="M582" s="8"/>
      <x:c r="N582" s="8" t="str">
        <x:v>&lt;1 year</x:v>
      </x:c>
      <x:c r="O582" s="8" t="str">
        <x:v>~12 years</x:v>
      </x:c>
      <x:c r="P582" s="8" t="str">
        <x:v>~11 years</x:v>
      </x:c>
      <x:c r="Q582" s="8"/>
      <x:c r="R582" s="8" t="str">
        <x:v>~21 years</x:v>
      </x:c>
      <x:c r="S582" s="8"/>
      <x:c r="T582" s="8" t="str">
        <x:v>~2 years</x:v>
      </x:c>
      <x:c r="U582" s="8" t="str">
        <x:v>Young beta; exact age not stated in response</x:v>
      </x:c>
      <x:c r="V582" s="8" t="str">
        <x:v>5 years</x:v>
      </x:c>
      <x:c r="W582" s="8" t="str">
        <x:v>~11 years</x:v>
      </x:c>
      <x:c r="X582" s="8"/>
      <x:c r="Y582" s="8"/>
      <x:c r="Z582" s="8" t="str">
        <x:v>~5 years</x:v>
      </x:c>
      <x:c r="AA582" s="8" t="str">
        <x:v>~5 years</x:v>
      </x:c>
      <x:c r="AB582" s="8" t="str">
        <x:v>~27 years project / ~25 years public</x:v>
      </x:c>
      <x:c r="AC582" s="9"/>
      <x:c r="AD582" s="8" t="str">
        <x:v>&lt;1 year</x:v>
      </x:c>
      <x:c r="AE582" s="8" t="str">
        <x:v>~1 year</x:v>
      </x:c>
      <x:c r="AF582" s="8" t="str">
        <x:v>&lt;1 year</x:v>
      </x:c>
      <x:c r="AG582" s="8" t="str">
        <x:v>~14 years</x:v>
      </x:c>
      <x:c r="AH582" s="14" t="n">
        <x:v>5</x:v>
      </x:c>
      <x:c r="AI582" s="15" t="str">
        <x:v>Canonical source for Project Origin &amp; Longevity!5</x:v>
      </x:c>
    </x:row>
    <x:row r="583" ht="60">
      <x:c r="A583" s="12" t="str">
        <x:v>Project Origin &amp; Longevity</x:v>
      </x:c>
      <x:c r="B583" s="13" t="str">
        <x:v>Current State (α / β / final)</x:v>
      </x:c>
      <x:c r="C583" s="8" t="str">
        <x:v>Stable</x:v>
      </x:c>
      <x:c r="D583" s="8" t="str">
        <x:v>Beta / active development</x:v>
      </x:c>
      <x:c r="E583" s="8" t="str">
        <x:v>Beta / active development</x:v>
      </x:c>
      <x:c r="F583" s="8" t="str">
        <x:v>Beta / public</x:v>
      </x:c>
      <x:c r="G583" s="8" t="str">
        <x:v>Alpha</x:v>
      </x:c>
      <x:c r="H583" s="8" t="str">
        <x:v>Public Beta</x:v>
      </x:c>
      <x:c r="I583" s="8" t="str">
        <x:v>Open Beta</x:v>
      </x:c>
      <x:c r="J583" s="8" t="str">
        <x:v>Active development; core text/voice/DMs/roles/moderation live</x:v>
      </x:c>
      <x:c r="K583" s="8" t="str">
        <x:v>Alpha / Beta</x:v>
      </x:c>
      <x:c r="L583" s="8" t="str">
        <x:v>Pre-launch / active development</x:v>
      </x:c>
      <x:c r="M583" s="8" t="str">
        <x:v>Alpha</x:v>
      </x:c>
      <x:c r="N583" s="8" t="str">
        <x:v>Open Beta</x:v>
      </x:c>
      <x:c r="O583" s="8" t="str">
        <x:v>Stable open standard (spec v1.x)</x:v>
      </x:c>
      <x:c r="P583" s="8" t="str">
        <x:v>Stable</x:v>
      </x:c>
      <x:c r="Q583" s="8" t="str">
        <x:v>Stable/public</x:v>
      </x:c>
      <x:c r="R583" s="8" t="str">
        <x:v>Stable</x:v>
      </x:c>
      <x:c r="S583" s="8" t="str">
        <x:v>Stable/public</x:v>
      </x:c>
      <x:c r="T583" s="8" t="str">
        <x:v>Public Beta</x:v>
      </x:c>
      <x:c r="U583" s="8" t="str">
        <x:v>Open beta</x:v>
      </x:c>
      <x:c r="V583" s="30" t="str">
        <x:v>Public Beta 2026</x:v>
      </x:c>
      <x:c r="W583" s="8" t="str">
        <x:v>Stable</x:v>
      </x:c>
      <x:c r="X583" s="8" t="str">
        <x:v>Alpha / experimental</x:v>
      </x:c>
      <x:c r="Y583" s="8" t="str">
        <x:v>Beta</x:v>
      </x:c>
      <x:c r="Z583" s="8" t="str">
        <x:v>Alpha / WIP</x:v>
      </x:c>
      <x:c r="AA583" s="8" t="str">
        <x:v>Beta / pre-1.0</x:v>
      </x:c>
      <x:c r="AB583" s="8" t="str">
        <x:v>TS6 Beta; TS3 stable</x:v>
      </x:c>
      <x:c r="AC583" s="9" t="str">
        <x:v>Alpha</x:v>
      </x:c>
      <x:c r="AD583" s="8" t="str">
        <x:v>Alpha / Beta</x:v>
      </x:c>
      <x:c r="AE583" s="8" t="str">
        <x:v>Public Beta</x:v>
      </x:c>
      <x:c r="AF583" s="8" t="str">
        <x:v>Beta</x:v>
      </x:c>
      <x:c r="AG583" s="8" t="str">
        <x:v>Stable</x:v>
      </x:c>
      <x:c r="AH583" s="14" t="n">
        <x:v>6</x:v>
      </x:c>
      <x:c r="AI583" s="15" t="str">
        <x:v>Shared metric: At a Glance: Current State (α / β / Stable) | Core Features: Current State (α / β / final) | Project Origin &amp; Longevity: Current State (α / β / final)</x:v>
      </x:c>
    </x:row>
    <x:row r="584" ht="45">
      <x:c r="A584" s="12" t="str">
        <x:v>Project Origin &amp; Longevity</x:v>
      </x:c>
      <x:c r="B584" s="13" t="str">
        <x:v>Codebase Continuity (Original / Fork / Revived)</x:v>
      </x:c>
      <x:c r="C584" s="8" t="str">
        <x:v>Original</x:v>
      </x:c>
      <x:c r="D584" s="8" t="str">
        <x:v>Original</x:v>
      </x:c>
      <x:c r="E584" s="8" t="str">
        <x:v>Original</x:v>
      </x:c>
      <x:c r="F584" s="8" t="str">
        <x:v>Original</x:v>
      </x:c>
      <x:c r="G584" s="8" t="str">
        <x:v>Original</x:v>
      </x:c>
      <x:c r="H584" s="8" t="str">
        <x:v>Original</x:v>
      </x:c>
      <x:c r="I584" s="8" t="str">
        <x:v>Original ground-up rebuild</x:v>
      </x:c>
      <x:c r="J584" s="8" t="str">
        <x:v>Fork/rework of Spacebar-compatible stack</x:v>
      </x:c>
      <x:c r="K584" s="8" t="str">
        <x:v>Original</x:v>
      </x:c>
      <x:c r="L584" s="8" t="str">
        <x:v>Original project</x:v>
      </x:c>
      <x:c r="M584" s="8" t="str">
        <x:v>Original</x:v>
      </x:c>
      <x:c r="N584" s="8" t="str">
        <x:v>Original</x:v>
      </x:c>
      <x:c r="O584" s="8" t="str">
        <x:v>Original open protocol</x:v>
      </x:c>
      <x:c r="P584" s="8" t="str">
        <x:v>Original</x:v>
      </x:c>
      <x:c r="Q584" s="8" t="str">
        <x:v>Original</x:v>
      </x:c>
      <x:c r="R584" s="8" t="str">
        <x:v>Original</x:v>
      </x:c>
      <x:c r="S584" s="8" t="str">
        <x:v>Original</x:v>
      </x:c>
      <x:c r="T584" s="8" t="str">
        <x:v>Original</x:v>
      </x:c>
      <x:c r="U584" s="8" t="str">
        <x:v>Original</x:v>
      </x:c>
      <x:c r="V584" s="8" t="str">
        <x:v>Original</x:v>
      </x:c>
      <x:c r="W584" s="8" t="str">
        <x:v>Original</x:v>
      </x:c>
      <x:c r="X584" s="8" t="str">
        <x:v>Original</x:v>
      </x:c>
      <x:c r="Y584" s="8" t="str">
        <x:v>Original</x:v>
      </x:c>
      <x:c r="Z584" s="8" t="str">
        <x:v>Reimplementation; Fosscord → Spacebar</x:v>
      </x:c>
      <x:c r="AA584" s="8" t="str">
        <x:v>Original; Revolt → Stoat rebrand</x:v>
      </x:c>
      <x:c r="AB584" s="8" t="str">
        <x:v>Original</x:v>
      </x:c>
      <x:c r="AC584" s="9" t="str">
        <x:v>Original</x:v>
      </x:c>
      <x:c r="AD584" s="8" t="str">
        <x:v>Original</x:v>
      </x:c>
      <x:c r="AE584" s="8" t="str">
        <x:v>Original</x:v>
      </x:c>
      <x:c r="AF584" s="8" t="str">
        <x:v>Original</x:v>
      </x:c>
      <x:c r="AG584" s="8" t="str">
        <x:v>Original</x:v>
      </x:c>
      <x:c r="AH584" s="14" t="n">
        <x:v>9</x:v>
      </x:c>
      <x:c r="AI584" s="15" t="str">
        <x:v>Canonical source for Project Origin &amp; Longevity!9</x:v>
      </x:c>
    </x:row>
    <x:row r="585" ht="75">
      <x:c r="A585" s="12" t="str">
        <x:v>Project &amp; Maintenance</x:v>
      </x:c>
      <x:c r="B585" s="13" t="str">
        <x:v>Inception Year</x:v>
      </x:c>
      <x:c r="C585" s="8" t="str">
        <x:v>2015</x:v>
      </x:c>
      <x:c r="D585" s="8" t="str">
        <x:v>2026</x:v>
      </x:c>
      <x:c r="E585" s="8" t="str">
        <x:v>2023</x:v>
      </x:c>
      <x:c r="F585" s="8" t="str">
        <x:v>2026</x:v>
      </x:c>
      <x:c r="G585" s="8" t="str">
        <x:v>2025</x:v>
      </x:c>
      <x:c r="H585" s="8" t="str">
        <x:v>2020</x:v>
      </x:c>
      <x:c r="I585" s="8" t="str">
        <x:v>2026</x:v>
      </x:c>
      <x:c r="J585" s="8" t="str">
        <x:v>2026</x:v>
      </x:c>
      <x:c r="K585" s="8" t="str">
        <x:v>2026</x:v>
      </x:c>
      <x:c r="L585" s="8" t="str">
        <x:v>≈ late 2025 (developer report: private use for nearly a year as of Sep 2026)</x:v>
      </x:c>
      <x:c r="M585" s="8" t="str">
        <x:v>2025</x:v>
      </x:c>
      <x:c r="N585" s="8" t="str">
        <x:v>2026</x:v>
      </x:c>
      <x:c r="O585" s="8" t="str">
        <x:v>2014</x:v>
      </x:c>
      <x:c r="P585" s="8" t="str">
        <x:v>2015</x:v>
      </x:c>
      <x:c r="Q585" s="8"/>
      <x:c r="R585" s="8" t="str">
        <x:v>2005</x:v>
      </x:c>
      <x:c r="S585" s="8"/>
      <x:c r="T585" s="8" t="str">
        <x:v>2024</x:v>
      </x:c>
      <x:c r="U585" s="8" t="str">
        <x:v>Exact year/date not stated in the developer response; see GitHub first commit</x:v>
      </x:c>
      <x:c r="V585" s="8" t="str">
        <x:v>2026</x:v>
      </x:c>
      <x:c r="W585" s="8" t="str">
        <x:v>2015</x:v>
      </x:c>
      <x:c r="X585" s="8" t="str">
        <x:v>2024</x:v>
      </x:c>
      <x:c r="Y585" s="8" t="str">
        <x:v>2025</x:v>
      </x:c>
      <x:c r="Z585" s="8" t="str">
        <x:v>2021</x:v>
      </x:c>
      <x:c r="AA585" s="8" t="str">
        <x:v>2021</x:v>
      </x:c>
      <x:c r="AB585" s="8" t="str">
        <x:v>1999</x:v>
      </x:c>
      <x:c r="AC585" s="9" t="str">
        <x:v>2026</x:v>
      </x:c>
      <x:c r="AD585" s="8" t="str">
        <x:v>2026</x:v>
      </x:c>
      <x:c r="AE585" s="8" t="str">
        <x:v>2025</x:v>
      </x:c>
      <x:c r="AF585" s="8" t="str">
        <x:v>2026</x:v>
      </x:c>
      <x:c r="AG585" s="8" t="str">
        <x:v>2012</x:v>
      </x:c>
      <x:c r="AH585" s="14" t="n">
        <x:v>4</x:v>
      </x:c>
      <x:c r="AI585" s="15" t="str">
        <x:v>Canonical source for Project &amp; Maintenance!4</x:v>
      </x:c>
    </x:row>
    <x:row r="586">
      <x:c r="A586" s="12" t="str">
        <x:v>Project &amp; Maintenance</x:v>
      </x:c>
      <x:c r="B586" s="13" t="str">
        <x:v>Inception Month</x:v>
      </x:c>
      <x:c r="C586" s="8" t="str">
        <x:v>May</x:v>
      </x:c>
      <x:c r="D586" s="8"/>
      <x:c r="E586" s="8"/>
      <x:c r="F586" s="8"/>
      <x:c r="G586" s="8" t="str">
        <x:v>November</x:v>
      </x:c>
      <x:c r="H586" s="8"/>
      <x:c r="I586" s="8"/>
      <x:c r="J586" s="8"/>
      <x:c r="K586" s="8"/>
      <x:c r="L586" s="8"/>
      <x:c r="M586" s="8"/>
      <x:c r="N586" s="8"/>
      <x:c r="O586" s="8"/>
      <x:c r="P586" s="8"/>
      <x:c r="Q586" s="8"/>
      <x:c r="R586" s="8"/>
      <x:c r="S586" s="8"/>
      <x:c r="T586" s="8"/>
      <x:c r="U586" s="8"/>
      <x:c r="V586" s="8"/>
      <x:c r="W586" s="8"/>
      <x:c r="X586" s="8"/>
      <x:c r="Y586" s="8"/>
      <x:c r="Z586" s="8"/>
      <x:c r="AA586" s="8"/>
      <x:c r="AB586" s="8"/>
      <x:c r="AC586" s="9"/>
      <x:c r="AD586" s="8"/>
      <x:c r="AE586" s="8"/>
      <x:c r="AF586" s="8"/>
      <x:c r="AG586" s="8"/>
      <x:c r="AH586" s="14" t="n">
        <x:v>5</x:v>
      </x:c>
      <x:c r="AI586" s="15" t="str">
        <x:v>Canonical source for Project &amp; Maintenance!5</x:v>
      </x:c>
    </x:row>
    <x:row r="587" ht="60">
      <x:c r="A587" s="12" t="str">
        <x:v>Project &amp; Maintenance</x:v>
      </x:c>
      <x:c r="B587" s="13" t="str">
        <x:v>Exact Inception Date Known?</x:v>
      </x:c>
      <x:c r="C587" s="8" t="str">
        <x:v>Yes</x:v>
      </x:c>
      <x:c r="D587" s="8"/>
      <x:c r="E587" s="8"/>
      <x:c r="F587" s="8"/>
      <x:c r="G587" s="8"/>
      <x:c r="H587" s="8" t="str">
        <x:v>Yes</x:v>
      </x:c>
      <x:c r="I587" s="8"/>
      <x:c r="J587" s="8"/>
      <x:c r="K587" s="8"/>
      <x:c r="L587" s="8"/>
      <x:c r="M587" s="8"/>
      <x:c r="N587" s="8"/>
      <x:c r="O587" s="8" t="str">
        <x:v>Yes</x:v>
      </x:c>
      <x:c r="P587" s="8"/>
      <x:c r="Q587" s="8"/>
      <x:c r="R587" s="8"/>
      <x:c r="S587" s="8"/>
      <x:c r="T587" s="8"/>
      <x:c r="U587" s="8" t="str">
        <x:v>Available from GitHub first-commit history; not supplied in response</x:v>
      </x:c>
      <x:c r="V587" s="8"/>
      <x:c r="W587" s="8"/>
      <x:c r="X587" s="8"/>
      <x:c r="Y587" s="8"/>
      <x:c r="Z587" s="8"/>
      <x:c r="AA587" s="8"/>
      <x:c r="AB587" s="8"/>
      <x:c r="AC587" s="9"/>
      <x:c r="AD587" s="8"/>
      <x:c r="AE587" s="8"/>
      <x:c r="AF587" s="8"/>
      <x:c r="AG587" s="8"/>
      <x:c r="AH587" s="14" t="n">
        <x:v>6</x:v>
      </x:c>
      <x:c r="AI587" s="15" t="str">
        <x:v>Canonical source for Project &amp; Maintenance!6</x:v>
      </x:c>
    </x:row>
    <x:row r="588" ht="45">
      <x:c r="A588" s="12" t="str">
        <x:v>Project &amp; Maintenance</x:v>
      </x:c>
      <x:c r="B588" s="13" t="str">
        <x:v>Public Alpha Date</x:v>
      </x:c>
      <x:c r="C588" s="8"/>
      <x:c r="D588" s="8"/>
      <x:c r="E588" s="8"/>
      <x:c r="F588" s="8"/>
      <x:c r="G588" s="8" t="str">
        <x:v>Alpha access in 2026; public v1 release not yet</x:v>
      </x:c>
      <x:c r="H588" s="8"/>
      <x:c r="I588" s="8"/>
      <x:c r="J588" s="8" t="str">
        <x:v>Early public 2026</x:v>
      </x:c>
      <x:c r="K588" s="8" t="str">
        <x:v>Public alpha/beta 2026</x:v>
      </x:c>
      <x:c r="L588" s="8" t="str">
        <x:v>No formal public launch</x:v>
      </x:c>
      <x:c r="M588" s="8" t="str">
        <x:v>Alpha/public 2026</x:v>
      </x:c>
      <x:c r="N588" s="8"/>
      <x:c r="O588" s="8"/>
      <x:c r="P588" s="8"/>
      <x:c r="Q588" s="8"/>
      <x:c r="R588" s="8"/>
      <x:c r="S588" s="8"/>
      <x:c r="T588" s="8"/>
      <x:c r="U588" s="8"/>
      <x:c r="V588" s="8"/>
      <x:c r="W588" s="8"/>
      <x:c r="X588" s="8" t="str">
        <x:v>Early public project</x:v>
      </x:c>
      <x:c r="Y588" s="8"/>
      <x:c r="Z588" s="8"/>
      <x:c r="AA588" s="8"/>
      <x:c r="AB588" s="8"/>
      <x:c r="AC588" s="9" t="str">
        <x:v>Alpha/public before 2026</x:v>
      </x:c>
      <x:c r="AD588" s="8" t="str">
        <x:v>Alpha/beta 2026</x:v>
      </x:c>
      <x:c r="AE588" s="8"/>
      <x:c r="AF588" s="8"/>
      <x:c r="AG588" s="8"/>
      <x:c r="AH588" s="14" t="n">
        <x:v>7</x:v>
      </x:c>
      <x:c r="AI588" s="15" t="str">
        <x:v>Canonical source for Project &amp; Maintenance!7</x:v>
      </x:c>
    </x:row>
    <x:row r="589" ht="30">
      <x:c r="A589" s="12" t="str">
        <x:v>Project &amp; Maintenance</x:v>
      </x:c>
      <x:c r="B589" s="13" t="str">
        <x:v>Public Beta Date</x:v>
      </x:c>
      <x:c r="C589" s="8"/>
      <x:c r="D589" s="8" t="str">
        <x:v>Public beta/dev 2026</x:v>
      </x:c>
      <x:c r="E589" s="8" t="str">
        <x:v>Public project by 2024</x:v>
      </x:c>
      <x:c r="F589" s="8" t="str">
        <x:v>Public 2026</x:v>
      </x:c>
      <x:c r="G589" s="8"/>
      <x:c r="H589" s="8" t="str">
        <x:v>2026-01-02 public release</x:v>
      </x:c>
      <x:c r="I589" s="8" t="str">
        <x:v>2026 open beta</x:v>
      </x:c>
      <x:c r="J589" s="8"/>
      <x:c r="K589" s="8" t="str">
        <x:v>Public alpha/beta 2026</x:v>
      </x:c>
      <x:c r="L589" s="8" t="str">
        <x:v>No formal public launch</x:v>
      </x:c>
      <x:c r="M589" s="8"/>
      <x:c r="N589" s="8" t="str">
        <x:v>Open beta 2026</x:v>
      </x:c>
      <x:c r="O589" s="8"/>
      <x:c r="P589" s="8"/>
      <x:c r="Q589" s="8"/>
      <x:c r="R589" s="8"/>
      <x:c r="S589" s="8"/>
      <x:c r="T589" s="8" t="str">
        <x:v>Public beta in 2026</x:v>
      </x:c>
      <x:c r="U589" s="8" t="str">
        <x:v>Open beta; exact launch date not stated</x:v>
      </x:c>
      <x:c r="V589" s="8" t="str">
        <x:v>Public 2026</x:v>
      </x:c>
      <x:c r="W589" s="8"/>
      <x:c r="X589" s="8"/>
      <x:c r="Y589" s="8"/>
      <x:c r="Z589" s="8"/>
      <x:c r="AA589" s="8"/>
      <x:c r="AB589" s="8" t="str">
        <x:v>2001 first public release</x:v>
      </x:c>
      <x:c r="AC589" s="9"/>
      <x:c r="AD589" s="8" t="str">
        <x:v>Alpha/beta 2026</x:v>
      </x:c>
      <x:c r="AE589" s="8" t="str">
        <x:v>Public beta 2026</x:v>
      </x:c>
      <x:c r="AF589" s="8" t="str">
        <x:v>Public beta/service 2026</x:v>
      </x:c>
      <x:c r="AG589" s="8"/>
      <x:c r="AH589" s="14" t="n">
        <x:v>8</x:v>
      </x:c>
      <x:c r="AI589" s="15" t="str">
        <x:v>Canonical source for Project &amp; Maintenance!8</x:v>
      </x:c>
    </x:row>
    <x:row r="590" ht="30">
      <x:c r="A590" s="12" t="str">
        <x:v>Project &amp; Maintenance</x:v>
      </x:c>
      <x:c r="B590" s="13" t="str">
        <x:v>Stable / 1.0 Date</x:v>
      </x:c>
      <x:c r="C590" s="8" t="str">
        <x:v>2015-05-13</x:v>
      </x:c>
      <x:c r="D590" s="8"/>
      <x:c r="E590" s="8"/>
      <x:c r="F590" s="8"/>
      <x:c r="G590" s="8"/>
      <x:c r="H590" s="8"/>
      <x:c r="I590" s="8"/>
      <x:c r="J590" s="8"/>
      <x:c r="K590" s="8"/>
      <x:c r="L590" s="8" t="str">
        <x:v>No formal public launch</x:v>
      </x:c>
      <x:c r="M590" s="8"/>
      <x:c r="N590" s="8"/>
      <x:c r="O590" s="8" t="str">
        <x:v>2014-09-03 (first public alpha)</x:v>
      </x:c>
      <x:c r="P590" s="8" t="str">
        <x:v>2015</x:v>
      </x:c>
      <x:c r="Q590" s="8"/>
      <x:c r="R590" s="8"/>
      <x:c r="S590" s="8"/>
      <x:c r="T590" s="8"/>
      <x:c r="U590" s="8"/>
      <x:c r="V590" s="8"/>
      <x:c r="W590" s="8" t="str">
        <x:v>2015</x:v>
      </x:c>
      <x:c r="X590" s="8"/>
      <x:c r="Y590" s="8"/>
      <x:c r="Z590" s="8"/>
      <x:c r="AA590" s="8"/>
      <x:c r="AB590" s="8" t="str">
        <x:v>2001 first public release</x:v>
      </x:c>
      <x:c r="AC590" s="9"/>
      <x:c r="AD590" s="8"/>
      <x:c r="AE590" s="8"/>
      <x:c r="AF590" s="8"/>
      <x:c r="AG590" s="8" t="str">
        <x:v>2012 hosted; open-sourced 2015</x:v>
      </x:c>
      <x:c r="AH590" s="14" t="n">
        <x:v>9</x:v>
      </x:c>
      <x:c r="AI590" s="15" t="str">
        <x:v>Canonical source for Project &amp; Maintenance!9</x:v>
      </x:c>
    </x:row>
    <x:row r="591" ht="30">
      <x:c r="A591" s="12" t="str">
        <x:v>Project &amp; Maintenance</x:v>
      </x:c>
      <x:c r="B591" s="13" t="str">
        <x:v>Current State</x:v>
      </x:c>
      <x:c r="C591" s="8"/>
      <x:c r="D591" s="8"/>
      <x:c r="E591" s="8"/>
      <x:c r="F591" s="8"/>
      <x:c r="G591" s="8"/>
      <x:c r="H591" s="8"/>
      <x:c r="I591" s="8"/>
      <x:c r="J591" s="8"/>
      <x:c r="K591" s="8"/>
      <x:c r="L591" s="8" t="str">
        <x:v>Pre-launch / active development</x:v>
      </x:c>
      <x:c r="M591" s="8"/>
      <x:c r="N591" s="8"/>
      <x:c r="O591" s="8"/>
      <x:c r="P591" s="8"/>
      <x:c r="Q591" s="8"/>
      <x:c r="R591" s="8"/>
      <x:c r="S591" s="8"/>
      <x:c r="T591" s="8"/>
      <x:c r="U591" s="8"/>
      <x:c r="V591" s="30" t="str">
        <x:v>Public Beta 2026</x:v>
      </x:c>
      <x:c r="W591" s="8"/>
      <x:c r="X591" s="8"/>
      <x:c r="Y591" s="8"/>
      <x:c r="Z591" s="8"/>
      <x:c r="AA591" s="8"/>
      <x:c r="AB591" s="8"/>
      <x:c r="AC591" s="9"/>
      <x:c r="AD591" s="8"/>
      <x:c r="AE591" s="8"/>
      <x:c r="AF591" s="8"/>
      <x:c r="AG591" s="8"/>
      <x:c r="AH591" s="14" t="n">
        <x:v>10</x:v>
      </x:c>
      <x:c r="AI591" s="15" t="str">
        <x:v>Canonical source for Project &amp; Maintenance!10</x:v>
      </x:c>
    </x:row>
    <x:row r="592" ht="30">
      <x:c r="A592" s="12" t="str">
        <x:v>Project &amp; Maintenance</x:v>
      </x:c>
      <x:c r="B592" s="13" t="str">
        <x:v>Current Lifecycle Stage</x:v>
      </x:c>
      <x:c r="C592" s="8" t="str">
        <x:v>Stable</x:v>
      </x:c>
      <x:c r="D592" s="8" t="str">
        <x:v>Beta / active development</x:v>
      </x:c>
      <x:c r="E592" s="8" t="str">
        <x:v>Beta / active development</x:v>
      </x:c>
      <x:c r="F592" s="8" t="str">
        <x:v>Beta / public</x:v>
      </x:c>
      <x:c r="G592" s="8" t="str">
        <x:v>Alpha</x:v>
      </x:c>
      <x:c r="H592" s="8" t="str">
        <x:v>Public Beta</x:v>
      </x:c>
      <x:c r="I592" s="8" t="str">
        <x:v>Open Beta</x:v>
      </x:c>
      <x:c r="J592" s="8" t="str">
        <x:v>Early Alpha</x:v>
      </x:c>
      <x:c r="K592" s="8" t="str">
        <x:v>Alpha / Beta</x:v>
      </x:c>
      <x:c r="L592" s="8" t="str">
        <x:v>Pre-launch / active development</x:v>
      </x:c>
      <x:c r="M592" s="8" t="str">
        <x:v>Alpha</x:v>
      </x:c>
      <x:c r="N592" s="8" t="str">
        <x:v>Open Beta</x:v>
      </x:c>
      <x:c r="O592" s="8" t="str">
        <x:v>Stable open standard (spec v1.x)</x:v>
      </x:c>
      <x:c r="P592" s="8" t="str">
        <x:v>Stable</x:v>
      </x:c>
      <x:c r="Q592" s="8" t="str">
        <x:v>Stable/public</x:v>
      </x:c>
      <x:c r="R592" s="8" t="str">
        <x:v>Stable</x:v>
      </x:c>
      <x:c r="S592" s="8" t="str">
        <x:v>Stable/public</x:v>
      </x:c>
      <x:c r="T592" s="8" t="str">
        <x:v>Public Beta</x:v>
      </x:c>
      <x:c r="U592" s="8" t="str">
        <x:v>Open beta</x:v>
      </x:c>
      <x:c r="V592" s="8" t="str">
        <x:v>Stable/public</x:v>
      </x:c>
      <x:c r="W592" s="8" t="str">
        <x:v>Stable</x:v>
      </x:c>
      <x:c r="X592" s="8" t="str">
        <x:v>Alpha / experimental</x:v>
      </x:c>
      <x:c r="Y592" s="8" t="str">
        <x:v>Beta</x:v>
      </x:c>
      <x:c r="Z592" s="8" t="str">
        <x:v>Alpha / WIP</x:v>
      </x:c>
      <x:c r="AA592" s="8" t="str">
        <x:v>Beta / pre-1.0</x:v>
      </x:c>
      <x:c r="AB592" s="8" t="str">
        <x:v>TS6 Beta; TS3 stable</x:v>
      </x:c>
      <x:c r="AC592" s="9" t="str">
        <x:v>Alpha</x:v>
      </x:c>
      <x:c r="AD592" s="8" t="str">
        <x:v>Alpha / Beta</x:v>
      </x:c>
      <x:c r="AE592" s="8" t="str">
        <x:v>Public Beta</x:v>
      </x:c>
      <x:c r="AF592" s="8" t="str">
        <x:v>Beta</x:v>
      </x:c>
      <x:c r="AG592" s="8" t="str">
        <x:v>Stable</x:v>
      </x:c>
      <x:c r="AH592" s="14" t="n">
        <x:v>11</x:v>
      </x:c>
      <x:c r="AI592" s="15" t="str">
        <x:v>Canonical source for Project &amp; Maintenance!11</x:v>
      </x:c>
    </x:row>
    <x:row r="593">
      <x:c r="A593" s="12" t="str">
        <x:v>Project &amp; Maintenance</x:v>
      </x:c>
      <x:c r="B593" s="13" t="str">
        <x:v>Actively Developed?</x:v>
      </x:c>
      <x:c r="C593" s="8" t="str">
        <x:v>Yes</x:v>
      </x:c>
      <x:c r="D593" s="8" t="str">
        <x:v>Yes</x:v>
      </x:c>
      <x:c r="E593" s="8" t="str">
        <x:v>Yes</x:v>
      </x:c>
      <x:c r="F593" s="8" t="str">
        <x:v>Yes</x:v>
      </x:c>
      <x:c r="G593" s="8" t="str">
        <x:v>Yes</x:v>
      </x:c>
      <x:c r="H593" s="8" t="str">
        <x:v>Yes</x:v>
      </x:c>
      <x:c r="I593" s="8" t="str">
        <x:v>Yes</x:v>
      </x:c>
      <x:c r="J593" s="8" t="str">
        <x:v>Yes</x:v>
      </x:c>
      <x:c r="K593" s="8" t="str">
        <x:v>Yes</x:v>
      </x:c>
      <x:c r="L593" s="8"/>
      <x:c r="M593" s="8" t="str">
        <x:v>Yes</x:v>
      </x:c>
      <x:c r="N593" s="8" t="str">
        <x:v>Yes</x:v>
      </x:c>
      <x:c r="O593" s="8" t="str">
        <x:v>Yes</x:v>
      </x:c>
      <x:c r="P593" s="8" t="str">
        <x:v>Yes</x:v>
      </x:c>
      <x:c r="Q593" s="8" t="str">
        <x:v>Yes</x:v>
      </x:c>
      <x:c r="R593" s="8" t="str">
        <x:v>Yes</x:v>
      </x:c>
      <x:c r="S593" s="8" t="str">
        <x:v>Yes</x:v>
      </x:c>
      <x:c r="T593" s="8" t="str">
        <x:v>Yes</x:v>
      </x:c>
      <x:c r="U593" s="8" t="str">
        <x:v>Yes</x:v>
      </x:c>
      <x:c r="V593" s="8" t="str">
        <x:v>Yes</x:v>
      </x:c>
      <x:c r="W593" s="8" t="str">
        <x:v>Yes</x:v>
      </x:c>
      <x:c r="X593" s="8" t="str">
        <x:v>Yes</x:v>
      </x:c>
      <x:c r="Y593" s="8" t="str">
        <x:v>Yes</x:v>
      </x:c>
      <x:c r="Z593" s="8" t="str">
        <x:v>Yes</x:v>
      </x:c>
      <x:c r="AA593" s="8" t="str">
        <x:v>Yes</x:v>
      </x:c>
      <x:c r="AB593" s="8" t="str">
        <x:v>Yes</x:v>
      </x:c>
      <x:c r="AC593" s="9" t="str">
        <x:v>Yes</x:v>
      </x:c>
      <x:c r="AD593" s="8" t="str">
        <x:v>Yes</x:v>
      </x:c>
      <x:c r="AE593" s="8" t="str">
        <x:v>Yes</x:v>
      </x:c>
      <x:c r="AF593" s="8" t="str">
        <x:v>Yes</x:v>
      </x:c>
      <x:c r="AG593" s="8" t="str">
        <x:v>Yes</x:v>
      </x:c>
      <x:c r="AH593" s="14" t="n">
        <x:v>12</x:v>
      </x:c>
      <x:c r="AI593" s="15" t="str">
        <x:v>Canonical source for Project &amp; Maintenance!12</x:v>
      </x:c>
    </x:row>
    <x:row r="594" ht="60">
      <x:c r="A594" s="12" t="str">
        <x:v>Project &amp; Maintenance</x:v>
      </x:c>
      <x:c r="B594" s="13" t="str">
        <x:v>Development State</x:v>
      </x:c>
      <x:c r="C594" s="8" t="str">
        <x:v>Active development</x:v>
      </x:c>
      <x:c r="D594" s="8" t="str">
        <x:v>Active</x:v>
      </x:c>
      <x:c r="E594" s="8" t="str">
        <x:v>Active</x:v>
      </x:c>
      <x:c r="F594" s="8" t="str">
        <x:v>Active</x:v>
      </x:c>
      <x:c r="G594" s="8" t="str">
        <x:v>Active alpha</x:v>
      </x:c>
      <x:c r="H594" s="8" t="str">
        <x:v>Active</x:v>
      </x:c>
      <x:c r="I594" s="8" t="str">
        <x:v>Active</x:v>
      </x:c>
      <x:c r="J594" s="8" t="str">
        <x:v>Active</x:v>
      </x:c>
      <x:c r="K594" s="8" t="str">
        <x:v>Active</x:v>
      </x:c>
      <x:c r="L594" s="8" t="str">
        <x:v>Actively developed; pre-launch</x:v>
      </x:c>
      <x:c r="M594" s="8" t="str">
        <x:v>Active</x:v>
      </x:c>
      <x:c r="N594" s="8" t="str">
        <x:v>Active</x:v>
      </x:c>
      <x:c r="O594" s="8" t="str">
        <x:v>Active standard + ecosystem</x:v>
      </x:c>
      <x:c r="P594" s="8" t="str">
        <x:v>Active</x:v>
      </x:c>
      <x:c r="Q594" s="8" t="str">
        <x:v>Active</x:v>
      </x:c>
      <x:c r="R594" s="8" t="str">
        <x:v>Active</x:v>
      </x:c>
      <x:c r="S594" s="8" t="str">
        <x:v>Active</x:v>
      </x:c>
      <x:c r="T594" s="8" t="str">
        <x:v>Active</x:v>
      </x:c>
      <x:c r="U594" s="8" t="str">
        <x:v>Active</x:v>
      </x:c>
      <x:c r="V594" s="8" t="str">
        <x:v>Active</x:v>
      </x:c>
      <x:c r="W594" s="8" t="str">
        <x:v>Active</x:v>
      </x:c>
      <x:c r="X594" s="8" t="str">
        <x:v>Active</x:v>
      </x:c>
      <x:c r="Y594" s="8" t="str">
        <x:v>Active</x:v>
      </x:c>
      <x:c r="Z594" s="8" t="str">
        <x:v>Active</x:v>
      </x:c>
      <x:c r="AA594" s="8" t="str">
        <x:v>Active</x:v>
      </x:c>
      <x:c r="AB594" s="8" t="str">
        <x:v>Active</x:v>
      </x:c>
      <x:c r="AC594" s="9" t="str">
        <x:v>Active</x:v>
      </x:c>
      <x:c r="AD594" s="8" t="str">
        <x:v>Active experimental</x:v>
      </x:c>
      <x:c r="AE594" s="8" t="str">
        <x:v>Active</x:v>
      </x:c>
      <x:c r="AF594" s="8" t="str">
        <x:v>Active</x:v>
      </x:c>
      <x:c r="AG594" s="8" t="str">
        <x:v>Active</x:v>
      </x:c>
      <x:c r="AH594" s="14" t="n">
        <x:v>13</x:v>
      </x:c>
      <x:c r="AI594" s="15" t="str">
        <x:v>Shared metric: Core Features: Development State | Project Origin &amp; Longevity: Development State | Project &amp; Maintenance: Development State</x:v>
      </x:c>
    </x:row>
    <x:row r="595" ht="90">
      <x:c r="A595" s="12" t="str">
        <x:v>Project &amp; Maintenance</x:v>
      </x:c>
      <x:c r="B595" s="13" t="str">
        <x:v>Maintainer Structure</x:v>
      </x:c>
      <x:c r="C595" s="8" t="str">
        <x:v>Corp (Discord Inc.)</x:v>
      </x:c>
      <x:c r="D595" s="8" t="str">
        <x:v>Open-source team</x:v>
      </x:c>
      <x:c r="E595" s="8" t="str">
        <x:v>Solo-led + contributors</x:v>
      </x:c>
      <x:c r="F595" s="8" t="str">
        <x:v>Tiny Canadian team</x:v>
      </x:c>
      <x:c r="G595" s="8" t="str">
        <x:v>Solo founder / tiny team</x:v>
      </x:c>
      <x:c r="H595" s="8" t="str">
        <x:v>Small company/open-source team</x:v>
      </x:c>
      <x:c r="I595" s="8" t="str">
        <x:v>Founder-led company</x:v>
      </x:c>
      <x:c r="J595" s="8" t="str">
        <x:v>Volunteer project</x:v>
      </x:c>
      <x:c r="K595" s="8" t="str">
        <x:v>Solo dev</x:v>
      </x:c>
      <x:c r="L595" s="8" t="str">
        <x:v>1 primary developer; security-researcher friend provides private review/bug reports (developer report)</x:v>
      </x:c>
      <x:c r="M595" s="8" t="str">
        <x:v>Small team</x:v>
      </x:c>
      <x:c r="N595" s="8" t="str">
        <x:v>Small team</x:v>
      </x:c>
      <x:c r="O595" s="8" t="str">
        <x:v>Nonprofit foundation + ecosystem companies/projects</x:v>
      </x:c>
      <x:c r="P595" s="8" t="str">
        <x:v>Corp + open-source community</x:v>
      </x:c>
      <x:c r="Q595" s="8" t="str">
        <x:v>Company/open-source team</x:v>
      </x:c>
      <x:c r="R595" s="8" t="str">
        <x:v>Community project</x:v>
      </x:c>
      <x:c r="S595" s="8" t="str">
        <x:v>Solo/small community</x:v>
      </x:c>
      <x:c r="T595" s="8" t="str">
        <x:v>Small startup team</x:v>
      </x:c>
      <x:c r="U595" s="8" t="str">
        <x:v>Independently run</x:v>
      </x:c>
      <x:c r="V595" s="8" t="str">
        <x:v>Small private company</x:v>
      </x:c>
      <x:c r="W595" s="8" t="str">
        <x:v>Corp + community</x:v>
      </x:c>
      <x:c r="X595" s="8" t="str">
        <x:v>Open-source community</x:v>
      </x:c>
      <x:c r="Y595" s="8" t="str">
        <x:v>Corp</x:v>
      </x:c>
      <x:c r="Z595" s="8" t="str">
        <x:v>Volunteer project</x:v>
      </x:c>
      <x:c r="AA595" s="8" t="str">
        <x:v>Small open-source collective</x:v>
      </x:c>
      <x:c r="AB595" s="8" t="str">
        <x:v>Corp</x:v>
      </x:c>
      <x:c r="AC595" s="9" t="str">
        <x:v>Volunteer/open-source team</x:v>
      </x:c>
      <x:c r="AD595" s="8" t="str">
        <x:v>Small founder-led team</x:v>
      </x:c>
      <x:c r="AE595" s="8" t="str">
        <x:v>Solo developer</x:v>
      </x:c>
      <x:c r="AF595" s="8" t="str">
        <x:v>Small team</x:v>
      </x:c>
      <x:c r="AG595" s="8" t="str">
        <x:v>Independent company + community</x:v>
      </x:c>
      <x:c r="AH595" s="14" t="n">
        <x:v>16</x:v>
      </x:c>
      <x:c r="AI595" s="15" t="str">
        <x:v>Canonical source for Project &amp; Maintenance!16</x:v>
      </x:c>
    </x:row>
    <x:row r="596" ht="90">
      <x:c r="A596" s="12" t="str">
        <x:v>Project &amp; Maintenance</x:v>
      </x:c>
      <x:c r="B596" s="13" t="str">
        <x:v>Developer Team Size</x:v>
      </x:c>
      <x:c r="C596" s="8"/>
      <x:c r="D596" s="8" t="str">
        <x:v>Small open-source team</x:v>
      </x:c>
      <x:c r="E596" s="8" t="str">
        <x:v>Solo/very small contributor group</x:v>
      </x:c>
      <x:c r="F596" s="8" t="str">
        <x:v>Tiny Canadian team</x:v>
      </x:c>
      <x:c r="G596" s="8" t="str">
        <x:v>Solo founder-led / very small team</x:v>
      </x:c>
      <x:c r="H596" s="8"/>
      <x:c r="I596" s="8" t="str">
        <x:v>Founder-led / small team</x:v>
      </x:c>
      <x:c r="J596" s="8" t="str">
        <x:v>Small volunteer team</x:v>
      </x:c>
      <x:c r="K596" s="8" t="str">
        <x:v>Solo developer</x:v>
      </x:c>
      <x:c r="L596" s="8" t="str">
        <x:v>1 primary developer; security-researcher friend provides private review/bug reports (developer report)</x:v>
      </x:c>
      <x:c r="M596" s="8" t="str">
        <x:v>Small team</x:v>
      </x:c>
      <x:c r="N596" s="8" t="str">
        <x:v>Small team</x:v>
      </x:c>
      <x:c r="O596" s="8" t="str">
        <x:v>Matrix.org Foundation + many independent implementers</x:v>
      </x:c>
      <x:c r="P596" s="8" t="str">
        <x:v>Mattermost, Inc. + open-source community</x:v>
      </x:c>
      <x:c r="Q596" s="8" t="str">
        <x:v>Company/open-source team</x:v>
      </x:c>
      <x:c r="R596" s="8" t="str">
        <x:v>Community open-source project</x:v>
      </x:c>
      <x:c r="S596" s="8" t="str">
        <x:v>Small hobby/community project</x:v>
      </x:c>
      <x:c r="T596" s="8" t="str">
        <x:v>Small startup team</x:v>
      </x:c>
      <x:c r="U596" s="8" t="str">
        <x:v>2: built by two brothers (official repository README)</x:v>
      </x:c>
      <x:c r="V596" s="8" t="str">
        <x:v>Small company/team</x:v>
      </x:c>
      <x:c r="W596" s="8" t="str">
        <x:v>Rocket.Chat company + open-source community</x:v>
      </x:c>
      <x:c r="X596" s="8" t="str">
        <x:v>Small open-source team</x:v>
      </x:c>
      <x:c r="Y596" s="8"/>
      <x:c r="Z596" s="8"/>
      <x:c r="AA596" s="8"/>
      <x:c r="AB596" s="8" t="str">
        <x:v>Commercial company</x:v>
      </x:c>
      <x:c r="AC596" s="9" t="str">
        <x:v>Volunteer/open-source team</x:v>
      </x:c>
      <x:c r="AD596" s="8" t="str">
        <x:v>Small team / founder-led</x:v>
      </x:c>
      <x:c r="AE596" s="8" t="str">
        <x:v>Solo developer</x:v>
      </x:c>
      <x:c r="AF596" s="8" t="str">
        <x:v>Small team/founder-led</x:v>
      </x:c>
      <x:c r="AG596" s="8" t="str">
        <x:v>Independent company + open-source community</x:v>
      </x:c>
      <x:c r="AH596" s="14" t="n">
        <x:v>17</x:v>
      </x:c>
      <x:c r="AI596" s="15" t="str">
        <x:v>Shared metric: Core Features: Developer Team Size | Project Origin &amp; Longevity: Developer Team Size | Project &amp; Maintenance: Developer Team Size</x:v>
      </x:c>
    </x:row>
    <x:row r="597" ht="45">
      <x:c r="A597" s="12" t="str">
        <x:v>Project &amp; Maintenance</x:v>
      </x:c>
      <x:c r="B597" s="13" t="str">
        <x:v>Original / Fork / Reimplementation</x:v>
      </x:c>
      <x:c r="C597" s="8" t="str">
        <x:v>Original</x:v>
      </x:c>
      <x:c r="D597" s="8" t="str">
        <x:v>Original</x:v>
      </x:c>
      <x:c r="E597" s="8" t="str">
        <x:v>Original</x:v>
      </x:c>
      <x:c r="F597" s="8" t="str">
        <x:v>Original</x:v>
      </x:c>
      <x:c r="G597" s="8" t="str">
        <x:v>Original</x:v>
      </x:c>
      <x:c r="H597" s="8" t="str">
        <x:v>Original</x:v>
      </x:c>
      <x:c r="I597" s="8" t="str">
        <x:v>Original ground-up rebuild</x:v>
      </x:c>
      <x:c r="J597" s="8" t="str">
        <x:v>Fork/rework of Spacebar-compatible stack</x:v>
      </x:c>
      <x:c r="K597" s="8" t="str">
        <x:v>Original</x:v>
      </x:c>
      <x:c r="L597" s="8" t="str">
        <x:v>Original project</x:v>
      </x:c>
      <x:c r="M597" s="8" t="str">
        <x:v>Original</x:v>
      </x:c>
      <x:c r="N597" s="8" t="str">
        <x:v>Original</x:v>
      </x:c>
      <x:c r="O597" s="8" t="str">
        <x:v>Original open protocol</x:v>
      </x:c>
      <x:c r="P597" s="8" t="str">
        <x:v>Original</x:v>
      </x:c>
      <x:c r="Q597" s="8" t="str">
        <x:v>Original</x:v>
      </x:c>
      <x:c r="R597" s="8" t="str">
        <x:v>Original</x:v>
      </x:c>
      <x:c r="S597" s="8" t="str">
        <x:v>Original</x:v>
      </x:c>
      <x:c r="T597" s="8" t="str">
        <x:v>Original</x:v>
      </x:c>
      <x:c r="U597" s="8" t="str">
        <x:v>Original</x:v>
      </x:c>
      <x:c r="V597" s="8" t="str">
        <x:v>Original</x:v>
      </x:c>
      <x:c r="W597" s="8" t="str">
        <x:v>Original</x:v>
      </x:c>
      <x:c r="X597" s="8" t="str">
        <x:v>Original</x:v>
      </x:c>
      <x:c r="Y597" s="8" t="str">
        <x:v>Original</x:v>
      </x:c>
      <x:c r="Z597" s="8" t="str">
        <x:v>Reimplementation; Fosscord → Spacebar</x:v>
      </x:c>
      <x:c r="AA597" s="8" t="str">
        <x:v>Original; Revolt → Stoat rebrand</x:v>
      </x:c>
      <x:c r="AB597" s="8" t="str">
        <x:v>Original</x:v>
      </x:c>
      <x:c r="AC597" s="9" t="str">
        <x:v>Original</x:v>
      </x:c>
      <x:c r="AD597" s="8" t="str">
        <x:v>Original</x:v>
      </x:c>
      <x:c r="AE597" s="8" t="str">
        <x:v>Original</x:v>
      </x:c>
      <x:c r="AF597" s="8" t="str">
        <x:v>Original</x:v>
      </x:c>
      <x:c r="AG597" s="8" t="str">
        <x:v>Original</x:v>
      </x:c>
      <x:c r="AH597" s="14" t="n">
        <x:v>19</x:v>
      </x:c>
      <x:c r="AI597" s="15" t="str">
        <x:v>Canonical source for Project &amp; Maintenance!19</x:v>
      </x:c>
    </x:row>
    <x:row r="598" ht="45">
      <x:c r="A598" s="12" t="str">
        <x:v>Project &amp; Maintenance</x:v>
      </x:c>
      <x:c r="B598" s="13" t="str">
        <x:v>Former Name / Predecessor</x:v>
      </x:c>
      <x:c r="C598" s="8" t="str">
        <x:v>N/A / none known</x:v>
      </x:c>
      <x:c r="D598" s="8" t="str">
        <x:v>N/A / none known</x:v>
      </x:c>
      <x:c r="E598" s="8" t="str">
        <x:v>N/A / none known</x:v>
      </x:c>
      <x:c r="F598" s="8" t="str">
        <x:v>N/A / none known</x:v>
      </x:c>
      <x:c r="G598" s="8" t="str">
        <x:v>N/A / none known</x:v>
      </x:c>
      <x:c r="H598" s="8" t="str">
        <x:v>N/A / none known</x:v>
      </x:c>
      <x:c r="I598" s="8" t="str">
        <x:v>N/A / none known</x:v>
      </x:c>
      <x:c r="J598" s="8" t="str">
        <x:v>Harmony platform; Fermi client</x:v>
      </x:c>
      <x:c r="K598" s="8" t="str">
        <x:v>N/A / none known</x:v>
      </x:c>
      <x:c r="L598" s="8"/>
      <x:c r="M598" s="8" t="str">
        <x:v>N/A / none known</x:v>
      </x:c>
      <x:c r="N598" s="8" t="str">
        <x:v>N/A / none known</x:v>
      </x:c>
      <x:c r="O598" s="8" t="str">
        <x:v>N/A / none known</x:v>
      </x:c>
      <x:c r="P598" s="8" t="str">
        <x:v>N/A / none known</x:v>
      </x:c>
      <x:c r="Q598" s="8" t="str">
        <x:v>N/A / none known</x:v>
      </x:c>
      <x:c r="R598" s="8" t="str">
        <x:v>N/A / none known</x:v>
      </x:c>
      <x:c r="S598" s="8" t="str">
        <x:v>N/A / none known</x:v>
      </x:c>
      <x:c r="T598" s="8" t="str">
        <x:v>N/A / none known</x:v>
      </x:c>
      <x:c r="U598" s="8" t="str">
        <x:v>N/A / none known</x:v>
      </x:c>
      <x:c r="V598" s="8" t="str">
        <x:v>N/A / none known</x:v>
      </x:c>
      <x:c r="W598" s="8" t="str">
        <x:v>N/A / none known</x:v>
      </x:c>
      <x:c r="X598" s="8" t="str">
        <x:v>N/A / none known</x:v>
      </x:c>
      <x:c r="Y598" s="8" t="str">
        <x:v>N/A / none known</x:v>
      </x:c>
      <x:c r="Z598" s="8" t="str">
        <x:v>Fosscord</x:v>
      </x:c>
      <x:c r="AA598" s="8" t="str">
        <x:v>Revolt</x:v>
      </x:c>
      <x:c r="AB598" s="8" t="str">
        <x:v>N/A / none known</x:v>
      </x:c>
      <x:c r="AC598" s="9" t="str">
        <x:v>N/A / none known</x:v>
      </x:c>
      <x:c r="AD598" s="8" t="str">
        <x:v>N/A / none known</x:v>
      </x:c>
      <x:c r="AE598" s="8" t="str">
        <x:v>N/A / none known</x:v>
      </x:c>
      <x:c r="AF598" s="8" t="str">
        <x:v>N/A / none known</x:v>
      </x:c>
      <x:c r="AG598" s="8" t="str">
        <x:v>N/A / none known</x:v>
      </x:c>
      <x:c r="AH598" s="14" t="n">
        <x:v>20</x:v>
      </x:c>
      <x:c r="AI598" s="15" t="str">
        <x:v>Shared metric: Project Origin &amp; Longevity: Former Name / Predecessor | Project &amp; Maintenance: Former Name / Predecessor</x:v>
      </x:c>
    </x:row>
    <x:row r="599" ht="45">
      <x:c r="A599" s="12" t="str">
        <x:v>Project &amp; Maintenance</x:v>
      </x:c>
      <x:c r="B599" s="13" t="str">
        <x:v>Governance Model</x:v>
      </x:c>
      <x:c r="C599" s="8"/>
      <x:c r="D599" s="8"/>
      <x:c r="E599" s="8"/>
      <x:c r="F599" s="8"/>
      <x:c r="G599" s="8"/>
      <x:c r="H599" s="8"/>
      <x:c r="I599" s="8"/>
      <x:c r="J599" s="8"/>
      <x:c r="K599" s="8"/>
      <x:c r="L599" s="8" t="str">
        <x:v>Solo-maintainer project; MIT-licensed public repository</x:v>
      </x:c>
      <x:c r="M599" s="8"/>
      <x:c r="N599" s="8"/>
      <x:c r="O599" s="8"/>
      <x:c r="P599" s="8"/>
      <x:c r="Q599" s="8"/>
      <x:c r="R599" s="8"/>
      <x:c r="S599" s="8"/>
      <x:c r="T599" s="8"/>
      <x:c r="U599" s="8" t="str">
        <x:v>Independent project; AGPL development in the open</x:v>
      </x:c>
      <x:c r="V599" s="8"/>
      <x:c r="W599" s="8"/>
      <x:c r="X599" s="8"/>
      <x:c r="Y599" s="8"/>
      <x:c r="Z599" s="8"/>
      <x:c r="AA599" s="8"/>
      <x:c r="AB599" s="8"/>
      <x:c r="AC599" s="9"/>
      <x:c r="AD599" s="8"/>
      <x:c r="AE599" s="8"/>
      <x:c r="AF599" s="8"/>
      <x:c r="AG599" s="8"/>
      <x:c r="AH599" s="14" t="n">
        <x:v>21</x:v>
      </x:c>
      <x:c r="AI599" s="15" t="str">
        <x:v>Shared metric: Project Origin &amp; Longevity: Governance Model | Project &amp; Maintenance: Governance Model</x:v>
      </x:c>
    </x:row>
    <x:row r="600" ht="90">
      <x:c r="A600" s="12" t="str">
        <x:v>Project &amp; Maintenance</x:v>
      </x:c>
      <x:c r="B600" s="13" t="str">
        <x:v>Release Cadence</x:v>
      </x:c>
      <x:c r="C600" s="8" t="str">
        <x:v>Stable + PTB/Beta + Canary</x:v>
      </x:c>
      <x:c r="D600" s="8" t="str">
        <x:v>Beta rolling</x:v>
      </x:c>
      <x:c r="E600" s="8" t="str">
        <x:v>Frequent beta releases</x:v>
      </x:c>
      <x:c r="F600" s="8" t="str">
        <x:v>Frequent product updates</x:v>
      </x:c>
      <x:c r="G600" s="8" t="str">
        <x:v>Alpha continuous deployment</x:v>
      </x:c>
      <x:c r="H600" s="8" t="str">
        <x:v>Stable/canary + beta mobile</x:v>
      </x:c>
      <x:c r="I600" s="8" t="str">
        <x:v>Open beta rolling releases</x:v>
      </x:c>
      <x:c r="J600" s="8" t="str">
        <x:v>Early rolling</x:v>
      </x:c>
      <x:c r="K600" s="8" t="str">
        <x:v>Rapid alpha/beta releases</x:v>
      </x:c>
      <x:c r="L600" s="8" t="str">
        <x:v>A few releases per week during current active-development phase; expected to slow (developer report)</x:v>
      </x:c>
      <x:c r="M600" s="8" t="str">
        <x:v>Alpha rolling</x:v>
      </x:c>
      <x:c r="N600" s="8" t="str">
        <x:v>Open-beta rolling</x:v>
      </x:c>
      <x:c r="O600" s="8" t="str">
        <x:v>Matrix spec releases + independent client/server release cadences</x:v>
      </x:c>
      <x:c r="P600" s="8" t="str">
        <x:v>Monthly releases + ESR</x:v>
      </x:c>
      <x:c r="Q600" s="8" t="str">
        <x:v>Active releases</x:v>
      </x:c>
      <x:c r="R600" s="8" t="str">
        <x:v>Stable releases</x:v>
      </x:c>
      <x:c r="S600" s="8" t="str">
        <x:v>Frequent GitHub releases</x:v>
      </x:c>
      <x:c r="T600" s="8" t="str">
        <x:v>Frequent beta updates</x:v>
      </x:c>
      <x:c r="U600" s="8" t="str">
        <x:v>Active releases; see https://pqp.gg/blog</x:v>
      </x:c>
      <x:c r="V600" s="30" t="str">
        <x:v>Nightly</x:v>
      </x:c>
      <x:c r="W600" s="8" t="str">
        <x:v>Frequent stable/enterprise releases</x:v>
      </x:c>
      <x:c r="X600" s="8" t="str">
        <x:v>Experimental rolling</x:v>
      </x:c>
      <x:c r="Y600" s="8" t="str">
        <x:v>Frequent product updates</x:v>
      </x:c>
      <x:c r="Z600" s="8" t="str">
        <x:v>Rolling alpha/dev</x:v>
      </x:c>
      <x:c r="AA600" s="8" t="str">
        <x:v>Rolling web/backend releases</x:v>
      </x:c>
      <x:c r="AB600" s="8" t="str">
        <x:v>TS6 Beta + TS3 stable maintenance</x:v>
      </x:c>
      <x:c r="AC600" s="9" t="str">
        <x:v>Alpha rolling</x:v>
      </x:c>
      <x:c r="AD600" s="8" t="str">
        <x:v>Alpha rolling</x:v>
      </x:c>
      <x:c r="AE600" s="8" t="str">
        <x:v>Ships frequently/public beta</x:v>
      </x:c>
      <x:c r="AF600" s="8" t="str">
        <x:v>Active beta</x:v>
      </x:c>
      <x:c r="AG600" s="8" t="str">
        <x:v>Frequent stable releases</x:v>
      </x:c>
      <x:c r="AH600" s="14" t="n">
        <x:v>23</x:v>
      </x:c>
      <x:c r="AI600" s="15" t="str">
        <x:v>Canonical source for Project &amp; Maintenance!23</x:v>
      </x:c>
    </x:row>
    <x:row r="601" ht="105">
      <x:c r="A601" s="12" t="str">
        <x:v>Project &amp; Maintenance</x:v>
      </x:c>
      <x:c r="B601" s="13" t="str">
        <x:v>Public Commit Activity</x:v>
      </x:c>
      <x:c r="C601" s="8" t="str">
        <x:v>N/A for core proprietary code; selected open-source components/SDKs have public activity</x:v>
      </x:c>
      <x:c r="D601" s="8" t="str">
        <x:v>Active GitHub</x:v>
      </x:c>
      <x:c r="E601" s="8" t="str">
        <x:v>High public GitHub activity</x:v>
      </x:c>
      <x:c r="F601" s="8" t="str">
        <x:v>Closed/private code</x:v>
      </x:c>
      <x:c r="G601" s="8" t="str">
        <x:v>Private codebase; public commit velocity unavailable</x:v>
      </x:c>
      <x:c r="H601" s="8" t="str">
        <x:v>High public GitHub activity</x:v>
      </x:c>
      <x:c r="I601" s="8" t="str">
        <x:v>Active 2026 development</x:v>
      </x:c>
      <x:c r="J601" s="8" t="str">
        <x:v>Active Codeberg/GitHub</x:v>
      </x:c>
      <x:c r="K601" s="8" t="str">
        <x:v>High solo commit velocity</x:v>
      </x:c>
      <x:c r="L601" s="8" t="str">
        <x:v>High: public repository shows 247 commits at verification; developer reports 6 to 10 hours/day of current work</x:v>
      </x:c>
      <x:c r="M601" s="8" t="str">
        <x:v>Active</x:v>
      </x:c>
      <x:c r="N601" s="8" t="str">
        <x:v>Active</x:v>
      </x:c>
      <x:c r="O601" s="8" t="str">
        <x:v>High across spec and ecosystem repos</x:v>
      </x:c>
      <x:c r="P601" s="8" t="str">
        <x:v>High public GitHub activity</x:v>
      </x:c>
      <x:c r="Q601" s="8" t="str">
        <x:v>Active GitHub</x:v>
      </x:c>
      <x:c r="R601" s="8" t="str">
        <x:v>Active public GitHub</x:v>
      </x:c>
      <x:c r="S601" s="8" t="str">
        <x:v>Active GitHub</x:v>
      </x:c>
      <x:c r="T601" s="8" t="str">
        <x:v>Active development</x:v>
      </x:c>
      <x:c r="U601" s="8" t="str">
        <x:v>Active public GitHub repository</x:v>
      </x:c>
      <x:c r="V601" s="8" t="str">
        <x:v>Closed source</x:v>
      </x:c>
      <x:c r="W601" s="8" t="str">
        <x:v>High public GitHub activity</x:v>
      </x:c>
      <x:c r="X601" s="8" t="str">
        <x:v>Active GitHub</x:v>
      </x:c>
      <x:c r="Y601" s="8" t="str">
        <x:v>Closed source: commit velocity not public</x:v>
      </x:c>
      <x:c r="Z601" s="8" t="str">
        <x:v>Active GitHub development</x:v>
      </x:c>
      <x:c r="AA601" s="8" t="str">
        <x:v>High: active GitHub development in 2026</x:v>
      </x:c>
      <x:c r="AB601" s="8" t="str">
        <x:v>Closed source; public commit velocity N/A</x:v>
      </x:c>
      <x:c r="AC601" s="9" t="str">
        <x:v>Active GitHub</x:v>
      </x:c>
      <x:c r="AD601" s="8" t="str">
        <x:v>Active GitHub backend</x:v>
      </x:c>
      <x:c r="AE601" s="8" t="str">
        <x:v>Source-available active repository</x:v>
      </x:c>
      <x:c r="AF601" s="8" t="str">
        <x:v>Active</x:v>
      </x:c>
      <x:c r="AG601" s="8" t="str">
        <x:v>High public GitHub activity</x:v>
      </x:c>
      <x:c r="AH601" s="14" t="n">
        <x:v>24</x:v>
      </x:c>
      <x:c r="AI601" s="15" t="str">
        <x:v>Canonical source for Project &amp; Maintenance!24</x:v>
      </x:c>
    </x:row>
    <x:row r="602" ht="90">
      <x:c r="A602" s="12" t="str">
        <x:v>Project &amp; Maintenance</x:v>
      </x:c>
      <x:c r="B602" s="13" t="str">
        <x:v>Public Roadmap?</x:v>
      </x:c>
      <x:c r="C602" s="8" t="str">
        <x:v>Limited: no comprehensive public product roadmap; blogs/changelogs announce plans and releases</x:v>
      </x:c>
      <x:c r="D602" s="8" t="str">
        <x:v>Public repos</x:v>
      </x:c>
      <x:c r="E602" s="8" t="str">
        <x:v>public documentation/GitHub</x:v>
      </x:c>
      <x:c r="F602" s="8" t="str">
        <x:v>Public site</x:v>
      </x:c>
      <x:c r="G602" s="8" t="str">
        <x:v>Public roadmap/story posts</x:v>
      </x:c>
      <x:c r="H602" s="8" t="str">
        <x:v>Public 2026 roadmap</x:v>
      </x:c>
      <x:c r="I602" s="8" t="str">
        <x:v>Public site/press</x:v>
      </x:c>
      <x:c r="J602" s="8" t="str">
        <x:v>Public roadmap</x:v>
      </x:c>
      <x:c r="K602" s="8" t="str">
        <x:v>Public roadmap/issues</x:v>
      </x:c>
      <x:c r="L602" s="8" t="str">
        <x:v>Yes: active roadmap in the official Kaede community (developer report)</x:v>
      </x:c>
      <x:c r="M602" s="8" t="str">
        <x:v>Public site</x:v>
      </x:c>
      <x:c r="N602" s="8" t="str">
        <x:v>Public feature tracker</x:v>
      </x:c>
      <x:c r="O602" s="8" t="str">
        <x:v>Public spec roadmap/MSC process</x:v>
      </x:c>
      <x:c r="P602" s="8" t="str">
        <x:v>Public product roadmap/release documentation</x:v>
      </x:c>
      <x:c r="Q602" s="8" t="str">
        <x:v>public documentation/blog</x:v>
      </x:c>
      <x:c r="R602" s="8" t="str">
        <x:v>Public GitHub milestones/issues</x:v>
      </x:c>
      <x:c r="S602" s="8" t="str">
        <x:v>Public GitHub</x:v>
      </x:c>
      <x:c r="T602" s="8" t="str">
        <x:v>Public updates</x:v>
      </x:c>
      <x:c r="U602" s="8" t="str">
        <x:v>Public site/GitHub</x:v>
      </x:c>
      <x:c r="V602" s="8" t="str">
        <x:v>Public site/updates</x:v>
      </x:c>
      <x:c r="W602" s="8" t="str">
        <x:v>Public roadmap/release documentation</x:v>
      </x:c>
      <x:c r="X602" s="8" t="str">
        <x:v>Public GitHub</x:v>
      </x:c>
      <x:c r="Y602" s="8"/>
      <x:c r="Z602" s="8" t="str">
        <x:v>Public GitHub roadmap/issues</x:v>
      </x:c>
      <x:c r="AA602" s="8" t="str">
        <x:v>Public GitHub issues/projects + update posts</x:v>
      </x:c>
      <x:c r="AB602" s="8" t="str">
        <x:v>Product roadmap/announcements</x:v>
      </x:c>
      <x:c r="AC602" s="9" t="str">
        <x:v>Public roadmap/issues</x:v>
      </x:c>
      <x:c r="AD602" s="8" t="str">
        <x:v>Public subreddit/GitHub</x:v>
      </x:c>
      <x:c r="AE602" s="8" t="str">
        <x:v>Public site</x:v>
      </x:c>
      <x:c r="AF602" s="8" t="str">
        <x:v>Public roadmap</x:v>
      </x:c>
      <x:c r="AG602" s="8" t="str">
        <x:v>Public roadmap/issues</x:v>
      </x:c>
      <x:c r="AH602" s="14" t="n">
        <x:v>25</x:v>
      </x:c>
      <x:c r="AI602" s="15" t="str">
        <x:v>Shared metric: Project Origin &amp; Longevity: Public Roadmap? | Project &amp; Maintenance: Public Roadmap?</x:v>
      </x:c>
    </x:row>
    <x:row r="603" ht="75">
      <x:c r="A603" s="12" t="str">
        <x:v>Project &amp; Maintenance</x:v>
      </x:c>
      <x:c r="B603" s="13" t="str">
        <x:v>Public Issue Tracker?</x:v>
      </x:c>
      <x:c r="C603" s="8" t="str">
        <x:v>N/A for core product: no public core GitHub issue tracker; support and feedback channels are used.</x:v>
      </x:c>
      <x:c r="D603" s="8" t="str">
        <x:v>Public issues</x:v>
      </x:c>
      <x:c r="E603" s="8" t="str">
        <x:v>Public issues</x:v>
      </x:c>
      <x:c r="F603" s="8" t="str">
        <x:v>Feedback/support</x:v>
      </x:c>
      <x:c r="G603" s="8"/>
      <x:c r="H603" s="8" t="str">
        <x:v>Public GitHub issues</x:v>
      </x:c>
      <x:c r="I603" s="8" t="str">
        <x:v>Support/community feedback</x:v>
      </x:c>
      <x:c r="J603" s="8" t="str">
        <x:v>Public issues</x:v>
      </x:c>
      <x:c r="K603" s="8" t="str">
        <x:v>GitHub</x:v>
      </x:c>
      <x:c r="L603" s="8" t="str">
        <x:v>Yes: GitHub Issues</x:v>
      </x:c>
      <x:c r="M603" s="8" t="str">
        <x:v>Support/community</x:v>
      </x:c>
      <x:c r="N603" s="8" t="str">
        <x:v>Community feedback</x:v>
      </x:c>
      <x:c r="O603" s="8" t="str">
        <x:v>Public GitHub issue/MSC processes</x:v>
      </x:c>
      <x:c r="P603" s="8" t="str">
        <x:v>Public GitHub issues/support</x:v>
      </x:c>
      <x:c r="Q603" s="8" t="str">
        <x:v>GitHub issues</x:v>
      </x:c>
      <x:c r="R603" s="8" t="str">
        <x:v>Public issues</x:v>
      </x:c>
      <x:c r="S603" s="8" t="str">
        <x:v>Public issues</x:v>
      </x:c>
      <x:c r="T603" s="8" t="str">
        <x:v>Community support</x:v>
      </x:c>
      <x:c r="U603" s="8" t="str">
        <x:v>GitHub/support</x:v>
      </x:c>
      <x:c r="V603" s="8" t="str">
        <x:v>Support</x:v>
      </x:c>
      <x:c r="W603" s="8" t="str">
        <x:v>Public GitHub issues</x:v>
      </x:c>
      <x:c r="X603" s="8" t="str">
        <x:v>Public issues</x:v>
      </x:c>
      <x:c r="Y603" s="8" t="str">
        <x:v>Private issue process/support</x:v>
      </x:c>
      <x:c r="Z603" s="8" t="str">
        <x:v>Public GitHub issues</x:v>
      </x:c>
      <x:c r="AA603" s="8" t="str">
        <x:v>Public issue trackers</x:v>
      </x:c>
      <x:c r="AB603" s="8" t="str">
        <x:v>Support/feedback</x:v>
      </x:c>
      <x:c r="AC603" s="9" t="str">
        <x:v>GitHub issues</x:v>
      </x:c>
      <x:c r="AD603" s="8" t="str">
        <x:v>GitHub issues</x:v>
      </x:c>
      <x:c r="AE603" s="8" t="str">
        <x:v>Support</x:v>
      </x:c>
      <x:c r="AF603" s="8" t="str">
        <x:v>Support</x:v>
      </x:c>
      <x:c r="AG603" s="8" t="str">
        <x:v>Public GitHub issues</x:v>
      </x:c>
      <x:c r="AH603" s="14" t="n">
        <x:v>26</x:v>
      </x:c>
      <x:c r="AI603" s="15" t="str">
        <x:v>Canonical source for Project &amp; Maintenance!26</x:v>
      </x:c>
    </x:row>
    <x:row r="604" ht="90">
      <x:c r="A604" s="12" t="str">
        <x:v>Project &amp; Maintenance</x:v>
      </x:c>
      <x:c r="B604" s="13" t="str">
        <x:v>Public Changelog?</x:v>
      </x:c>
      <x:c r="C604" s="8" t="str">
        <x:v>Yes: public changelogs, patch notes, support updates, and developer changelog</x:v>
      </x:c>
      <x:c r="D604" s="8" t="str">
        <x:v>Git history</x:v>
      </x:c>
      <x:c r="E604" s="8" t="str">
        <x:v>Many GitHub releases</x:v>
      </x:c>
      <x:c r="F604" s="8" t="str">
        <x:v>App release notes</x:v>
      </x:c>
      <x:c r="G604" s="8"/>
      <x:c r="H604" s="8" t="str">
        <x:v>Public blog/changelog</x:v>
      </x:c>
      <x:c r="I604" s="8" t="str">
        <x:v>Public updates/press</x:v>
      </x:c>
      <x:c r="J604" s="8" t="str">
        <x:v>Public commits</x:v>
      </x:c>
      <x:c r="K604" s="8" t="str">
        <x:v>GitHub releases</x:v>
      </x:c>
      <x:c r="L604" s="8" t="str">
        <x:v>No conventional public changelog or release-note stream found; repository history is active.</x:v>
      </x:c>
      <x:c r="M604" s="8" t="str">
        <x:v>Public updates</x:v>
      </x:c>
      <x:c r="N604" s="8" t="str">
        <x:v>Public site updates</x:v>
      </x:c>
      <x:c r="O604" s="8" t="str">
        <x:v>Public specification changelogs and project release notes</x:v>
      </x:c>
      <x:c r="P604" s="8" t="str">
        <x:v>Public release notes</x:v>
      </x:c>
      <x:c r="Q604" s="8" t="str">
        <x:v>public documentation/blog</x:v>
      </x:c>
      <x:c r="R604" s="8" t="str">
        <x:v>Public releases/changelog</x:v>
      </x:c>
      <x:c r="S604" s="8" t="str">
        <x:v>GitHub releases</x:v>
      </x:c>
      <x:c r="T604" s="8" t="str">
        <x:v>Public changelog/blog</x:v>
      </x:c>
      <x:c r="U604" s="8" t="str">
        <x:v>Yes: https://pqp.gg/blog</x:v>
      </x:c>
      <x:c r="V604" s="8" t="str">
        <x:v>Public site updates</x:v>
      </x:c>
      <x:c r="W604" s="8" t="str">
        <x:v>Public release notes</x:v>
      </x:c>
      <x:c r="X604" s="8" t="str">
        <x:v>GitHub commits</x:v>
      </x:c>
      <x:c r="Y604" s="8" t="str">
        <x:v>Public changelog/help documentation</x:v>
      </x:c>
      <x:c r="Z604" s="8" t="str">
        <x:v>GitHub releases/commits</x:v>
      </x:c>
      <x:c r="AA604" s="8" t="str">
        <x:v>Yes: GitHub changelogs/releases and Stoat updates</x:v>
      </x:c>
      <x:c r="AB604" s="8" t="str">
        <x:v>Public news/release notes</x:v>
      </x:c>
      <x:c r="AC604" s="9" t="str">
        <x:v>GitHub releases</x:v>
      </x:c>
      <x:c r="AD604" s="8" t="str">
        <x:v>Public updates</x:v>
      </x:c>
      <x:c r="AE604" s="8" t="str">
        <x:v>Public site/repository</x:v>
      </x:c>
      <x:c r="AF604" s="8" t="str">
        <x:v>Public roadmap/updates</x:v>
      </x:c>
      <x:c r="AG604" s="8" t="str">
        <x:v>Public release notes</x:v>
      </x:c>
      <x:c r="AH604" s="14" t="n">
        <x:v>27</x:v>
      </x:c>
      <x:c r="AI604" s="15" t="str">
        <x:v>Canonical source for Project &amp; Maintenance!27</x:v>
      </x:c>
    </x:row>
    <x:row r="605" ht="75">
      <x:c r="A605" s="12" t="str">
        <x:v>Project &amp; Maintenance</x:v>
      </x:c>
      <x:c r="B605" s="13" t="str">
        <x:v>Project / Maintenance Notes</x:v>
      </x:c>
      <x:c r="C605" s="8" t="str">
        <x:v>11 years 4 months (as of 2026-09-15); Stable + PTB/Beta + Canary</x:v>
      </x:c>
      <x:c r="D605" s="8" t="str">
        <x:v>&lt;1 year; Beta rolling</x:v>
      </x:c>
      <x:c r="E605" s="8" t="str">
        <x:v>~3 years; Frequent beta releases</x:v>
      </x:c>
      <x:c r="F605" s="8" t="str">
        <x:v>&lt;1 year; Frequent product updates</x:v>
      </x:c>
      <x:c r="G605" s="8" t="str">
        <x:v>10 months; Alpha continuous deployment</x:v>
      </x:c>
      <x:c r="H605" s="8" t="str">
        <x:v>~6 years; Stable/canary + beta mobile</x:v>
      </x:c>
      <x:c r="I605" s="8" t="str">
        <x:v>&lt;1 year; Open beta rolling releases</x:v>
      </x:c>
      <x:c r="J605" s="8" t="str">
        <x:v>&lt;1 year; Early rolling</x:v>
      </x:c>
      <x:c r="K605" s="8" t="str">
        <x:v>&lt;1 year; Rapid alpha/beta releases</x:v>
      </x:c>
      <x:c r="L605" s="8" t="str">
        <x:v>https://github.com/CookieNom/KaedeChat</x:v>
      </x:c>
      <x:c r="M605" s="8"/>
      <x:c r="N605" s="8" t="str">
        <x:v>&lt;1 year; Open-beta rolling</x:v>
      </x:c>
      <x:c r="O605" s="8" t="str">
        <x:v>~12 years; Matrix spec releases + independent client/server release cadences</x:v>
      </x:c>
      <x:c r="P605" s="8" t="str">
        <x:v>~11 years; Monthly releases + ESR</x:v>
      </x:c>
      <x:c r="Q605" s="8"/>
      <x:c r="R605" s="8" t="str">
        <x:v>~21 years; Stable releases</x:v>
      </x:c>
      <x:c r="S605" s="8"/>
      <x:c r="T605" s="8" t="str">
        <x:v>~2 years; Frequent beta updates</x:v>
      </x:c>
      <x:c r="U605" s="8" t="str">
        <x:v>Young open beta; independently run; release notes published at pqp.gg/blog.</x:v>
      </x:c>
      <x:c r="V605" s="8" t="str">
        <x:v>5 years; Active 2026 releases</x:v>
      </x:c>
      <x:c r="W605" s="8" t="str">
        <x:v>~11 years; Frequent stable/enterprise releases</x:v>
      </x:c>
      <x:c r="X605" s="8"/>
      <x:c r="Y605" s="8"/>
      <x:c r="Z605" s="8" t="str">
        <x:v>~5 years; Rolling alpha/dev</x:v>
      </x:c>
      <x:c r="AA605" s="8" t="str">
        <x:v>~5 years; Rolling web/backend releases</x:v>
      </x:c>
      <x:c r="AB605" s="8" t="str">
        <x:v>~27 years project / ~25 years public; TS6 Beta + TS3 stable maintenance</x:v>
      </x:c>
      <x:c r="AC605" s="9"/>
      <x:c r="AD605" s="8" t="str">
        <x:v>&lt;1 year; Alpha rolling</x:v>
      </x:c>
      <x:c r="AE605" s="8" t="str">
        <x:v>~1 year; Ships frequently/public beta</x:v>
      </x:c>
      <x:c r="AF605" s="8" t="str">
        <x:v>&lt;1 year; Active beta</x:v>
      </x:c>
      <x:c r="AG605" s="8" t="str">
        <x:v>~14 years; Frequent stable releases</x:v>
      </x:c>
      <x:c r="AH605" s="14" t="n">
        <x:v>30</x:v>
      </x:c>
      <x:c r="AI605" s="15" t="str">
        <x:v>Canonical source for Project &amp; Maintenance!30</x:v>
      </x:c>
    </x:row>
    <x:row r="606" ht="75">
      <x:c r="A606" s="12" t="str">
        <x:v>Project &amp; Maintenance</x:v>
      </x:c>
      <x:c r="B606" s="13" t="str">
        <x:v>Automated CI / Build Status Public?</x:v>
      </x:c>
      <x:c r="C606" s="8" t="str">
        <x:v>Closed source</x:v>
      </x:c>
      <x:c r="D606" s="8"/>
      <x:c r="E606" s="8"/>
      <x:c r="F606" s="8"/>
      <x:c r="G606" s="8"/>
      <x:c r="H606" s="8"/>
      <x:c r="I606" s="8"/>
      <x:c r="J606" s="8"/>
      <x:c r="K606" s="8"/>
      <x:c r="L606" s="8" t="str">
        <x:v>Yes: GitHub Actions/workflows plus Make-based check/test/audit/release checks</x:v>
      </x:c>
      <x:c r="M606" s="8"/>
      <x:c r="N606" s="8"/>
      <x:c r="O606" s="8" t="str">
        <x:v>Public repos/CI</x:v>
      </x:c>
      <x:c r="P606" s="8"/>
      <x:c r="Q606" s="8"/>
      <x:c r="R606" s="8"/>
      <x:c r="S606" s="8"/>
      <x:c r="T606" s="8"/>
      <x:c r="U606" s="8"/>
      <x:c r="V606" s="8"/>
      <x:c r="W606" s="8"/>
      <x:c r="X606" s="8"/>
      <x:c r="Y606" s="8"/>
      <x:c r="Z606" s="8"/>
      <x:c r="AA606" s="8"/>
      <x:c r="AB606" s="8"/>
      <x:c r="AC606" s="9"/>
      <x:c r="AD606" s="8"/>
      <x:c r="AE606" s="8"/>
      <x:c r="AF606" s="8"/>
      <x:c r="AG606" s="8"/>
      <x:c r="AH606" s="14" t="n">
        <x:v>32</x:v>
      </x:c>
      <x:c r="AI606" s="15" t="str">
        <x:v>Canonical source for Project &amp; Maintenance!32</x:v>
      </x:c>
    </x:row>
    <x:row r="607" ht="30">
      <x:c r="A607" s="12" t="str">
        <x:v>Project &amp; Maintenance</x:v>
      </x:c>
      <x:c r="B607" s="13" t="str">
        <x:v>Automated Dependency Updates?</x:v>
      </x:c>
      <x:c r="C607" s="8"/>
      <x:c r="D607" s="8"/>
      <x:c r="E607" s="8"/>
      <x:c r="F607" s="8"/>
      <x:c r="G607" s="8"/>
      <x:c r="H607" s="8"/>
      <x:c r="I607" s="8"/>
      <x:c r="J607" s="8"/>
      <x:c r="K607" s="8"/>
      <x:c r="L607" s="8" t="str">
        <x:v>Not publicly documented</x:v>
      </x:c>
      <x:c r="M607" s="8"/>
      <x:c r="N607" s="8"/>
      <x:c r="O607" s="8"/>
      <x:c r="P607" s="8"/>
      <x:c r="Q607" s="8"/>
      <x:c r="R607" s="8"/>
      <x:c r="S607" s="8"/>
      <x:c r="T607" s="8"/>
      <x:c r="U607" s="8"/>
      <x:c r="V607" s="8"/>
      <x:c r="W607" s="8"/>
      <x:c r="X607" s="8"/>
      <x:c r="Y607" s="8"/>
      <x:c r="Z607" s="8"/>
      <x:c r="AA607" s="8"/>
      <x:c r="AB607" s="8"/>
      <x:c r="AC607" s="9"/>
      <x:c r="AD607" s="8"/>
      <x:c r="AE607" s="8"/>
      <x:c r="AF607" s="8"/>
      <x:c r="AG607" s="8"/>
      <x:c r="AH607" s="14" t="n">
        <x:v>33</x:v>
      </x:c>
      <x:c r="AI607" s="15" t="str">
        <x:v>Canonical source for Project &amp; Maintenance!33</x:v>
      </x:c>
    </x:row>
    <x:row r="608" ht="30">
      <x:c r="A608" s="12" t="str">
        <x:v>Project &amp; Maintenance</x:v>
      </x:c>
      <x:c r="B608" s="13" t="str">
        <x:v>Release Artifact Signing / Provenance?</x:v>
      </x:c>
      <x:c r="C608" s="8"/>
      <x:c r="D608" s="8"/>
      <x:c r="E608" s="8"/>
      <x:c r="F608" s="8"/>
      <x:c r="G608" s="8"/>
      <x:c r="H608" s="8"/>
      <x:c r="I608" s="8"/>
      <x:c r="J608" s="8"/>
      <x:c r="K608" s="8"/>
      <x:c r="L608" s="8" t="str">
        <x:v>Not publicly documented</x:v>
      </x:c>
      <x:c r="M608" s="8"/>
      <x:c r="N608" s="8"/>
      <x:c r="O608" s="8"/>
      <x:c r="P608" s="8"/>
      <x:c r="Q608" s="8"/>
      <x:c r="R608" s="8"/>
      <x:c r="S608" s="8"/>
      <x:c r="T608" s="8"/>
      <x:c r="U608" s="8"/>
      <x:c r="V608" s="8"/>
      <x:c r="W608" s="8"/>
      <x:c r="X608" s="8"/>
      <x:c r="Y608" s="8"/>
      <x:c r="Z608" s="8"/>
      <x:c r="AA608" s="8"/>
      <x:c r="AB608" s="8"/>
      <x:c r="AC608" s="9"/>
      <x:c r="AD608" s="8"/>
      <x:c r="AE608" s="8"/>
      <x:c r="AF608" s="8"/>
      <x:c r="AG608" s="8"/>
      <x:c r="AH608" s="14" t="n">
        <x:v>34</x:v>
      </x:c>
      <x:c r="AI608" s="15" t="str">
        <x:v>Canonical source for Project &amp; Maintenance!34</x:v>
      </x:c>
    </x:row>
    <x:row r="609" ht="60">
      <x:c r="A609" s="12" t="str">
        <x:v>Project &amp; Maintenance</x:v>
      </x:c>
      <x:c r="B609" s="13" t="str">
        <x:v>Public Contributor Count / Bus Factor Signal</x:v>
      </x:c>
      <x:c r="C609" s="8" t="str">
        <x:v>Company development</x:v>
      </x:c>
      <x:c r="D609" s="8"/>
      <x:c r="E609" s="8"/>
      <x:c r="F609" s="8"/>
      <x:c r="G609" s="8"/>
      <x:c r="H609" s="8"/>
      <x:c r="I609" s="8"/>
      <x:c r="J609" s="8"/>
      <x:c r="K609" s="8"/>
      <x:c r="L609" s="8" t="str">
        <x:v>Solo-maintainer bus factor; private security researcher assists with bug finding</x:v>
      </x:c>
      <x:c r="M609" s="8"/>
      <x:c r="N609" s="8"/>
      <x:c r="O609" s="8"/>
      <x:c r="P609" s="8"/>
      <x:c r="Q609" s="8"/>
      <x:c r="R609" s="8"/>
      <x:c r="S609" s="8"/>
      <x:c r="T609" s="8"/>
      <x:c r="U609" s="8"/>
      <x:c r="V609" s="8" t="str">
        <x:v>Company Development</x:v>
      </x:c>
      <x:c r="W609" s="8"/>
      <x:c r="X609" s="8"/>
      <x:c r="Y609" s="8"/>
      <x:c r="Z609" s="8"/>
      <x:c r="AA609" s="8" t="str">
        <x:v>Open-source contributors</x:v>
      </x:c>
      <x:c r="AB609" s="8"/>
      <x:c r="AC609" s="9"/>
      <x:c r="AD609" s="8"/>
      <x:c r="AE609" s="8"/>
      <x:c r="AF609" s="8"/>
      <x:c r="AG609" s="8"/>
      <x:c r="AH609" s="14" t="n">
        <x:v>35</x:v>
      </x:c>
      <x:c r="AI609" s="15" t="str">
        <x:v>Canonical source for Project &amp; Maintenance!35</x:v>
      </x:c>
    </x:row>
    <x:row r="610" ht="30">
      <x:c r="A610" s="12" t="str">
        <x:v>Project &amp; Maintenance</x:v>
      </x:c>
      <x:c r="B610" s="13" t="str">
        <x:v>Version Support / EOL Policy</x:v>
      </x:c>
      <x:c r="C610" s="8" t="str">
        <x:v>SaaS continuous</x:v>
      </x:c>
      <x:c r="D610" s="8"/>
      <x:c r="E610" s="8"/>
      <x:c r="F610" s="8"/>
      <x:c r="G610" s="8"/>
      <x:c r="H610" s="8"/>
      <x:c r="I610" s="8"/>
      <x:c r="J610" s="8"/>
      <x:c r="K610" s="8"/>
      <x:c r="L610" s="8" t="str">
        <x:v>No published version-support/EOL policy</x:v>
      </x:c>
      <x:c r="M610" s="8"/>
      <x:c r="N610" s="8"/>
      <x:c r="O610" s="8"/>
      <x:c r="P610" s="8" t="str">
        <x:v>Yes: ESR/support lifecycle</x:v>
      </x:c>
      <x:c r="Q610" s="8"/>
      <x:c r="R610" s="8"/>
      <x:c r="S610" s="8"/>
      <x:c r="T610" s="8"/>
      <x:c r="U610" s="8"/>
      <x:c r="V610" s="8" t="str">
        <x:v>SaaS Continuious</x:v>
      </x:c>
      <x:c r="W610" s="8" t="str">
        <x:v>Yes: documented support window</x:v>
      </x:c>
      <x:c r="X610" s="8"/>
      <x:c r="Y610" s="8"/>
      <x:c r="Z610" s="8"/>
      <x:c r="AA610" s="8"/>
      <x:c r="AB610" s="8"/>
      <x:c r="AC610" s="9"/>
      <x:c r="AD610" s="8"/>
      <x:c r="AE610" s="8"/>
      <x:c r="AF610" s="8"/>
      <x:c r="AG610" s="8"/>
      <x:c r="AH610" s="14" t="n">
        <x:v>36</x:v>
      </x:c>
      <x:c r="AI610" s="15" t="str">
        <x:v>Canonical source for Project &amp; Maintenance!36</x:v>
      </x:c>
    </x:row>
    <x:row r="611" ht="90">
      <x:c r="A611" s="12" t="str">
        <x:v>Maintenance &amp; Updates</x:v>
      </x:c>
      <x:c r="B611" s="13" t="str">
        <x:v>Release Cadence (Nightly / Canary / Stable)</x:v>
      </x:c>
      <x:c r="C611" s="8" t="str">
        <x:v>Stable + PTB/Beta + Canary</x:v>
      </x:c>
      <x:c r="D611" s="8" t="str">
        <x:v>Beta rolling</x:v>
      </x:c>
      <x:c r="E611" s="8" t="str">
        <x:v>Frequent beta releases</x:v>
      </x:c>
      <x:c r="F611" s="8" t="str">
        <x:v>Frequent product updates</x:v>
      </x:c>
      <x:c r="G611" s="8" t="str">
        <x:v>Alpha continuous deployment</x:v>
      </x:c>
      <x:c r="H611" s="8" t="str">
        <x:v>Stable/canary + beta mobile</x:v>
      </x:c>
      <x:c r="I611" s="8" t="str">
        <x:v>Open beta rolling releases</x:v>
      </x:c>
      <x:c r="J611" s="8" t="str">
        <x:v>Early rolling</x:v>
      </x:c>
      <x:c r="K611" s="8" t="str">
        <x:v>Rapid alpha/beta releases</x:v>
      </x:c>
      <x:c r="L611" s="8" t="str">
        <x:v>A few releases per week during current active-development phase; expected to slow (developer report)</x:v>
      </x:c>
      <x:c r="M611" s="8" t="str">
        <x:v>Alpha rolling</x:v>
      </x:c>
      <x:c r="N611" s="8" t="str">
        <x:v>Open-beta rolling</x:v>
      </x:c>
      <x:c r="O611" s="8" t="str">
        <x:v>Matrix spec releases + independent client/server release cadences</x:v>
      </x:c>
      <x:c r="P611" s="8" t="str">
        <x:v>Monthly releases + ESR</x:v>
      </x:c>
      <x:c r="Q611" s="8" t="str">
        <x:v>Active releases</x:v>
      </x:c>
      <x:c r="R611" s="8" t="str">
        <x:v>Stable releases</x:v>
      </x:c>
      <x:c r="S611" s="8" t="str">
        <x:v>Frequent GitHub releases</x:v>
      </x:c>
      <x:c r="T611" s="8" t="str">
        <x:v>Frequent beta updates</x:v>
      </x:c>
      <x:c r="U611" s="8" t="str">
        <x:v>Active beta releases; see https://pqp.gg/blog</x:v>
      </x:c>
      <x:c r="V611" s="8" t="str">
        <x:v>Active 2026 releases</x:v>
      </x:c>
      <x:c r="W611" s="8" t="str">
        <x:v>Frequent stable/enterprise releases</x:v>
      </x:c>
      <x:c r="X611" s="8" t="str">
        <x:v>Experimental rolling</x:v>
      </x:c>
      <x:c r="Y611" s="8" t="str">
        <x:v>Frequent product updates</x:v>
      </x:c>
      <x:c r="Z611" s="8" t="str">
        <x:v>Rolling alpha/dev</x:v>
      </x:c>
      <x:c r="AA611" s="8" t="str">
        <x:v>Rolling web/backend releases</x:v>
      </x:c>
      <x:c r="AB611" s="8" t="str">
        <x:v>TS6 Beta + TS3 stable maintenance</x:v>
      </x:c>
      <x:c r="AC611" s="9" t="str">
        <x:v>Alpha rolling</x:v>
      </x:c>
      <x:c r="AD611" s="8" t="str">
        <x:v>Alpha rolling</x:v>
      </x:c>
      <x:c r="AE611" s="8" t="str">
        <x:v>Ships frequently/public beta</x:v>
      </x:c>
      <x:c r="AF611" s="8" t="str">
        <x:v>Active beta</x:v>
      </x:c>
      <x:c r="AG611" s="8" t="str">
        <x:v>Frequent stable releases</x:v>
      </x:c>
      <x:c r="AH611" s="14" t="n">
        <x:v>3</x:v>
      </x:c>
      <x:c r="AI611" s="15" t="str">
        <x:v>Canonical source for Maintenance &amp; Updates!3</x:v>
      </x:c>
    </x:row>
    <x:row r="612" ht="105">
      <x:c r="A612" s="12" t="str">
        <x:v>Maintenance &amp; Updates</x:v>
      </x:c>
      <x:c r="B612" s="13" t="str">
        <x:v>Commit Velocity / GitHub Activity</x:v>
      </x:c>
      <x:c r="C612" s="8" t="str">
        <x:v>N/A for core proprietary code; selected open-source components/SDKs have public activity</x:v>
      </x:c>
      <x:c r="D612" s="8" t="str">
        <x:v>Active GitHub</x:v>
      </x:c>
      <x:c r="E612" s="8" t="str">
        <x:v>High public GitHub activity</x:v>
      </x:c>
      <x:c r="F612" s="8" t="str">
        <x:v>Closed/private code</x:v>
      </x:c>
      <x:c r="G612" s="8" t="str">
        <x:v>Private codebase; public commit velocity unavailable</x:v>
      </x:c>
      <x:c r="H612" s="8" t="str">
        <x:v>High public GitHub activity</x:v>
      </x:c>
      <x:c r="I612" s="8" t="str">
        <x:v>Active 2026 development</x:v>
      </x:c>
      <x:c r="J612" s="8" t="str">
        <x:v>Active Codeberg/GitHub</x:v>
      </x:c>
      <x:c r="K612" s="8" t="str">
        <x:v>High solo commit velocity</x:v>
      </x:c>
      <x:c r="L612" s="8" t="str">
        <x:v>High: public repository shows 247 commits at verification; developer reports 6 to 10 hours/day of current work</x:v>
      </x:c>
      <x:c r="M612" s="8" t="str">
        <x:v>Active</x:v>
      </x:c>
      <x:c r="N612" s="8" t="str">
        <x:v>Active</x:v>
      </x:c>
      <x:c r="O612" s="8" t="str">
        <x:v>High across spec and ecosystem repos</x:v>
      </x:c>
      <x:c r="P612" s="8" t="str">
        <x:v>High public GitHub activity</x:v>
      </x:c>
      <x:c r="Q612" s="8" t="str">
        <x:v>Active GitHub</x:v>
      </x:c>
      <x:c r="R612" s="8" t="str">
        <x:v>Active public GitHub</x:v>
      </x:c>
      <x:c r="S612" s="8" t="str">
        <x:v>Active GitHub</x:v>
      </x:c>
      <x:c r="T612" s="8" t="str">
        <x:v>Active development</x:v>
      </x:c>
      <x:c r="U612" s="8" t="str">
        <x:v>Active public GitHub repository</x:v>
      </x:c>
      <x:c r="V612" s="8" t="str">
        <x:v>Closed source</x:v>
      </x:c>
      <x:c r="W612" s="8" t="str">
        <x:v>High public GitHub activity</x:v>
      </x:c>
      <x:c r="X612" s="8" t="str">
        <x:v>Active GitHub</x:v>
      </x:c>
      <x:c r="Y612" s="8" t="str">
        <x:v>Closed source: commit velocity not public</x:v>
      </x:c>
      <x:c r="Z612" s="8" t="str">
        <x:v>Active GitHub development</x:v>
      </x:c>
      <x:c r="AA612" s="8" t="str">
        <x:v>High: active GitHub development in 2026</x:v>
      </x:c>
      <x:c r="AB612" s="8" t="str">
        <x:v>Closed source; public commit velocity N/A</x:v>
      </x:c>
      <x:c r="AC612" s="9" t="str">
        <x:v>Active GitHub</x:v>
      </x:c>
      <x:c r="AD612" s="8" t="str">
        <x:v>Active GitHub backend</x:v>
      </x:c>
      <x:c r="AE612" s="8" t="str">
        <x:v>Source-available active repository</x:v>
      </x:c>
      <x:c r="AF612" s="8" t="str">
        <x:v>Active</x:v>
      </x:c>
      <x:c r="AG612" s="8" t="str">
        <x:v>High public GitHub activity</x:v>
      </x:c>
      <x:c r="AH612" s="14" t="n">
        <x:v>4</x:v>
      </x:c>
      <x:c r="AI612" s="15" t="str">
        <x:v>Canonical source for Maintenance &amp; Updates!4</x:v>
      </x:c>
    </x:row>
    <x:row r="613" ht="90">
      <x:c r="A613" s="12" t="str">
        <x:v>Maintenance &amp; Updates</x:v>
      </x:c>
      <x:c r="B613" s="13" t="str">
        <x:v>Maintainer Structure (Solo Dev / Small Collective / Foundation / Corp)</x:v>
      </x:c>
      <x:c r="C613" s="8" t="str">
        <x:v>Corp (Discord Inc.)</x:v>
      </x:c>
      <x:c r="D613" s="8" t="str">
        <x:v>Open-source team</x:v>
      </x:c>
      <x:c r="E613" s="8" t="str">
        <x:v>Solo-led + contributors</x:v>
      </x:c>
      <x:c r="F613" s="8" t="str">
        <x:v>Tiny Canadian team</x:v>
      </x:c>
      <x:c r="G613" s="8" t="str">
        <x:v>Solo founder / tiny team</x:v>
      </x:c>
      <x:c r="H613" s="8" t="str">
        <x:v>Small company/open-source team</x:v>
      </x:c>
      <x:c r="I613" s="8" t="str">
        <x:v>Founder-led company</x:v>
      </x:c>
      <x:c r="J613" s="8" t="str">
        <x:v>Volunteer project</x:v>
      </x:c>
      <x:c r="K613" s="8" t="str">
        <x:v>Solo dev</x:v>
      </x:c>
      <x:c r="L613" s="8" t="str">
        <x:v>1 primary developer; security-researcher friend provides private review/bug reports (developer report)</x:v>
      </x:c>
      <x:c r="M613" s="8" t="str">
        <x:v>Small team</x:v>
      </x:c>
      <x:c r="N613" s="8" t="str">
        <x:v>Small team</x:v>
      </x:c>
      <x:c r="O613" s="8" t="str">
        <x:v>Nonprofit foundation + ecosystem companies/projects</x:v>
      </x:c>
      <x:c r="P613" s="8" t="str">
        <x:v>Corp + open-source community</x:v>
      </x:c>
      <x:c r="Q613" s="8" t="str">
        <x:v>Company/open-source team</x:v>
      </x:c>
      <x:c r="R613" s="8" t="str">
        <x:v>Community project</x:v>
      </x:c>
      <x:c r="S613" s="8" t="str">
        <x:v>Solo/small community</x:v>
      </x:c>
      <x:c r="T613" s="8" t="str">
        <x:v>Small startup team</x:v>
      </x:c>
      <x:c r="U613" s="8" t="str">
        <x:v>Independently run; exact team size not stated</x:v>
      </x:c>
      <x:c r="V613" s="8" t="str">
        <x:v>Small private company</x:v>
      </x:c>
      <x:c r="W613" s="8" t="str">
        <x:v>Corp + community</x:v>
      </x:c>
      <x:c r="X613" s="8" t="str">
        <x:v>Open-source community</x:v>
      </x:c>
      <x:c r="Y613" s="8" t="str">
        <x:v>Corp</x:v>
      </x:c>
      <x:c r="Z613" s="8" t="str">
        <x:v>Volunteer project</x:v>
      </x:c>
      <x:c r="AA613" s="8" t="str">
        <x:v>Small open-source collective</x:v>
      </x:c>
      <x:c r="AB613" s="8" t="str">
        <x:v>Corp</x:v>
      </x:c>
      <x:c r="AC613" s="9" t="str">
        <x:v>Volunteer/open-source team</x:v>
      </x:c>
      <x:c r="AD613" s="8" t="str">
        <x:v>Small founder-led team</x:v>
      </x:c>
      <x:c r="AE613" s="8" t="str">
        <x:v>Solo developer</x:v>
      </x:c>
      <x:c r="AF613" s="8" t="str">
        <x:v>Small team</x:v>
      </x:c>
      <x:c r="AG613" s="8" t="str">
        <x:v>Independent company + community</x:v>
      </x:c>
      <x:c r="AH613" s="14" t="n">
        <x:v>5</x:v>
      </x:c>
      <x:c r="AI613" s="15" t="str">
        <x:v>Canonical source for Maintenance &amp; Updates!5</x:v>
      </x:c>
    </x:row>
    <x:row r="614" ht="90">
      <x:c r="A614" s="12" t="str">
        <x:v>Maintenance &amp; Updates</x:v>
      </x:c>
      <x:c r="B614" s="13" t="str">
        <x:v>Public Roadmap Availability</x:v>
      </x:c>
      <x:c r="C614" s="8" t="str">
        <x:v>Limited: no comprehensive public product roadmap; blogs/changelogs announce plans and releases</x:v>
      </x:c>
      <x:c r="D614" s="8" t="str">
        <x:v>Public repos</x:v>
      </x:c>
      <x:c r="E614" s="8" t="str">
        <x:v>public documentation/GitHub</x:v>
      </x:c>
      <x:c r="F614" s="8" t="str">
        <x:v>Public site</x:v>
      </x:c>
      <x:c r="G614" s="8" t="str">
        <x:v>Public roadmap/story posts</x:v>
      </x:c>
      <x:c r="H614" s="8" t="str">
        <x:v>Public 2026 roadmap</x:v>
      </x:c>
      <x:c r="I614" s="8" t="str">
        <x:v>Public site/press</x:v>
      </x:c>
      <x:c r="J614" s="8" t="str">
        <x:v>Public roadmap</x:v>
      </x:c>
      <x:c r="K614" s="8" t="str">
        <x:v>Public roadmap/issues</x:v>
      </x:c>
      <x:c r="L614" s="8" t="str">
        <x:v>Yes: active roadmap in the official Kaede community (developer report)</x:v>
      </x:c>
      <x:c r="M614" s="8" t="str">
        <x:v>Public site</x:v>
      </x:c>
      <x:c r="N614" s="8" t="str">
        <x:v>Public feature tracker</x:v>
      </x:c>
      <x:c r="O614" s="8" t="str">
        <x:v>Public spec roadmap/MSC process</x:v>
      </x:c>
      <x:c r="P614" s="8" t="str">
        <x:v>Public product roadmap/release documentation</x:v>
      </x:c>
      <x:c r="Q614" s="8" t="str">
        <x:v>public documentation/blog</x:v>
      </x:c>
      <x:c r="R614" s="8" t="str">
        <x:v>Public GitHub milestones/issues</x:v>
      </x:c>
      <x:c r="S614" s="8" t="str">
        <x:v>Public GitHub</x:v>
      </x:c>
      <x:c r="T614" s="8" t="str">
        <x:v>Public updates</x:v>
      </x:c>
      <x:c r="U614" s="8" t="str">
        <x:v>Public site/GitHub</x:v>
      </x:c>
      <x:c r="V614" s="8" t="str">
        <x:v>Public site/updates</x:v>
      </x:c>
      <x:c r="W614" s="8" t="str">
        <x:v>Public roadmap/release documentation</x:v>
      </x:c>
      <x:c r="X614" s="8" t="str">
        <x:v>Public GitHub</x:v>
      </x:c>
      <x:c r="Y614" s="8"/>
      <x:c r="Z614" s="8" t="str">
        <x:v>Public GitHub roadmap/issues</x:v>
      </x:c>
      <x:c r="AA614" s="8" t="str">
        <x:v>Public GitHub issues/projects + update posts</x:v>
      </x:c>
      <x:c r="AB614" s="8" t="str">
        <x:v>Product roadmap/announcements</x:v>
      </x:c>
      <x:c r="AC614" s="9" t="str">
        <x:v>Public roadmap/issues</x:v>
      </x:c>
      <x:c r="AD614" s="8" t="str">
        <x:v>Public subreddit/GitHub</x:v>
      </x:c>
      <x:c r="AE614" s="8" t="str">
        <x:v>Public site</x:v>
      </x:c>
      <x:c r="AF614" s="8" t="str">
        <x:v>Public roadmap</x:v>
      </x:c>
      <x:c r="AG614" s="8" t="str">
        <x:v>Public roadmap/issues</x:v>
      </x:c>
      <x:c r="AH614" s="14" t="n">
        <x:v>6</x:v>
      </x:c>
      <x:c r="AI614" s="15" t="str">
        <x:v>Canonical source for Maintenance &amp; Updates!6</x:v>
      </x:c>
    </x:row>
    <x:row r="615" ht="75">
      <x:c r="A615" s="12" t="str">
        <x:v>Maintenance &amp; Updates</x:v>
      </x:c>
      <x:c r="B615" s="13" t="str">
        <x:v>Issue Tracker Responsiveness</x:v>
      </x:c>
      <x:c r="C615" s="8" t="str">
        <x:v>N/A for core product: no public core GitHub issue tracker; support and feedback channels are used.</x:v>
      </x:c>
      <x:c r="D615" s="8" t="str">
        <x:v>Public issues</x:v>
      </x:c>
      <x:c r="E615" s="8" t="str">
        <x:v>Public issues</x:v>
      </x:c>
      <x:c r="F615" s="8" t="str">
        <x:v>Feedback/support</x:v>
      </x:c>
      <x:c r="G615" s="8"/>
      <x:c r="H615" s="8" t="str">
        <x:v>Public GitHub issues</x:v>
      </x:c>
      <x:c r="I615" s="8" t="str">
        <x:v>Support/community feedback</x:v>
      </x:c>
      <x:c r="J615" s="8" t="str">
        <x:v>Public issues</x:v>
      </x:c>
      <x:c r="K615" s="8" t="str">
        <x:v>GitHub</x:v>
      </x:c>
      <x:c r="L615" s="8"/>
      <x:c r="M615" s="8" t="str">
        <x:v>Support/community</x:v>
      </x:c>
      <x:c r="N615" s="8" t="str">
        <x:v>Community feedback</x:v>
      </x:c>
      <x:c r="O615" s="8" t="str">
        <x:v>Public GitHub issue/MSC processes</x:v>
      </x:c>
      <x:c r="P615" s="8" t="str">
        <x:v>Public GitHub issues/support</x:v>
      </x:c>
      <x:c r="Q615" s="8" t="str">
        <x:v>GitHub issues</x:v>
      </x:c>
      <x:c r="R615" s="8" t="str">
        <x:v>Public issues</x:v>
      </x:c>
      <x:c r="S615" s="8" t="str">
        <x:v>Public issues</x:v>
      </x:c>
      <x:c r="T615" s="8" t="str">
        <x:v>Community support</x:v>
      </x:c>
      <x:c r="U615" s="8" t="str">
        <x:v>GitHub/support</x:v>
      </x:c>
      <x:c r="V615" s="8" t="str">
        <x:v>Support</x:v>
      </x:c>
      <x:c r="W615" s="8" t="str">
        <x:v>Public GitHub issues</x:v>
      </x:c>
      <x:c r="X615" s="8" t="str">
        <x:v>Public issues</x:v>
      </x:c>
      <x:c r="Y615" s="8" t="str">
        <x:v>Private issue process/support</x:v>
      </x:c>
      <x:c r="Z615" s="8" t="str">
        <x:v>Public GitHub issues</x:v>
      </x:c>
      <x:c r="AA615" s="8" t="str">
        <x:v>Public issue trackers</x:v>
      </x:c>
      <x:c r="AB615" s="8" t="str">
        <x:v>Support/feedback</x:v>
      </x:c>
      <x:c r="AC615" s="9" t="str">
        <x:v>GitHub issues</x:v>
      </x:c>
      <x:c r="AD615" s="8" t="str">
        <x:v>GitHub issues</x:v>
      </x:c>
      <x:c r="AE615" s="8" t="str">
        <x:v>Support</x:v>
      </x:c>
      <x:c r="AF615" s="8" t="str">
        <x:v>Support</x:v>
      </x:c>
      <x:c r="AG615" s="8" t="str">
        <x:v>Public GitHub issues</x:v>
      </x:c>
      <x:c r="AH615" s="14" t="n">
        <x:v>7</x:v>
      </x:c>
      <x:c r="AI615" s="15" t="str">
        <x:v>Canonical source for Maintenance &amp; Updates!7</x:v>
      </x:c>
    </x:row>
    <x:row r="616" ht="90">
      <x:c r="A616" s="12" t="str">
        <x:v>Maintenance &amp; Updates</x:v>
      </x:c>
      <x:c r="B616" s="13" t="str">
        <x:v>Public Changelog &amp; Release Notes</x:v>
      </x:c>
      <x:c r="C616" s="8" t="str">
        <x:v>Yes: public changelogs, patch notes, support updates, and developer changelog</x:v>
      </x:c>
      <x:c r="D616" s="8" t="str">
        <x:v>Git history</x:v>
      </x:c>
      <x:c r="E616" s="8" t="str">
        <x:v>Many GitHub releases</x:v>
      </x:c>
      <x:c r="F616" s="8" t="str">
        <x:v>App release notes</x:v>
      </x:c>
      <x:c r="G616" s="8"/>
      <x:c r="H616" s="8" t="str">
        <x:v>Public blog/changelog</x:v>
      </x:c>
      <x:c r="I616" s="8" t="str">
        <x:v>Public updates/press</x:v>
      </x:c>
      <x:c r="J616" s="8" t="str">
        <x:v>Public commits</x:v>
      </x:c>
      <x:c r="K616" s="8" t="str">
        <x:v>GitHub releases</x:v>
      </x:c>
      <x:c r="L616" s="8" t="str">
        <x:v>No conventional public changelog or release-note stream found; repository history is active.</x:v>
      </x:c>
      <x:c r="M616" s="8" t="str">
        <x:v>Public updates</x:v>
      </x:c>
      <x:c r="N616" s="8" t="str">
        <x:v>Public site updates</x:v>
      </x:c>
      <x:c r="O616" s="8" t="str">
        <x:v>Public specification changelogs and project release notes</x:v>
      </x:c>
      <x:c r="P616" s="8" t="str">
        <x:v>Public release notes</x:v>
      </x:c>
      <x:c r="Q616" s="8" t="str">
        <x:v>public documentation/blog</x:v>
      </x:c>
      <x:c r="R616" s="8" t="str">
        <x:v>Public releases/changelog</x:v>
      </x:c>
      <x:c r="S616" s="8" t="str">
        <x:v>GitHub releases</x:v>
      </x:c>
      <x:c r="T616" s="8" t="str">
        <x:v>Public changelog/blog</x:v>
      </x:c>
      <x:c r="U616" s="8" t="str">
        <x:v>Yes: https://pqp.gg/blog</x:v>
      </x:c>
      <x:c r="V616" s="8" t="str">
        <x:v>Public site updates</x:v>
      </x:c>
      <x:c r="W616" s="8" t="str">
        <x:v>Public release notes</x:v>
      </x:c>
      <x:c r="X616" s="8" t="str">
        <x:v>GitHub commits</x:v>
      </x:c>
      <x:c r="Y616" s="8" t="str">
        <x:v>Public changelog/help documentation</x:v>
      </x:c>
      <x:c r="Z616" s="8" t="str">
        <x:v>GitHub releases/commits</x:v>
      </x:c>
      <x:c r="AA616" s="8" t="str">
        <x:v>Yes: GitHub changelogs/releases and Stoat updates</x:v>
      </x:c>
      <x:c r="AB616" s="8" t="str">
        <x:v>Public news/release notes</x:v>
      </x:c>
      <x:c r="AC616" s="9" t="str">
        <x:v>GitHub releases</x:v>
      </x:c>
      <x:c r="AD616" s="8" t="str">
        <x:v>Public updates</x:v>
      </x:c>
      <x:c r="AE616" s="8" t="str">
        <x:v>Public site/repository</x:v>
      </x:c>
      <x:c r="AF616" s="8" t="str">
        <x:v>Public roadmap/updates</x:v>
      </x:c>
      <x:c r="AG616" s="8" t="str">
        <x:v>Public release notes</x:v>
      </x:c>
      <x:c r="AH616" s="14" t="n">
        <x:v>8</x:v>
      </x:c>
      <x:c r="AI616" s="15" t="str">
        <x:v>Canonical source for Maintenance &amp; Updates!8</x:v>
      </x:c>
    </x:row>
    <x:row r="617" ht="60">
      <x:c r="A617" s="12" t="str">
        <x:v>Maintenance &amp; Updates</x:v>
      </x:c>
      <x:c r="B617" s="13" t="str">
        <x:v>Last Major Release Date</x:v>
      </x:c>
      <x:c r="C617" s="8"/>
      <x:c r="D617" s="8"/>
      <x:c r="E617" s="8"/>
      <x:c r="F617" s="8"/>
      <x:c r="G617" s="8"/>
      <x:c r="H617" s="8"/>
      <x:c r="I617" s="8"/>
      <x:c r="J617" s="8"/>
      <x:c r="K617" s="8"/>
      <x:c r="L617" s="8" t="str">
        <x:v>No formal public launch</x:v>
      </x:c>
      <x:c r="M617" s="8"/>
      <x:c r="N617" s="8"/>
      <x:c r="O617" s="8"/>
      <x:c r="P617" s="8"/>
      <x:c r="Q617" s="8"/>
      <x:c r="R617" s="8"/>
      <x:c r="S617" s="8"/>
      <x:c r="T617" s="8"/>
      <x:c r="U617" s="8"/>
      <x:c r="V617" s="30" t="str">
        <x:v>2026 Sept 16</x:v>
      </x:c>
      <x:c r="W617" s="8"/>
      <x:c r="X617" s="8"/>
      <x:c r="Y617" s="8"/>
      <x:c r="Z617" s="8"/>
      <x:c r="AA617" s="8"/>
      <x:c r="AB617" s="8"/>
      <x:c r="AC617" s="9"/>
      <x:c r="AD617" s="8"/>
      <x:c r="AE617" s="8"/>
      <x:c r="AF617" s="8"/>
      <x:c r="AG617" s="8"/>
      <x:c r="AH617" s="14" t="n">
        <x:v>10</x:v>
      </x:c>
      <x:c r="AI617" s="15" t="str">
        <x:v>Shared metric: Project Origin &amp; Longevity: Last Major Release Date | Project &amp; Maintenance: Last Major Release Date | Maintenance &amp; Updates: Last Major Release Date</x:v>
      </x:c>
    </x:row>
    <x:row r="618" ht="60">
      <x:c r="A618" s="12" t="str">
        <x:v>Maintenance &amp; Updates</x:v>
      </x:c>
      <x:c r="B618" s="13" t="str">
        <x:v>Security Advisories?</x:v>
      </x:c>
      <x:c r="C618" s="8" t="str">
        <x:v>Yes</x:v>
      </x:c>
      <x:c r="D618" s="8"/>
      <x:c r="E618" s="8"/>
      <x:c r="F618" s="8"/>
      <x:c r="G618" s="8"/>
      <x:c r="H618" s="8"/>
      <x:c r="I618" s="8"/>
      <x:c r="J618" s="8"/>
      <x:c r="K618" s="8"/>
      <x:c r="L618" s="8" t="str">
        <x:v>No public security advisories located</x:v>
      </x:c>
      <x:c r="M618" s="8"/>
      <x:c r="N618" s="8"/>
      <x:c r="O618" s="8" t="str">
        <x:v>Yes</x:v>
      </x:c>
      <x:c r="P618" s="8" t="str">
        <x:v>Yes</x:v>
      </x:c>
      <x:c r="Q618" s="8"/>
      <x:c r="R618" s="8" t="str">
        <x:v>Yes</x:v>
      </x:c>
      <x:c r="S618" s="8"/>
      <x:c r="T618" s="8"/>
      <x:c r="U618" s="8" t="str">
        <x:v>No public breach/CVE story; security contact is published</x:v>
      </x:c>
      <x:c r="V618" s="8" t="str">
        <x:v>No Known</x:v>
      </x:c>
      <x:c r="W618" s="8" t="str">
        <x:v>Yes</x:v>
      </x:c>
      <x:c r="X618" s="8"/>
      <x:c r="Y618" s="8"/>
      <x:c r="Z618" s="8"/>
      <x:c r="AA618" s="8"/>
      <x:c r="AB618" s="8"/>
      <x:c r="AC618" s="9"/>
      <x:c r="AD618" s="8"/>
      <x:c r="AE618" s="8"/>
      <x:c r="AF618" s="8"/>
      <x:c r="AG618" s="8"/>
      <x:c r="AH618" s="14" t="n">
        <x:v>11</x:v>
      </x:c>
      <x:c r="AI618" s="15" t="str">
        <x:v>Shared metric: Project Origin &amp; Longevity: Security Advisories? | Project &amp; Maintenance: Security Advisories? | Maintenance &amp; Updates: Security Advisories?</x:v>
      </x:c>
    </x:row>
    <x:row r="619" ht="45">
      <x:c r="A619" s="12" t="str">
        <x:v>Maintenance &amp; Updates</x:v>
      </x:c>
      <x:c r="B619" s="13" t="str">
        <x:v>Published Support / EOL Window</x:v>
      </x:c>
      <x:c r="C619" s="8" t="str">
        <x:v>Service continuously updated / no version EOL</x:v>
      </x:c>
      <x:c r="D619" s="8"/>
      <x:c r="E619" s="8"/>
      <x:c r="F619" s="8"/>
      <x:c r="G619" s="8"/>
      <x:c r="H619" s="8"/>
      <x:c r="I619" s="8"/>
      <x:c r="J619" s="8"/>
      <x:c r="K619" s="8"/>
      <x:c r="L619" s="8" t="str">
        <x:v>No published version-support/EOL policy</x:v>
      </x:c>
      <x:c r="M619" s="8"/>
      <x:c r="N619" s="8"/>
      <x:c r="O619" s="8"/>
      <x:c r="P619" s="8"/>
      <x:c r="Q619" s="8"/>
      <x:c r="R619" s="8"/>
      <x:c r="S619" s="8"/>
      <x:c r="T619" s="8"/>
      <x:c r="U619" s="8"/>
      <x:c r="V619" s="8"/>
      <x:c r="W619" s="8" t="str">
        <x:v>Yes: version support window documented</x:v>
      </x:c>
      <x:c r="X619" s="8"/>
      <x:c r="Y619" s="8"/>
      <x:c r="Z619" s="8"/>
      <x:c r="AA619" s="8"/>
      <x:c r="AB619" s="8"/>
      <x:c r="AC619" s="9"/>
      <x:c r="AD619" s="8"/>
      <x:c r="AE619" s="8"/>
      <x:c r="AF619" s="8"/>
      <x:c r="AG619" s="8"/>
      <x:c r="AH619" s="14" t="n">
        <x:v>12</x:v>
      </x:c>
      <x:c r="AI619" s="15" t="str">
        <x:v>Canonical source for Maintenance &amp; Updates!12</x:v>
      </x:c>
    </x:row>
    <x:row r="620" ht="30">
      <x:c r="A620" s="12" t="str">
        <x:v>Maintenance &amp; Updates</x:v>
      </x:c>
      <x:c r="B620" s="13" t="str">
        <x:v>Automated Dependency Update Policy</x:v>
      </x:c>
      <x:c r="C620" s="8"/>
      <x:c r="D620" s="8"/>
      <x:c r="E620" s="8"/>
      <x:c r="F620" s="8"/>
      <x:c r="G620" s="8"/>
      <x:c r="H620" s="8"/>
      <x:c r="I620" s="8"/>
      <x:c r="J620" s="8"/>
      <x:c r="K620" s="8"/>
      <x:c r="L620" s="8" t="str">
        <x:v>Not publicly documented</x:v>
      </x:c>
      <x:c r="M620" s="8"/>
      <x:c r="N620" s="8"/>
      <x:c r="O620" s="8"/>
      <x:c r="P620" s="8"/>
      <x:c r="Q620" s="8"/>
      <x:c r="R620" s="8"/>
      <x:c r="S620" s="8"/>
      <x:c r="T620" s="8"/>
      <x:c r="U620" s="8"/>
      <x:c r="V620" s="8"/>
      <x:c r="W620" s="8"/>
      <x:c r="X620" s="8"/>
      <x:c r="Y620" s="8"/>
      <x:c r="Z620" s="8"/>
      <x:c r="AA620" s="8"/>
      <x:c r="AB620" s="8"/>
      <x:c r="AC620" s="9"/>
      <x:c r="AD620" s="8"/>
      <x:c r="AE620" s="8"/>
      <x:c r="AF620" s="8"/>
      <x:c r="AG620" s="8"/>
      <x:c r="AH620" s="14" t="n">
        <x:v>13</x:v>
      </x:c>
      <x:c r="AI620" s="15" t="str">
        <x:v>Canonical source for Maintenance &amp; Updates!13</x:v>
      </x:c>
    </x:row>
    <x:row r="621" ht="30">
      <x:c r="A621" s="12" t="str">
        <x:v>Maintenance &amp; Updates</x:v>
      </x:c>
      <x:c r="B621" s="13" t="str">
        <x:v>Release Signing / Provenance</x:v>
      </x:c>
      <x:c r="C621" s="8"/>
      <x:c r="D621" s="8"/>
      <x:c r="E621" s="8"/>
      <x:c r="F621" s="8"/>
      <x:c r="G621" s="8"/>
      <x:c r="H621" s="8"/>
      <x:c r="I621" s="8"/>
      <x:c r="J621" s="8"/>
      <x:c r="K621" s="8"/>
      <x:c r="L621" s="8" t="str">
        <x:v>Not publicly documented</x:v>
      </x:c>
      <x:c r="M621" s="8"/>
      <x:c r="N621" s="8"/>
      <x:c r="O621" s="8"/>
      <x:c r="P621" s="8"/>
      <x:c r="Q621" s="8"/>
      <x:c r="R621" s="8"/>
      <x:c r="S621" s="8"/>
      <x:c r="T621" s="8"/>
      <x:c r="U621" s="8"/>
      <x:c r="V621" s="8"/>
      <x:c r="W621" s="8"/>
      <x:c r="X621" s="8"/>
      <x:c r="Y621" s="8"/>
      <x:c r="Z621" s="8"/>
      <x:c r="AA621" s="8"/>
      <x:c r="AB621" s="8"/>
      <x:c r="AC621" s="9"/>
      <x:c r="AD621" s="8"/>
      <x:c r="AE621" s="8"/>
      <x:c r="AF621" s="8"/>
      <x:c r="AG621" s="8"/>
      <x:c r="AH621" s="14" t="n">
        <x:v>14</x:v>
      </x:c>
      <x:c r="AI621" s="15" t="str">
        <x:v>Canonical source for Maintenance &amp; Updates!14</x:v>
      </x:c>
    </x:row>
    <x:row r="622" ht="105">
      <x:c r="A622" s="12" t="str">
        <x:v>Developer Extensibility</x:v>
      </x:c>
      <x:c r="B622" s="13" t="str">
        <x:v>Bot / Gateway API Type (REST / WebSockets / Gateway)</x:v>
      </x:c>
      <x:c r="C622" s="8" t="str">
        <x:v>REST/HTTP API + Gateway WebSocket</x:v>
      </x:c>
      <x:c r="D622" s="8" t="str">
        <x:v>Nostr/Concord protocols</x:v>
      </x:c>
      <x:c r="E622" s="8" t="str">
        <x:v>Custom server/WebSocket APIs</x:v>
      </x:c>
      <x:c r="F622" s="8"/>
      <x:c r="G622" s="8" t="str">
        <x:v>Bot API planned after public release</x:v>
      </x:c>
      <x:c r="H622" s="8" t="str">
        <x:v>REST + Gateway/WebSocket, deliberately Discord-like</x:v>
      </x:c>
      <x:c r="I622" s="8"/>
      <x:c r="J622" s="8" t="str">
        <x:v>Discord-compatible API</x:v>
      </x:c>
      <x:c r="K622" s="8" t="str">
        <x:v>Custom protocol; no HTTP API emphasis</x:v>
      </x:c>
      <x:c r="L622" s="8" t="str">
        <x:v>Scoped REST + direct Gateway/WebSocket API; federated bot workers connect directly to target authorities</x:v>
      </x:c>
      <x:c r="M622" s="8"/>
      <x:c r="N622" s="8" t="str">
        <x:v>Discord-compatible API</x:v>
      </x:c>
      <x:c r="O622" s="8" t="str">
        <x:v>Open Client-Server, Server-Server, Application Service APIs; WebSocket-like sync transports depending spec version</x:v>
      </x:c>
      <x:c r="P622" s="8" t="str">
        <x:v>REST + WebSocket API</x:v>
      </x:c>
      <x:c r="Q622" s="8" t="str">
        <x:v>API-first design</x:v>
      </x:c>
      <x:c r="R622" s="8" t="str">
        <x:v>Server RPC/API (Ice) + protocol libraries</x:v>
      </x:c>
      <x:c r="S622" s="8"/>
      <x:c r="T622" s="8"/>
      <x:c r="U622" s="8" t="str">
        <x:v>No public bot-token / third-party API; session-only application API by design</x:v>
      </x:c>
      <x:c r="V622" s="8"/>
      <x:c r="W622" s="8" t="str">
        <x:v>REST + realtime/WebSocket/DDP + Apps engine</x:v>
      </x:c>
      <x:c r="X622" s="8" t="str">
        <x:v>ATProto + Roomy SDK</x:v>
      </x:c>
      <x:c r="Y622" s="8" t="str">
        <x:v>Root Community API + hosted app/bot runtime</x:v>
      </x:c>
      <x:c r="Z622" s="8" t="str">
        <x:v>Discord-compatible REST + Gateway</x:v>
      </x:c>
      <x:c r="AA622" s="8" t="str">
        <x:v>REST + WebSocket event API</x:v>
      </x:c>
      <x:c r="AB622" s="8"/>
      <x:c r="AC622" s="9" t="str">
        <x:v>Official API used by client</x:v>
      </x:c>
      <x:c r="AD622" s="8" t="str">
        <x:v>Custom API/federation</x:v>
      </x:c>
      <x:c r="AE622" s="8"/>
      <x:c r="AF622" s="8"/>
      <x:c r="AG622" s="8" t="str">
        <x:v>REST + realtime event queues</x:v>
      </x:c>
      <x:c r="AH622" s="14" t="n">
        <x:v>3</x:v>
      </x:c>
      <x:c r="AI622" s="15" t="str">
        <x:v>Canonical source for Developer Extensibility!3</x:v>
      </x:c>
    </x:row>
    <x:row r="623" ht="45">
      <x:c r="A623" s="12" t="str">
        <x:v>Developer Extensibility</x:v>
      </x:c>
      <x:c r="B623" s="13" t="str">
        <x:v>Inbound Webhooks</x:v>
      </x:c>
      <x:c r="C623" s="8" t="str">
        <x:v>Yes</x:v>
      </x:c>
      <x:c r="D623" s="8" t="str">
        <x:v>Nostr relays/integrations</x:v>
      </x:c>
      <x:c r="E623" s="8" t="str">
        <x:v>Plugins</x:v>
      </x:c>
      <x:c r="F623" s="8"/>
      <x:c r="G623" s="8" t="str">
        <x:v>No current public webhook API verified</x:v>
      </x:c>
      <x:c r="H623" s="8"/>
      <x:c r="I623" s="8"/>
      <x:c r="J623" s="8" t="str">
        <x:v>Discord-compatible target</x:v>
      </x:c>
      <x:c r="K623" s="8" t="str">
        <x:v>No</x:v>
      </x:c>
      <x:c r="L623" s="8" t="str">
        <x:v>Yes</x:v>
      </x:c>
      <x:c r="M623" s="8"/>
      <x:c r="N623" s="8" t="str">
        <x:v>Webhooks supported</x:v>
      </x:c>
      <x:c r="O623" s="8" t="str">
        <x:v>Application services/webhooks via integrations</x:v>
      </x:c>
      <x:c r="P623" s="8" t="str">
        <x:v>Yes</x:v>
      </x:c>
      <x:c r="Q623" s="8" t="str">
        <x:v>Integrations</x:v>
      </x:c>
      <x:c r="R623" s="8" t="str">
        <x:v>No Discord-style incoming webhooks</x:v>
      </x:c>
      <x:c r="S623" s="8"/>
      <x:c r="T623" s="8"/>
      <x:c r="U623" s="8" t="str">
        <x:v>Yes: Discord-compatible incoming webhooks</x:v>
      </x:c>
      <x:c r="V623" s="8" t="str">
        <x:v>Yes: Discord, GitHub and Slack-compatible incoming webhooks</x:v>
      </x:c>
      <x:c r="W623" s="8" t="str">
        <x:v>Yes</x:v>
      </x:c>
      <x:c r="X623" s="8" t="str">
        <x:v>Bridge/integrations</x:v>
      </x:c>
      <x:c r="Y623" s="8"/>
      <x:c r="Z623" s="8" t="str">
        <x:v>Discord-compatible webhooks target</x:v>
      </x:c>
      <x:c r="AA623" s="8"/>
      <x:c r="AB623" s="8"/>
      <x:c r="AC623" s="9" t="str">
        <x:v>Incoming webhooks</x:v>
      </x:c>
      <x:c r="AD623" s="8"/>
      <x:c r="AE623" s="8"/>
      <x:c r="AF623" s="8"/>
      <x:c r="AG623" s="8" t="str">
        <x:v>Yes: incoming webhooks/integrations</x:v>
      </x:c>
      <x:c r="AH623" s="14" t="n">
        <x:v>4</x:v>
      </x:c>
      <x:c r="AI623" s="15" t="str">
        <x:v>Canonical source for Developer Extensibility!4</x:v>
      </x:c>
    </x:row>
    <x:row r="624" ht="90">
      <x:c r="A624" s="12" t="str">
        <x:v>Developer Extensibility</x:v>
      </x:c>
      <x:c r="B624" s="13" t="str">
        <x:v>Outbound Webhooks</x:v>
      </x:c>
      <x:c r="C624" s="8" t="str">
        <x:v>Yes: webhook events and interaction endpoints</x:v>
      </x:c>
      <x:c r="D624" s="8" t="str">
        <x:v>Nostr events</x:v>
      </x:c>
      <x:c r="E624" s="8" t="str">
        <x:v>Events/plugins</x:v>
      </x:c>
      <x:c r="F624" s="8"/>
      <x:c r="G624" s="8" t="str">
        <x:v>No current public event webhook API verified</x:v>
      </x:c>
      <x:c r="H624" s="8" t="str">
        <x:v>Gateway events/webhooks</x:v>
      </x:c>
      <x:c r="I624" s="8"/>
      <x:c r="J624" s="8" t="str">
        <x:v>Gateway/events</x:v>
      </x:c>
      <x:c r="K624" s="8" t="str">
        <x:v>No</x:v>
      </x:c>
      <x:c r="L624" s="8" t="str">
        <x:v>Gateway event stream is primary realtime event mechanism; no generic outbound webhook subscription system was verified</x:v>
      </x:c>
      <x:c r="M624" s="8"/>
      <x:c r="N624" s="8" t="str">
        <x:v>Events/interactions</x:v>
      </x:c>
      <x:c r="O624" s="8" t="str">
        <x:v>Application Service transactions/events</x:v>
      </x:c>
      <x:c r="P624" s="8" t="str">
        <x:v>Yes</x:v>
      </x:c>
      <x:c r="Q624" s="8" t="str">
        <x:v>Integrations</x:v>
      </x:c>
      <x:c r="R624" s="8" t="str">
        <x:v>No Discord-style outbound webhooks</x:v>
      </x:c>
      <x:c r="S624" s="8"/>
      <x:c r="T624" s="8"/>
      <x:c r="U624" s="8" t="str">
        <x:v>Not publicly claimed</x:v>
      </x:c>
      <x:c r="V624" s="8"/>
      <x:c r="W624" s="8" t="str">
        <x:v>Yes</x:v>
      </x:c>
      <x:c r="X624" s="8" t="str">
        <x:v>ATProto events</x:v>
      </x:c>
      <x:c r="Y624" s="8" t="str">
        <x:v>Event subscriptions in hosted runtime</x:v>
      </x:c>
      <x:c r="Z624" s="8" t="str">
        <x:v>Gateway events</x:v>
      </x:c>
      <x:c r="AA624" s="8"/>
      <x:c r="AB624" s="8"/>
      <x:c r="AC624" s="9" t="str">
        <x:v>API/events</x:v>
      </x:c>
      <x:c r="AD624" s="8" t="str">
        <x:v>Federation events/webhooks planned</x:v>
      </x:c>
      <x:c r="AE624" s="8"/>
      <x:c r="AF624" s="8"/>
      <x:c r="AG624" s="8" t="str">
        <x:v>Yes: bots/webhooks/event queues</x:v>
      </x:c>
      <x:c r="AH624" s="14" t="n">
        <x:v>5</x:v>
      </x:c>
      <x:c r="AI624" s="15" t="str">
        <x:v>Canonical source for Developer Extensibility!5</x:v>
      </x:c>
    </x:row>
    <x:row r="625" ht="105">
      <x:c r="A625" s="12" t="str">
        <x:v>Developer Extensibility</x:v>
      </x:c>
      <x:c r="B625" s="13" t="str">
        <x:v>Official SDKs &amp; Libraries (JS / Python / Rust / Go)</x:v>
      </x:c>
      <x:c r="C625" s="8" t="str">
        <x:v>JS/TS: official Embedded App SDK; no official general bot SDKs for Python/Rust/Go; Social SDK targets C++/Unity/Unreal</x:v>
      </x:c>
      <x:c r="D625" s="8" t="str">
        <x:v>Nostr libraries</x:v>
      </x:c>
      <x:c r="E625" s="8" t="str">
        <x:v>Custom/open-source ecosystem</x:v>
      </x:c>
      <x:c r="F625" s="8"/>
      <x:c r="G625" s="8" t="str">
        <x:v>No public SDKs yet</x:v>
      </x:c>
      <x:c r="H625" s="8"/>
      <x:c r="I625" s="8"/>
      <x:c r="J625" s="8" t="str">
        <x:v>Discord bot libraries largely reusable</x:v>
      </x:c>
      <x:c r="K625" s="8" t="str">
        <x:v>Open source</x:v>
      </x:c>
      <x:c r="L625" s="8" t="str">
        <x:v>Official Python SDK: kaede-bot</x:v>
      </x:c>
      <x:c r="M625" s="8"/>
      <x:c r="N625" s="8" t="str">
        <x:v>discord.py/discord.js compatibility</x:v>
      </x:c>
      <x:c r="O625" s="8" t="str">
        <x:v>Many SDKs including JS/TS, Rust, Python, Go/community</x:v>
      </x:c>
      <x:c r="P625" s="8" t="str">
        <x:v>Client/server APIs; Go/JS ecosystem</x:v>
      </x:c>
      <x:c r="Q625" s="8" t="str">
        <x:v>SDK/integration ecosystem</x:v>
      </x:c>
      <x:c r="R625" s="8" t="str">
        <x:v>Community libraries</x:v>
      </x:c>
      <x:c r="S625" s="8" t="str">
        <x:v>Official Nerimity.js</x:v>
      </x:c>
      <x:c r="T625" s="8"/>
      <x:c r="U625" s="8" t="str">
        <x:v>None publicly offered for third-party bot development</x:v>
      </x:c>
      <x:c r="V625" s="8"/>
      <x:c r="W625" s="8" t="str">
        <x:v>SDKs/APIs + Apps framework</x:v>
      </x:c>
      <x:c r="X625" s="8" t="str">
        <x:v>Roomy SDK</x:v>
      </x:c>
      <x:c r="Y625" s="8" t="str">
        <x:v>Official TypeScript SDK / Node runtime</x:v>
      </x:c>
      <x:c r="Z625" s="8" t="str">
        <x:v>Discord ecosystem compatibility; Spacebar documentation</x:v>
      </x:c>
      <x:c r="AA625" s="8" t="str">
        <x:v>Official TypeScript client SDK; community libraries</x:v>
      </x:c>
      <x:c r="AB625" s="8"/>
      <x:c r="AC625" s="9" t="str">
        <x:v>Official .NET SDK</x:v>
      </x:c>
      <x:c r="AD625" s="8"/>
      <x:c r="AE625" s="8"/>
      <x:c r="AF625" s="8"/>
      <x:c r="AG625" s="8" t="str">
        <x:v>Official/community libraries including Python; broad API</x:v>
      </x:c>
      <x:c r="AH625" s="14" t="n">
        <x:v>6</x:v>
      </x:c>
      <x:c r="AI625" s="15" t="str">
        <x:v>Canonical source for Developer Extensibility!6</x:v>
      </x:c>
    </x:row>
    <x:row r="626" ht="90">
      <x:c r="A626" s="12" t="str">
        <x:v>Developer Extensibility</x:v>
      </x:c>
      <x:c r="B626" s="13" t="str">
        <x:v>Custom Slash / Interaction Commands</x:v>
      </x:c>
      <x:c r="C626" s="8" t="str">
        <x:v>Yes: slash commands, components, modals, interactions</x:v>
      </x:c>
      <x:c r="D626" s="8" t="str">
        <x:v>Protocol-driven</x:v>
      </x:c>
      <x:c r="E626" s="8" t="str">
        <x:v>Plugin system</x:v>
      </x:c>
      <x:c r="F626" s="8"/>
      <x:c r="G626" s="8" t="str">
        <x:v>Native slash commands exist; developer interaction API planned</x:v>
      </x:c>
      <x:c r="H626" s="8"/>
      <x:c r="I626" s="8"/>
      <x:c r="J626" s="8" t="str">
        <x:v>Interactions target</x:v>
      </x:c>
      <x:c r="K626" s="8" t="str">
        <x:v>No bot ecosystem yet</x:v>
      </x:c>
      <x:c r="L626" s="8" t="str">
        <x:v>Yes: commands, buttons, selects, checkboxes, text inputs, modals, polls, files and forwarding are documented</x:v>
      </x:c>
      <x:c r="M626" s="8"/>
      <x:c r="N626" s="8" t="str">
        <x:v>Slash commands/buttons/modals</x:v>
      </x:c>
      <x:c r="O626" s="8" t="str">
        <x:v>Client extensions/bots; interaction UX client-dependent</x:v>
      </x:c>
      <x:c r="P626" s="8" t="str">
        <x:v>Slash commands + interactive messages</x:v>
      </x:c>
      <x:c r="Q626" s="8" t="str">
        <x:v>Bots</x:v>
      </x:c>
      <x:c r="R626" s="8" t="str">
        <x:v>N/A</x:v>
      </x:c>
      <x:c r="S626" s="8" t="str">
        <x:v>Bots/API</x:v>
      </x:c>
      <x:c r="T626" s="8"/>
      <x:c r="U626" s="8"/>
      <x:c r="V626" s="8"/>
      <x:c r="W626" s="8" t="str">
        <x:v>Slash commands/apps</x:v>
      </x:c>
      <x:c r="X626" s="8"/>
      <x:c r="Y626" s="8" t="str">
        <x:v>Bots/commands + full GUI Apps</x:v>
      </x:c>
      <x:c r="Z626" s="8" t="str">
        <x:v>Discord interaction compatibility target</x:v>
      </x:c>
      <x:c r="AA626" s="8"/>
      <x:c r="AB626" s="8"/>
      <x:c r="AC626" s="9" t="str">
        <x:v>Bots/OAuth apps</x:v>
      </x:c>
      <x:c r="AD626" s="8"/>
      <x:c r="AE626" s="8" t="str">
        <x:v>Native modules rather than bot-first</x:v>
      </x:c>
      <x:c r="AF626" s="8"/>
      <x:c r="AG626" s="8" t="str">
        <x:v>Slash-command-style integrations/bots</x:v>
      </x:c>
      <x:c r="AH626" s="14" t="n">
        <x:v>7</x:v>
      </x:c>
      <x:c r="AI626" s="15" t="str">
        <x:v>Canonical source for Developer Extensibility!7</x:v>
      </x:c>
    </x:row>
    <x:row r="627" ht="75">
      <x:c r="A627" s="12" t="str">
        <x:v>Developer Extensibility</x:v>
      </x:c>
      <x:c r="B627" s="13" t="str">
        <x:v>Client Plugin / Modding Architecture</x:v>
      </x:c>
      <x:c r="C627" s="8" t="str">
        <x:v>No official client plugin/modding architecture</x:v>
      </x:c>
      <x:c r="D627" s="8" t="str">
        <x:v>Independent clients possible</x:v>
      </x:c>
      <x:c r="E627" s="8" t="str">
        <x:v>Plugin system</x:v>
      </x:c>
      <x:c r="F627" s="8"/>
      <x:c r="G627" s="8" t="str">
        <x:v>No</x:v>
      </x:c>
      <x:c r="H627" s="8" t="str">
        <x:v>No official client-plugin architecture verified</x:v>
      </x:c>
      <x:c r="I627" s="8" t="str">
        <x:v>No client plugins verified</x:v>
      </x:c>
      <x:c r="J627" s="8" t="str">
        <x:v>Independent clients encouraged</x:v>
      </x:c>
      <x:c r="K627" s="8" t="str">
        <x:v>No plugin ecosystem</x:v>
      </x:c>
      <x:c r="L627" s="8" t="str">
        <x:v>No general client plugin architecture documented; custom CSS/theme support is developer reported.</x:v>
      </x:c>
      <x:c r="M627" s="8"/>
      <x:c r="N627" s="8" t="str">
        <x:v>No client plugins verified</x:v>
      </x:c>
      <x:c r="O627" s="8" t="str">
        <x:v>Multiple independent clients rather than plugins to one official client</x:v>
      </x:c>
      <x:c r="P627" s="8" t="str">
        <x:v>Plugin architecture (server/webapp)</x:v>
      </x:c>
      <x:c r="Q627" s="8"/>
      <x:c r="R627" s="8" t="str">
        <x:v>Plugins supported</x:v>
      </x:c>
      <x:c r="S627" s="8" t="str">
        <x:v>Themes/RPC</x:v>
      </x:c>
      <x:c r="T627" s="8"/>
      <x:c r="U627" s="8" t="str">
        <x:v>No official plugin architecture claimed</x:v>
      </x:c>
      <x:c r="V627" s="8"/>
      <x:c r="W627" s="8" t="str">
        <x:v>Apps/plugin framework</x:v>
      </x:c>
      <x:c r="X627" s="8" t="str">
        <x:v>Open protocol client ecosystem</x:v>
      </x:c>
      <x:c r="Y627" s="8" t="str">
        <x:v>No client modding</x:v>
      </x:c>
      <x:c r="Z627" s="8" t="str">
        <x:v>Spacebar-aware client theming/plugin goals</x:v>
      </x:c>
      <x:c r="AA627" s="8" t="str">
        <x:v>Community clients/themes; no stable official plugin architecture verified</x:v>
      </x:c>
      <x:c r="AB627" s="8" t="str">
        <x:v>Plugins/addons ecosystem</x:v>
      </x:c>
      <x:c r="AC627" s="9" t="str">
        <x:v>Themes rather than client mods</x:v>
      </x:c>
      <x:c r="AD627" s="8" t="str">
        <x:v>No</x:v>
      </x:c>
      <x:c r="AE627" s="8" t="str">
        <x:v>No</x:v>
      </x:c>
      <x:c r="AF627" s="8"/>
      <x:c r="AG627" s="8" t="str">
        <x:v>No client plugin architecture</x:v>
      </x:c>
      <x:c r="AH627" s="14" t="n">
        <x:v>8</x:v>
      </x:c>
      <x:c r="AI627" s="15" t="str">
        <x:v>Canonical source for Developer Extensibility!8</x:v>
      </x:c>
    </x:row>
    <x:row r="628" ht="120">
      <x:c r="A628" s="12" t="str">
        <x:v>Developer Extensibility</x:v>
      </x:c>
      <x:c r="B628" s="13" t="str">
        <x:v>API Rate Limits &amp; Developer Portal</x:v>
      </x:c>
      <x:c r="C628" s="8" t="str">
        <x:v>Yes: Developer Portal + per-route/global REST limits; Gateway 120 events/60s/connection</x:v>
      </x:c>
      <x:c r="D628" s="8" t="str">
        <x:v>Open source</x:v>
      </x:c>
      <x:c r="E628" s="8" t="str">
        <x:v>Operator configured</x:v>
      </x:c>
      <x:c r="F628" s="8"/>
      <x:c r="G628" s="8" t="str">
        <x:v>No public developer portal/API limits yet</x:v>
      </x:c>
      <x:c r="H628" s="8"/>
      <x:c r="I628" s="8"/>
      <x:c r="J628" s="8" t="str">
        <x:v>Public source/API</x:v>
      </x:c>
      <x:c r="K628" s="8" t="str">
        <x:v>Source/whitepaper</x:v>
      </x:c>
      <x:c r="L628" s="8" t="str">
        <x:v>Rate limiting is implemented and Retry-After is handled; exact per-endpoint quotas are not exhaustively summarized in the reviewed documentation</x:v>
      </x:c>
      <x:c r="M628" s="8"/>
      <x:c r="N628" s="8"/>
      <x:c r="O628" s="8" t="str">
        <x:v>Public spec/API; rate limits homeserver-dependent</x:v>
      </x:c>
      <x:c r="P628" s="8" t="str">
        <x:v>Documented APIs/rate limits</x:v>
      </x:c>
      <x:c r="Q628" s="8" t="str">
        <x:v>Public API/documentation</x:v>
      </x:c>
      <x:c r="R628" s="8" t="str">
        <x:v>Public protocol/documentation; limits server-controlled</x:v>
      </x:c>
      <x:c r="S628" s="8" t="str">
        <x:v>Public API documentation</x:v>
      </x:c>
      <x:c r="T628" s="8"/>
      <x:c r="U628" s="8" t="str">
        <x:v>No public third-party API/developer portal</x:v>
      </x:c>
      <x:c r="V628" s="8"/>
      <x:c r="W628" s="8" t="str">
        <x:v>Public API documentation/rate limits</x:v>
      </x:c>
      <x:c r="X628" s="8" t="str">
        <x:v>Public code</x:v>
      </x:c>
      <x:c r="Y628" s="8"/>
      <x:c r="Z628" s="8" t="str">
        <x:v>Documented API; operator-configurable</x:v>
      </x:c>
      <x:c r="AA628" s="8"/>
      <x:c r="AB628" s="8"/>
      <x:c r="AC628" s="9" t="str">
        <x:v>Public API</x:v>
      </x:c>
      <x:c r="AD628" s="8"/>
      <x:c r="AE628" s="8"/>
      <x:c r="AF628" s="8"/>
      <x:c r="AG628" s="8" t="str">
        <x:v>Public API documentation/rate behavior</x:v>
      </x:c>
      <x:c r="AH628" s="14" t="n">
        <x:v>9</x:v>
      </x:c>
      <x:c r="AI628" s="15" t="str">
        <x:v>Canonical source for Developer Extensibility!9</x:v>
      </x:c>
    </x:row>
    <x:row r="629" ht="60">
      <x:c r="A629" s="12" t="str">
        <x:v>Developer Extensibility</x:v>
      </x:c>
      <x:c r="B629" s="13" t="str">
        <x:v>App Marketplace / Directory</x:v>
      </x:c>
      <x:c r="C629" s="8" t="str">
        <x:v>Yes: App Directory / platform apps</x:v>
      </x:c>
      <x:c r="D629" s="8"/>
      <x:c r="E629" s="8"/>
      <x:c r="F629" s="8"/>
      <x:c r="G629" s="8"/>
      <x:c r="H629" s="8"/>
      <x:c r="I629" s="8"/>
      <x:c r="J629" s="8"/>
      <x:c r="K629" s="8"/>
      <x:c r="L629" s="8" t="str">
        <x:v>Yes: federated public App Directory for reviewed applications/bots</x:v>
      </x:c>
      <x:c r="M629" s="8"/>
      <x:c r="N629" s="8"/>
      <x:c r="O629" s="8"/>
      <x:c r="P629" s="8" t="str">
        <x:v>Plugin marketplace/ecosystem</x:v>
      </x:c>
      <x:c r="Q629" s="8"/>
      <x:c r="R629" s="8"/>
      <x:c r="S629" s="8"/>
      <x:c r="T629" s="8"/>
      <x:c r="U629" s="8"/>
      <x:c r="V629" s="8" t="str">
        <x:v>No</x:v>
      </x:c>
      <x:c r="W629" s="8" t="str">
        <x:v>Yes: Marketplace</x:v>
      </x:c>
      <x:c r="X629" s="8"/>
      <x:c r="Y629" s="8"/>
      <x:c r="Z629" s="8"/>
      <x:c r="AA629" s="8"/>
      <x:c r="AB629" s="8"/>
      <x:c r="AC629" s="9"/>
      <x:c r="AD629" s="8"/>
      <x:c r="AE629" s="8"/>
      <x:c r="AF629" s="8"/>
      <x:c r="AG629" s="8" t="str">
        <x:v>Integration directory</x:v>
      </x:c>
      <x:c r="AH629" s="14" t="n">
        <x:v>15</x:v>
      </x:c>
      <x:c r="AI629" s="15" t="str">
        <x:v>Canonical source for Developer Extensibility!15</x:v>
      </x:c>
    </x:row>
    <x:row r="630" ht="45">
      <x:c r="A630" s="12" t="str">
        <x:v>Developer Extensibility</x:v>
      </x:c>
      <x:c r="B630" s="13" t="str">
        <x:v>User-Installed Apps</x:v>
      </x:c>
      <x:c r="C630" s="8" t="str">
        <x:v>Yes: user-installable apps supported</x:v>
      </x:c>
      <x:c r="D630" s="8"/>
      <x:c r="E630" s="8"/>
      <x:c r="F630" s="8"/>
      <x:c r="G630" s="8"/>
      <x:c r="H630" s="8"/>
      <x:c r="I630" s="8"/>
      <x:c r="J630" s="8"/>
      <x:c r="K630" s="8"/>
      <x:c r="L630" s="8" t="str">
        <x:v>Yes: guild and user installation contexts are supported</x:v>
      </x:c>
      <x:c r="M630" s="8"/>
      <x:c r="N630" s="8"/>
      <x:c r="O630" s="8"/>
      <x:c r="P630" s="8"/>
      <x:c r="Q630" s="8"/>
      <x:c r="R630" s="8"/>
      <x:c r="S630" s="8"/>
      <x:c r="T630" s="8"/>
      <x:c r="U630" s="8"/>
      <x:c r="V630" s="8" t="str">
        <x:v>No</x:v>
      </x:c>
      <x:c r="W630" s="8" t="str">
        <x:v>Workspace-admin app install</x:v>
      </x:c>
      <x:c r="X630" s="8"/>
      <x:c r="Y630" s="8"/>
      <x:c r="Z630" s="8"/>
      <x:c r="AA630" s="8"/>
      <x:c r="AB630" s="8"/>
      <x:c r="AC630" s="9"/>
      <x:c r="AD630" s="8"/>
      <x:c r="AE630" s="8"/>
      <x:c r="AF630" s="8"/>
      <x:c r="AG630" s="8"/>
      <x:c r="AH630" s="14" t="n">
        <x:v>16</x:v>
      </x:c>
      <x:c r="AI630" s="15" t="str">
        <x:v>Canonical source for Developer Extensibility!16</x:v>
      </x:c>
    </x:row>
    <x:row r="631" ht="105">
      <x:c r="A631" s="12" t="str">
        <x:v>Developer API Detail</x:v>
      </x:c>
      <x:c r="B631" s="13" t="str">
        <x:v>API Surfaces</x:v>
      </x:c>
      <x:c r="C631" s="8"/>
      <x:c r="D631" s="8"/>
      <x:c r="E631" s="8"/>
      <x:c r="F631" s="8"/>
      <x:c r="G631" s="8"/>
      <x:c r="H631" s="8"/>
      <x:c r="I631" s="8"/>
      <x:c r="J631" s="8"/>
      <x:c r="K631" s="8"/>
      <x:c r="L631" s="8" t="str">
        <x:v>Scoped REST + direct Gateway/WebSocket API; federated bot workers connect directly to target authorities</x:v>
      </x:c>
      <x:c r="M631" s="8"/>
      <x:c r="N631" s="8"/>
      <x:c r="O631" s="8"/>
      <x:c r="P631" s="8"/>
      <x:c r="Q631" s="8"/>
      <x:c r="R631" s="8"/>
      <x:c r="S631" s="8"/>
      <x:c r="T631" s="8"/>
      <x:c r="U631" s="8" t="str">
        <x:v>Session-only application API; incoming Discord-compatible webhooks; no public bot-token/third-party API</x:v>
      </x:c>
      <x:c r="V631" s="8"/>
      <x:c r="W631" s="8"/>
      <x:c r="X631" s="8"/>
      <x:c r="Y631" s="8"/>
      <x:c r="Z631" s="8"/>
      <x:c r="AA631" s="8"/>
      <x:c r="AB631" s="8"/>
      <x:c r="AC631" s="9"/>
      <x:c r="AD631" s="8"/>
      <x:c r="AE631" s="8"/>
      <x:c r="AF631" s="8"/>
      <x:c r="AG631" s="8"/>
      <x:c r="AH631" s="14" t="n">
        <x:v>3</x:v>
      </x:c>
      <x:c r="AI631" s="15" t="str">
        <x:v>Canonical source for Developer API Detail!3</x:v>
      </x:c>
    </x:row>
    <x:row r="632" ht="30">
      <x:c r="A632" s="12" t="str">
        <x:v>Developer API Detail</x:v>
      </x:c>
      <x:c r="B632" s="13" t="str">
        <x:v>Public REST API?</x:v>
      </x:c>
      <x:c r="C632" s="8" t="str">
        <x:v>Yes</x:v>
      </x:c>
      <x:c r="D632" s="8" t="str">
        <x:v>No</x:v>
      </x:c>
      <x:c r="E632" s="8"/>
      <x:c r="F632" s="8"/>
      <x:c r="G632" s="8"/>
      <x:c r="H632" s="8" t="str">
        <x:v>Yes</x:v>
      </x:c>
      <x:c r="I632" s="8"/>
      <x:c r="J632" s="8"/>
      <x:c r="K632" s="8" t="str">
        <x:v>Yes</x:v>
      </x:c>
      <x:c r="L632" s="8" t="str">
        <x:v>Yes</x:v>
      </x:c>
      <x:c r="M632" s="8"/>
      <x:c r="N632" s="8"/>
      <x:c r="O632" s="8"/>
      <x:c r="P632" s="8" t="str">
        <x:v>Yes</x:v>
      </x:c>
      <x:c r="Q632" s="8"/>
      <x:c r="R632" s="8"/>
      <x:c r="S632" s="8" t="str">
        <x:v>Yes</x:v>
      </x:c>
      <x:c r="T632" s="8"/>
      <x:c r="U632" s="8" t="str">
        <x:v>No public third-party REST API</x:v>
      </x:c>
      <x:c r="V632" s="8"/>
      <x:c r="W632" s="8" t="str">
        <x:v>Yes</x:v>
      </x:c>
      <x:c r="X632" s="8"/>
      <x:c r="Y632" s="8"/>
      <x:c r="Z632" s="8" t="str">
        <x:v>Yes</x:v>
      </x:c>
      <x:c r="AA632" s="8" t="str">
        <x:v>Yes</x:v>
      </x:c>
      <x:c r="AB632" s="8"/>
      <x:c r="AC632" s="9"/>
      <x:c r="AD632" s="8"/>
      <x:c r="AE632" s="8"/>
      <x:c r="AF632" s="8"/>
      <x:c r="AG632" s="8" t="str">
        <x:v>Yes</x:v>
      </x:c>
      <x:c r="AH632" s="14" t="n">
        <x:v>4</x:v>
      </x:c>
      <x:c r="AI632" s="15" t="str">
        <x:v>Canonical source for Developer API Detail!4</x:v>
      </x:c>
    </x:row>
    <x:row r="633" ht="30">
      <x:c r="A633" s="12" t="str">
        <x:v>Developer API Detail</x:v>
      </x:c>
      <x:c r="B633" s="13" t="str">
        <x:v>Gateway / WebSocket API?</x:v>
      </x:c>
      <x:c r="C633" s="8" t="str">
        <x:v>Yes</x:v>
      </x:c>
      <x:c r="D633" s="8"/>
      <x:c r="E633" s="8" t="str">
        <x:v>Yes</x:v>
      </x:c>
      <x:c r="F633" s="8"/>
      <x:c r="G633" s="8"/>
      <x:c r="H633" s="8" t="str">
        <x:v>Yes</x:v>
      </x:c>
      <x:c r="I633" s="8"/>
      <x:c r="J633" s="8"/>
      <x:c r="K633" s="8"/>
      <x:c r="L633" s="8" t="str">
        <x:v>Yes</x:v>
      </x:c>
      <x:c r="M633" s="8"/>
      <x:c r="N633" s="8"/>
      <x:c r="O633" s="8" t="str">
        <x:v>Yes</x:v>
      </x:c>
      <x:c r="P633" s="8" t="str">
        <x:v>Yes</x:v>
      </x:c>
      <x:c r="Q633" s="8"/>
      <x:c r="R633" s="8"/>
      <x:c r="S633" s="8"/>
      <x:c r="T633" s="8"/>
      <x:c r="U633" s="8" t="str">
        <x:v>No public third-party gateway/bot API</x:v>
      </x:c>
      <x:c r="V633" s="8"/>
      <x:c r="W633" s="8" t="str">
        <x:v>Yes</x:v>
      </x:c>
      <x:c r="X633" s="8"/>
      <x:c r="Y633" s="8"/>
      <x:c r="Z633" s="8" t="str">
        <x:v>Yes</x:v>
      </x:c>
      <x:c r="AA633" s="8" t="str">
        <x:v>Yes</x:v>
      </x:c>
      <x:c r="AB633" s="8"/>
      <x:c r="AC633" s="9"/>
      <x:c r="AD633" s="8"/>
      <x:c r="AE633" s="8"/>
      <x:c r="AF633" s="8"/>
      <x:c r="AG633" s="8"/>
      <x:c r="AH633" s="14" t="n">
        <x:v>5</x:v>
      </x:c>
      <x:c r="AI633" s="15" t="str">
        <x:v>Canonical source for Developer API Detail!5</x:v>
      </x:c>
    </x:row>
    <x:row r="634" ht="30">
      <x:c r="A634" s="12" t="str">
        <x:v>Developer API Detail</x:v>
      </x:c>
      <x:c r="B634" s="13" t="str">
        <x:v>Realtime Event API?</x:v>
      </x:c>
      <x:c r="C634" s="8" t="str">
        <x:v>Yes</x:v>
      </x:c>
      <x:c r="D634" s="8"/>
      <x:c r="E634" s="8" t="str">
        <x:v>Yes</x:v>
      </x:c>
      <x:c r="F634" s="8"/>
      <x:c r="G634" s="8"/>
      <x:c r="H634" s="8" t="str">
        <x:v>Yes</x:v>
      </x:c>
      <x:c r="I634" s="8"/>
      <x:c r="J634" s="8"/>
      <x:c r="K634" s="8"/>
      <x:c r="L634" s="8" t="str">
        <x:v>Yes</x:v>
      </x:c>
      <x:c r="M634" s="8"/>
      <x:c r="N634" s="8"/>
      <x:c r="O634" s="8" t="str">
        <x:v>Yes</x:v>
      </x:c>
      <x:c r="P634" s="8" t="str">
        <x:v>Yes</x:v>
      </x:c>
      <x:c r="Q634" s="8"/>
      <x:c r="R634" s="8"/>
      <x:c r="S634" s="8" t="str">
        <x:v>Yes</x:v>
      </x:c>
      <x:c r="T634" s="8"/>
      <x:c r="U634" s="8" t="str">
        <x:v>No public third-party realtime API</x:v>
      </x:c>
      <x:c r="V634" s="8"/>
      <x:c r="W634" s="8" t="str">
        <x:v>Yes</x:v>
      </x:c>
      <x:c r="X634" s="8"/>
      <x:c r="Y634" s="8"/>
      <x:c r="Z634" s="8" t="str">
        <x:v>Yes</x:v>
      </x:c>
      <x:c r="AA634" s="8" t="str">
        <x:v>Yes</x:v>
      </x:c>
      <x:c r="AB634" s="8"/>
      <x:c r="AC634" s="9"/>
      <x:c r="AD634" s="8"/>
      <x:c r="AE634" s="8"/>
      <x:c r="AF634" s="8"/>
      <x:c r="AG634" s="8" t="str">
        <x:v>Yes</x:v>
      </x:c>
      <x:c r="AH634" s="14" t="n">
        <x:v>6</x:v>
      </x:c>
      <x:c r="AI634" s="15" t="str">
        <x:v>Canonical source for Developer API Detail!6</x:v>
      </x:c>
    </x:row>
    <x:row r="635" ht="45">
      <x:c r="A635" s="12" t="str">
        <x:v>Developer API Detail</x:v>
      </x:c>
      <x:c r="B635" s="13" t="str">
        <x:v>Inbound Webhooks?</x:v>
      </x:c>
      <x:c r="C635" s="8" t="str">
        <x:v>Yes</x:v>
      </x:c>
      <x:c r="D635" s="8" t="str">
        <x:v>Nostr relays/integrations</x:v>
      </x:c>
      <x:c r="E635" s="8" t="str">
        <x:v>Plugins</x:v>
      </x:c>
      <x:c r="F635" s="8"/>
      <x:c r="G635" s="8" t="str">
        <x:v>No current public webhook API verified</x:v>
      </x:c>
      <x:c r="H635" s="8"/>
      <x:c r="I635" s="8"/>
      <x:c r="J635" s="8" t="str">
        <x:v>Discord-compatible target</x:v>
      </x:c>
      <x:c r="K635" s="8" t="str">
        <x:v>No</x:v>
      </x:c>
      <x:c r="L635" s="8" t="str">
        <x:v>Yes</x:v>
      </x:c>
      <x:c r="M635" s="8"/>
      <x:c r="N635" s="8" t="str">
        <x:v>Webhooks supported</x:v>
      </x:c>
      <x:c r="O635" s="8" t="str">
        <x:v>Application services/webhooks via integrations</x:v>
      </x:c>
      <x:c r="P635" s="8" t="str">
        <x:v>Yes</x:v>
      </x:c>
      <x:c r="Q635" s="8" t="str">
        <x:v>Integrations</x:v>
      </x:c>
      <x:c r="R635" s="8" t="str">
        <x:v>No Discord-style incoming webhooks</x:v>
      </x:c>
      <x:c r="S635" s="8"/>
      <x:c r="T635" s="8"/>
      <x:c r="U635" s="8" t="str">
        <x:v>Yes: Discord-compatible incoming webhooks</x:v>
      </x:c>
      <x:c r="V635" s="8" t="str">
        <x:v>Yes: Discord/GitHub/Slack-compatible</x:v>
      </x:c>
      <x:c r="W635" s="8" t="str">
        <x:v>Yes</x:v>
      </x:c>
      <x:c r="X635" s="8" t="str">
        <x:v>Bridge/integrations</x:v>
      </x:c>
      <x:c r="Y635" s="8"/>
      <x:c r="Z635" s="8" t="str">
        <x:v>Discord-compatible webhooks target</x:v>
      </x:c>
      <x:c r="AA635" s="8"/>
      <x:c r="AB635" s="8"/>
      <x:c r="AC635" s="9" t="str">
        <x:v>Incoming webhooks</x:v>
      </x:c>
      <x:c r="AD635" s="8"/>
      <x:c r="AE635" s="8"/>
      <x:c r="AF635" s="8"/>
      <x:c r="AG635" s="8" t="str">
        <x:v>Yes: incoming webhooks/integrations</x:v>
      </x:c>
      <x:c r="AH635" s="14" t="n">
        <x:v>7</x:v>
      </x:c>
      <x:c r="AI635" s="15" t="str">
        <x:v>Canonical source for Developer API Detail!7</x:v>
      </x:c>
    </x:row>
    <x:row r="636" ht="90">
      <x:c r="A636" s="12" t="str">
        <x:v>Developer API Detail</x:v>
      </x:c>
      <x:c r="B636" s="13" t="str">
        <x:v>Outbound / Event Webhooks?</x:v>
      </x:c>
      <x:c r="C636" s="8" t="str">
        <x:v>Yes: webhook events and interaction endpoints</x:v>
      </x:c>
      <x:c r="D636" s="8" t="str">
        <x:v>Nostr events</x:v>
      </x:c>
      <x:c r="E636" s="8" t="str">
        <x:v>Events/plugins</x:v>
      </x:c>
      <x:c r="F636" s="8"/>
      <x:c r="G636" s="8" t="str">
        <x:v>No current public event webhook API verified</x:v>
      </x:c>
      <x:c r="H636" s="8" t="str">
        <x:v>Gateway events/webhooks</x:v>
      </x:c>
      <x:c r="I636" s="8"/>
      <x:c r="J636" s="8" t="str">
        <x:v>Gateway/events</x:v>
      </x:c>
      <x:c r="K636" s="8" t="str">
        <x:v>No</x:v>
      </x:c>
      <x:c r="L636" s="8" t="str">
        <x:v>Gateway event stream is primary realtime event mechanism; no generic outbound webhook subscription system was verified</x:v>
      </x:c>
      <x:c r="M636" s="8"/>
      <x:c r="N636" s="8" t="str">
        <x:v>Events/interactions</x:v>
      </x:c>
      <x:c r="O636" s="8" t="str">
        <x:v>Application Service transactions/events</x:v>
      </x:c>
      <x:c r="P636" s="8" t="str">
        <x:v>Yes</x:v>
      </x:c>
      <x:c r="Q636" s="8" t="str">
        <x:v>Integrations</x:v>
      </x:c>
      <x:c r="R636" s="8" t="str">
        <x:v>No Discord-style outbound webhooks</x:v>
      </x:c>
      <x:c r="S636" s="8"/>
      <x:c r="T636" s="8"/>
      <x:c r="U636" s="8" t="str">
        <x:v>Not publicly claimed</x:v>
      </x:c>
      <x:c r="V636" s="8"/>
      <x:c r="W636" s="8" t="str">
        <x:v>Yes</x:v>
      </x:c>
      <x:c r="X636" s="8" t="str">
        <x:v>ATProto events</x:v>
      </x:c>
      <x:c r="Y636" s="8" t="str">
        <x:v>Event subscriptions in hosted runtime</x:v>
      </x:c>
      <x:c r="Z636" s="8" t="str">
        <x:v>Gateway events</x:v>
      </x:c>
      <x:c r="AA636" s="8"/>
      <x:c r="AB636" s="8"/>
      <x:c r="AC636" s="9" t="str">
        <x:v>API/events</x:v>
      </x:c>
      <x:c r="AD636" s="8" t="str">
        <x:v>Federation events/webhooks planned</x:v>
      </x:c>
      <x:c r="AE636" s="8"/>
      <x:c r="AF636" s="8"/>
      <x:c r="AG636" s="8" t="str">
        <x:v>Yes: bots/webhooks/event queues</x:v>
      </x:c>
      <x:c r="AH636" s="14" t="n">
        <x:v>8</x:v>
      </x:c>
      <x:c r="AI636" s="15" t="str">
        <x:v>Canonical source for Developer API Detail!8</x:v>
      </x:c>
    </x:row>
    <x:row r="637" ht="60">
      <x:c r="A637" s="12" t="str">
        <x:v>Developer API Detail</x:v>
      </x:c>
      <x:c r="B637" s="13" t="str">
        <x:v>Bot Accounts?</x:v>
      </x:c>
      <x:c r="C637" s="8" t="str">
        <x:v>Yes</x:v>
      </x:c>
      <x:c r="D637" s="8"/>
      <x:c r="E637" s="8"/>
      <x:c r="F637" s="8"/>
      <x:c r="G637" s="8" t="str">
        <x:v>Yes</x:v>
      </x:c>
      <x:c r="H637" s="8" t="str">
        <x:v>Yes</x:v>
      </x:c>
      <x:c r="I637" s="8"/>
      <x:c r="J637" s="8" t="str">
        <x:v>Yes</x:v>
      </x:c>
      <x:c r="K637" s="8" t="str">
        <x:v>Yes</x:v>
      </x:c>
      <x:c r="L637" s="8" t="str">
        <x:v>Yes: bot applications are federated accounts with scoped installs</x:v>
      </x:c>
      <x:c r="M637" s="8"/>
      <x:c r="N637" s="8" t="str">
        <x:v>Yes</x:v>
      </x:c>
      <x:c r="O637" s="8" t="str">
        <x:v>Yes</x:v>
      </x:c>
      <x:c r="P637" s="8" t="str">
        <x:v>Yes</x:v>
      </x:c>
      <x:c r="Q637" s="8" t="str">
        <x:v>Yes</x:v>
      </x:c>
      <x:c r="R637" s="8"/>
      <x:c r="S637" s="8" t="str">
        <x:v>Yes</x:v>
      </x:c>
      <x:c r="T637" s="8"/>
      <x:c r="U637" s="8" t="str">
        <x:v>No public bot API yet</x:v>
      </x:c>
      <x:c r="V637" s="8" t="str">
        <x:v>No</x:v>
      </x:c>
      <x:c r="W637" s="8" t="str">
        <x:v>Yes</x:v>
      </x:c>
      <x:c r="X637" s="8"/>
      <x:c r="Y637" s="8" t="str">
        <x:v>Yes</x:v>
      </x:c>
      <x:c r="Z637" s="8" t="str">
        <x:v>Yes</x:v>
      </x:c>
      <x:c r="AA637" s="8" t="str">
        <x:v>Yes</x:v>
      </x:c>
      <x:c r="AB637" s="8"/>
      <x:c r="AC637" s="9" t="str">
        <x:v>Yes</x:v>
      </x:c>
      <x:c r="AD637" s="8"/>
      <x:c r="AE637" s="8" t="str">
        <x:v>Yes</x:v>
      </x:c>
      <x:c r="AF637" s="8"/>
      <x:c r="AG637" s="8" t="str">
        <x:v>Yes</x:v>
      </x:c>
      <x:c r="AH637" s="14" t="n">
        <x:v>9</x:v>
      </x:c>
      <x:c r="AI637" s="15" t="str">
        <x:v>Shared metric: Developer Extensibility: Bot Accounts? | Developer API Detail: Bot Accounts?</x:v>
      </x:c>
    </x:row>
    <x:row r="638" ht="30">
      <x:c r="A638" s="12" t="str">
        <x:v>Developer API Detail</x:v>
      </x:c>
      <x:c r="B638" s="13" t="str">
        <x:v>Official JS / TS SDK?</x:v>
      </x:c>
      <x:c r="C638" s="8" t="str">
        <x:v>Yes</x:v>
      </x:c>
      <x:c r="D638" s="8"/>
      <x:c r="E638" s="8"/>
      <x:c r="F638" s="8"/>
      <x:c r="G638" s="8"/>
      <x:c r="H638" s="8"/>
      <x:c r="I638" s="8"/>
      <x:c r="J638" s="8"/>
      <x:c r="K638" s="8"/>
      <x:c r="L638" s="8" t="str">
        <x:v>No official JS/TS bot SDK documented</x:v>
      </x:c>
      <x:c r="M638" s="8"/>
      <x:c r="N638" s="8" t="str">
        <x:v>Yes</x:v>
      </x:c>
      <x:c r="O638" s="8" t="str">
        <x:v>Yes</x:v>
      </x:c>
      <x:c r="P638" s="8" t="str">
        <x:v>Yes</x:v>
      </x:c>
      <x:c r="Q638" s="8"/>
      <x:c r="R638" s="8"/>
      <x:c r="S638" s="8" t="str">
        <x:v>Yes</x:v>
      </x:c>
      <x:c r="T638" s="8"/>
      <x:c r="U638" s="8" t="str">
        <x:v>No public SDK</x:v>
      </x:c>
      <x:c r="V638" s="8" t="str">
        <x:v>No</x:v>
      </x:c>
      <x:c r="W638" s="8"/>
      <x:c r="X638" s="8"/>
      <x:c r="Y638" s="8" t="str">
        <x:v>Yes</x:v>
      </x:c>
      <x:c r="Z638" s="8"/>
      <x:c r="AA638" s="8" t="str">
        <x:v>Yes</x:v>
      </x:c>
      <x:c r="AB638" s="8"/>
      <x:c r="AC638" s="9"/>
      <x:c r="AD638" s="8"/>
      <x:c r="AE638" s="8"/>
      <x:c r="AF638" s="8"/>
      <x:c r="AG638" s="8"/>
      <x:c r="AH638" s="14" t="n">
        <x:v>11</x:v>
      </x:c>
      <x:c r="AI638" s="15" t="str">
        <x:v>Canonical source for Developer API Detail!11</x:v>
      </x:c>
    </x:row>
    <x:row r="639" ht="30">
      <x:c r="A639" s="12" t="str">
        <x:v>Developer API Detail</x:v>
      </x:c>
      <x:c r="B639" s="13" t="str">
        <x:v>Official Python SDK?</x:v>
      </x:c>
      <x:c r="C639" s="8"/>
      <x:c r="D639" s="8"/>
      <x:c r="E639" s="8"/>
      <x:c r="F639" s="8"/>
      <x:c r="G639" s="8"/>
      <x:c r="H639" s="8"/>
      <x:c r="I639" s="8"/>
      <x:c r="J639" s="8"/>
      <x:c r="K639" s="8"/>
      <x:c r="L639" s="8" t="str">
        <x:v>Yes: official kaede-bot package</x:v>
      </x:c>
      <x:c r="M639" s="8"/>
      <x:c r="N639" s="8"/>
      <x:c r="O639" s="8" t="str">
        <x:v>Yes</x:v>
      </x:c>
      <x:c r="P639" s="8"/>
      <x:c r="Q639" s="8"/>
      <x:c r="R639" s="8"/>
      <x:c r="S639" s="8"/>
      <x:c r="T639" s="8"/>
      <x:c r="U639" s="8" t="str">
        <x:v>No public SDK</x:v>
      </x:c>
      <x:c r="V639" s="8" t="str">
        <x:v>No</x:v>
      </x:c>
      <x:c r="W639" s="8"/>
      <x:c r="X639" s="8"/>
      <x:c r="Y639" s="8"/>
      <x:c r="Z639" s="8"/>
      <x:c r="AA639" s="8"/>
      <x:c r="AB639" s="8"/>
      <x:c r="AC639" s="9"/>
      <x:c r="AD639" s="8"/>
      <x:c r="AE639" s="8"/>
      <x:c r="AF639" s="8"/>
      <x:c r="AG639" s="8" t="str">
        <x:v>Yes</x:v>
      </x:c>
      <x:c r="AH639" s="14" t="n">
        <x:v>12</x:v>
      </x:c>
      <x:c r="AI639" s="15" t="str">
        <x:v>Canonical source for Developer API Detail!12</x:v>
      </x:c>
    </x:row>
    <x:row r="640" ht="30">
      <x:c r="A640" s="12" t="str">
        <x:v>Developer API Detail</x:v>
      </x:c>
      <x:c r="B640" s="13" t="str">
        <x:v>Official Rust SDK?</x:v>
      </x:c>
      <x:c r="C640" s="8"/>
      <x:c r="D640" s="8"/>
      <x:c r="E640" s="8"/>
      <x:c r="F640" s="8"/>
      <x:c r="G640" s="8"/>
      <x:c r="H640" s="8"/>
      <x:c r="I640" s="8"/>
      <x:c r="J640" s="8"/>
      <x:c r="K640" s="8"/>
      <x:c r="L640" s="8" t="str">
        <x:v>No official Rust bot SDK documented</x:v>
      </x:c>
      <x:c r="M640" s="8"/>
      <x:c r="N640" s="8"/>
      <x:c r="O640" s="8" t="str">
        <x:v>Yes</x:v>
      </x:c>
      <x:c r="P640" s="8"/>
      <x:c r="Q640" s="8"/>
      <x:c r="R640" s="8"/>
      <x:c r="S640" s="8"/>
      <x:c r="T640" s="8"/>
      <x:c r="U640" s="8" t="str">
        <x:v>No public SDK</x:v>
      </x:c>
      <x:c r="V640" s="8" t="str">
        <x:v>No</x:v>
      </x:c>
      <x:c r="W640" s="8"/>
      <x:c r="X640" s="8"/>
      <x:c r="Y640" s="8"/>
      <x:c r="Z640" s="8"/>
      <x:c r="AA640" s="8"/>
      <x:c r="AB640" s="8"/>
      <x:c r="AC640" s="9"/>
      <x:c r="AD640" s="8"/>
      <x:c r="AE640" s="8"/>
      <x:c r="AF640" s="8"/>
      <x:c r="AG640" s="8"/>
      <x:c r="AH640" s="14" t="n">
        <x:v>13</x:v>
      </x:c>
      <x:c r="AI640" s="15" t="str">
        <x:v>Canonical source for Developer API Detail!13</x:v>
      </x:c>
    </x:row>
    <x:row r="641" ht="30">
      <x:c r="A641" s="12" t="str">
        <x:v>Developer API Detail</x:v>
      </x:c>
      <x:c r="B641" s="13" t="str">
        <x:v>Official Go SDK?</x:v>
      </x:c>
      <x:c r="C641" s="8"/>
      <x:c r="D641" s="8"/>
      <x:c r="E641" s="8"/>
      <x:c r="F641" s="8"/>
      <x:c r="G641" s="8"/>
      <x:c r="H641" s="8"/>
      <x:c r="I641" s="8"/>
      <x:c r="J641" s="8"/>
      <x:c r="K641" s="8"/>
      <x:c r="L641" s="8" t="str">
        <x:v>No official Go bot SDK documented</x:v>
      </x:c>
      <x:c r="M641" s="8"/>
      <x:c r="N641" s="8"/>
      <x:c r="O641" s="8" t="str">
        <x:v>Yes</x:v>
      </x:c>
      <x:c r="P641" s="8" t="str">
        <x:v>Yes</x:v>
      </x:c>
      <x:c r="Q641" s="8"/>
      <x:c r="R641" s="8"/>
      <x:c r="S641" s="8"/>
      <x:c r="T641" s="8"/>
      <x:c r="U641" s="8" t="str">
        <x:v>No public SDK</x:v>
      </x:c>
      <x:c r="V641" s="8" t="str">
        <x:v>No</x:v>
      </x:c>
      <x:c r="W641" s="8"/>
      <x:c r="X641" s="8"/>
      <x:c r="Y641" s="8"/>
      <x:c r="Z641" s="8"/>
      <x:c r="AA641" s="8"/>
      <x:c r="AB641" s="8"/>
      <x:c r="AC641" s="9"/>
      <x:c r="AD641" s="8"/>
      <x:c r="AE641" s="8"/>
      <x:c r="AF641" s="8"/>
      <x:c r="AG641" s="8"/>
      <x:c r="AH641" s="14" t="n">
        <x:v>14</x:v>
      </x:c>
      <x:c r="AI641" s="15" t="str">
        <x:v>Canonical source for Developer API Detail!14</x:v>
      </x:c>
    </x:row>
    <x:row r="642" ht="105">
      <x:c r="A642" s="12" t="str">
        <x:v>Developer API Detail</x:v>
      </x:c>
      <x:c r="B642" s="13" t="str">
        <x:v>Community SDK Ecosystem?</x:v>
      </x:c>
      <x:c r="C642" s="8" t="str">
        <x:v>JS/TS: official Embedded App SDK; no official general bot SDKs for Python/Rust/Go; Social SDK targets C++/Unity/Unreal</x:v>
      </x:c>
      <x:c r="D642" s="8" t="str">
        <x:v>Nostr libraries</x:v>
      </x:c>
      <x:c r="E642" s="8" t="str">
        <x:v>Custom/open-source ecosystem</x:v>
      </x:c>
      <x:c r="F642" s="8"/>
      <x:c r="G642" s="8" t="str">
        <x:v>No public SDKs yet</x:v>
      </x:c>
      <x:c r="H642" s="8"/>
      <x:c r="I642" s="8"/>
      <x:c r="J642" s="8" t="str">
        <x:v>Discord bot libraries largely reusable</x:v>
      </x:c>
      <x:c r="K642" s="8" t="str">
        <x:v>Open source</x:v>
      </x:c>
      <x:c r="L642" s="8" t="str">
        <x:v>Early ecosystem; official Python SDK is the primary SDK</x:v>
      </x:c>
      <x:c r="M642" s="8"/>
      <x:c r="N642" s="8" t="str">
        <x:v>discord.py/discord.js compatibility</x:v>
      </x:c>
      <x:c r="O642" s="8" t="str">
        <x:v>Many SDKs including JS/TS, Rust, Python, Go/community</x:v>
      </x:c>
      <x:c r="P642" s="8" t="str">
        <x:v>Client/server APIs; Go/JS ecosystem</x:v>
      </x:c>
      <x:c r="Q642" s="8" t="str">
        <x:v>SDK/integration ecosystem</x:v>
      </x:c>
      <x:c r="R642" s="8" t="str">
        <x:v>Community libraries</x:v>
      </x:c>
      <x:c r="S642" s="8" t="str">
        <x:v>Official Nerimity.js</x:v>
      </x:c>
      <x:c r="T642" s="8"/>
      <x:c r="U642" s="8"/>
      <x:c r="V642" s="8" t="str">
        <x:v>No</x:v>
      </x:c>
      <x:c r="W642" s="8" t="str">
        <x:v>SDKs/APIs + Apps framework</x:v>
      </x:c>
      <x:c r="X642" s="8" t="str">
        <x:v>Roomy SDK</x:v>
      </x:c>
      <x:c r="Y642" s="8" t="str">
        <x:v>Official TypeScript SDK / Node runtime</x:v>
      </x:c>
      <x:c r="Z642" s="8" t="str">
        <x:v>Discord ecosystem compatibility; Spacebar documentation</x:v>
      </x:c>
      <x:c r="AA642" s="8" t="str">
        <x:v>Official TypeScript client SDK; community libraries</x:v>
      </x:c>
      <x:c r="AB642" s="8"/>
      <x:c r="AC642" s="9" t="str">
        <x:v>Official .NET SDK</x:v>
      </x:c>
      <x:c r="AD642" s="8"/>
      <x:c r="AE642" s="8"/>
      <x:c r="AF642" s="8"/>
      <x:c r="AG642" s="8" t="str">
        <x:v>Official/community libraries including Python; broad API</x:v>
      </x:c>
      <x:c r="AH642" s="14" t="n">
        <x:v>15</x:v>
      </x:c>
      <x:c r="AI642" s="15" t="str">
        <x:v>Canonical source for Developer API Detail!15</x:v>
      </x:c>
    </x:row>
    <x:row r="643" ht="60">
      <x:c r="A643" s="12" t="str">
        <x:v>Developer API Detail</x:v>
      </x:c>
      <x:c r="B643" s="13" t="str">
        <x:v>Slash Commands?</x:v>
      </x:c>
      <x:c r="C643" s="8" t="str">
        <x:v>Yes: slash commands, components, modals, interactions</x:v>
      </x:c>
      <x:c r="D643" s="8" t="str">
        <x:v>Protocol-driven</x:v>
      </x:c>
      <x:c r="E643" s="8" t="str">
        <x:v>Plugin system</x:v>
      </x:c>
      <x:c r="F643" s="8"/>
      <x:c r="G643" s="8" t="str">
        <x:v>Native slash commands exist; developer interaction API planned</x:v>
      </x:c>
      <x:c r="H643" s="8"/>
      <x:c r="I643" s="8"/>
      <x:c r="J643" s="8" t="str">
        <x:v>Interactions target</x:v>
      </x:c>
      <x:c r="K643" s="8" t="str">
        <x:v>No bot ecosystem yet</x:v>
      </x:c>
      <x:c r="L643" s="8" t="str">
        <x:v>Yes</x:v>
      </x:c>
      <x:c r="M643" s="8"/>
      <x:c r="N643" s="8" t="str">
        <x:v>Slash commands/buttons/modals</x:v>
      </x:c>
      <x:c r="O643" s="8" t="str">
        <x:v>Client extensions/bots; interaction UX client-dependent</x:v>
      </x:c>
      <x:c r="P643" s="8" t="str">
        <x:v>Slash commands + interactive messages</x:v>
      </x:c>
      <x:c r="Q643" s="8" t="str">
        <x:v>Bots</x:v>
      </x:c>
      <x:c r="R643" s="8" t="str">
        <x:v>N/A</x:v>
      </x:c>
      <x:c r="S643" s="8" t="str">
        <x:v>Bots/API</x:v>
      </x:c>
      <x:c r="T643" s="8"/>
      <x:c r="U643" s="8" t="str">
        <x:v>No public third-party interactions API; built-in /roll, /flip and /draw exist</x:v>
      </x:c>
      <x:c r="V643" s="30" t="str">
        <x:v>minimal</x:v>
      </x:c>
      <x:c r="W643" s="8" t="str">
        <x:v>Slash commands/apps</x:v>
      </x:c>
      <x:c r="X643" s="8"/>
      <x:c r="Y643" s="8" t="str">
        <x:v>Bots/commands + full GUI Apps</x:v>
      </x:c>
      <x:c r="Z643" s="8" t="str">
        <x:v>Discord interaction compatibility target</x:v>
      </x:c>
      <x:c r="AA643" s="8"/>
      <x:c r="AB643" s="8"/>
      <x:c r="AC643" s="9" t="str">
        <x:v>Bots/OAuth apps</x:v>
      </x:c>
      <x:c r="AD643" s="8"/>
      <x:c r="AE643" s="8" t="str">
        <x:v>Native modules rather than bot-first</x:v>
      </x:c>
      <x:c r="AF643" s="8"/>
      <x:c r="AG643" s="8" t="str">
        <x:v>Slash-command-style integrations/bots</x:v>
      </x:c>
      <x:c r="AH643" s="14" t="n">
        <x:v>17</x:v>
      </x:c>
      <x:c r="AI643" s="15" t="str">
        <x:v>Canonical source for Developer API Detail!17</x:v>
      </x:c>
    </x:row>
    <x:row r="644" ht="60">
      <x:c r="A644" s="12" t="str">
        <x:v>Developer API Detail</x:v>
      </x:c>
      <x:c r="B644" s="13" t="str">
        <x:v>Buttons / Components?</x:v>
      </x:c>
      <x:c r="C644" s="8" t="str">
        <x:v>Yes: slash commands, components, modals, interactions</x:v>
      </x:c>
      <x:c r="D644" s="8" t="str">
        <x:v>Protocol-driven</x:v>
      </x:c>
      <x:c r="E644" s="8" t="str">
        <x:v>Plugin system</x:v>
      </x:c>
      <x:c r="F644" s="8"/>
      <x:c r="G644" s="8" t="str">
        <x:v>Native slash commands exist; developer interaction API planned</x:v>
      </x:c>
      <x:c r="H644" s="8"/>
      <x:c r="I644" s="8"/>
      <x:c r="J644" s="8" t="str">
        <x:v>Interactions target</x:v>
      </x:c>
      <x:c r="K644" s="8" t="str">
        <x:v>No bot ecosystem yet</x:v>
      </x:c>
      <x:c r="L644" s="8" t="str">
        <x:v>Yes</x:v>
      </x:c>
      <x:c r="M644" s="8"/>
      <x:c r="N644" s="8" t="str">
        <x:v>Slash commands/buttons/modals</x:v>
      </x:c>
      <x:c r="O644" s="8" t="str">
        <x:v>Client extensions/bots; interaction UX client-dependent</x:v>
      </x:c>
      <x:c r="P644" s="8" t="str">
        <x:v>Slash commands + interactive messages</x:v>
      </x:c>
      <x:c r="Q644" s="8" t="str">
        <x:v>Bots</x:v>
      </x:c>
      <x:c r="R644" s="8" t="str">
        <x:v>N/A</x:v>
      </x:c>
      <x:c r="S644" s="8" t="str">
        <x:v>Bots/API</x:v>
      </x:c>
      <x:c r="T644" s="8"/>
      <x:c r="U644" s="8"/>
      <x:c r="V644" s="8" t="str">
        <x:v>Yes</x:v>
      </x:c>
      <x:c r="W644" s="8" t="str">
        <x:v>Slash commands/apps</x:v>
      </x:c>
      <x:c r="X644" s="8"/>
      <x:c r="Y644" s="8" t="str">
        <x:v>Bots/commands + full GUI Apps</x:v>
      </x:c>
      <x:c r="Z644" s="8" t="str">
        <x:v>Discord interaction compatibility target</x:v>
      </x:c>
      <x:c r="AA644" s="8"/>
      <x:c r="AB644" s="8"/>
      <x:c r="AC644" s="9" t="str">
        <x:v>Bots/OAuth apps</x:v>
      </x:c>
      <x:c r="AD644" s="8"/>
      <x:c r="AE644" s="8" t="str">
        <x:v>Native modules rather than bot-first</x:v>
      </x:c>
      <x:c r="AF644" s="8"/>
      <x:c r="AG644" s="8" t="str">
        <x:v>Slash-command-style integrations/bots</x:v>
      </x:c>
      <x:c r="AH644" s="14" t="n">
        <x:v>18</x:v>
      </x:c>
      <x:c r="AI644" s="15" t="str">
        <x:v>Canonical source for Developer API Detail!18</x:v>
      </x:c>
    </x:row>
    <x:row r="645" ht="60">
      <x:c r="A645" s="12" t="str">
        <x:v>Developer API Detail</x:v>
      </x:c>
      <x:c r="B645" s="13" t="str">
        <x:v>Modals / Forms?</x:v>
      </x:c>
      <x:c r="C645" s="8" t="str">
        <x:v>Yes: slash commands, components, modals, interactions</x:v>
      </x:c>
      <x:c r="D645" s="8" t="str">
        <x:v>Protocol-driven</x:v>
      </x:c>
      <x:c r="E645" s="8" t="str">
        <x:v>Plugin system</x:v>
      </x:c>
      <x:c r="F645" s="8"/>
      <x:c r="G645" s="8" t="str">
        <x:v>Native slash commands exist; developer interaction API planned</x:v>
      </x:c>
      <x:c r="H645" s="8"/>
      <x:c r="I645" s="8"/>
      <x:c r="J645" s="8" t="str">
        <x:v>Interactions target</x:v>
      </x:c>
      <x:c r="K645" s="8" t="str">
        <x:v>No bot ecosystem yet</x:v>
      </x:c>
      <x:c r="L645" s="8" t="str">
        <x:v>Yes</x:v>
      </x:c>
      <x:c r="M645" s="8"/>
      <x:c r="N645" s="8" t="str">
        <x:v>Slash commands/buttons/modals</x:v>
      </x:c>
      <x:c r="O645" s="8" t="str">
        <x:v>Client extensions/bots; interaction UX client-dependent</x:v>
      </x:c>
      <x:c r="P645" s="8" t="str">
        <x:v>Slash commands + interactive messages</x:v>
      </x:c>
      <x:c r="Q645" s="8" t="str">
        <x:v>Bots</x:v>
      </x:c>
      <x:c r="R645" s="8" t="str">
        <x:v>N/A</x:v>
      </x:c>
      <x:c r="S645" s="8" t="str">
        <x:v>Bots/API</x:v>
      </x:c>
      <x:c r="T645" s="8"/>
      <x:c r="U645" s="8"/>
      <x:c r="V645" s="8" t="str">
        <x:v>Yes</x:v>
      </x:c>
      <x:c r="W645" s="8" t="str">
        <x:v>Slash commands/apps</x:v>
      </x:c>
      <x:c r="X645" s="8"/>
      <x:c r="Y645" s="8" t="str">
        <x:v>Bots/commands + full GUI Apps</x:v>
      </x:c>
      <x:c r="Z645" s="8" t="str">
        <x:v>Discord interaction compatibility target</x:v>
      </x:c>
      <x:c r="AA645" s="8"/>
      <x:c r="AB645" s="8"/>
      <x:c r="AC645" s="9" t="str">
        <x:v>Bots/OAuth apps</x:v>
      </x:c>
      <x:c r="AD645" s="8"/>
      <x:c r="AE645" s="8" t="str">
        <x:v>Native modules rather than bot-first</x:v>
      </x:c>
      <x:c r="AF645" s="8"/>
      <x:c r="AG645" s="8" t="str">
        <x:v>Slash-command-style integrations/bots</x:v>
      </x:c>
      <x:c r="AH645" s="14" t="n">
        <x:v>19</x:v>
      </x:c>
      <x:c r="AI645" s="15" t="str">
        <x:v>Canonical source for Developer API Detail!19</x:v>
      </x:c>
    </x:row>
    <x:row r="646" ht="45">
      <x:c r="A646" s="12" t="str">
        <x:v>Developer API Detail</x:v>
      </x:c>
      <x:c r="B646" s="13" t="str">
        <x:v>Embedded Apps?</x:v>
      </x:c>
      <x:c r="C646" s="8" t="str">
        <x:v>Yes</x:v>
      </x:c>
      <x:c r="D646" s="8"/>
      <x:c r="E646" s="8"/>
      <x:c r="F646" s="8"/>
      <x:c r="G646" s="8"/>
      <x:c r="H646" s="8"/>
      <x:c r="I646" s="8"/>
      <x:c r="J646" s="8"/>
      <x:c r="K646" s="8"/>
      <x:c r="L646" s="8" t="str">
        <x:v>No embedded iframe/web-app runtime</x:v>
      </x:c>
      <x:c r="M646" s="8"/>
      <x:c r="N646" s="8"/>
      <x:c r="O646" s="8"/>
      <x:c r="P646" s="8" t="str">
        <x:v>Yes</x:v>
      </x:c>
      <x:c r="Q646" s="8" t="str">
        <x:v>Yes</x:v>
      </x:c>
      <x:c r="R646" s="8"/>
      <x:c r="S646" s="8"/>
      <x:c r="T646" s="8"/>
      <x:c r="U646" s="8"/>
      <x:c r="V646" s="8" t="str">
        <x:v>Yes: Portals / embedded workspaces</x:v>
      </x:c>
      <x:c r="W646" s="8" t="str">
        <x:v>Yes</x:v>
      </x:c>
      <x:c r="X646" s="8"/>
      <x:c r="Y646" s="8" t="str">
        <x:v>Yes</x:v>
      </x:c>
      <x:c r="Z646" s="8"/>
      <x:c r="AA646" s="8"/>
      <x:c r="AB646" s="8"/>
      <x:c r="AC646" s="9"/>
      <x:c r="AD646" s="8"/>
      <x:c r="AE646" s="8"/>
      <x:c r="AF646" s="8"/>
      <x:c r="AG646" s="8"/>
      <x:c r="AH646" s="14" t="n">
        <x:v>20</x:v>
      </x:c>
      <x:c r="AI646" s="15" t="str">
        <x:v>Shared metric: Developer Extensibility: Embedded Apps? | Developer API Detail: Embedded Apps?</x:v>
      </x:c>
    </x:row>
    <x:row r="647" ht="30">
      <x:c r="A647" s="12" t="str">
        <x:v>Developer API Detail</x:v>
      </x:c>
      <x:c r="B647" s="13" t="str">
        <x:v>Server Plugins?</x:v>
      </x:c>
      <x:c r="C647" s="8"/>
      <x:c r="D647" s="8"/>
      <x:c r="E647" s="8" t="str">
        <x:v>Yes</x:v>
      </x:c>
      <x:c r="F647" s="8"/>
      <x:c r="G647" s="8"/>
      <x:c r="H647" s="8"/>
      <x:c r="I647" s="8"/>
      <x:c r="J647" s="8"/>
      <x:c r="K647" s="8"/>
      <x:c r="L647" s="8" t="str">
        <x:v>No server-plugin system documented</x:v>
      </x:c>
      <x:c r="M647" s="8"/>
      <x:c r="N647" s="8"/>
      <x:c r="O647" s="8"/>
      <x:c r="P647" s="8" t="str">
        <x:v>Yes</x:v>
      </x:c>
      <x:c r="Q647" s="8"/>
      <x:c r="R647" s="8" t="str">
        <x:v>Yes</x:v>
      </x:c>
      <x:c r="S647" s="8"/>
      <x:c r="T647" s="8"/>
      <x:c r="U647" s="8"/>
      <x:c r="V647" s="30" t="str">
        <x:v>no</x:v>
      </x:c>
      <x:c r="W647" s="8" t="str">
        <x:v>Yes</x:v>
      </x:c>
      <x:c r="X647" s="8"/>
      <x:c r="Y647" s="8"/>
      <x:c r="Z647" s="8"/>
      <x:c r="AA647" s="8"/>
      <x:c r="AB647" s="8" t="str">
        <x:v>Yes</x:v>
      </x:c>
      <x:c r="AC647" s="9"/>
      <x:c r="AD647" s="8"/>
      <x:c r="AE647" s="8"/>
      <x:c r="AF647" s="8"/>
      <x:c r="AG647" s="8"/>
      <x:c r="AH647" s="14" t="n">
        <x:v>22</x:v>
      </x:c>
      <x:c r="AI647" s="15" t="str">
        <x:v>Canonical source for Developer API Detail!22</x:v>
      </x:c>
    </x:row>
    <x:row r="648" ht="75">
      <x:c r="A648" s="12" t="str">
        <x:v>Developer API Detail</x:v>
      </x:c>
      <x:c r="B648" s="13" t="str">
        <x:v>Client Plugins?</x:v>
      </x:c>
      <x:c r="C648" s="8" t="str">
        <x:v>No official client plugin/modding architecture</x:v>
      </x:c>
      <x:c r="D648" s="8" t="str">
        <x:v>Independent clients possible</x:v>
      </x:c>
      <x:c r="E648" s="8" t="str">
        <x:v>Plugin system</x:v>
      </x:c>
      <x:c r="F648" s="8"/>
      <x:c r="G648" s="8" t="str">
        <x:v>No</x:v>
      </x:c>
      <x:c r="H648" s="8" t="str">
        <x:v>No official client-plugin architecture verified</x:v>
      </x:c>
      <x:c r="I648" s="8" t="str">
        <x:v>No client plugins verified</x:v>
      </x:c>
      <x:c r="J648" s="8" t="str">
        <x:v>Independent clients encouraged</x:v>
      </x:c>
      <x:c r="K648" s="8" t="str">
        <x:v>No plugin ecosystem</x:v>
      </x:c>
      <x:c r="L648" s="8" t="str">
        <x:v>No general client plugin architecture documented; custom CSS/theme support is developer reported.</x:v>
      </x:c>
      <x:c r="M648" s="8"/>
      <x:c r="N648" s="8" t="str">
        <x:v>No client plugins verified</x:v>
      </x:c>
      <x:c r="O648" s="8" t="str">
        <x:v>Multiple independent clients rather than plugins to one official client</x:v>
      </x:c>
      <x:c r="P648" s="8" t="str">
        <x:v>Plugin architecture (server/webapp)</x:v>
      </x:c>
      <x:c r="Q648" s="8"/>
      <x:c r="R648" s="8" t="str">
        <x:v>Plugins supported</x:v>
      </x:c>
      <x:c r="S648" s="8" t="str">
        <x:v>Themes/RPC</x:v>
      </x:c>
      <x:c r="T648" s="8"/>
      <x:c r="U648" s="8" t="str">
        <x:v>No official plugin architecture claimed</x:v>
      </x:c>
      <x:c r="V648" s="30" t="str">
        <x:v>no</x:v>
      </x:c>
      <x:c r="W648" s="8" t="str">
        <x:v>Apps/plugin framework</x:v>
      </x:c>
      <x:c r="X648" s="8" t="str">
        <x:v>Open protocol client ecosystem</x:v>
      </x:c>
      <x:c r="Y648" s="8" t="str">
        <x:v>No client modding</x:v>
      </x:c>
      <x:c r="Z648" s="8" t="str">
        <x:v>Spacebar-aware client theming/plugin goals</x:v>
      </x:c>
      <x:c r="AA648" s="8" t="str">
        <x:v>Community clients/themes; no stable official plugin architecture verified</x:v>
      </x:c>
      <x:c r="AB648" s="8" t="str">
        <x:v>Plugins/addons ecosystem</x:v>
      </x:c>
      <x:c r="AC648" s="9" t="str">
        <x:v>Themes rather than client mods</x:v>
      </x:c>
      <x:c r="AD648" s="8" t="str">
        <x:v>No</x:v>
      </x:c>
      <x:c r="AE648" s="8" t="str">
        <x:v>No</x:v>
      </x:c>
      <x:c r="AF648" s="8"/>
      <x:c r="AG648" s="8" t="str">
        <x:v>No client plugin architecture</x:v>
      </x:c>
      <x:c r="AH648" s="14" t="n">
        <x:v>23</x:v>
      </x:c>
      <x:c r="AI648" s="15" t="str">
        <x:v>Canonical source for Developer API Detail!23</x:v>
      </x:c>
    </x:row>
    <x:row r="649" ht="90">
      <x:c r="A649" s="12" t="str">
        <x:v>Developer API Detail</x:v>
      </x:c>
      <x:c r="B649" s="13" t="str">
        <x:v>OAuth2?</x:v>
      </x:c>
      <x:c r="C649" s="8" t="str">
        <x:v>Yes</x:v>
      </x:c>
      <x:c r="D649" s="8"/>
      <x:c r="E649" s="8"/>
      <x:c r="F649" s="8"/>
      <x:c r="G649" s="8"/>
      <x:c r="H649" s="8"/>
      <x:c r="I649" s="8"/>
      <x:c r="J649" s="8"/>
      <x:c r="K649" s="8"/>
      <x:c r="L649" s="8" t="str">
        <x:v>No OAuth2 login flow documented; apps use Kaede-specific install templates/scoped credentials</x:v>
      </x:c>
      <x:c r="M649" s="8"/>
      <x:c r="N649" s="8"/>
      <x:c r="O649" s="8"/>
      <x:c r="P649" s="8" t="str">
        <x:v>Yes</x:v>
      </x:c>
      <x:c r="Q649" s="8"/>
      <x:c r="R649" s="8"/>
      <x:c r="S649" s="8"/>
      <x:c r="T649" s="8"/>
      <x:c r="U649" s="8"/>
      <x:c r="V649" s="8"/>
      <x:c r="W649" s="8" t="str">
        <x:v>Yes</x:v>
      </x:c>
      <x:c r="X649" s="8"/>
      <x:c r="Y649" s="8"/>
      <x:c r="Z649" s="8"/>
      <x:c r="AA649" s="8"/>
      <x:c r="AB649" s="8"/>
      <x:c r="AC649" s="9" t="str">
        <x:v>Yes</x:v>
      </x:c>
      <x:c r="AD649" s="8"/>
      <x:c r="AE649" s="8"/>
      <x:c r="AF649" s="8"/>
      <x:c r="AG649" s="8"/>
      <x:c r="AH649" s="14" t="n">
        <x:v>24</x:v>
      </x:c>
      <x:c r="AI649" s="15" t="str">
        <x:v>Shared metric: Developer Extensibility: OAuth2? | Developer API Detail: OAuth2?</x:v>
      </x:c>
    </x:row>
    <x:row r="650" ht="90">
      <x:c r="A650" s="12" t="str">
        <x:v>Developer API Detail</x:v>
      </x:c>
      <x:c r="B650" s="13" t="str">
        <x:v>Developer Portal?</x:v>
      </x:c>
      <x:c r="C650" s="8" t="str">
        <x:v>Yes: Developer Portal + per-route/global REST limits; Gateway 120 events/60s/connection</x:v>
      </x:c>
      <x:c r="D650" s="8" t="str">
        <x:v>Open source</x:v>
      </x:c>
      <x:c r="E650" s="8" t="str">
        <x:v>Operator configured</x:v>
      </x:c>
      <x:c r="F650" s="8"/>
      <x:c r="G650" s="8" t="str">
        <x:v>No public developer portal/API limits yet</x:v>
      </x:c>
      <x:c r="H650" s="8"/>
      <x:c r="I650" s="8"/>
      <x:c r="J650" s="8" t="str">
        <x:v>Public source/API</x:v>
      </x:c>
      <x:c r="K650" s="8" t="str">
        <x:v>Source/whitepaper</x:v>
      </x:c>
      <x:c r="L650" s="8" t="str">
        <x:v>Yes</x:v>
      </x:c>
      <x:c r="M650" s="8"/>
      <x:c r="N650" s="8"/>
      <x:c r="O650" s="8" t="str">
        <x:v>Public spec/API; rate limits homeserver-dependent</x:v>
      </x:c>
      <x:c r="P650" s="8" t="str">
        <x:v>Documented APIs/rate limits</x:v>
      </x:c>
      <x:c r="Q650" s="8" t="str">
        <x:v>Public API/documentation</x:v>
      </x:c>
      <x:c r="R650" s="8" t="str">
        <x:v>Public protocol/documentation; limits server-controlled</x:v>
      </x:c>
      <x:c r="S650" s="8" t="str">
        <x:v>Public API documentation</x:v>
      </x:c>
      <x:c r="T650" s="8"/>
      <x:c r="U650" s="8" t="str">
        <x:v>No public developer portal</x:v>
      </x:c>
      <x:c r="V650" s="8" t="str">
        <x:v>No</x:v>
      </x:c>
      <x:c r="W650" s="8" t="str">
        <x:v>Public API documentation/rate limits</x:v>
      </x:c>
      <x:c r="X650" s="8" t="str">
        <x:v>Public code</x:v>
      </x:c>
      <x:c r="Y650" s="8"/>
      <x:c r="Z650" s="8" t="str">
        <x:v>Documented API; operator-configurable</x:v>
      </x:c>
      <x:c r="AA650" s="8"/>
      <x:c r="AB650" s="8"/>
      <x:c r="AC650" s="9" t="str">
        <x:v>Public API</x:v>
      </x:c>
      <x:c r="AD650" s="8"/>
      <x:c r="AE650" s="8"/>
      <x:c r="AF650" s="8"/>
      <x:c r="AG650" s="8" t="str">
        <x:v>Public API documentation/rate behavior</x:v>
      </x:c>
      <x:c r="AH650" s="14" t="n">
        <x:v>25</x:v>
      </x:c>
      <x:c r="AI650" s="15" t="str">
        <x:v>Shared metric: Developer Extensibility: Developer Portal? | Developer API Detail: Developer Portal?</x:v>
      </x:c>
    </x:row>
    <x:row r="651" ht="120">
      <x:c r="A651" s="12" t="str">
        <x:v>Developer API Detail</x:v>
      </x:c>
      <x:c r="B651" s="13" t="str">
        <x:v>API Rate Limits Published?</x:v>
      </x:c>
      <x:c r="C651" s="8" t="str">
        <x:v>Yes: Developer Portal + per-route/global REST limits; Gateway 120 events/60s/connection</x:v>
      </x:c>
      <x:c r="D651" s="8" t="str">
        <x:v>Open source</x:v>
      </x:c>
      <x:c r="E651" s="8" t="str">
        <x:v>Operator configured</x:v>
      </x:c>
      <x:c r="F651" s="8"/>
      <x:c r="G651" s="8" t="str">
        <x:v>No public developer portal/API limits yet</x:v>
      </x:c>
      <x:c r="H651" s="8"/>
      <x:c r="I651" s="8"/>
      <x:c r="J651" s="8" t="str">
        <x:v>Public source/API</x:v>
      </x:c>
      <x:c r="K651" s="8" t="str">
        <x:v>Source/whitepaper</x:v>
      </x:c>
      <x:c r="L651" s="8" t="str">
        <x:v>Rate limiting is implemented and Retry-After is handled; exact per-endpoint quotas are not exhaustively summarized in the reviewed documentation</x:v>
      </x:c>
      <x:c r="M651" s="8"/>
      <x:c r="N651" s="8"/>
      <x:c r="O651" s="8" t="str">
        <x:v>Public spec/API; rate limits homeserver-dependent</x:v>
      </x:c>
      <x:c r="P651" s="8" t="str">
        <x:v>Documented APIs/rate limits</x:v>
      </x:c>
      <x:c r="Q651" s="8" t="str">
        <x:v>Public API/documentation</x:v>
      </x:c>
      <x:c r="R651" s="8" t="str">
        <x:v>Public protocol/documentation; limits server-controlled</x:v>
      </x:c>
      <x:c r="S651" s="8" t="str">
        <x:v>Public API documentation</x:v>
      </x:c>
      <x:c r="T651" s="8"/>
      <x:c r="U651" s="8" t="str">
        <x:v>Not for third-party developers; no public bot API</x:v>
      </x:c>
      <x:c r="V651" s="8"/>
      <x:c r="W651" s="8" t="str">
        <x:v>Public API documentation/rate limits</x:v>
      </x:c>
      <x:c r="X651" s="8" t="str">
        <x:v>Public code</x:v>
      </x:c>
      <x:c r="Y651" s="8"/>
      <x:c r="Z651" s="8" t="str">
        <x:v>Documented API; operator-configurable</x:v>
      </x:c>
      <x:c r="AA651" s="8"/>
      <x:c r="AB651" s="8"/>
      <x:c r="AC651" s="9" t="str">
        <x:v>Public API</x:v>
      </x:c>
      <x:c r="AD651" s="8"/>
      <x:c r="AE651" s="8"/>
      <x:c r="AF651" s="8"/>
      <x:c r="AG651" s="8" t="str">
        <x:v>Public API documentation/rate behavior</x:v>
      </x:c>
      <x:c r="AH651" s="14" t="n">
        <x:v>26</x:v>
      </x:c>
      <x:c r="AI651" s="15" t="str">
        <x:v>Canonical source for Developer API Detail!26</x:v>
      </x:c>
    </x:row>
    <x:row r="652" ht="60">
      <x:c r="A652" s="12" t="str">
        <x:v>Developer API Detail</x:v>
      </x:c>
      <x:c r="B652" s="13" t="str">
        <x:v>Bot Hosting Included?</x:v>
      </x:c>
      <x:c r="C652" s="8"/>
      <x:c r="D652" s="8"/>
      <x:c r="E652" s="8"/>
      <x:c r="F652" s="8"/>
      <x:c r="G652" s="8"/>
      <x:c r="H652" s="8"/>
      <x:c r="I652" s="8"/>
      <x:c r="J652" s="8"/>
      <x:c r="K652" s="8"/>
      <x:c r="L652" s="8" t="str">
        <x:v>No bundled bot hosting; developers run their own Python workers</x:v>
      </x:c>
      <x:c r="M652" s="8"/>
      <x:c r="N652" s="8"/>
      <x:c r="O652" s="8"/>
      <x:c r="P652" s="8"/>
      <x:c r="Q652" s="8"/>
      <x:c r="R652" s="8"/>
      <x:c r="S652" s="8"/>
      <x:c r="T652" s="8"/>
      <x:c r="U652" s="8"/>
      <x:c r="V652" s="8" t="str">
        <x:v>N/A</x:v>
      </x:c>
      <x:c r="W652" s="8"/>
      <x:c r="X652" s="8"/>
      <x:c r="Y652" s="8" t="str">
        <x:v>Yes: hosted app runtime</x:v>
      </x:c>
      <x:c r="Z652" s="8"/>
      <x:c r="AA652" s="8"/>
      <x:c r="AB652" s="8"/>
      <x:c r="AC652" s="9"/>
      <x:c r="AD652" s="8"/>
      <x:c r="AE652" s="8"/>
      <x:c r="AF652" s="8"/>
      <x:c r="AG652" s="8"/>
      <x:c r="AH652" s="14" t="n">
        <x:v>27</x:v>
      </x:c>
      <x:c r="AI652" s="15" t="str">
        <x:v>Canonical source for Developer API Detail!27</x:v>
      </x:c>
    </x:row>
    <x:row r="653" ht="45">
      <x:c r="A653" s="12" t="str">
        <x:v>Developer API Detail</x:v>
      </x:c>
      <x:c r="B653" s="13" t="str">
        <x:v>Paid Developer Features?</x:v>
      </x:c>
      <x:c r="C653" s="8" t="str">
        <x:v>Developer monetization planned/supported</x:v>
      </x:c>
      <x:c r="D653" s="8"/>
      <x:c r="E653" s="8"/>
      <x:c r="F653" s="8"/>
      <x:c r="G653" s="8"/>
      <x:c r="H653" s="8"/>
      <x:c r="I653" s="8"/>
      <x:c r="J653" s="8"/>
      <x:c r="K653" s="8"/>
      <x:c r="L653" s="8" t="str">
        <x:v>No paid developer features documented</x:v>
      </x:c>
      <x:c r="M653" s="8"/>
      <x:c r="N653" s="8"/>
      <x:c r="O653" s="8"/>
      <x:c r="P653" s="8"/>
      <x:c r="Q653" s="8"/>
      <x:c r="R653" s="8"/>
      <x:c r="S653" s="8"/>
      <x:c r="T653" s="8"/>
      <x:c r="U653" s="8"/>
      <x:c r="V653" s="8" t="str">
        <x:v>N/A</x:v>
      </x:c>
      <x:c r="W653" s="8"/>
      <x:c r="X653" s="8"/>
      <x:c r="Y653" s="8" t="str">
        <x:v>Developer monetization planned/supported</x:v>
      </x:c>
      <x:c r="Z653" s="8"/>
      <x:c r="AA653" s="8"/>
      <x:c r="AB653" s="8"/>
      <x:c r="AC653" s="9"/>
      <x:c r="AD653" s="8"/>
      <x:c r="AE653" s="8"/>
      <x:c r="AF653" s="8"/>
      <x:c r="AG653" s="8"/>
      <x:c r="AH653" s="14" t="n">
        <x:v>28</x:v>
      </x:c>
      <x:c r="AI653" s="15" t="str">
        <x:v>Canonical source for Developer API Detail!28</x:v>
      </x:c>
    </x:row>
    <x:row r="654" ht="195">
      <x:c r="A654" s="12" t="str">
        <x:v>Developer API Detail</x:v>
      </x:c>
      <x:c r="B654" s="13" t="str">
        <x:v>Developer Notes</x:v>
      </x:c>
      <x:c r="C654" s="8" t="str">
        <x:v>REST/HTTP API + Gateway WebSocket; JS/TS: official Embedded App SDK; no official general bot SDKs for Python/Rust/Go; Social SDK targets C++/Unity/Unreal; Yes: slash commands, components, modals, interactions</x:v>
      </x:c>
      <x:c r="D654" s="8" t="str">
        <x:v>Nostr/Concord protocols; Nostr libraries; Protocol-driven</x:v>
      </x:c>
      <x:c r="E654" s="8" t="str">
        <x:v>Custom server/WebSocket APIs; Custom/open-source ecosystem; Plugin system</x:v>
      </x:c>
      <x:c r="F654" s="8"/>
      <x:c r="G654" s="8" t="str">
        <x:v>Bot API planned after public release; No public SDKs yet; Native slash commands exist; developer interaction API planned</x:v>
      </x:c>
      <x:c r="H654" s="8"/>
      <x:c r="I654" s="8"/>
      <x:c r="J654" s="8" t="str">
        <x:v>Discord-compatible API; Discord bot libraries largely reusable; Interactions target</x:v>
      </x:c>
      <x:c r="K654" s="8" t="str">
        <x:v>Custom protocol; no HTTP API emphasis; Open source; No bot ecosystem yet</x:v>
      </x:c>
      <x:c r="L654" s="8" t="str">
        <x:v>https://github.com/CookieNom/KaedeChat/blob/main/docs/bot-api-quickstart.md</x:v>
      </x:c>
      <x:c r="M654" s="8"/>
      <x:c r="N654" s="8" t="str">
        <x:v>Discord-compatible API; discord.py/discord.js compatibility; Slash commands/buttons/modals</x:v>
      </x:c>
      <x:c r="O654" s="8" t="str">
        <x:v>Open Client-Server, Server-Server, and Application Service APIs. Sync transport varies by spec version. SDKs include JS/TS, Rust, Python, and Go/community options. Bot and extension UX depends on the client.</x:v>
      </x:c>
      <x:c r="P654" s="8" t="str">
        <x:v>REST + WebSocket API; Client/server APIs; Go/JS ecosystem; Slash commands + interactive messages</x:v>
      </x:c>
      <x:c r="Q654" s="8" t="str">
        <x:v>API-first design; SDK/integration ecosystem; Bots</x:v>
      </x:c>
      <x:c r="R654" s="8" t="str">
        <x:v>Server RPC/API (Ice) + protocol libraries; Community libraries; N/A</x:v>
      </x:c>
      <x:c r="S654" s="8"/>
      <x:c r="T654" s="8"/>
      <x:c r="U654" s="8" t="str">
        <x:v>Public bot-token/third-party API is intentionally not shipped yet; incoming Discord-compatible webhooks are supported.</x:v>
      </x:c>
      <x:c r="V654" s="8"/>
      <x:c r="W654" s="8" t="str">
        <x:v>REST + realtime/WebSocket/DDP + Apps engine; SDKs/APIs + Apps framework; Slash commands/apps</x:v>
      </x:c>
      <x:c r="X654" s="8"/>
      <x:c r="Y654" s="8" t="str">
        <x:v>Root Community API + hosted app/bot runtime; Official TypeScript SDK / Node runtime; Bots/commands + full GUI Apps</x:v>
      </x:c>
      <x:c r="Z654" s="8" t="str">
        <x:v>Discord-compatible REST + Gateway; Discord ecosystem compatibility; Spacebar documentation; Discord interaction compatibility target</x:v>
      </x:c>
      <x:c r="AA654" s="8"/>
      <x:c r="AB654" s="8"/>
      <x:c r="AC654" s="9" t="str">
        <x:v>Official API used by client; Official .NET SDK; Bots/OAuth apps</x:v>
      </x:c>
      <x:c r="AD654" s="8"/>
      <x:c r="AE654" s="8"/>
      <x:c r="AF654" s="8"/>
      <x:c r="AG654" s="8" t="str">
        <x:v>REST + realtime event queues; Official/community libraries including Python; broad API; Slash-command-style integrations/bots</x:v>
      </x:c>
      <x:c r="AH654" s="14" t="n">
        <x:v>30</x:v>
      </x:c>
      <x:c r="AI654" s="15" t="str">
        <x:v>Canonical source for Developer API Detail!30</x:v>
      </x:c>
    </x:row>
    <x:row r="655" ht="60">
      <x:c r="A655" s="12" t="str">
        <x:v>Developer API Detail</x:v>
      </x:c>
      <x:c r="B655" s="13" t="str">
        <x:v>App Marketplace / Directory?</x:v>
      </x:c>
      <x:c r="C655" s="8" t="str">
        <x:v>Yes: App Directory</x:v>
      </x:c>
      <x:c r="D655" s="8"/>
      <x:c r="E655" s="8"/>
      <x:c r="F655" s="8"/>
      <x:c r="G655" s="8"/>
      <x:c r="H655" s="8"/>
      <x:c r="I655" s="8"/>
      <x:c r="J655" s="8"/>
      <x:c r="K655" s="8"/>
      <x:c r="L655" s="8" t="str">
        <x:v>Yes: federated public App Directory for reviewed applications/bots</x:v>
      </x:c>
      <x:c r="M655" s="8"/>
      <x:c r="N655" s="8"/>
      <x:c r="O655" s="8"/>
      <x:c r="P655" s="8" t="str">
        <x:v>Plugin marketplace/ecosystem</x:v>
      </x:c>
      <x:c r="Q655" s="8"/>
      <x:c r="R655" s="8"/>
      <x:c r="S655" s="8"/>
      <x:c r="T655" s="8"/>
      <x:c r="U655" s="8"/>
      <x:c r="V655" s="8"/>
      <x:c r="W655" s="8" t="str">
        <x:v>Yes: Marketplace</x:v>
      </x:c>
      <x:c r="X655" s="8"/>
      <x:c r="Y655" s="8"/>
      <x:c r="Z655" s="8"/>
      <x:c r="AA655" s="8"/>
      <x:c r="AB655" s="8"/>
      <x:c r="AC655" s="9"/>
      <x:c r="AD655" s="8"/>
      <x:c r="AE655" s="8"/>
      <x:c r="AF655" s="8"/>
      <x:c r="AG655" s="8" t="str">
        <x:v>Integration directory</x:v>
      </x:c>
      <x:c r="AH655" s="14" t="n">
        <x:v>32</x:v>
      </x:c>
      <x:c r="AI655" s="15" t="str">
        <x:v>Canonical source for Developer API Detail!32</x:v>
      </x:c>
    </x:row>
    <x:row r="656" ht="45">
      <x:c r="A656" s="12" t="str">
        <x:v>Developer API Detail</x:v>
      </x:c>
      <x:c r="B656" s="13" t="str">
        <x:v>Embedded Web App / Iframe Runtime?</x:v>
      </x:c>
      <x:c r="C656" s="8" t="str">
        <x:v>Yes: Activities run as iframe web apps</x:v>
      </x:c>
      <x:c r="D656" s="8"/>
      <x:c r="E656" s="8"/>
      <x:c r="F656" s="8"/>
      <x:c r="G656" s="8"/>
      <x:c r="H656" s="8"/>
      <x:c r="I656" s="8"/>
      <x:c r="J656" s="8"/>
      <x:c r="K656" s="8"/>
      <x:c r="L656" s="8" t="str">
        <x:v>No embedded web-app/iframe runtime</x:v>
      </x:c>
      <x:c r="M656" s="8"/>
      <x:c r="N656" s="8"/>
      <x:c r="O656" s="8" t="str">
        <x:v>Client-dependent widgets</x:v>
      </x:c>
      <x:c r="P656" s="8" t="str">
        <x:v>Plugins can add webapp components</x:v>
      </x:c>
      <x:c r="Q656" s="8"/>
      <x:c r="R656" s="8"/>
      <x:c r="S656" s="8"/>
      <x:c r="T656" s="8"/>
      <x:c r="U656" s="8"/>
      <x:c r="V656" s="8" t="str">
        <x:v>Yes: Portals embedded alongside chat</x:v>
      </x:c>
      <x:c r="W656" s="8" t="str">
        <x:v>Apps are workspace extensions; iframe model not primary</x:v>
      </x:c>
      <x:c r="X656" s="8"/>
      <x:c r="Y656" s="8"/>
      <x:c r="Z656" s="8"/>
      <x:c r="AA656" s="8"/>
      <x:c r="AB656" s="8"/>
      <x:c r="AC656" s="9"/>
      <x:c r="AD656" s="8"/>
      <x:c r="AE656" s="8"/>
      <x:c r="AF656" s="8"/>
      <x:c r="AG656" s="8"/>
      <x:c r="AH656" s="14" t="n">
        <x:v>33</x:v>
      </x:c>
      <x:c r="AI656" s="15" t="str">
        <x:v>Canonical source for Developer API Detail!33</x:v>
      </x:c>
    </x:row>
    <x:row r="657" ht="45">
      <x:c r="A657" s="12" t="str">
        <x:v>Developer API Detail</x:v>
      </x:c>
      <x:c r="B657" s="13" t="str">
        <x:v>Shared Synchronized App Sessions?</x:v>
      </x:c>
      <x:c r="C657" s="8" t="str">
        <x:v>Yes: Activities</x:v>
      </x:c>
      <x:c r="D657" s="8"/>
      <x:c r="E657" s="8"/>
      <x:c r="F657" s="8"/>
      <x:c r="G657" s="8"/>
      <x:c r="H657" s="8"/>
      <x:c r="I657" s="8"/>
      <x:c r="J657" s="8"/>
      <x:c r="K657" s="8"/>
      <x:c r="L657" s="8" t="str">
        <x:v>No shared embedded-app session model</x:v>
      </x:c>
      <x:c r="M657" s="8"/>
      <x:c r="N657" s="8"/>
      <x:c r="O657" s="8" t="str">
        <x:v>Widget-dependent</x:v>
      </x:c>
      <x:c r="P657" s="8"/>
      <x:c r="Q657" s="8"/>
      <x:c r="R657" s="8"/>
      <x:c r="S657" s="8"/>
      <x:c r="T657" s="8"/>
      <x:c r="U657" s="8"/>
      <x:c r="V657" s="8" t="str">
        <x:v>Yes: Watch Party; Tabletop/Arcade experimental</x:v>
      </x:c>
      <x:c r="W657" s="8"/>
      <x:c r="X657" s="8"/>
      <x:c r="Y657" s="8"/>
      <x:c r="Z657" s="8"/>
      <x:c r="AA657" s="8"/>
      <x:c r="AB657" s="8"/>
      <x:c r="AC657" s="9"/>
      <x:c r="AD657" s="8"/>
      <x:c r="AE657" s="8"/>
      <x:c r="AF657" s="8"/>
      <x:c r="AG657" s="8"/>
      <x:c r="AH657" s="14" t="n">
        <x:v>34</x:v>
      </x:c>
      <x:c r="AI657" s="15" t="str">
        <x:v>Canonical source for Developer API Detail!34</x:v>
      </x:c>
    </x:row>
    <x:row r="658" ht="60">
      <x:c r="A658" s="12" t="str">
        <x:v>Developer API Detail</x:v>
      </x:c>
      <x:c r="B658" s="13" t="str">
        <x:v>App Permission / Scope Model?</x:v>
      </x:c>
      <x:c r="C658" s="8" t="str">
        <x:v>Yes: OAuth2/scopes + SDK scopes</x:v>
      </x:c>
      <x:c r="D658" s="8"/>
      <x:c r="E658" s="8"/>
      <x:c r="F658" s="8"/>
      <x:c r="G658" s="8"/>
      <x:c r="H658" s="8"/>
      <x:c r="I658" s="8"/>
      <x:c r="J658" s="8"/>
      <x:c r="K658" s="8"/>
      <x:c r="L658" s="8" t="str">
        <x:v>Yes: scopes, intents, permissions, worker keys, E2EE modes and target-domain rules</x:v>
      </x:c>
      <x:c r="M658" s="8"/>
      <x:c r="N658" s="8"/>
      <x:c r="O658" s="8"/>
      <x:c r="P658" s="8" t="str">
        <x:v>Plugin permissions/admin install</x:v>
      </x:c>
      <x:c r="Q658" s="8"/>
      <x:c r="R658" s="8"/>
      <x:c r="S658" s="8"/>
      <x:c r="T658" s="8"/>
      <x:c r="U658" s="8"/>
      <x:c r="V658" s="8"/>
      <x:c r="W658" s="8" t="str">
        <x:v>Apps-Engine permissions/packaging</x:v>
      </x:c>
      <x:c r="X658" s="8"/>
      <x:c r="Y658" s="8"/>
      <x:c r="Z658" s="8"/>
      <x:c r="AA658" s="8"/>
      <x:c r="AB658" s="8"/>
      <x:c r="AC658" s="9"/>
      <x:c r="AD658" s="8"/>
      <x:c r="AE658" s="8"/>
      <x:c r="AF658" s="8"/>
      <x:c r="AG658" s="8"/>
      <x:c r="AH658" s="14" t="n">
        <x:v>35</x:v>
      </x:c>
      <x:c r="AI658" s="15" t="str">
        <x:v>Canonical source for Developer API Detail!35</x:v>
      </x:c>
    </x:row>
    <x:row r="659" ht="45">
      <x:c r="A659" s="12" t="str">
        <x:v>Developer API Detail</x:v>
      </x:c>
      <x:c r="B659" s="13" t="str">
        <x:v>App Monetization / IAP?</x:v>
      </x:c>
      <x:c r="C659" s="8" t="str">
        <x:v>Yes: Activity IAP / SKUs supported</x:v>
      </x:c>
      <x:c r="D659" s="8"/>
      <x:c r="E659" s="8"/>
      <x:c r="F659" s="8"/>
      <x:c r="G659" s="8"/>
      <x:c r="H659" s="8"/>
      <x:c r="I659" s="8"/>
      <x:c r="J659" s="8"/>
      <x:c r="K659" s="8"/>
      <x:c r="L659" s="8" t="str">
        <x:v>No app IAP/monetization system documented</x:v>
      </x:c>
      <x:c r="M659" s="8"/>
      <x:c r="N659" s="8"/>
      <x:c r="O659" s="8"/>
      <x:c r="P659" s="8"/>
      <x:c r="Q659" s="8"/>
      <x:c r="R659" s="8"/>
      <x:c r="S659" s="8"/>
      <x:c r="T659" s="8"/>
      <x:c r="U659" s="8"/>
      <x:c r="V659" s="8"/>
      <x:c r="W659" s="8" t="str">
        <x:v>Paid marketplace apps exist</x:v>
      </x:c>
      <x:c r="X659" s="8"/>
      <x:c r="Y659" s="8"/>
      <x:c r="Z659" s="8"/>
      <x:c r="AA659" s="8"/>
      <x:c r="AB659" s="8"/>
      <x:c r="AC659" s="9"/>
      <x:c r="AD659" s="8"/>
      <x:c r="AE659" s="8"/>
      <x:c r="AF659" s="8"/>
      <x:c r="AG659" s="8"/>
      <x:c r="AH659" s="14" t="n">
        <x:v>36</x:v>
      </x:c>
      <x:c r="AI659" s="15" t="str">
        <x:v>Canonical source for Developer API Detail!36</x:v>
      </x:c>
    </x:row>
    <x:row r="660" ht="90">
      <x:c r="A660" s="12" t="str">
        <x:v>AI Policy &amp; Transparency</x:v>
      </x:c>
      <x:c r="B660" s="13" t="str">
        <x:v>Native AI Features (Summaries / Bots / Search)</x:v>
      </x:c>
      <x:c r="C660" s="8" t="str">
        <x:v>Limited: experimental In-Channel Conversation Summaries; AI/ML also used for safety/moderation</x:v>
      </x:c>
      <x:c r="D660" s="8" t="str">
        <x:v>No native AI feature verified</x:v>
      </x:c>
      <x:c r="E660" s="8" t="str">
        <x:v>No native AI feature verified</x:v>
      </x:c>
      <x:c r="F660" s="8" t="str">
        <x:v>No native AI feature advertised</x:v>
      </x:c>
      <x:c r="G660" s="8" t="str">
        <x:v>No prominent native generative-AI feature verified</x:v>
      </x:c>
      <x:c r="H660" s="8" t="str">
        <x:v>No native AI/LLM inference over messages/files/calls</x:v>
      </x:c>
      <x:c r="I660" s="8" t="str">
        <x:v>No prominent native generative AI verified</x:v>
      </x:c>
      <x:c r="J660" s="8" t="str">
        <x:v>None</x:v>
      </x:c>
      <x:c r="K660" s="8" t="str">
        <x:v>No native AI feature</x:v>
      </x:c>
      <x:c r="L660" s="8" t="str">
        <x:v>None</x:v>
      </x:c>
      <x:c r="M660" s="8" t="str">
        <x:v>No prominent native generative AI verified</x:v>
      </x:c>
      <x:c r="N660" s="8" t="str">
        <x:v>Built-in translation and voice transcription</x:v>
      </x:c>
      <x:c r="O660" s="8" t="str">
        <x:v>No platform-wide native AI requirement; client/server vendors may add AI independently</x:v>
      </x:c>
      <x:c r="P660" s="8" t="str">
        <x:v>AI features depend on Mattermost AI/enterprise integrations; not core universal</x:v>
      </x:c>
      <x:c r="Q660" s="8" t="str">
        <x:v>Yes: moderation, translation, meeting summaries</x:v>
      </x:c>
      <x:c r="R660" s="8" t="str">
        <x:v>None</x:v>
      </x:c>
      <x:c r="S660" s="8" t="str">
        <x:v>No native AI feature verified</x:v>
      </x:c>
      <x:c r="T660" s="8" t="str">
        <x:v>No prominent native generative AI verified</x:v>
      </x:c>
      <x:c r="U660" s="8" t="str">
        <x:v>No native AI channel tools pitched</x:v>
      </x:c>
      <x:c r="V660" s="8" t="str">
        <x:v>No native AI reading messages advertised</x:v>
      </x:c>
      <x:c r="W660" s="8" t="str">
        <x:v>Optional AI apps/integrations; not required core</x:v>
      </x:c>
      <x:c r="X660" s="8" t="str">
        <x:v>No native AI feature verified</x:v>
      </x:c>
      <x:c r="Y660" s="8" t="str">
        <x:v>No user-facing native generative AI emphasized</x:v>
      </x:c>
      <x:c r="Z660" s="8" t="str">
        <x:v>No native AI feature requirement</x:v>
      </x:c>
      <x:c r="AA660" s="8" t="str">
        <x:v>No prominent native generative-AI feature verified</x:v>
      </x:c>
      <x:c r="AB660" s="8" t="str">
        <x:v>No prominent native generative AI verified</x:v>
      </x:c>
      <x:c r="AC660" s="9" t="str">
        <x:v>No native AI feature verified</x:v>
      </x:c>
      <x:c r="AD660" s="8" t="str">
        <x:v>No native AI feature verified</x:v>
      </x:c>
      <x:c r="AE660" s="8" t="str">
        <x:v>Some game modules include AI NPCs/features</x:v>
      </x:c>
      <x:c r="AF660" s="8" t="str">
        <x:v>None</x:v>
      </x:c>
      <x:c r="AG660" s="8" t="str">
        <x:v>No mandatory native AI feature</x:v>
      </x:c>
      <x:c r="AH660" s="14" t="n">
        <x:v>3</x:v>
      </x:c>
      <x:c r="AI660" s="15" t="str">
        <x:v>Canonical source for AI Policy &amp; Transparency!3</x:v>
      </x:c>
    </x:row>
    <x:row r="661" ht="90">
      <x:c r="A661" s="12" t="str">
        <x:v>AI Policy &amp; Transparency</x:v>
      </x:c>
      <x:c r="B661" s="13" t="str">
        <x:v>User Chat / Voice Scraped for Model Training?</x:v>
      </x:c>
      <x:c r="C661" s="8" t="str">
        <x:v>No: Discord says it does not allow AI companies to train models using user messages; voice/video is generally not stored</x:v>
      </x:c>
      <x:c r="D661" s="8" t="str">
        <x:v>No central content owner; encrypted content</x:v>
      </x:c>
      <x:c r="E661" s="8" t="str">
        <x:v>Self-host/operator controlled</x:v>
      </x:c>
      <x:c r="F661" s="8"/>
      <x:c r="G661" s="8"/>
      <x:c r="H661" s="8" t="str">
        <x:v>No: privacy policy explicitly forbids use for training/evaluation</x:v>
      </x:c>
      <x:c r="I661" s="8"/>
      <x:c r="J661" s="8" t="str">
        <x:v>N/A/self-host</x:v>
      </x:c>
      <x:c r="K661" s="8" t="str">
        <x:v>No server-readable plaintext</x:v>
      </x:c>
      <x:c r="L661" s="8" t="str">
        <x:v>No (developer statement)</x:v>
      </x:c>
      <x:c r="M661" s="8" t="str">
        <x:v>No behavioral tracking; training policy not explicitly verified</x:v>
      </x:c>
      <x:c r="N661" s="8"/>
      <x:c r="O661" s="8" t="str">
        <x:v>No single Matrix-wide data controller; training policy depends on homeserver/client provider</x:v>
      </x:c>
      <x:c r="P661" s="8" t="str">
        <x:v>Policy/deployment/provider-dependent; self-host can keep data controlled</x:v>
      </x:c>
      <x:c r="Q661" s="8"/>
      <x:c r="R661" s="8" t="str">
        <x:v>No central service/model training; self-hosted</x:v>
      </x:c>
      <x:c r="S661" s="8"/>
      <x:c r="T661" s="8"/>
      <x:c r="U661" s="8" t="str">
        <x:v>No user-content training claim provided; robots.txt Content Signal includes ai-train=no</x:v>
      </x:c>
      <x:c r="V661" s="8" t="str">
        <x:v>No: site says messages/uploads never train AI</x:v>
      </x:c>
      <x:c r="W661" s="8"/>
      <x:c r="X661" s="8" t="str">
        <x:v>Provider/project dependent</x:v>
      </x:c>
      <x:c r="Y661" s="8" t="str">
        <x:v>No: privacy policy states content is not used to train AI models</x:v>
      </x:c>
      <x:c r="Z661" s="8" t="str">
        <x:v>Self-hosted operator-controlled; no central training policy</x:v>
      </x:c>
      <x:c r="AA661" s="8"/>
      <x:c r="AB661" s="8"/>
      <x:c r="AC661" s="9"/>
      <x:c r="AD661" s="8"/>
      <x:c r="AE661" s="8"/>
      <x:c r="AF661" s="8" t="str">
        <x:v>No model training claim; content stays on operator server</x:v>
      </x:c>
      <x:c r="AG661" s="8" t="str">
        <x:v>Cloud/provider policy; no general claim of training user content found here</x:v>
      </x:c>
      <x:c r="AH661" s="14" t="n">
        <x:v>4</x:v>
      </x:c>
      <x:c r="AI661" s="15" t="str">
        <x:v>Canonical source for AI Policy &amp; Transparency!4</x:v>
      </x:c>
    </x:row>
    <x:row r="662" ht="120">
      <x:c r="A662" s="12" t="str">
        <x:v>AI Policy &amp; Transparency</x:v>
      </x:c>
      <x:c r="B662" s="13" t="str">
        <x:v>AI Training Consent Terms (Opt-In / Opt-Out / None)</x:v>
      </x:c>
      <x:c r="C662" s="8" t="str">
        <x:v>None for third-party model training (not permitted); experimental AI features may have separate visibility/privacy controls</x:v>
      </x:c>
      <x:c r="D662" s="8" t="str">
        <x:v>N/A</x:v>
      </x:c>
      <x:c r="E662" s="8" t="str">
        <x:v>N/A</x:v>
      </x:c>
      <x:c r="F662" s="8"/>
      <x:c r="G662" s="8"/>
      <x:c r="H662" s="8" t="str">
        <x:v>None: not used for training</x:v>
      </x:c>
      <x:c r="I662" s="8"/>
      <x:c r="J662" s="8" t="str">
        <x:v>None</x:v>
      </x:c>
      <x:c r="K662" s="8" t="str">
        <x:v>N/A</x:v>
      </x:c>
      <x:c r="L662" s="8" t="str">
        <x:v>None: project states it does not train on user data</x:v>
      </x:c>
      <x:c r="M662" s="8"/>
      <x:c r="N662" s="8"/>
      <x:c r="O662" s="8" t="str">
        <x:v>Provider-specific</x:v>
      </x:c>
      <x:c r="P662" s="8" t="str">
        <x:v>Deployment/provider-specific</x:v>
      </x:c>
      <x:c r="Q662" s="8"/>
      <x:c r="R662" s="8" t="str">
        <x:v>N/A</x:v>
      </x:c>
      <x:c r="S662" s="8"/>
      <x:c r="T662" s="8"/>
      <x:c r="U662" s="8" t="str">
        <x:v>Website Content Signal says ai-train=no; no separate chat/voice consent model stated</x:v>
      </x:c>
      <x:c r="V662" s="8" t="str">
        <x:v>None</x:v>
      </x:c>
      <x:c r="W662" s="8" t="str">
        <x:v>Deployment/provider-specific</x:v>
      </x:c>
      <x:c r="X662" s="8"/>
      <x:c r="Y662" s="8" t="str">
        <x:v>None for training</x:v>
      </x:c>
      <x:c r="Z662" s="8" t="str">
        <x:v>Operator-dependent</x:v>
      </x:c>
      <x:c r="AA662" s="8"/>
      <x:c r="AB662" s="8"/>
      <x:c r="AC662" s="9"/>
      <x:c r="AD662" s="8"/>
      <x:c r="AE662" s="8"/>
      <x:c r="AF662" s="8" t="str">
        <x:v>N/A</x:v>
      </x:c>
      <x:c r="AG662" s="8"/>
      <x:c r="AH662" s="14" t="n">
        <x:v>5</x:v>
      </x:c>
      <x:c r="AI662" s="15" t="str">
        <x:v>Canonical source for AI Policy &amp; Transparency!5</x:v>
      </x:c>
    </x:row>
    <x:row r="663" ht="30">
      <x:c r="A663" s="12" t="str">
        <x:v>AI Policy &amp; Transparency</x:v>
      </x:c>
      <x:c r="B663" s="13" t="str">
        <x:v>AI Assistance Used in Codebase Development (%)</x:v>
      </x:c>
      <x:c r="C663" s="8"/>
      <x:c r="D663" s="8"/>
      <x:c r="E663" s="8"/>
      <x:c r="F663" s="8"/>
      <x:c r="G663" s="8"/>
      <x:c r="H663" s="8"/>
      <x:c r="I663" s="8"/>
      <x:c r="J663" s="8" t="str">
        <x:v>0% allowed by Fermi contribution policy</x:v>
      </x:c>
      <x:c r="K663" s="8"/>
      <x:c r="L663" s="8" t="str">
        <x:v>Not published</x:v>
      </x:c>
      <x:c r="M663" s="8"/>
      <x:c r="N663" s="8"/>
      <x:c r="O663" s="8"/>
      <x:c r="P663" s="8"/>
      <x:c r="Q663" s="8"/>
      <x:c r="R663" s="8" t="str">
        <x:v>N/A</x:v>
      </x:c>
      <x:c r="S663" s="8"/>
      <x:c r="T663" s="8"/>
      <x:c r="U663" s="8" t="str">
        <x:v>Not published</x:v>
      </x:c>
      <x:c r="V663" s="8" t="str">
        <x:v>AI Assistance used - Commit Notes</x:v>
      </x:c>
      <x:c r="W663" s="8"/>
      <x:c r="X663" s="8"/>
      <x:c r="Y663" s="8"/>
      <x:c r="Z663" s="8"/>
      <x:c r="AA663" s="8"/>
      <x:c r="AB663" s="8"/>
      <x:c r="AC663" s="9"/>
      <x:c r="AD663" s="8"/>
      <x:c r="AE663" s="8"/>
      <x:c r="AF663" s="8"/>
      <x:c r="AG663" s="8"/>
      <x:c r="AH663" s="14" t="n">
        <x:v>6</x:v>
      </x:c>
      <x:c r="AI663" s="15" t="str">
        <x:v>Canonical source for AI Policy &amp; Transparency!6</x:v>
      </x:c>
    </x:row>
    <x:row r="664" ht="105">
      <x:c r="A664" s="12" t="str">
        <x:v>AI Policy &amp; Transparency</x:v>
      </x:c>
      <x:c r="B664" s="13" t="str">
        <x:v>AI Development Transparency &amp; Disclosure</x:v>
      </x:c>
      <x:c r="C664" s="8"/>
      <x:c r="D664" s="8"/>
      <x:c r="E664" s="8"/>
      <x:c r="F664" s="8"/>
      <x:c r="G664" s="8"/>
      <x:c r="H664" s="8" t="str">
        <x:v>No percentage published</x:v>
      </x:c>
      <x:c r="I664" s="8"/>
      <x:c r="J664" s="8" t="str">
        <x:v>Fermi explicitly bans AI-generated code</x:v>
      </x:c>
      <x:c r="K664" s="8" t="str">
        <x:v>Developer publicly discloses Claude use for development tooling</x:v>
      </x:c>
      <x:c r="L664" s="8" t="str">
        <x:v>AI is used to speed development; primary developer retains architectural decisions and reviews AI-written code (developer statement)</x:v>
      </x:c>
      <x:c r="M664" s="8"/>
      <x:c r="N664" s="8" t="str">
        <x:v>AI models used for translation/transcription disclosed</x:v>
      </x:c>
      <x:c r="O664" s="8" t="str">
        <x:v>Provider-specific</x:v>
      </x:c>
      <x:c r="P664" s="8"/>
      <x:c r="Q664" s="8" t="str">
        <x:v>Publicly discloses AI-powered features</x:v>
      </x:c>
      <x:c r="R664" s="8" t="str">
        <x:v>N/A</x:v>
      </x:c>
      <x:c r="S664" s="8"/>
      <x:c r="T664" s="8"/>
      <x:c r="U664" s="8" t="str">
        <x:v>Built in the open; developer does not claim zero AI use anywhere in the codebase</x:v>
      </x:c>
      <x:c r="V664" s="8" t="str">
        <x:v>Public FAQ discloses AI is used for parts of coding, with developer review</x:v>
      </x:c>
      <x:c r="W664" s="8"/>
      <x:c r="X664" s="8"/>
      <x:c r="Y664" s="8"/>
      <x:c r="Z664" s="8"/>
      <x:c r="AA664" s="8"/>
      <x:c r="AB664" s="8"/>
      <x:c r="AC664" s="9"/>
      <x:c r="AD664" s="8"/>
      <x:c r="AE664" s="8" t="str">
        <x:v>AI is product-feature specific, not general chat summarization</x:v>
      </x:c>
      <x:c r="AF664" s="8" t="str">
        <x:v>Privacy-first/no surveillance model</x:v>
      </x:c>
      <x:c r="AG664" s="8"/>
      <x:c r="AH664" s="14" t="n">
        <x:v>7</x:v>
      </x:c>
      <x:c r="AI664" s="15" t="str">
        <x:v>Canonical source for AI Policy &amp; Transparency!7</x:v>
      </x:c>
    </x:row>
    <x:row r="665" ht="75">
      <x:c r="A665" s="12" t="str">
        <x:v>AI Policy &amp; Transparency</x:v>
      </x:c>
      <x:c r="B665" s="13" t="str">
        <x:v>AI Governance Detail</x:v>
      </x:c>
      <x:c r="C665" s="8"/>
      <x:c r="D665" s="8"/>
      <x:c r="E665" s="8"/>
      <x:c r="F665" s="8"/>
      <x:c r="G665" s="8"/>
      <x:c r="H665" s="8"/>
      <x:c r="I665" s="8"/>
      <x:c r="J665" s="8"/>
      <x:c r="K665" s="8"/>
      <x:c r="L665" s="8" t="str">
        <x:v>No native AI-product governance layer; user data is not used for model training per developer statement</x:v>
      </x:c>
      <x:c r="M665" s="8"/>
      <x:c r="N665" s="8"/>
      <x:c r="O665" s="8"/>
      <x:c r="P665" s="8"/>
      <x:c r="Q665" s="8"/>
      <x:c r="R665" s="8"/>
      <x:c r="S665" s="8"/>
      <x:c r="T665" s="8"/>
      <x:c r="U665" s="8"/>
      <x:c r="V665" s="8"/>
      <x:c r="W665" s="8"/>
      <x:c r="X665" s="8"/>
      <x:c r="Y665" s="8"/>
      <x:c r="Z665" s="8"/>
      <x:c r="AA665" s="8"/>
      <x:c r="AB665" s="8"/>
      <x:c r="AC665" s="9"/>
      <x:c r="AD665" s="8"/>
      <x:c r="AE665" s="8"/>
      <x:c r="AF665" s="8"/>
      <x:c r="AG665" s="8"/>
      <x:c r="AH665" s="14" t="n">
        <x:v>8</x:v>
      </x:c>
      <x:c r="AI665" s="15" t="str">
        <x:v>Canonical source for AI Policy &amp; Transparency!8</x:v>
      </x:c>
    </x:row>
    <x:row r="666" ht="75">
      <x:c r="A666" s="12" t="str">
        <x:v>AI &amp; Data Use Detail</x:v>
      </x:c>
      <x:c r="B666" s="13" t="str">
        <x:v>Native AI Features</x:v>
      </x:c>
      <x:c r="C666" s="8" t="str">
        <x:v>Limited: experimental Conversation Summaries + AI/ML safety features</x:v>
      </x:c>
      <x:c r="D666" s="8" t="str">
        <x:v>None</x:v>
      </x:c>
      <x:c r="E666" s="8" t="str">
        <x:v>None</x:v>
      </x:c>
      <x:c r="F666" s="8" t="str">
        <x:v>No native AI advertised</x:v>
      </x:c>
      <x:c r="G666" s="8" t="str">
        <x:v>No prominent native generative AI</x:v>
      </x:c>
      <x:c r="H666" s="8" t="str">
        <x:v>No native AI/LLM inference over content</x:v>
      </x:c>
      <x:c r="I666" s="8" t="str">
        <x:v>No prominent native generative AI verified</x:v>
      </x:c>
      <x:c r="J666" s="8" t="str">
        <x:v>None advertised</x:v>
      </x:c>
      <x:c r="K666" s="8" t="str">
        <x:v>None</x:v>
      </x:c>
      <x:c r="L666" s="8" t="str">
        <x:v>No</x:v>
      </x:c>
      <x:c r="M666" s="8" t="str">
        <x:v>No prominent native AI verified</x:v>
      </x:c>
      <x:c r="N666" s="8" t="str">
        <x:v>Translation + transcription</x:v>
      </x:c>
      <x:c r="O666" s="8" t="str">
        <x:v>No Matrix-wide native AI; provider/client-specific</x:v>
      </x:c>
      <x:c r="P666" s="8" t="str">
        <x:v>Optional enterprise/integration AI</x:v>
      </x:c>
      <x:c r="Q666" s="8" t="str">
        <x:v>Yes: moderation/translation/summaries</x:v>
      </x:c>
      <x:c r="R666" s="8" t="str">
        <x:v>None</x:v>
      </x:c>
      <x:c r="S666" s="8" t="str">
        <x:v>No native AI verified</x:v>
      </x:c>
      <x:c r="T666" s="8" t="str">
        <x:v>No prominent native AI verified</x:v>
      </x:c>
      <x:c r="U666" s="8" t="str">
        <x:v>No native AI channel tools pitched</x:v>
      </x:c>
      <x:c r="V666" s="8" t="str">
        <x:v>No AI reading/training</x:v>
      </x:c>
      <x:c r="W666" s="8" t="str">
        <x:v>Optional apps/integrations</x:v>
      </x:c>
      <x:c r="X666" s="8" t="str">
        <x:v>None</x:v>
      </x:c>
      <x:c r="Y666" s="8" t="str">
        <x:v>No prominent generative AI feature</x:v>
      </x:c>
      <x:c r="Z666" s="8" t="str">
        <x:v>None</x:v>
      </x:c>
      <x:c r="AA666" s="8" t="str">
        <x:v>No prominent native generative-AI feature verified</x:v>
      </x:c>
      <x:c r="AB666" s="8" t="str">
        <x:v>No prominent native generative AI verified</x:v>
      </x:c>
      <x:c r="AC666" s="9" t="str">
        <x:v>None verified</x:v>
      </x:c>
      <x:c r="AD666" s="8" t="str">
        <x:v>No native AI verified</x:v>
      </x:c>
      <x:c r="AE666" s="8" t="str">
        <x:v>Game-specific AI features</x:v>
      </x:c>
      <x:c r="AF666" s="8" t="str">
        <x:v>None</x:v>
      </x:c>
      <x:c r="AG666" s="8" t="str">
        <x:v>None required</x:v>
      </x:c>
      <x:c r="AH666" s="14" t="n">
        <x:v>3</x:v>
      </x:c>
      <x:c r="AI666" s="15" t="str">
        <x:v>Shared metric: At a Glance: Native AI Features | AI &amp; Data Use Detail: Native AI Features</x:v>
      </x:c>
    </x:row>
    <x:row r="667" ht="45">
      <x:c r="A667" s="12" t="str">
        <x:v>AI &amp; Data Use Detail</x:v>
      </x:c>
      <x:c r="B667" s="13" t="str">
        <x:v>Native Generative AI?</x:v>
      </x:c>
      <x:c r="C667" s="8" t="str">
        <x:v>Yes</x:v>
      </x:c>
      <x:c r="D667" s="8" t="str">
        <x:v>No</x:v>
      </x:c>
      <x:c r="E667" s="8" t="str">
        <x:v>No</x:v>
      </x:c>
      <x:c r="F667" s="8" t="str">
        <x:v>No</x:v>
      </x:c>
      <x:c r="G667" s="8" t="str">
        <x:v>No</x:v>
      </x:c>
      <x:c r="H667" s="8" t="str">
        <x:v>No</x:v>
      </x:c>
      <x:c r="I667" s="8" t="str">
        <x:v>No</x:v>
      </x:c>
      <x:c r="J667" s="8" t="str">
        <x:v>No</x:v>
      </x:c>
      <x:c r="K667" s="8" t="str">
        <x:v>No</x:v>
      </x:c>
      <x:c r="L667" s="8" t="str">
        <x:v>None</x:v>
      </x:c>
      <x:c r="M667" s="8" t="str">
        <x:v>No</x:v>
      </x:c>
      <x:c r="N667" s="8"/>
      <x:c r="O667" s="8" t="str">
        <x:v>No</x:v>
      </x:c>
      <x:c r="P667" s="8" t="str">
        <x:v>Yes</x:v>
      </x:c>
      <x:c r="Q667" s="8" t="str">
        <x:v>Yes</x:v>
      </x:c>
      <x:c r="R667" s="8" t="str">
        <x:v>No</x:v>
      </x:c>
      <x:c r="S667" s="8" t="str">
        <x:v>No</x:v>
      </x:c>
      <x:c r="T667" s="8" t="str">
        <x:v>No</x:v>
      </x:c>
      <x:c r="U667" s="8" t="str">
        <x:v>No</x:v>
      </x:c>
      <x:c r="V667" s="8" t="str">
        <x:v>No</x:v>
      </x:c>
      <x:c r="W667" s="8" t="str">
        <x:v>Yes</x:v>
      </x:c>
      <x:c r="X667" s="8" t="str">
        <x:v>No</x:v>
      </x:c>
      <x:c r="Y667" s="8" t="str">
        <x:v>No</x:v>
      </x:c>
      <x:c r="Z667" s="8" t="str">
        <x:v>No</x:v>
      </x:c>
      <x:c r="AA667" s="8" t="str">
        <x:v>No</x:v>
      </x:c>
      <x:c r="AB667" s="8" t="str">
        <x:v>No</x:v>
      </x:c>
      <x:c r="AC667" s="9" t="str">
        <x:v>No</x:v>
      </x:c>
      <x:c r="AD667" s="8" t="str">
        <x:v>No</x:v>
      </x:c>
      <x:c r="AE667" s="8" t="str">
        <x:v>Yes</x:v>
      </x:c>
      <x:c r="AF667" s="8" t="str">
        <x:v>No</x:v>
      </x:c>
      <x:c r="AG667" s="8" t="str">
        <x:v>No</x:v>
      </x:c>
      <x:c r="AH667" s="14" t="n">
        <x:v>4</x:v>
      </x:c>
      <x:c r="AI667" s="15" t="str">
        <x:v>Shared metric: AI Policy &amp; Transparency: Native Generative AI? | AI &amp; Data Use Detail: Native Generative AI?</x:v>
      </x:c>
    </x:row>
    <x:row r="668">
      <x:c r="A668" s="12" t="str">
        <x:v>AI &amp; Data Use Detail</x:v>
      </x:c>
      <x:c r="B668" s="13" t="str">
        <x:v>Message Summaries?</x:v>
      </x:c>
      <x:c r="C668" s="8" t="str">
        <x:v>Yes</x:v>
      </x:c>
      <x:c r="D668" s="8"/>
      <x:c r="E668" s="8"/>
      <x:c r="F668" s="8"/>
      <x:c r="G668" s="8"/>
      <x:c r="H668" s="8"/>
      <x:c r="I668" s="8"/>
      <x:c r="J668" s="8"/>
      <x:c r="K668" s="8"/>
      <x:c r="L668" s="8" t="str">
        <x:v>None</x:v>
      </x:c>
      <x:c r="M668" s="8"/>
      <x:c r="N668" s="8"/>
      <x:c r="O668" s="8"/>
      <x:c r="P668" s="8"/>
      <x:c r="Q668" s="8" t="str">
        <x:v>Yes</x:v>
      </x:c>
      <x:c r="R668" s="8"/>
      <x:c r="S668" s="8"/>
      <x:c r="T668" s="8"/>
      <x:c r="U668" s="8"/>
      <x:c r="V668" s="8" t="str">
        <x:v>No</x:v>
      </x:c>
      <x:c r="W668" s="8"/>
      <x:c r="X668" s="8"/>
      <x:c r="Y668" s="8"/>
      <x:c r="Z668" s="8"/>
      <x:c r="AA668" s="8"/>
      <x:c r="AB668" s="8"/>
      <x:c r="AC668" s="9"/>
      <x:c r="AD668" s="8"/>
      <x:c r="AE668" s="8"/>
      <x:c r="AF668" s="8"/>
      <x:c r="AG668" s="8"/>
      <x:c r="AH668" s="14" t="n">
        <x:v>5</x:v>
      </x:c>
      <x:c r="AI668" s="15" t="str">
        <x:v>Canonical source for AI &amp; Data Use Detail!5</x:v>
      </x:c>
    </x:row>
    <x:row r="669">
      <x:c r="A669" s="12" t="str">
        <x:v>AI &amp; Data Use Detail</x:v>
      </x:c>
      <x:c r="B669" s="13" t="str">
        <x:v>Voice Summaries?</x:v>
      </x:c>
      <x:c r="C669" s="8"/>
      <x:c r="D669" s="8"/>
      <x:c r="E669" s="8"/>
      <x:c r="F669" s="8"/>
      <x:c r="G669" s="8"/>
      <x:c r="H669" s="8"/>
      <x:c r="I669" s="8"/>
      <x:c r="J669" s="8"/>
      <x:c r="K669" s="8"/>
      <x:c r="L669" s="8" t="str">
        <x:v>None</x:v>
      </x:c>
      <x:c r="M669" s="8"/>
      <x:c r="N669" s="8"/>
      <x:c r="O669" s="8"/>
      <x:c r="P669" s="8"/>
      <x:c r="Q669" s="8" t="str">
        <x:v>Yes</x:v>
      </x:c>
      <x:c r="R669" s="8"/>
      <x:c r="S669" s="8"/>
      <x:c r="T669" s="8"/>
      <x:c r="U669" s="8"/>
      <x:c r="V669" s="8" t="str">
        <x:v>No</x:v>
      </x:c>
      <x:c r="W669" s="8"/>
      <x:c r="X669" s="8"/>
      <x:c r="Y669" s="8"/>
      <x:c r="Z669" s="8"/>
      <x:c r="AA669" s="8"/>
      <x:c r="AB669" s="8"/>
      <x:c r="AC669" s="9"/>
      <x:c r="AD669" s="8"/>
      <x:c r="AE669" s="8"/>
      <x:c r="AF669" s="8"/>
      <x:c r="AG669" s="8"/>
      <x:c r="AH669" s="14" t="n">
        <x:v>6</x:v>
      </x:c>
      <x:c r="AI669" s="15" t="str">
        <x:v>Canonical source for AI &amp; Data Use Detail!6</x:v>
      </x:c>
    </x:row>
    <x:row r="670" ht="30">
      <x:c r="A670" s="12" t="str">
        <x:v>AI &amp; Data Use Detail</x:v>
      </x:c>
      <x:c r="B670" s="13" t="str">
        <x:v>AI Search?</x:v>
      </x:c>
      <x:c r="C670" s="8"/>
      <x:c r="D670" s="8"/>
      <x:c r="E670" s="8"/>
      <x:c r="F670" s="8"/>
      <x:c r="G670" s="8"/>
      <x:c r="H670" s="8"/>
      <x:c r="I670" s="8"/>
      <x:c r="J670" s="8"/>
      <x:c r="K670" s="8"/>
      <x:c r="L670" s="8" t="str">
        <x:v>None</x:v>
      </x:c>
      <x:c r="M670" s="8"/>
      <x:c r="N670" s="8"/>
      <x:c r="O670" s="8"/>
      <x:c r="P670" s="8" t="str">
        <x:v>Yes</x:v>
      </x:c>
      <x:c r="Q670" s="8"/>
      <x:c r="R670" s="8"/>
      <x:c r="S670" s="8"/>
      <x:c r="T670" s="8"/>
      <x:c r="U670" s="8"/>
      <x:c r="V670" s="8" t="str">
        <x:v>No</x:v>
      </x:c>
      <x:c r="W670" s="8"/>
      <x:c r="X670" s="8"/>
      <x:c r="Y670" s="8"/>
      <x:c r="Z670" s="8"/>
      <x:c r="AA670" s="8"/>
      <x:c r="AB670" s="8"/>
      <x:c r="AC670" s="9"/>
      <x:c r="AD670" s="8"/>
      <x:c r="AE670" s="8"/>
      <x:c r="AF670" s="8"/>
      <x:c r="AG670" s="8"/>
      <x:c r="AH670" s="14" t="n">
        <x:v>7</x:v>
      </x:c>
      <x:c r="AI670" s="15" t="str">
        <x:v>Shared metric: AI Policy &amp; Transparency: AI Search? | AI &amp; Data Use Detail: AI Search?</x:v>
      </x:c>
    </x:row>
    <x:row r="671">
      <x:c r="A671" s="12" t="str">
        <x:v>AI &amp; Data Use Detail</x:v>
      </x:c>
      <x:c r="B671" s="13" t="str">
        <x:v>AI Bots / Agents?</x:v>
      </x:c>
      <x:c r="C671" s="8"/>
      <x:c r="D671" s="8"/>
      <x:c r="E671" s="8"/>
      <x:c r="F671" s="8"/>
      <x:c r="G671" s="8"/>
      <x:c r="H671" s="8"/>
      <x:c r="I671" s="8"/>
      <x:c r="J671" s="8"/>
      <x:c r="K671" s="8"/>
      <x:c r="L671" s="8" t="str">
        <x:v>None</x:v>
      </x:c>
      <x:c r="M671" s="8"/>
      <x:c r="N671" s="8"/>
      <x:c r="O671" s="8"/>
      <x:c r="P671" s="8" t="str">
        <x:v>Yes</x:v>
      </x:c>
      <x:c r="Q671" s="8" t="str">
        <x:v>Yes</x:v>
      </x:c>
      <x:c r="R671" s="8"/>
      <x:c r="S671" s="8"/>
      <x:c r="T671" s="8"/>
      <x:c r="U671" s="8"/>
      <x:c r="V671" s="8" t="str">
        <x:v>No</x:v>
      </x:c>
      <x:c r="W671" s="8"/>
      <x:c r="X671" s="8"/>
      <x:c r="Y671" s="8"/>
      <x:c r="Z671" s="8"/>
      <x:c r="AA671" s="8"/>
      <x:c r="AB671" s="8"/>
      <x:c r="AC671" s="9"/>
      <x:c r="AD671" s="8"/>
      <x:c r="AE671" s="8"/>
      <x:c r="AF671" s="8"/>
      <x:c r="AG671" s="8"/>
      <x:c r="AH671" s="14" t="n">
        <x:v>8</x:v>
      </x:c>
      <x:c r="AI671" s="15" t="str">
        <x:v>Canonical source for AI &amp; Data Use Detail!8</x:v>
      </x:c>
    </x:row>
    <x:row r="672" ht="45">
      <x:c r="A672" s="12" t="str">
        <x:v>AI &amp; Data Use Detail</x:v>
      </x:c>
      <x:c r="B672" s="13" t="str">
        <x:v>AI Moderation?</x:v>
      </x:c>
      <x:c r="C672" s="8" t="str">
        <x:v>Yes</x:v>
      </x:c>
      <x:c r="D672" s="8"/>
      <x:c r="E672" s="8"/>
      <x:c r="F672" s="8"/>
      <x:c r="G672" s="8"/>
      <x:c r="H672" s="8"/>
      <x:c r="I672" s="8"/>
      <x:c r="J672" s="8"/>
      <x:c r="K672" s="8"/>
      <x:c r="L672" s="8" t="str">
        <x:v>None</x:v>
      </x:c>
      <x:c r="M672" s="8"/>
      <x:c r="N672" s="8"/>
      <x:c r="O672" s="8"/>
      <x:c r="P672" s="8"/>
      <x:c r="Q672" s="8" t="str">
        <x:v>Yes</x:v>
      </x:c>
      <x:c r="R672" s="8"/>
      <x:c r="S672" s="8"/>
      <x:c r="T672" s="8"/>
      <x:c r="U672" s="8"/>
      <x:c r="V672" s="8" t="str">
        <x:v>No</x:v>
      </x:c>
      <x:c r="W672" s="8"/>
      <x:c r="X672" s="8"/>
      <x:c r="Y672" s="8"/>
      <x:c r="Z672" s="8"/>
      <x:c r="AA672" s="8"/>
      <x:c r="AB672" s="8"/>
      <x:c r="AC672" s="9"/>
      <x:c r="AD672" s="8"/>
      <x:c r="AE672" s="8"/>
      <x:c r="AF672" s="8"/>
      <x:c r="AG672" s="8"/>
      <x:c r="AH672" s="14" t="n">
        <x:v>9</x:v>
      </x:c>
      <x:c r="AI672" s="15" t="str">
        <x:v>Shared metric: AI Policy &amp; Transparency: AI Moderation? | AI &amp; Data Use Detail: AI Moderation?</x:v>
      </x:c>
    </x:row>
    <x:row r="673" ht="30">
      <x:c r="A673" s="12" t="str">
        <x:v>AI &amp; Data Use Detail</x:v>
      </x:c>
      <x:c r="B673" s="13" t="str">
        <x:v>AI Translation?</x:v>
      </x:c>
      <x:c r="C673" s="8"/>
      <x:c r="D673" s="8"/>
      <x:c r="E673" s="8"/>
      <x:c r="F673" s="8"/>
      <x:c r="G673" s="8"/>
      <x:c r="H673" s="8"/>
      <x:c r="I673" s="8"/>
      <x:c r="J673" s="8"/>
      <x:c r="K673" s="8"/>
      <x:c r="L673" s="8" t="str">
        <x:v>None</x:v>
      </x:c>
      <x:c r="M673" s="8"/>
      <x:c r="N673" s="8" t="str">
        <x:v>Yes</x:v>
      </x:c>
      <x:c r="O673" s="8"/>
      <x:c r="P673" s="8"/>
      <x:c r="Q673" s="8" t="str">
        <x:v>Yes</x:v>
      </x:c>
      <x:c r="R673" s="8"/>
      <x:c r="S673" s="8"/>
      <x:c r="T673" s="8"/>
      <x:c r="U673" s="8"/>
      <x:c r="V673" s="8" t="str">
        <x:v>No</x:v>
      </x:c>
      <x:c r="W673" s="8"/>
      <x:c r="X673" s="8"/>
      <x:c r="Y673" s="8"/>
      <x:c r="Z673" s="8"/>
      <x:c r="AA673" s="8"/>
      <x:c r="AB673" s="8"/>
      <x:c r="AC673" s="9"/>
      <x:c r="AD673" s="8"/>
      <x:c r="AE673" s="8"/>
      <x:c r="AF673" s="8"/>
      <x:c r="AG673" s="8"/>
      <x:c r="AH673" s="14" t="n">
        <x:v>10</x:v>
      </x:c>
      <x:c r="AI673" s="15" t="str">
        <x:v>Shared metric: AI Policy &amp; Transparency: AI Translation? | AI &amp; Data Use Detail: AI Translation?</x:v>
      </x:c>
    </x:row>
    <x:row r="674" ht="45">
      <x:c r="A674" s="12" t="str">
        <x:v>AI &amp; Data Use Detail</x:v>
      </x:c>
      <x:c r="B674" s="13" t="str">
        <x:v>AI Transcription?</x:v>
      </x:c>
      <x:c r="C674" s="8"/>
      <x:c r="D674" s="8"/>
      <x:c r="E674" s="8"/>
      <x:c r="F674" s="8"/>
      <x:c r="G674" s="8"/>
      <x:c r="H674" s="8"/>
      <x:c r="I674" s="8"/>
      <x:c r="J674" s="8"/>
      <x:c r="K674" s="8"/>
      <x:c r="L674" s="8" t="str">
        <x:v>None</x:v>
      </x:c>
      <x:c r="M674" s="8"/>
      <x:c r="N674" s="8" t="str">
        <x:v>Yes</x:v>
      </x:c>
      <x:c r="O674" s="8"/>
      <x:c r="P674" s="8"/>
      <x:c r="Q674" s="8" t="str">
        <x:v>Yes</x:v>
      </x:c>
      <x:c r="R674" s="8"/>
      <x:c r="S674" s="8"/>
      <x:c r="T674" s="8"/>
      <x:c r="U674" s="8"/>
      <x:c r="V674" s="8" t="str">
        <x:v>No</x:v>
      </x:c>
      <x:c r="W674" s="8"/>
      <x:c r="X674" s="8"/>
      <x:c r="Y674" s="8"/>
      <x:c r="Z674" s="8"/>
      <x:c r="AA674" s="8"/>
      <x:c r="AB674" s="8"/>
      <x:c r="AC674" s="9"/>
      <x:c r="AD674" s="8"/>
      <x:c r="AE674" s="8"/>
      <x:c r="AF674" s="8"/>
      <x:c r="AG674" s="8"/>
      <x:c r="AH674" s="14" t="n">
        <x:v>11</x:v>
      </x:c>
      <x:c r="AI674" s="15" t="str">
        <x:v>Shared metric: AI Policy &amp; Transparency: AI Transcription? | AI &amp; Data Use Detail: AI Transcription?</x:v>
      </x:c>
    </x:row>
    <x:row r="675" ht="90">
      <x:c r="A675" s="12" t="str">
        <x:v>AI &amp; Data Use Detail</x:v>
      </x:c>
      <x:c r="B675" s="13" t="str">
        <x:v>User Messages Used for Model Training?</x:v>
      </x:c>
      <x:c r="C675" s="8" t="str">
        <x:v>No: Discord says it does not allow AI companies to train models using user messages; voice/video is generally not stored</x:v>
      </x:c>
      <x:c r="D675" s="8" t="str">
        <x:v>No central content owner; encrypted content</x:v>
      </x:c>
      <x:c r="E675" s="8" t="str">
        <x:v>Self-host/operator controlled</x:v>
      </x:c>
      <x:c r="F675" s="8"/>
      <x:c r="G675" s="8"/>
      <x:c r="H675" s="8" t="str">
        <x:v>No: privacy policy explicitly forbids use for training/evaluation</x:v>
      </x:c>
      <x:c r="I675" s="8"/>
      <x:c r="J675" s="8" t="str">
        <x:v>N/A/self-host</x:v>
      </x:c>
      <x:c r="K675" s="8" t="str">
        <x:v>No server-readable plaintext</x:v>
      </x:c>
      <x:c r="L675" s="8" t="str">
        <x:v>No (developer statement)</x:v>
      </x:c>
      <x:c r="M675" s="8" t="str">
        <x:v>No behavioral tracking; training policy not explicitly verified</x:v>
      </x:c>
      <x:c r="N675" s="8"/>
      <x:c r="O675" s="8" t="str">
        <x:v>No single Matrix-wide data controller; training policy depends on homeserver/client provider</x:v>
      </x:c>
      <x:c r="P675" s="8" t="str">
        <x:v>Policy/deployment/provider-dependent; self-host can keep data controlled</x:v>
      </x:c>
      <x:c r="Q675" s="8"/>
      <x:c r="R675" s="8" t="str">
        <x:v>No central service/model training; self-hosted</x:v>
      </x:c>
      <x:c r="S675" s="8"/>
      <x:c r="T675" s="8"/>
      <x:c r="U675" s="8" t="str">
        <x:v>Not publicly claimed; website robots.txt Content Signal says ai-train=no</x:v>
      </x:c>
      <x:c r="V675" s="8" t="str">
        <x:v>No: site says messages/uploads never train AI</x:v>
      </x:c>
      <x:c r="W675" s="8"/>
      <x:c r="X675" s="8" t="str">
        <x:v>Provider/project dependent</x:v>
      </x:c>
      <x:c r="Y675" s="8" t="str">
        <x:v>No: privacy policy states content is not used to train AI models</x:v>
      </x:c>
      <x:c r="Z675" s="8" t="str">
        <x:v>Self-hosted operator-controlled; no central training policy</x:v>
      </x:c>
      <x:c r="AA675" s="8"/>
      <x:c r="AB675" s="8"/>
      <x:c r="AC675" s="9"/>
      <x:c r="AD675" s="8"/>
      <x:c r="AE675" s="8"/>
      <x:c r="AF675" s="8" t="str">
        <x:v>No model training claim; content stays on operator server</x:v>
      </x:c>
      <x:c r="AG675" s="8" t="str">
        <x:v>Cloud/provider policy; no general claim of training user content found here</x:v>
      </x:c>
      <x:c r="AH675" s="14" t="n">
        <x:v>13</x:v>
      </x:c>
      <x:c r="AI675" s="15" t="str">
        <x:v>Canonical source for AI &amp; Data Use Detail!13</x:v>
      </x:c>
    </x:row>
    <x:row r="676" ht="90">
      <x:c r="A676" s="12" t="str">
        <x:v>AI &amp; Data Use Detail</x:v>
      </x:c>
      <x:c r="B676" s="13" t="str">
        <x:v>Voice Used for Model Training?</x:v>
      </x:c>
      <x:c r="C676" s="8" t="str">
        <x:v>No: Discord says it does not allow AI companies to train models using user messages; voice/video is generally not stored</x:v>
      </x:c>
      <x:c r="D676" s="8"/>
      <x:c r="E676" s="8"/>
      <x:c r="F676" s="8"/>
      <x:c r="G676" s="8"/>
      <x:c r="H676" s="8"/>
      <x:c r="I676" s="8"/>
      <x:c r="J676" s="8"/>
      <x:c r="K676" s="8"/>
      <x:c r="L676" s="8" t="str">
        <x:v>No (developer statement)</x:v>
      </x:c>
      <x:c r="M676" s="8"/>
      <x:c r="N676" s="8"/>
      <x:c r="O676" s="8"/>
      <x:c r="P676" s="8"/>
      <x:c r="Q676" s="8"/>
      <x:c r="R676" s="8"/>
      <x:c r="S676" s="8"/>
      <x:c r="T676" s="8"/>
      <x:c r="U676" s="8" t="str">
        <x:v>Not publicly claimed</x:v>
      </x:c>
      <x:c r="V676" s="8" t="str">
        <x:v>No: site says messages/uploads never train AI</x:v>
      </x:c>
      <x:c r="W676" s="8"/>
      <x:c r="X676" s="8"/>
      <x:c r="Y676" s="8"/>
      <x:c r="Z676" s="8"/>
      <x:c r="AA676" s="8"/>
      <x:c r="AB676" s="8"/>
      <x:c r="AC676" s="9"/>
      <x:c r="AD676" s="8"/>
      <x:c r="AE676" s="8"/>
      <x:c r="AF676" s="8"/>
      <x:c r="AG676" s="8"/>
      <x:c r="AH676" s="14" t="n">
        <x:v>14</x:v>
      </x:c>
      <x:c r="AI676" s="15" t="str">
        <x:v>Canonical source for AI &amp; Data Use Detail!14</x:v>
      </x:c>
    </x:row>
    <x:row r="677" ht="60">
      <x:c r="A677" s="12" t="str">
        <x:v>AI &amp; Data Use Detail</x:v>
      </x:c>
      <x:c r="B677" s="13" t="str">
        <x:v>Files Used for Model Training?</x:v>
      </x:c>
      <x:c r="C677" s="8"/>
      <x:c r="D677" s="8" t="str">
        <x:v>No central content owner; encrypted content</x:v>
      </x:c>
      <x:c r="E677" s="8"/>
      <x:c r="F677" s="8"/>
      <x:c r="G677" s="8"/>
      <x:c r="H677" s="8"/>
      <x:c r="I677" s="8"/>
      <x:c r="J677" s="8"/>
      <x:c r="K677" s="8"/>
      <x:c r="L677" s="8" t="str">
        <x:v>No (developer statement)</x:v>
      </x:c>
      <x:c r="M677" s="8"/>
      <x:c r="N677" s="8"/>
      <x:c r="O677" s="8"/>
      <x:c r="P677" s="8"/>
      <x:c r="Q677" s="8"/>
      <x:c r="R677" s="8"/>
      <x:c r="S677" s="8"/>
      <x:c r="T677" s="8"/>
      <x:c r="U677" s="8" t="str">
        <x:v>Not publicly claimed</x:v>
      </x:c>
      <x:c r="V677" s="8" t="str">
        <x:v>No: site says messages/uploads never train AI</x:v>
      </x:c>
      <x:c r="W677" s="8"/>
      <x:c r="X677" s="8"/>
      <x:c r="Y677" s="8" t="str">
        <x:v>No: privacy policy states content is not used to train AI models</x:v>
      </x:c>
      <x:c r="Z677" s="8"/>
      <x:c r="AA677" s="8"/>
      <x:c r="AB677" s="8"/>
      <x:c r="AC677" s="9"/>
      <x:c r="AD677" s="8"/>
      <x:c r="AE677" s="8"/>
      <x:c r="AF677" s="8" t="str">
        <x:v>No model training claim; content stays on operator server</x:v>
      </x:c>
      <x:c r="AG677" s="8" t="str">
        <x:v>Cloud/provider policy; no general claim of training user content found here</x:v>
      </x:c>
      <x:c r="AH677" s="14" t="n">
        <x:v>15</x:v>
      </x:c>
      <x:c r="AI677" s="15" t="str">
        <x:v>Canonical source for AI &amp; Data Use Detail!15</x:v>
      </x:c>
    </x:row>
    <x:row r="678" ht="120">
      <x:c r="A678" s="12" t="str">
        <x:v>AI &amp; Data Use Detail</x:v>
      </x:c>
      <x:c r="B678" s="13" t="str">
        <x:v>Training Consent Model</x:v>
      </x:c>
      <x:c r="C678" s="8" t="str">
        <x:v>None for third-party model training (not permitted); experimental AI features may have separate visibility/privacy controls</x:v>
      </x:c>
      <x:c r="D678" s="8" t="str">
        <x:v>N/A</x:v>
      </x:c>
      <x:c r="E678" s="8" t="str">
        <x:v>N/A</x:v>
      </x:c>
      <x:c r="F678" s="8"/>
      <x:c r="G678" s="8"/>
      <x:c r="H678" s="8" t="str">
        <x:v>None: not used for training</x:v>
      </x:c>
      <x:c r="I678" s="8"/>
      <x:c r="J678" s="8" t="str">
        <x:v>None</x:v>
      </x:c>
      <x:c r="K678" s="8" t="str">
        <x:v>N/A</x:v>
      </x:c>
      <x:c r="L678" s="8" t="str">
        <x:v>None: project states it does not train on user data</x:v>
      </x:c>
      <x:c r="M678" s="8"/>
      <x:c r="N678" s="8"/>
      <x:c r="O678" s="8" t="str">
        <x:v>Provider-specific</x:v>
      </x:c>
      <x:c r="P678" s="8" t="str">
        <x:v>Deployment/provider-specific</x:v>
      </x:c>
      <x:c r="Q678" s="8"/>
      <x:c r="R678" s="8" t="str">
        <x:v>N/A</x:v>
      </x:c>
      <x:c r="S678" s="8"/>
      <x:c r="T678" s="8"/>
      <x:c r="U678" s="8" t="str">
        <x:v>Website Content Signal: ai-train=no; no separate user-chat training consent model stated</x:v>
      </x:c>
      <x:c r="V678" s="8" t="str">
        <x:v>None</x:v>
      </x:c>
      <x:c r="W678" s="8" t="str">
        <x:v>Deployment/provider-specific</x:v>
      </x:c>
      <x:c r="X678" s="8"/>
      <x:c r="Y678" s="8" t="str">
        <x:v>None for training</x:v>
      </x:c>
      <x:c r="Z678" s="8" t="str">
        <x:v>Operator-dependent</x:v>
      </x:c>
      <x:c r="AA678" s="8"/>
      <x:c r="AB678" s="8"/>
      <x:c r="AC678" s="9"/>
      <x:c r="AD678" s="8"/>
      <x:c r="AE678" s="8"/>
      <x:c r="AF678" s="8" t="str">
        <x:v>N/A</x:v>
      </x:c>
      <x:c r="AG678" s="8"/>
      <x:c r="AH678" s="14" t="n">
        <x:v>16</x:v>
      </x:c>
      <x:c r="AI678" s="15" t="str">
        <x:v>Canonical source for AI &amp; Data Use Detail!16</x:v>
      </x:c>
    </x:row>
    <x:row r="679" ht="45">
      <x:c r="A679" s="12" t="str">
        <x:v>AI &amp; Data Use Detail</x:v>
      </x:c>
      <x:c r="B679" s="13" t="str">
        <x:v>Third-Party AI Providers?</x:v>
      </x:c>
      <x:c r="C679" s="8"/>
      <x:c r="D679" s="8"/>
      <x:c r="E679" s="8"/>
      <x:c r="F679" s="8"/>
      <x:c r="G679" s="8"/>
      <x:c r="H679" s="8"/>
      <x:c r="I679" s="8"/>
      <x:c r="J679" s="8"/>
      <x:c r="K679" s="8"/>
      <x:c r="L679" s="8" t="str">
        <x:v>Not disclosed</x:v>
      </x:c>
      <x:c r="M679" s="8"/>
      <x:c r="N679" s="8"/>
      <x:c r="O679" s="8" t="str">
        <x:v>Provider/deployment-specific</x:v>
      </x:c>
      <x:c r="P679" s="8" t="str">
        <x:v>Provider/deployment-specific</x:v>
      </x:c>
      <x:c r="Q679" s="8"/>
      <x:c r="R679" s="8"/>
      <x:c r="S679" s="8"/>
      <x:c r="T679" s="8"/>
      <x:c r="U679" s="8"/>
      <x:c r="V679" s="8" t="str">
        <x:v>None</x:v>
      </x:c>
      <x:c r="W679" s="8" t="str">
        <x:v>Provider/deployment-specific</x:v>
      </x:c>
      <x:c r="X679" s="8"/>
      <x:c r="Y679" s="8"/>
      <x:c r="Z679" s="8"/>
      <x:c r="AA679" s="8"/>
      <x:c r="AB679" s="8"/>
      <x:c r="AC679" s="9"/>
      <x:c r="AD679" s="8"/>
      <x:c r="AE679" s="8"/>
      <x:c r="AF679" s="8"/>
      <x:c r="AG679" s="8"/>
      <x:c r="AH679" s="14" t="n">
        <x:v>17</x:v>
      </x:c>
      <x:c r="AI679" s="15" t="str">
        <x:v>Shared metric: AI Policy &amp; Transparency: Third-Party AI Providers? | AI &amp; Data Use Detail: Third-Party AI Providers?</x:v>
      </x:c>
    </x:row>
    <x:row r="680" ht="45">
      <x:c r="A680" s="12" t="str">
        <x:v>AI &amp; Data Use Detail</x:v>
      </x:c>
      <x:c r="B680" s="13" t="str">
        <x:v>AI Features Can Be Disabled?</x:v>
      </x:c>
      <x:c r="C680" s="8"/>
      <x:c r="D680" s="8"/>
      <x:c r="E680" s="8"/>
      <x:c r="F680" s="8"/>
      <x:c r="G680" s="8"/>
      <x:c r="H680" s="8"/>
      <x:c r="I680" s="8"/>
      <x:c r="J680" s="8"/>
      <x:c r="K680" s="8"/>
      <x:c r="L680" s="8" t="str">
        <x:v>No user-facing AI features; not applicable</x:v>
      </x:c>
      <x:c r="M680" s="8"/>
      <x:c r="N680" s="8"/>
      <x:c r="O680" s="8"/>
      <x:c r="P680" s="8"/>
      <x:c r="Q680" s="8"/>
      <x:c r="R680" s="8"/>
      <x:c r="S680" s="8"/>
      <x:c r="T680" s="8"/>
      <x:c r="U680" s="8"/>
      <x:c r="V680" s="8" t="str">
        <x:v>N/A</x:v>
      </x:c>
      <x:c r="W680" s="8"/>
      <x:c r="X680" s="8"/>
      <x:c r="Y680" s="8"/>
      <x:c r="Z680" s="8"/>
      <x:c r="AA680" s="8"/>
      <x:c r="AB680" s="8"/>
      <x:c r="AC680" s="9"/>
      <x:c r="AD680" s="8"/>
      <x:c r="AE680" s="8"/>
      <x:c r="AF680" s="8"/>
      <x:c r="AG680" s="8"/>
      <x:c r="AH680" s="14" t="n">
        <x:v>19</x:v>
      </x:c>
      <x:c r="AI680" s="15" t="str">
        <x:v>Shared metric: AI Policy &amp; Transparency: AI Features Can Be Disabled? | AI &amp; Data Use Detail: AI Features Can Be Disabled?</x:v>
      </x:c>
    </x:row>
    <x:row r="681" ht="105">
      <x:c r="A681" s="12" t="str">
        <x:v>AI &amp; Data Use Detail</x:v>
      </x:c>
      <x:c r="B681" s="13" t="str">
        <x:v>AI-Assisted Development Disclosed?</x:v>
      </x:c>
      <x:c r="C681" s="8"/>
      <x:c r="D681" s="8"/>
      <x:c r="E681" s="8"/>
      <x:c r="F681" s="8"/>
      <x:c r="G681" s="8"/>
      <x:c r="H681" s="8" t="str">
        <x:v>No percentage published</x:v>
      </x:c>
      <x:c r="I681" s="8"/>
      <x:c r="J681" s="8" t="str">
        <x:v>Fermi explicitly bans AI-generated code</x:v>
      </x:c>
      <x:c r="K681" s="8" t="str">
        <x:v>Developer publicly discloses Claude use for development tooling</x:v>
      </x:c>
      <x:c r="L681" s="8" t="str">
        <x:v>AI is used to speed development; primary developer retains architectural decisions and reviews AI-written code (developer statement)</x:v>
      </x:c>
      <x:c r="M681" s="8"/>
      <x:c r="N681" s="8" t="str">
        <x:v>AI models used for translation/transcription disclosed</x:v>
      </x:c>
      <x:c r="O681" s="8" t="str">
        <x:v>Provider-specific</x:v>
      </x:c>
      <x:c r="P681" s="8"/>
      <x:c r="Q681" s="8" t="str">
        <x:v>Publicly discloses AI-powered features</x:v>
      </x:c>
      <x:c r="R681" s="8" t="str">
        <x:v>N/A</x:v>
      </x:c>
      <x:c r="S681" s="8"/>
      <x:c r="T681" s="8"/>
      <x:c r="U681" s="8" t="str">
        <x:v>Built in the open; no 'zero AI in codebase' claim</x:v>
      </x:c>
      <x:c r="V681" s="8" t="str">
        <x:v>Yes: public FAQ</x:v>
      </x:c>
      <x:c r="W681" s="8"/>
      <x:c r="X681" s="8"/>
      <x:c r="Y681" s="8"/>
      <x:c r="Z681" s="8"/>
      <x:c r="AA681" s="8"/>
      <x:c r="AB681" s="8"/>
      <x:c r="AC681" s="9"/>
      <x:c r="AD681" s="8"/>
      <x:c r="AE681" s="8" t="str">
        <x:v>AI is product-feature specific, not general chat summarization</x:v>
      </x:c>
      <x:c r="AF681" s="8" t="str">
        <x:v>Privacy-first/no surveillance model</x:v>
      </x:c>
      <x:c r="AG681" s="8"/>
      <x:c r="AH681" s="14" t="n">
        <x:v>20</x:v>
      </x:c>
      <x:c r="AI681" s="15" t="str">
        <x:v>Canonical source for AI &amp; Data Use Detail!20</x:v>
      </x:c>
    </x:row>
    <x:row r="682" ht="105">
      <x:c r="A682" s="12" t="str">
        <x:v>AI &amp; Data Use Detail</x:v>
      </x:c>
      <x:c r="B682" s="13" t="str">
        <x:v>AI Code Contribution Policy</x:v>
      </x:c>
      <x:c r="C682" s="8"/>
      <x:c r="D682" s="8"/>
      <x:c r="E682" s="8"/>
      <x:c r="F682" s="8"/>
      <x:c r="G682" s="8"/>
      <x:c r="H682" s="8"/>
      <x:c r="I682" s="8"/>
      <x:c r="J682" s="8" t="str">
        <x:v>AI-generated code banned in Fermi contributions</x:v>
      </x:c>
      <x:c r="K682" s="8"/>
      <x:c r="L682" s="8" t="str">
        <x:v>AI is used to speed development; primary developer retains architectural decisions and reviews AI-written code (developer statement)</x:v>
      </x:c>
      <x:c r="M682" s="8"/>
      <x:c r="N682" s="8"/>
      <x:c r="O682" s="8"/>
      <x:c r="P682" s="8"/>
      <x:c r="Q682" s="8"/>
      <x:c r="R682" s="8"/>
      <x:c r="S682" s="8"/>
      <x:c r="T682" s="8"/>
      <x:c r="U682" s="8" t="str">
        <x:v>No zero-AI development policy claimed</x:v>
      </x:c>
      <x:c r="V682" s="8"/>
      <x:c r="W682" s="8"/>
      <x:c r="X682" s="8"/>
      <x:c r="Y682" s="8"/>
      <x:c r="Z682" s="8"/>
      <x:c r="AA682" s="8"/>
      <x:c r="AB682" s="8"/>
      <x:c r="AC682" s="9"/>
      <x:c r="AD682" s="8"/>
      <x:c r="AE682" s="8"/>
      <x:c r="AF682" s="8"/>
      <x:c r="AG682" s="8"/>
      <x:c r="AH682" s="14" t="n">
        <x:v>21</x:v>
      </x:c>
      <x:c r="AI682" s="15" t="str">
        <x:v>Canonical source for AI &amp; Data Use Detail!21</x:v>
      </x:c>
    </x:row>
    <x:row r="683" ht="30">
      <x:c r="A683" s="12" t="str">
        <x:v>AI &amp; Data Use Detail</x:v>
      </x:c>
      <x:c r="B683" s="13" t="str">
        <x:v>AI Development % Published?</x:v>
      </x:c>
      <x:c r="C683" s="8"/>
      <x:c r="D683" s="8"/>
      <x:c r="E683" s="8"/>
      <x:c r="F683" s="8"/>
      <x:c r="G683" s="8"/>
      <x:c r="H683" s="8"/>
      <x:c r="I683" s="8"/>
      <x:c r="J683" s="8" t="str">
        <x:v>0% allowed by Fermi contribution policy</x:v>
      </x:c>
      <x:c r="K683" s="8"/>
      <x:c r="L683" s="8" t="str">
        <x:v>Not published</x:v>
      </x:c>
      <x:c r="M683" s="8"/>
      <x:c r="N683" s="8"/>
      <x:c r="O683" s="8"/>
      <x:c r="P683" s="8"/>
      <x:c r="Q683" s="8"/>
      <x:c r="R683" s="8" t="str">
        <x:v>N/A</x:v>
      </x:c>
      <x:c r="S683" s="8"/>
      <x:c r="T683" s="8"/>
      <x:c r="U683" s="8" t="str">
        <x:v>No</x:v>
      </x:c>
      <x:c r="V683" s="8"/>
      <x:c r="W683" s="8"/>
      <x:c r="X683" s="8"/>
      <x:c r="Y683" s="8"/>
      <x:c r="Z683" s="8"/>
      <x:c r="AA683" s="8"/>
      <x:c r="AB683" s="8"/>
      <x:c r="AC683" s="9"/>
      <x:c r="AD683" s="8"/>
      <x:c r="AE683" s="8"/>
      <x:c r="AF683" s="8"/>
      <x:c r="AG683" s="8"/>
      <x:c r="AH683" s="14" t="n">
        <x:v>22</x:v>
      </x:c>
      <x:c r="AI683" s="15" t="str">
        <x:v>Canonical source for AI &amp; Data Use Detail!22</x:v>
      </x:c>
    </x:row>
    <x:row r="684" ht="120">
      <x:c r="A684" s="12" t="str">
        <x:v>AI &amp; Data Use Detail</x:v>
      </x:c>
      <x:c r="B684" s="13" t="str">
        <x:v>AI / Data Use Notes</x:v>
      </x:c>
      <x:c r="C684" s="8"/>
      <x:c r="D684" s="8"/>
      <x:c r="E684" s="8"/>
      <x:c r="F684" s="8"/>
      <x:c r="G684" s="8"/>
      <x:c r="H684" s="8" t="str">
        <x:v>No percentage published</x:v>
      </x:c>
      <x:c r="I684" s="8"/>
      <x:c r="J684" s="8" t="str">
        <x:v>Fermi explicitly bans AI-generated code</x:v>
      </x:c>
      <x:c r="K684" s="8" t="str">
        <x:v>Developer publicly discloses Claude use for development tooling</x:v>
      </x:c>
      <x:c r="L684" s="8" t="str">
        <x:v>No native AI-product governance layer; user data is not used for model training per developer statement</x:v>
      </x:c>
      <x:c r="M684" s="8"/>
      <x:c r="N684" s="8" t="str">
        <x:v>AI models used for translation/transcription disclosed</x:v>
      </x:c>
      <x:c r="O684" s="8" t="str">
        <x:v>Provider-specific</x:v>
      </x:c>
      <x:c r="P684" s="8"/>
      <x:c r="Q684" s="8" t="str">
        <x:v>Publicly discloses AI-powered features</x:v>
      </x:c>
      <x:c r="R684" s="8" t="str">
        <x:v>N/A</x:v>
      </x:c>
      <x:c r="S684" s="8"/>
      <x:c r="T684" s="8"/>
      <x:c r="U684" s="8"/>
      <x:c r="V684" s="8" t="str">
        <x:v>Rift says messages/uploads are not used to train AI; FAQ says AI is used for parts of code development and reviewed by a developer.</x:v>
      </x:c>
      <x:c r="W684" s="8"/>
      <x:c r="X684" s="8"/>
      <x:c r="Y684" s="8"/>
      <x:c r="Z684" s="8"/>
      <x:c r="AA684" s="8"/>
      <x:c r="AB684" s="8"/>
      <x:c r="AC684" s="9"/>
      <x:c r="AD684" s="8"/>
      <x:c r="AE684" s="8" t="str">
        <x:v>AI is product-feature specific, not general chat summarization</x:v>
      </x:c>
      <x:c r="AF684" s="8" t="str">
        <x:v>Privacy-first/no surveillance model</x:v>
      </x:c>
      <x:c r="AG684" s="8"/>
      <x:c r="AH684" s="14" t="n">
        <x:v>24</x:v>
      </x:c>
      <x:c r="AI684" s="15" t="str">
        <x:v>Canonical source for AI &amp; Data Use Detail!24</x:v>
      </x:c>
    </x:row>
    <x:row r="685" ht="75">
      <x:c r="A685" s="12" t="str">
        <x:v>AI &amp; Data Use Detail</x:v>
      </x:c>
      <x:c r="B685" s="13" t="str">
        <x:v>AI Feature Data Retention Published?</x:v>
      </x:c>
      <x:c r="C685" s="8"/>
      <x:c r="D685" s="8"/>
      <x:c r="E685" s="8"/>
      <x:c r="F685" s="8"/>
      <x:c r="G685" s="8"/>
      <x:c r="H685" s="8"/>
      <x:c r="I685" s="8"/>
      <x:c r="J685" s="8"/>
      <x:c r="K685" s="8"/>
      <x:c r="L685" s="8" t="str">
        <x:v>No AI feature data-retention policy needed because no native AI feature is documented</x:v>
      </x:c>
      <x:c r="M685" s="8"/>
      <x:c r="N685" s="8"/>
      <x:c r="O685" s="8"/>
      <x:c r="P685" s="8"/>
      <x:c r="Q685" s="8"/>
      <x:c r="R685" s="8"/>
      <x:c r="S685" s="8"/>
      <x:c r="T685" s="8"/>
      <x:c r="U685" s="8"/>
      <x:c r="V685" s="8"/>
      <x:c r="W685" s="8"/>
      <x:c r="X685" s="8"/>
      <x:c r="Y685" s="8"/>
      <x:c r="Z685" s="8"/>
      <x:c r="AA685" s="8"/>
      <x:c r="AB685" s="8"/>
      <x:c r="AC685" s="9"/>
      <x:c r="AD685" s="8"/>
      <x:c r="AE685" s="8"/>
      <x:c r="AF685" s="8"/>
      <x:c r="AG685" s="8"/>
      <x:c r="AH685" s="14" t="n">
        <x:v>26</x:v>
      </x:c>
      <x:c r="AI685" s="15" t="str">
        <x:v>Canonical source for AI &amp; Data Use Detail!26</x:v>
      </x:c>
    </x:row>
    <x:row r="686" ht="45">
      <x:c r="A686" s="12" t="str">
        <x:v>AI &amp; Data Use Detail</x:v>
      </x:c>
      <x:c r="B686" s="13" t="str">
        <x:v>Human Review of AI Outputs / Flags?</x:v>
      </x:c>
      <x:c r="C686" s="8"/>
      <x:c r="D686" s="8"/>
      <x:c r="E686" s="8"/>
      <x:c r="F686" s="8"/>
      <x:c r="G686" s="8"/>
      <x:c r="H686" s="8"/>
      <x:c r="I686" s="8"/>
      <x:c r="J686" s="8"/>
      <x:c r="K686" s="8"/>
      <x:c r="L686" s="8" t="str">
        <x:v>Developer manually reviews AI-written code</x:v>
      </x:c>
      <x:c r="M686" s="8"/>
      <x:c r="N686" s="8"/>
      <x:c r="O686" s="8"/>
      <x:c r="P686" s="8"/>
      <x:c r="Q686" s="8"/>
      <x:c r="R686" s="8"/>
      <x:c r="S686" s="8"/>
      <x:c r="T686" s="8"/>
      <x:c r="U686" s="8"/>
      <x:c r="V686" s="8"/>
      <x:c r="W686" s="8"/>
      <x:c r="X686" s="8"/>
      <x:c r="Y686" s="8"/>
      <x:c r="Z686" s="8"/>
      <x:c r="AA686" s="8"/>
      <x:c r="AB686" s="8"/>
      <x:c r="AC686" s="9"/>
      <x:c r="AD686" s="8"/>
      <x:c r="AE686" s="8"/>
      <x:c r="AF686" s="8"/>
      <x:c r="AG686" s="8"/>
      <x:c r="AH686" s="14" t="n">
        <x:v>27</x:v>
      </x:c>
      <x:c r="AI686" s="15" t="str">
        <x:v>Canonical source for AI &amp; Data Use Detail!27</x:v>
      </x:c>
    </x:row>
    <x:row r="687" ht="30">
      <x:c r="A687" s="12" t="str">
        <x:v>AI &amp; Data Use Detail</x:v>
      </x:c>
      <x:c r="B687" s="13" t="str">
        <x:v>Enterprise / Admin AI Disable Controls?</x:v>
      </x:c>
      <x:c r="C687" s="8"/>
      <x:c r="D687" s="8"/>
      <x:c r="E687" s="8"/>
      <x:c r="F687" s="8"/>
      <x:c r="G687" s="8"/>
      <x:c r="H687" s="8"/>
      <x:c r="I687" s="8"/>
      <x:c r="J687" s="8"/>
      <x:c r="K687" s="8"/>
      <x:c r="L687" s="8" t="str">
        <x:v>N/A: no native AI feature set</x:v>
      </x:c>
      <x:c r="M687" s="8"/>
      <x:c r="N687" s="8"/>
      <x:c r="O687" s="8"/>
      <x:c r="P687" s="8" t="str">
        <x:v>Deployment/plugin dependent</x:v>
      </x:c>
      <x:c r="Q687" s="8"/>
      <x:c r="R687" s="8"/>
      <x:c r="S687" s="8"/>
      <x:c r="T687" s="8"/>
      <x:c r="U687" s="8"/>
      <x:c r="V687" s="8"/>
      <x:c r="W687" s="8"/>
      <x:c r="X687" s="8"/>
      <x:c r="Y687" s="8"/>
      <x:c r="Z687" s="8"/>
      <x:c r="AA687" s="8"/>
      <x:c r="AB687" s="8"/>
      <x:c r="AC687" s="9"/>
      <x:c r="AD687" s="8"/>
      <x:c r="AE687" s="8"/>
      <x:c r="AF687" s="8"/>
      <x:c r="AG687" s="8"/>
      <x:c r="AH687" s="14" t="n">
        <x:v>28</x:v>
      </x:c>
      <x:c r="AI687" s="15" t="str">
        <x:v>Canonical source for AI &amp; Data Use Detail!28</x:v>
      </x:c>
    </x:row>
    <x:row r="688" ht="30">
      <x:c r="A688" s="12" t="str">
        <x:v>AI &amp; Data Use Detail</x:v>
      </x:c>
      <x:c r="B688" s="13" t="str">
        <x:v>AI-Generated Content Labeling?</x:v>
      </x:c>
      <x:c r="C688" s="8"/>
      <x:c r="D688" s="8"/>
      <x:c r="E688" s="8"/>
      <x:c r="F688" s="8"/>
      <x:c r="G688" s="8"/>
      <x:c r="H688" s="8"/>
      <x:c r="I688" s="8"/>
      <x:c r="J688" s="8"/>
      <x:c r="K688" s="8"/>
      <x:c r="L688" s="8" t="str">
        <x:v>N/A: no native AI feature set</x:v>
      </x:c>
      <x:c r="M688" s="8"/>
      <x:c r="N688" s="8"/>
      <x:c r="O688" s="8"/>
      <x:c r="P688" s="8"/>
      <x:c r="Q688" s="8"/>
      <x:c r="R688" s="8"/>
      <x:c r="S688" s="8"/>
      <x:c r="T688" s="8"/>
      <x:c r="U688" s="8"/>
      <x:c r="V688" s="8"/>
      <x:c r="W688" s="8"/>
      <x:c r="X688" s="8"/>
      <x:c r="Y688" s="8"/>
      <x:c r="Z688" s="8"/>
      <x:c r="AA688" s="8"/>
      <x:c r="AB688" s="8"/>
      <x:c r="AC688" s="9"/>
      <x:c r="AD688" s="8"/>
      <x:c r="AE688" s="8"/>
      <x:c r="AF688" s="8"/>
      <x:c r="AG688" s="8"/>
      <x:c r="AH688" s="14" t="n">
        <x:v>29</x:v>
      </x:c>
      <x:c r="AI688" s="15" t="str">
        <x:v>Canonical source for AI &amp; Data Use Detail!29</x:v>
      </x:c>
    </x:row>
    <x:row r="689" ht="90">
      <x:c r="A689" s="12" t="str">
        <x:v>Business Model &amp; Sustainability</x:v>
      </x:c>
      <x:c r="B689" s="13" t="str">
        <x:v>Primary Funding Source (Self-Funded / Donations / VC / Enterprise)</x:v>
      </x:c>
      <x:c r="C689" s="8" t="str">
        <x:v>VC-backed private company + operating revenue from subscriptions, paid products, and sponsored content</x:v>
      </x:c>
      <x:c r="D689" s="8" t="str">
        <x:v>Open-source/community project</x:v>
      </x:c>
      <x:c r="E689" s="8" t="str">
        <x:v>Donation/community funded; no investors</x:v>
      </x:c>
      <x:c r="F689" s="8" t="str">
        <x:v>Small private team</x:v>
      </x:c>
      <x:c r="G689" s="8"/>
      <x:c r="H689" s="8" t="str">
        <x:v>Subscribers + donors; explicitly no VC/outside investors</x:v>
      </x:c>
      <x:c r="I689" s="8" t="str">
        <x:v>Self-funded; LightSpeed Gaming LLC</x:v>
      </x:c>
      <x:c r="J689" s="8" t="str">
        <x:v>Volunteer/open-source</x:v>
      </x:c>
      <x:c r="K689" s="8" t="str">
        <x:v>Solo/open-source project</x:v>
      </x:c>
      <x:c r="L689" s="8" t="str">
        <x:v>Self-funded from developer's other apps/services and day job (developer report)</x:v>
      </x:c>
      <x:c r="M689" s="8" t="str">
        <x:v>Community/passion project</x:v>
      </x:c>
      <x:c r="N689" s="8"/>
      <x:c r="O689" s="8" t="str">
        <x:v>Matrix.org Foundation + ecosystem companies/donations/managed hosting</x:v>
      </x:c>
      <x:c r="P689" s="8" t="str">
        <x:v>VC/enterprise-backed commercial company + product revenue</x:v>
      </x:c>
      <x:c r="Q689" s="8" t="str">
        <x:v>Company-backed</x:v>
      </x:c>
      <x:c r="R689" s="8" t="str">
        <x:v>Community open-source project</x:v>
      </x:c>
      <x:c r="S689" s="8" t="str">
        <x:v>Donations</x:v>
      </x:c>
      <x:c r="T689" s="8"/>
      <x:c r="U689" s="8" t="str">
        <x:v>Optional donations; independently run; not VC-backed</x:v>
      </x:c>
      <x:c r="V689" s="8" t="str">
        <x:v>Self Funded</x:v>
      </x:c>
      <x:c r="W689" s="8" t="str">
        <x:v>VC/enterprise company + subscriptions</x:v>
      </x:c>
      <x:c r="X689" s="8" t="str">
        <x:v>Open-source/community project</x:v>
      </x:c>
      <x:c r="Y689" s="8"/>
      <x:c r="Z689" s="8" t="str">
        <x:v>Community open-source project</x:v>
      </x:c>
      <x:c r="AA689" s="8"/>
      <x:c r="AB689" s="8" t="str">
        <x:v>Commercial company</x:v>
      </x:c>
      <x:c r="AC689" s="9" t="str">
        <x:v>Volunteer/no corporate funding + subscriptions/Patreon</x:v>
      </x:c>
      <x:c r="AD689" s="8" t="str">
        <x:v>Founder/community project</x:v>
      </x:c>
      <x:c r="AE689" s="8" t="str">
        <x:v>Solo/private project</x:v>
      </x:c>
      <x:c r="AF689" s="8" t="str">
        <x:v>Paid licensing + managed hosting</x:v>
      </x:c>
      <x:c r="AG689" s="8" t="str">
        <x:v>Independent company + subscriptions/support; no VC per project messaging</x:v>
      </x:c>
      <x:c r="AH689" s="14" t="n">
        <x:v>3</x:v>
      </x:c>
      <x:c r="AI689" s="15" t="str">
        <x:v>Canonical source for Business Model &amp; Sustainability!3</x:v>
      </x:c>
    </x:row>
    <x:row r="690" ht="90">
      <x:c r="A690" s="12" t="str">
        <x:v>Business Model &amp; Sustainability</x:v>
      </x:c>
      <x:c r="B690" s="13" t="str">
        <x:v>Monetization Strategy (Free / Nitro-Style Cosmetics / Hosted / Enterprise)</x:v>
      </x:c>
      <x:c r="C690" s="8" t="str">
        <x:v>Freemium; Nitro/Nitro Basic, Server Boosts, Shop/paid products, sponsored content/Quests</x:v>
      </x:c>
      <x:c r="D690" s="8" t="str">
        <x:v>Free/open source; hosting/relay costs</x:v>
      </x:c>
      <x:c r="E690" s="8" t="str">
        <x:v>Free open-source self-hosting</x:v>
      </x:c>
      <x:c r="F690" s="8"/>
      <x:c r="G690" s="8" t="str">
        <x:v>Freemium; planned Surge $4.99, Flare $9.99, higher creator tier</x:v>
      </x:c>
      <x:c r="H690" s="8" t="str">
        <x:v>Freemium + Plutonium subscription + donations</x:v>
      </x:c>
      <x:c r="I690" s="8" t="str">
        <x:v>Free hosted use + paid server tiers/self-host licensing</x:v>
      </x:c>
      <x:c r="J690" s="8" t="str">
        <x:v>Free/open source</x:v>
      </x:c>
      <x:c r="K690" s="8" t="str">
        <x:v>Free/open-source; relay/code-signing costs borne by developer</x:v>
      </x:c>
      <x:c r="L690" s="8" t="str">
        <x:v>Free/currently unmonetized; future monetization planned but not yet defined</x:v>
      </x:c>
      <x:c r="M690" s="8"/>
      <x:c r="N690" s="8"/>
      <x:c r="O690" s="8" t="str">
        <x:v>Open protocol; hosted homeservers/enterprise services sold by providers</x:v>
      </x:c>
      <x:c r="P690" s="8" t="str">
        <x:v>Self-hosted/cloud enterprise subscriptions + free/open editions</x:v>
      </x:c>
      <x:c r="Q690" s="8" t="str">
        <x:v>Free; no paywalls claimed</x:v>
      </x:c>
      <x:c r="R690" s="8" t="str">
        <x:v>Free open-source; commercial hosting by third parties</x:v>
      </x:c>
      <x:c r="S690" s="8" t="str">
        <x:v>Free / donation-funded</x:v>
      </x:c>
      <x:c r="T690" s="8"/>
      <x:c r="U690" s="8" t="str">
        <x:v>Free hosted service + optional donations + AGPL self-host</x:v>
      </x:c>
      <x:c r="V690" s="8" t="str">
        <x:v>Rift+ &amp; Shard Forge/Ember</x:v>
      </x:c>
      <x:c r="W690" s="8" t="str">
        <x:v>Cloud + enterprise/self-managed subscriptions + open-source core</x:v>
      </x:c>
      <x:c r="X690" s="8" t="str">
        <x:v>Free/open-source</x:v>
      </x:c>
      <x:c r="Y690" s="8" t="str">
        <x:v>Freemium + Sudo subscription / paid perks + developer ecosystem</x:v>
      </x:c>
      <x:c r="Z690" s="8" t="str">
        <x:v>Free self-hosted software</x:v>
      </x:c>
      <x:c r="AA690" s="8"/>
      <x:c r="AB690" s="8" t="str">
        <x:v>Free client/use tiers + server licensing/hosted/community options</x:v>
      </x:c>
      <x:c r="AC690" s="9" t="str">
        <x:v>Free + optional Stargazer subscriptions</x:v>
      </x:c>
      <x:c r="AD690" s="8"/>
      <x:c r="AE690" s="8" t="str">
        <x:v>Core free; private lobby/crew hosting tier ~$6/month; custom builds</x:v>
      </x:c>
      <x:c r="AF690" s="8" t="str">
        <x:v>Self-host server license + optional hosted trial/service</x:v>
      </x:c>
      <x:c r="AG690" s="8" t="str">
        <x:v>Cloud subscriptions + paid self-host support; open-source free self-host</x:v>
      </x:c>
      <x:c r="AH690" s="14" t="n">
        <x:v>4</x:v>
      </x:c>
      <x:c r="AI690" s="15" t="str">
        <x:v>Canonical source for Business Model &amp; Sustainability!4</x:v>
      </x:c>
    </x:row>
    <x:row r="691" ht="105">
      <x:c r="A691" s="12" t="str">
        <x:v>Business Model &amp; Sustainability</x:v>
      </x:c>
      <x:c r="B691" s="13" t="str">
        <x:v>Cosmetic Subscription Perks (Nitro-Equivalent)</x:v>
      </x:c>
      <x:c r="C691" s="8" t="str">
        <x:v>Yes: Nitro/Nitro Basic; cosmetics, emoji/stickers, themes, larger uploads, HD streaming; Nitro includes boosts</x:v>
      </x:c>
      <x:c r="D691" s="8" t="str">
        <x:v>No</x:v>
      </x:c>
      <x:c r="E691" s="8" t="str">
        <x:v>No</x:v>
      </x:c>
      <x:c r="F691" s="8"/>
      <x:c r="G691" s="8" t="str">
        <x:v>Paid tiers planned</x:v>
      </x:c>
      <x:c r="H691" s="8" t="str">
        <x:v>Plutonium perks including higher upload/streaming limits</x:v>
      </x:c>
      <x:c r="I691" s="8" t="str">
        <x:v>Paid server tiers/quality upgrades</x:v>
      </x:c>
      <x:c r="J691" s="8" t="str">
        <x:v>No</x:v>
      </x:c>
      <x:c r="K691" s="8" t="str">
        <x:v>No</x:v>
      </x:c>
      <x:c r="L691" s="8" t="str">
        <x:v>No current paid cosmetic subscription</x:v>
      </x:c>
      <x:c r="M691" s="8" t="str">
        <x:v>No ads</x:v>
      </x:c>
      <x:c r="N691" s="8"/>
      <x:c r="O691" s="8" t="str">
        <x:v>Client/provider-specific</x:v>
      </x:c>
      <x:c r="P691" s="8" t="str">
        <x:v>N/A</x:v>
      </x:c>
      <x:c r="Q691" s="8" t="str">
        <x:v>No Nitro-style paywall</x:v>
      </x:c>
      <x:c r="R691" s="8" t="str">
        <x:v>N/A</x:v>
      </x:c>
      <x:c r="S691" s="8" t="str">
        <x:v>No Nitro-style requirement known</x:v>
      </x:c>
      <x:c r="T691" s="8"/>
      <x:c r="U691" s="8" t="str">
        <x:v>None: donations unlock nothing</x:v>
      </x:c>
      <x:c r="V691" s="8" t="str">
        <x:v>Yes: Rift+ includes animated avatar/banner, themes, badge, Atmosphere, companion skins</x:v>
      </x:c>
      <x:c r="W691" s="8" t="str">
        <x:v>N/A</x:v>
      </x:c>
      <x:c r="X691" s="8" t="str">
        <x:v>No</x:v>
      </x:c>
      <x:c r="Y691" s="8"/>
      <x:c r="Z691" s="8" t="str">
        <x:v>N/A</x:v>
      </x:c>
      <x:c r="AA691" s="8"/>
      <x:c r="AB691" s="8"/>
      <x:c r="AC691" s="9" t="str">
        <x:v>Stargazer upload/profile perks</x:v>
      </x:c>
      <x:c r="AD691" s="8"/>
      <x:c r="AE691" s="8" t="str">
        <x:v>Paid own lobby/custom</x:v>
      </x:c>
      <x:c r="AF691" s="8" t="str">
        <x:v>No per-user Nitro focus</x:v>
      </x:c>
      <x:c r="AG691" s="8" t="str">
        <x:v>N/A</x:v>
      </x:c>
      <x:c r="AH691" s="14" t="n">
        <x:v>5</x:v>
      </x:c>
      <x:c r="AI691" s="15" t="str">
        <x:v>Canonical source for Business Model &amp; Sustainability!5</x:v>
      </x:c>
    </x:row>
    <x:row r="692" ht="60">
      <x:c r="A692" s="12" t="str">
        <x:v>Business Model &amp; Sustainability</x:v>
      </x:c>
      <x:c r="B692" s="13" t="str">
        <x:v>Self-Hosting Minimum Hardware (RAM / CPU per 100 users)</x:v>
      </x:c>
      <x:c r="C692" s="8" t="str">
        <x:v>N/A: official self-hosting unsupported</x:v>
      </x:c>
      <x:c r="D692" s="8" t="str">
        <x:v>Relay resource dependent</x:v>
      </x:c>
      <x:c r="E692" s="8" t="str">
        <x:v>Operator hardware</x:v>
      </x:c>
      <x:c r="F692" s="8" t="str">
        <x:v>N/A</x:v>
      </x:c>
      <x:c r="G692" s="8" t="str">
        <x:v>N/A: no self-hosting</x:v>
      </x:c>
      <x:c r="H692" s="8"/>
      <x:c r="I692" s="8"/>
      <x:c r="J692" s="8"/>
      <x:c r="K692" s="8" t="str">
        <x:v>Relay ~modest VPS; developer reports very high connection capacity</x:v>
      </x:c>
      <x:c r="L692" s="8" t="str">
        <x:v>≈2 CPU cores / 4 GB RAM for a small instance (developer report)</x:v>
      </x:c>
      <x:c r="M692" s="8" t="str">
        <x:v>N/A</x:v>
      </x:c>
      <x:c r="N692" s="8"/>
      <x:c r="O692" s="8" t="str">
        <x:v>Varies by homeserver implementation/workload</x:v>
      </x:c>
      <x:c r="P692" s="8" t="str">
        <x:v>Varies; official sizing guides available</x:v>
      </x:c>
      <x:c r="Q692" s="8"/>
      <x:c r="R692" s="8"/>
      <x:c r="S692" s="8"/>
      <x:c r="T692" s="8" t="str">
        <x:v>N/A</x:v>
      </x:c>
      <x:c r="U692" s="8"/>
      <x:c r="V692" s="8" t="str">
        <x:v>N/A</x:v>
      </x:c>
      <x:c r="W692" s="8" t="str">
        <x:v>Varies by deployment</x:v>
      </x:c>
      <x:c r="X692" s="8"/>
      <x:c r="Y692" s="8" t="str">
        <x:v>N/A</x:v>
      </x:c>
      <x:c r="Z692" s="8"/>
      <x:c r="AA692" s="8"/>
      <x:c r="AB692" s="8"/>
      <x:c r="AC692" s="9"/>
      <x:c r="AD692" s="8"/>
      <x:c r="AE692" s="8" t="str">
        <x:v>N/A</x:v>
      </x:c>
      <x:c r="AF692" s="8" t="str">
        <x:v>Operator hardware</x:v>
      </x:c>
      <x:c r="AG692" s="8" t="str">
        <x:v>Varies; modest for small teams; official sizing depends deployment</x:v>
      </x:c>
      <x:c r="AH692" s="14" t="n">
        <x:v>6</x:v>
      </x:c>
      <x:c r="AI692" s="15" t="str">
        <x:v>Canonical source for Business Model &amp; Sustainability!6</x:v>
      </x:c>
    </x:row>
    <x:row r="693" ht="30">
      <x:c r="A693" s="12" t="str">
        <x:v>Business Model &amp; Sustainability</x:v>
      </x:c>
      <x:c r="B693" s="13" t="str">
        <x:v>Self-Hosting Hardware Requirements (1,000+ users)</x:v>
      </x:c>
      <x:c r="C693" s="8" t="str">
        <x:v>N/A: official self-hosting unsupported</x:v>
      </x:c>
      <x:c r="D693" s="8" t="str">
        <x:v>Relay resource dependent</x:v>
      </x:c>
      <x:c r="E693" s="8" t="str">
        <x:v>Operator hardware</x:v>
      </x:c>
      <x:c r="F693" s="8" t="str">
        <x:v>N/A</x:v>
      </x:c>
      <x:c r="G693" s="8" t="str">
        <x:v>N/A: no self-hosting</x:v>
      </x:c>
      <x:c r="H693" s="8"/>
      <x:c r="I693" s="8"/>
      <x:c r="J693" s="8"/>
      <x:c r="K693" s="8"/>
      <x:c r="L693" s="8" t="str">
        <x:v>Not published</x:v>
      </x:c>
      <x:c r="M693" s="8" t="str">
        <x:v>N/A</x:v>
      </x:c>
      <x:c r="N693" s="8"/>
      <x:c r="O693" s="8" t="str">
        <x:v>Varies widely</x:v>
      </x:c>
      <x:c r="P693" s="8" t="str">
        <x:v>Varies; official sizing guides available</x:v>
      </x:c>
      <x:c r="Q693" s="8"/>
      <x:c r="R693" s="8"/>
      <x:c r="S693" s="8"/>
      <x:c r="T693" s="8" t="str">
        <x:v>N/A</x:v>
      </x:c>
      <x:c r="U693" s="8"/>
      <x:c r="V693" s="8" t="str">
        <x:v>N/A</x:v>
      </x:c>
      <x:c r="W693" s="8" t="str">
        <x:v>Varies by deployment</x:v>
      </x:c>
      <x:c r="X693" s="8"/>
      <x:c r="Y693" s="8" t="str">
        <x:v>N/A</x:v>
      </x:c>
      <x:c r="Z693" s="8"/>
      <x:c r="AA693" s="8"/>
      <x:c r="AB693" s="8"/>
      <x:c r="AC693" s="9"/>
      <x:c r="AD693" s="8"/>
      <x:c r="AE693" s="8" t="str">
        <x:v>N/A</x:v>
      </x:c>
      <x:c r="AF693" s="8" t="str">
        <x:v>Operator hardware</x:v>
      </x:c>
      <x:c r="AG693" s="8" t="str">
        <x:v>Varies</x:v>
      </x:c>
      <x:c r="AH693" s="14" t="n">
        <x:v>7</x:v>
      </x:c>
      <x:c r="AI693" s="15" t="str">
        <x:v>Canonical source for Business Model &amp; Sustainability!7</x:v>
      </x:c>
    </x:row>
    <x:row r="694" ht="90">
      <x:c r="A694" s="12" t="str">
        <x:v>Business Model &amp; Sustainability</x:v>
      </x:c>
      <x:c r="B694" s="13" t="str">
        <x:v>Financial Longevity / Abandonment Risk</x:v>
      </x:c>
      <x:c r="C694" s="8"/>
      <x:c r="D694" s="8" t="str">
        <x:v>Early but architecture minimizes central hosting dependence</x:v>
      </x:c>
      <x:c r="E694" s="8" t="str">
        <x:v>Active solo-led open-source project</x:v>
      </x:c>
      <x:c r="F694" s="8" t="str">
        <x:v>Early product</x:v>
      </x:c>
      <x:c r="G694" s="8" t="str">
        <x:v>Very early alpha; sustainability depends on adoption/subscriptions</x:v>
      </x:c>
      <x:c r="H694" s="8"/>
      <x:c r="I694" s="8" t="str">
        <x:v>Founder states no investors; long-running voice-hosting background</x:v>
      </x:c>
      <x:c r="J694" s="8" t="str">
        <x:v>Early volunteer project</x:v>
      </x:c>
      <x:c r="K694" s="8" t="str">
        <x:v>Solo-project sustainability risk</x:v>
      </x:c>
      <x:c r="L694" s="8" t="str">
        <x:v>Active/self-funded but solo-developer bus factor is the main sustainability risk</x:v>
      </x:c>
      <x:c r="M694" s="8"/>
      <x:c r="N694" s="8" t="str">
        <x:v>Early-stage</x:v>
      </x:c>
      <x:c r="O694" s="8" t="str">
        <x:v>Protocol longevity supported by open standard + multi-vendor ecosystem; individual providers vary</x:v>
      </x:c>
      <x:c r="P694" s="8"/>
      <x:c r="Q694" s="8" t="str">
        <x:v>Active company/product</x:v>
      </x:c>
      <x:c r="R694" s="8" t="str">
        <x:v>Long-running mature open-source project</x:v>
      </x:c>
      <x:c r="S694" s="8" t="str">
        <x:v>Small hobby project; continuity depends on maintainers/donations</x:v>
      </x:c>
      <x:c r="T694" s="8"/>
      <x:c r="U694" s="8" t="str">
        <x:v>Young beta; independently run; no VC backing claimed</x:v>
      </x:c>
      <x:c r="V694" s="8" t="str">
        <x:v>Early private product</x:v>
      </x:c>
      <x:c r="W694" s="8" t="str">
        <x:v>Established enterprise/open-source vendor</x:v>
      </x:c>
      <x:c r="X694" s="8" t="str">
        <x:v>Experimental project</x:v>
      </x:c>
      <x:c r="Y694" s="8"/>
      <x:c r="Z694" s="8" t="str">
        <x:v>Volunteer-project continuity risk higher than established vendors</x:v>
      </x:c>
      <x:c r="AA694" s="8"/>
      <x:c r="AB694" s="8" t="str">
        <x:v>Mature long-lived commercial product</x:v>
      </x:c>
      <x:c r="AC694" s="9" t="str">
        <x:v>Open-source + optional subscription support</x:v>
      </x:c>
      <x:c r="AD694" s="8" t="str">
        <x:v>Experimental project risk</x:v>
      </x:c>
      <x:c r="AE694" s="8" t="str">
        <x:v>Early solo project</x:v>
      </x:c>
      <x:c r="AF694" s="8" t="str">
        <x:v>Business funded by licenses/hosting</x:v>
      </x:c>
      <x:c r="AG694" s="8" t="str">
        <x:v>Established open-source + commercial support model</x:v>
      </x:c>
      <x:c r="AH694" s="14" t="n">
        <x:v>8</x:v>
      </x:c>
      <x:c r="AI694" s="15" t="str">
        <x:v>Canonical source for Business Model &amp; Sustainability!8</x:v>
      </x:c>
    </x:row>
    <x:row r="695" ht="75">
      <x:c r="A695" s="12" t="str">
        <x:v>Business Model &amp; Sustainability</x:v>
      </x:c>
      <x:c r="B695" s="13" t="str">
        <x:v>Revenue Mix &amp; Pricing Transparency</x:v>
      </x:c>
      <x:c r="C695" s="8"/>
      <x:c r="D695" s="8"/>
      <x:c r="E695" s="8"/>
      <x:c r="F695" s="8"/>
      <x:c r="G695" s="8"/>
      <x:c r="H695" s="8"/>
      <x:c r="I695" s="8"/>
      <x:c r="J695" s="8"/>
      <x:c r="K695" s="8"/>
      <x:c r="L695" s="8" t="str">
        <x:v>No current revenue; funding comes from developer's other businesses/services and employment</x:v>
      </x:c>
      <x:c r="M695" s="8"/>
      <x:c r="N695" s="8"/>
      <x:c r="O695" s="8"/>
      <x:c r="P695" s="8"/>
      <x:c r="Q695" s="8"/>
      <x:c r="R695" s="8"/>
      <x:c r="S695" s="8"/>
      <x:c r="T695" s="8"/>
      <x:c r="U695" s="8" t="str">
        <x:v>Free hosted; donations are optional and unlock nothing; not VC-backed</x:v>
      </x:c>
      <x:c r="V695" s="30" t="str">
        <x:v>Self Funded with Subcriptions in the future</x:v>
      </x:c>
      <x:c r="W695" s="8"/>
      <x:c r="X695" s="8"/>
      <x:c r="Y695" s="8"/>
      <x:c r="Z695" s="8"/>
      <x:c r="AA695" s="8"/>
      <x:c r="AB695" s="8"/>
      <x:c r="AC695" s="9"/>
      <x:c r="AD695" s="8"/>
      <x:c r="AE695" s="8"/>
      <x:c r="AF695" s="8"/>
      <x:c r="AG695" s="8"/>
      <x:c r="AH695" s="14" t="n">
        <x:v>9</x:v>
      </x:c>
      <x:c r="AI695" s="15" t="str">
        <x:v>Canonical source for Business Model &amp; Sustainability!9</x:v>
      </x:c>
    </x:row>
    <x:row r="696" ht="45">
      <x:c r="A696" s="12" t="str">
        <x:v>Business Model &amp; Sustainability</x:v>
      </x:c>
      <x:c r="B696" s="13" t="str">
        <x:v>Free Hosted Tier / Free Use</x:v>
      </x:c>
      <x:c r="C696" s="8" t="str">
        <x:v>Yes</x:v>
      </x:c>
      <x:c r="D696" s="8" t="str">
        <x:v>Yes</x:v>
      </x:c>
      <x:c r="E696" s="8" t="str">
        <x:v>Yes</x:v>
      </x:c>
      <x:c r="F696" s="8"/>
      <x:c r="G696" s="8" t="str">
        <x:v>Yes</x:v>
      </x:c>
      <x:c r="H696" s="8" t="str">
        <x:v>Yes</x:v>
      </x:c>
      <x:c r="I696" s="8" t="str">
        <x:v>Yes</x:v>
      </x:c>
      <x:c r="J696" s="8" t="str">
        <x:v>Yes</x:v>
      </x:c>
      <x:c r="K696" s="8" t="str">
        <x:v>Yes</x:v>
      </x:c>
      <x:c r="L696" s="8" t="str">
        <x:v>Yes: official instance currently free; MIT self-hosting is free</x:v>
      </x:c>
      <x:c r="M696" s="8"/>
      <x:c r="N696" s="8"/>
      <x:c r="O696" s="8" t="str">
        <x:v>Yes</x:v>
      </x:c>
      <x:c r="P696" s="8" t="str">
        <x:v>Yes</x:v>
      </x:c>
      <x:c r="Q696" s="8" t="str">
        <x:v>Yes</x:v>
      </x:c>
      <x:c r="R696" s="8" t="str">
        <x:v>Yes</x:v>
      </x:c>
      <x:c r="S696" s="8" t="str">
        <x:v>Yes</x:v>
      </x:c>
      <x:c r="T696" s="8"/>
      <x:c r="U696" s="8" t="str">
        <x:v>Yes</x:v>
      </x:c>
      <x:c r="V696" s="8" t="str">
        <x:v>Yes</x:v>
      </x:c>
      <x:c r="W696" s="8" t="str">
        <x:v>Yes</x:v>
      </x:c>
      <x:c r="X696" s="8" t="str">
        <x:v>Yes</x:v>
      </x:c>
      <x:c r="Y696" s="8" t="str">
        <x:v>Yes</x:v>
      </x:c>
      <x:c r="Z696" s="8" t="str">
        <x:v>Yes</x:v>
      </x:c>
      <x:c r="AA696" s="8" t="str">
        <x:v>Yes</x:v>
      </x:c>
      <x:c r="AB696" s="8" t="str">
        <x:v>Yes</x:v>
      </x:c>
      <x:c r="AC696" s="9"/>
      <x:c r="AD696" s="8"/>
      <x:c r="AE696" s="8" t="str">
        <x:v>Yes</x:v>
      </x:c>
      <x:c r="AF696" s="8"/>
      <x:c r="AG696" s="8" t="str">
        <x:v>Yes</x:v>
      </x:c>
      <x:c r="AH696" s="14" t="n">
        <x:v>10</x:v>
      </x:c>
      <x:c r="AI696" s="15" t="str">
        <x:v>Canonical source for Business Model &amp; Sustainability!10</x:v>
      </x:c>
    </x:row>
    <x:row r="697" ht="30">
      <x:c r="A697" s="12" t="str">
        <x:v>Business Model &amp; Sustainability</x:v>
      </x:c>
      <x:c r="B697" s="13" t="str">
        <x:v>User Subscription Model</x:v>
      </x:c>
      <x:c r="C697" s="8" t="str">
        <x:v>Yes</x:v>
      </x:c>
      <x:c r="D697" s="8"/>
      <x:c r="E697" s="8"/>
      <x:c r="F697" s="8"/>
      <x:c r="G697" s="8" t="str">
        <x:v>Planned</x:v>
      </x:c>
      <x:c r="H697" s="8" t="str">
        <x:v>Yes</x:v>
      </x:c>
      <x:c r="I697" s="8"/>
      <x:c r="J697" s="8"/>
      <x:c r="K697" s="8"/>
      <x:c r="L697" s="8" t="str">
        <x:v>No current user subscription</x:v>
      </x:c>
      <x:c r="M697" s="8"/>
      <x:c r="N697" s="8"/>
      <x:c r="O697" s="8"/>
      <x:c r="P697" s="8"/>
      <x:c r="Q697" s="8"/>
      <x:c r="R697" s="8"/>
      <x:c r="S697" s="8"/>
      <x:c r="T697" s="8"/>
      <x:c r="U697" s="8" t="str">
        <x:v>No public subscription</x:v>
      </x:c>
      <x:c r="V697" s="8" t="str">
        <x:v>Yes</x:v>
      </x:c>
      <x:c r="W697" s="8"/>
      <x:c r="X697" s="8"/>
      <x:c r="Y697" s="8" t="str">
        <x:v>Yes</x:v>
      </x:c>
      <x:c r="Z697" s="8"/>
      <x:c r="AA697" s="8"/>
      <x:c r="AB697" s="8"/>
      <x:c r="AC697" s="9" t="str">
        <x:v>Yes</x:v>
      </x:c>
      <x:c r="AD697" s="8"/>
      <x:c r="AE697" s="8"/>
      <x:c r="AF697" s="8"/>
      <x:c r="AG697" s="8"/>
      <x:c r="AH697" s="14" t="n">
        <x:v>11</x:v>
      </x:c>
      <x:c r="AI697" s="15" t="str">
        <x:v>Canonical source for Business Model &amp; Sustainability!11</x:v>
      </x:c>
    </x:row>
    <x:row r="698" ht="45">
      <x:c r="A698" s="12" t="str">
        <x:v>Business Model &amp; Sustainability</x:v>
      </x:c>
      <x:c r="B698" s="13" t="str">
        <x:v>Community / Server Subscription</x:v>
      </x:c>
      <x:c r="C698" s="8" t="str">
        <x:v>Yes</x:v>
      </x:c>
      <x:c r="D698" s="8"/>
      <x:c r="E698" s="8"/>
      <x:c r="F698" s="8"/>
      <x:c r="G698" s="8"/>
      <x:c r="H698" s="8"/>
      <x:c r="I698" s="8" t="str">
        <x:v>Yes</x:v>
      </x:c>
      <x:c r="J698" s="8"/>
      <x:c r="K698" s="8"/>
      <x:c r="L698" s="8" t="str">
        <x:v>No current community/server subscription</x:v>
      </x:c>
      <x:c r="M698" s="8"/>
      <x:c r="N698" s="8"/>
      <x:c r="O698" s="8"/>
      <x:c r="P698" s="8"/>
      <x:c r="Q698" s="8"/>
      <x:c r="R698" s="8"/>
      <x:c r="S698" s="8"/>
      <x:c r="T698" s="8"/>
      <x:c r="U698" s="8" t="str">
        <x:v>No public paid community tier</x:v>
      </x:c>
      <x:c r="V698" s="8" t="str">
        <x:v>Yes</x:v>
      </x:c>
      <x:c r="W698" s="8"/>
      <x:c r="X698" s="8"/>
      <x:c r="Y698" s="8"/>
      <x:c r="Z698" s="8"/>
      <x:c r="AA698" s="8"/>
      <x:c r="AB698" s="8" t="str">
        <x:v>Yes</x:v>
      </x:c>
      <x:c r="AC698" s="9"/>
      <x:c r="AD698" s="8"/>
      <x:c r="AE698" s="8" t="str">
        <x:v>Yes</x:v>
      </x:c>
      <x:c r="AF698" s="8"/>
      <x:c r="AG698" s="8"/>
      <x:c r="AH698" s="14" t="n">
        <x:v>12</x:v>
      </x:c>
      <x:c r="AI698" s="15" t="str">
        <x:v>Canonical source for Business Model &amp; Sustainability!12</x:v>
      </x:c>
    </x:row>
    <x:row r="699" ht="30">
      <x:c r="A699" s="12" t="str">
        <x:v>Business Model &amp; Sustainability</x:v>
      </x:c>
      <x:c r="B699" s="13" t="str">
        <x:v>Paid Self-Host License / Support</x:v>
      </x:c>
      <x:c r="C699" s="8" t="str">
        <x:v>No</x:v>
      </x:c>
      <x:c r="D699" s="8" t="str">
        <x:v>No</x:v>
      </x:c>
      <x:c r="E699" s="8" t="str">
        <x:v>No</x:v>
      </x:c>
      <x:c r="F699" s="8" t="str">
        <x:v>No</x:v>
      </x:c>
      <x:c r="G699" s="8" t="str">
        <x:v>No</x:v>
      </x:c>
      <x:c r="H699" s="8" t="str">
        <x:v>No</x:v>
      </x:c>
      <x:c r="I699" s="8" t="str">
        <x:v>Yes</x:v>
      </x:c>
      <x:c r="J699" s="8" t="str">
        <x:v>No</x:v>
      </x:c>
      <x:c r="K699" s="8" t="str">
        <x:v>No</x:v>
      </x:c>
      <x:c r="L699" s="8" t="str">
        <x:v>No: MIT self-hosting</x:v>
      </x:c>
      <x:c r="M699" s="8" t="str">
        <x:v>No</x:v>
      </x:c>
      <x:c r="N699" s="8" t="str">
        <x:v>No</x:v>
      </x:c>
      <x:c r="O699" s="8" t="str">
        <x:v>No</x:v>
      </x:c>
      <x:c r="P699" s="8" t="str">
        <x:v>No</x:v>
      </x:c>
      <x:c r="Q699" s="8" t="str">
        <x:v>No</x:v>
      </x:c>
      <x:c r="R699" s="8" t="str">
        <x:v>No</x:v>
      </x:c>
      <x:c r="S699" s="8" t="str">
        <x:v>No</x:v>
      </x:c>
      <x:c r="T699" s="8" t="str">
        <x:v>No</x:v>
      </x:c>
      <x:c r="U699" s="8" t="str">
        <x:v>No: AGPL-3.0 self-host</x:v>
      </x:c>
      <x:c r="V699" s="8" t="str">
        <x:v>No</x:v>
      </x:c>
      <x:c r="W699" s="8" t="str">
        <x:v>No</x:v>
      </x:c>
      <x:c r="X699" s="8" t="str">
        <x:v>No</x:v>
      </x:c>
      <x:c r="Y699" s="8" t="str">
        <x:v>No</x:v>
      </x:c>
      <x:c r="Z699" s="8" t="str">
        <x:v>No</x:v>
      </x:c>
      <x:c r="AA699" s="8" t="str">
        <x:v>No</x:v>
      </x:c>
      <x:c r="AB699" s="8" t="str">
        <x:v>Yes</x:v>
      </x:c>
      <x:c r="AC699" s="9" t="str">
        <x:v>No</x:v>
      </x:c>
      <x:c r="AD699" s="8" t="str">
        <x:v>No</x:v>
      </x:c>
      <x:c r="AE699" s="8" t="str">
        <x:v>No</x:v>
      </x:c>
      <x:c r="AF699" s="8" t="str">
        <x:v>No</x:v>
      </x:c>
      <x:c r="AG699" s="8" t="str">
        <x:v>Yes</x:v>
      </x:c>
      <x:c r="AH699" s="14" t="n">
        <x:v>13</x:v>
      </x:c>
      <x:c r="AI699" s="15" t="str">
        <x:v>Canonical source for Business Model &amp; Sustainability!13</x:v>
      </x:c>
    </x:row>
    <x:row r="700" ht="45">
      <x:c r="A700" s="12" t="str">
        <x:v>Business Model &amp; Sustainability</x:v>
      </x:c>
      <x:c r="B700" s="13" t="str">
        <x:v>Enterprise / Custom Quote</x:v>
      </x:c>
      <x:c r="C700" s="8"/>
      <x:c r="D700" s="8"/>
      <x:c r="E700" s="8"/>
      <x:c r="F700" s="8"/>
      <x:c r="G700" s="8"/>
      <x:c r="H700" s="8"/>
      <x:c r="I700" s="8"/>
      <x:c r="J700" s="8"/>
      <x:c r="K700" s="8"/>
      <x:c r="L700" s="8" t="str">
        <x:v>No current enterprise/custom quote tier</x:v>
      </x:c>
      <x:c r="M700" s="8"/>
      <x:c r="N700" s="8"/>
      <x:c r="O700" s="8"/>
      <x:c r="P700" s="8" t="str">
        <x:v>Yes</x:v>
      </x:c>
      <x:c r="Q700" s="8"/>
      <x:c r="R700" s="8"/>
      <x:c r="S700" s="8"/>
      <x:c r="T700" s="8"/>
      <x:c r="U700" s="8" t="str">
        <x:v>No public enterprise tier claimed</x:v>
      </x:c>
      <x:c r="V700" s="8" t="str">
        <x:v>N/A</x:v>
      </x:c>
      <x:c r="W700" s="8" t="str">
        <x:v>Yes</x:v>
      </x:c>
      <x:c r="X700" s="8"/>
      <x:c r="Y700" s="8"/>
      <x:c r="Z700" s="8"/>
      <x:c r="AA700" s="8"/>
      <x:c r="AB700" s="8" t="str">
        <x:v>Yes</x:v>
      </x:c>
      <x:c r="AC700" s="9"/>
      <x:c r="AD700" s="8"/>
      <x:c r="AE700" s="8" t="str">
        <x:v>Yes</x:v>
      </x:c>
      <x:c r="AF700" s="8"/>
      <x:c r="AG700" s="8" t="str">
        <x:v>Yes</x:v>
      </x:c>
      <x:c r="AH700" s="14" t="n">
        <x:v>14</x:v>
      </x:c>
      <x:c r="AI700" s="15" t="str">
        <x:v>Canonical source for Business Model &amp; Sustainability!14</x:v>
      </x:c>
    </x:row>
    <x:row r="701" ht="45">
      <x:c r="A701" s="12" t="str">
        <x:v>Business Model &amp; Sustainability</x:v>
      </x:c>
      <x:c r="B701" s="13" t="str">
        <x:v>Advertising / Sponsored Content Revenue</x:v>
      </x:c>
      <x:c r="C701" s="8" t="str">
        <x:v>Yes: sponsored Quests/formats</x:v>
      </x:c>
      <x:c r="D701" s="8"/>
      <x:c r="E701" s="8"/>
      <x:c r="F701" s="8"/>
      <x:c r="G701" s="8"/>
      <x:c r="H701" s="8"/>
      <x:c r="I701" s="8"/>
      <x:c r="J701" s="8"/>
      <x:c r="K701" s="8"/>
      <x:c r="L701" s="8" t="str">
        <x:v>No current advertising/sponsored revenue reported</x:v>
      </x:c>
      <x:c r="M701" s="8"/>
      <x:c r="N701" s="8"/>
      <x:c r="O701" s="8" t="str">
        <x:v>Protocol: N/A / provider-dependent</x:v>
      </x:c>
      <x:c r="P701" s="8"/>
      <x:c r="Q701" s="8"/>
      <x:c r="R701" s="8"/>
      <x:c r="S701" s="8"/>
      <x:c r="T701" s="8"/>
      <x:c r="U701" s="8" t="str">
        <x:v>No advertising revenue model claimed</x:v>
      </x:c>
      <x:c r="V701" s="8" t="str">
        <x:v>No ads</x:v>
      </x:c>
      <x:c r="W701" s="8"/>
      <x:c r="X701" s="8"/>
      <x:c r="Y701" s="8"/>
      <x:c r="Z701" s="8"/>
      <x:c r="AA701" s="8"/>
      <x:c r="AB701" s="8"/>
      <x:c r="AC701" s="9"/>
      <x:c r="AD701" s="8"/>
      <x:c r="AE701" s="8"/>
      <x:c r="AF701" s="8"/>
      <x:c r="AG701" s="8" t="str">
        <x:v>No ad-funded model</x:v>
      </x:c>
      <x:c r="AH701" s="14" t="n">
        <x:v>15</x:v>
      </x:c>
      <x:c r="AI701" s="15" t="str">
        <x:v>Canonical source for Business Model &amp; Sustainability!15</x:v>
      </x:c>
    </x:row>
    <x:row r="702" ht="60">
      <x:c r="A702" s="12" t="str">
        <x:v>Business Model &amp; Sustainability</x:v>
      </x:c>
      <x:c r="B702" s="13" t="str">
        <x:v>Donations / Sponsorship</x:v>
      </x:c>
      <x:c r="C702" s="8"/>
      <x:c r="D702" s="8"/>
      <x:c r="E702" s="8" t="str">
        <x:v>Yes: donations</x:v>
      </x:c>
      <x:c r="F702" s="8"/>
      <x:c r="G702" s="8"/>
      <x:c r="H702" s="8" t="str">
        <x:v>Yes: donations</x:v>
      </x:c>
      <x:c r="I702" s="8"/>
      <x:c r="J702" s="8"/>
      <x:c r="K702" s="8"/>
      <x:c r="L702" s="8" t="str">
        <x:v>No donation model reported as primary funding</x:v>
      </x:c>
      <x:c r="M702" s="8" t="str">
        <x:v>Yes: donations</x:v>
      </x:c>
      <x:c r="N702" s="8"/>
      <x:c r="O702" s="8" t="str">
        <x:v>Foundation donations/sponsorship</x:v>
      </x:c>
      <x:c r="P702" s="8"/>
      <x:c r="Q702" s="8"/>
      <x:c r="R702" s="8"/>
      <x:c r="S702" s="8" t="str">
        <x:v>Yes: donations</x:v>
      </x:c>
      <x:c r="T702" s="8"/>
      <x:c r="U702" s="8" t="str">
        <x:v>Yes: https://pqp.gg/apoie; donations unlock nothing</x:v>
      </x:c>
      <x:c r="V702" s="8" t="str">
        <x:v>No donation model verified</x:v>
      </x:c>
      <x:c r="W702" s="8"/>
      <x:c r="X702" s="8"/>
      <x:c r="Y702" s="8"/>
      <x:c r="Z702" s="8"/>
      <x:c r="AA702" s="8"/>
      <x:c r="AB702" s="8"/>
      <x:c r="AC702" s="9"/>
      <x:c r="AD702" s="8"/>
      <x:c r="AE702" s="8"/>
      <x:c r="AF702" s="8"/>
      <x:c r="AG702" s="8"/>
      <x:c r="AH702" s="14" t="n">
        <x:v>16</x:v>
      </x:c>
      <x:c r="AI702" s="15" t="str">
        <x:v>Canonical source for Business Model &amp; Sustainability!16</x:v>
      </x:c>
    </x:row>
    <x:row r="703" ht="45">
      <x:c r="A703" s="12" t="str">
        <x:v>Pricing Summary</x:v>
      </x:c>
      <x:c r="B703" s="13" t="str">
        <x:v>Free Plan / Free Use Available?</x:v>
      </x:c>
      <x:c r="C703" s="8" t="str">
        <x:v>Yes</x:v>
      </x:c>
      <x:c r="D703" s="8" t="str">
        <x:v>Yes</x:v>
      </x:c>
      <x:c r="E703" s="8" t="str">
        <x:v>Yes</x:v>
      </x:c>
      <x:c r="F703" s="8"/>
      <x:c r="G703" s="8" t="str">
        <x:v>Yes</x:v>
      </x:c>
      <x:c r="H703" s="8" t="str">
        <x:v>Yes</x:v>
      </x:c>
      <x:c r="I703" s="8" t="str">
        <x:v>Yes</x:v>
      </x:c>
      <x:c r="J703" s="8" t="str">
        <x:v>Yes</x:v>
      </x:c>
      <x:c r="K703" s="8" t="str">
        <x:v>Yes</x:v>
      </x:c>
      <x:c r="L703" s="8" t="str">
        <x:v>Yes: official instance currently free; MIT self-hosting is free</x:v>
      </x:c>
      <x:c r="M703" s="8"/>
      <x:c r="N703" s="8"/>
      <x:c r="O703" s="8" t="str">
        <x:v>Yes</x:v>
      </x:c>
      <x:c r="P703" s="8" t="str">
        <x:v>Yes</x:v>
      </x:c>
      <x:c r="Q703" s="8" t="str">
        <x:v>Yes</x:v>
      </x:c>
      <x:c r="R703" s="8" t="str">
        <x:v>Yes</x:v>
      </x:c>
      <x:c r="S703" s="8" t="str">
        <x:v>Yes</x:v>
      </x:c>
      <x:c r="T703" s="8"/>
      <x:c r="U703" s="8" t="str">
        <x:v>Yes</x:v>
      </x:c>
      <x:c r="V703" s="8" t="str">
        <x:v>Yes</x:v>
      </x:c>
      <x:c r="W703" s="8" t="str">
        <x:v>Yes</x:v>
      </x:c>
      <x:c r="X703" s="8" t="str">
        <x:v>Yes</x:v>
      </x:c>
      <x:c r="Y703" s="8" t="str">
        <x:v>Yes</x:v>
      </x:c>
      <x:c r="Z703" s="8" t="str">
        <x:v>Yes</x:v>
      </x:c>
      <x:c r="AA703" s="8" t="str">
        <x:v>Yes</x:v>
      </x:c>
      <x:c r="AB703" s="8" t="str">
        <x:v>Yes</x:v>
      </x:c>
      <x:c r="AC703" s="9"/>
      <x:c r="AD703" s="8"/>
      <x:c r="AE703" s="8" t="str">
        <x:v>Yes</x:v>
      </x:c>
      <x:c r="AF703" s="8"/>
      <x:c r="AG703" s="8" t="str">
        <x:v>Yes</x:v>
      </x:c>
      <x:c r="AH703" s="14" t="n">
        <x:v>3</x:v>
      </x:c>
      <x:c r="AI703" s="15" t="str">
        <x:v>Canonical source for Pricing Summary!3</x:v>
      </x:c>
    </x:row>
    <x:row r="704">
      <x:c r="A704" s="12" t="str">
        <x:v>Pricing Summary</x:v>
      </x:c>
      <x:c r="B704" s="13" t="str">
        <x:v>Public Paid Options Count</x:v>
      </x:c>
      <x:c r="C704" s="8" t="str">
        <x:v>4</x:v>
      </x:c>
      <x:c r="D704" s="8" t="str">
        <x:v>0</x:v>
      </x:c>
      <x:c r="E704" s="8" t="str">
        <x:v>0</x:v>
      </x:c>
      <x:c r="F704" s="8" t="str">
        <x:v>0</x:v>
      </x:c>
      <x:c r="G704" s="8" t="str">
        <x:v>3</x:v>
      </x:c>
      <x:c r="H704" s="8" t="str">
        <x:v>1</x:v>
      </x:c>
      <x:c r="I704" s="8" t="str">
        <x:v>4</x:v>
      </x:c>
      <x:c r="J704" s="8" t="str">
        <x:v>0</x:v>
      </x:c>
      <x:c r="K704" s="8" t="str">
        <x:v>0</x:v>
      </x:c>
      <x:c r="L704" s="8" t="str">
        <x:v>0</x:v>
      </x:c>
      <x:c r="M704" s="8" t="str">
        <x:v>0</x:v>
      </x:c>
      <x:c r="N704" s="8" t="str">
        <x:v>0</x:v>
      </x:c>
      <x:c r="O704" s="8" t="str">
        <x:v>0</x:v>
      </x:c>
      <x:c r="P704" s="8" t="str">
        <x:v>4</x:v>
      </x:c>
      <x:c r="Q704" s="8" t="str">
        <x:v>0</x:v>
      </x:c>
      <x:c r="R704" s="8" t="str">
        <x:v>0</x:v>
      </x:c>
      <x:c r="S704" s="8" t="str">
        <x:v>0</x:v>
      </x:c>
      <x:c r="T704" s="8" t="str">
        <x:v>0</x:v>
      </x:c>
      <x:c r="U704" s="8" t="str">
        <x:v>0</x:v>
      </x:c>
      <x:c r="V704" s="8" t="str">
        <x:v>3</x:v>
      </x:c>
      <x:c r="W704" s="8" t="str">
        <x:v>3</x:v>
      </x:c>
      <x:c r="X704" s="8" t="str">
        <x:v>0</x:v>
      </x:c>
      <x:c r="Y704" s="8" t="str">
        <x:v>1</x:v>
      </x:c>
      <x:c r="Z704" s="8" t="str">
        <x:v>0</x:v>
      </x:c>
      <x:c r="AA704" s="8" t="str">
        <x:v>0</x:v>
      </x:c>
      <x:c r="AB704" s="8" t="str">
        <x:v>10</x:v>
      </x:c>
      <x:c r="AC704" s="9" t="str">
        <x:v>1</x:v>
      </x:c>
      <x:c r="AD704" s="8" t="str">
        <x:v>0</x:v>
      </x:c>
      <x:c r="AE704" s="8" t="str">
        <x:v>5</x:v>
      </x:c>
      <x:c r="AF704" s="8" t="str">
        <x:v>1</x:v>
      </x:c>
      <x:c r="AG704" s="8" t="str">
        <x:v>5</x:v>
      </x:c>
      <x:c r="AH704" s="14" t="n">
        <x:v>4</x:v>
      </x:c>
      <x:c r="AI704" s="15" t="str">
        <x:v>Canonical source for Pricing Summary!4</x:v>
      </x:c>
    </x:row>
    <x:row r="705">
      <x:c r="A705" s="12" t="str">
        <x:v>Pricing Summary</x:v>
      </x:c>
      <x:c r="B705" s="13" t="str">
        <x:v>Active Fixed-Price Options Count</x:v>
      </x:c>
      <x:c r="C705" s="8" t="str">
        <x:v>3</x:v>
      </x:c>
      <x:c r="D705" s="8" t="str">
        <x:v>0</x:v>
      </x:c>
      <x:c r="E705" s="8" t="str">
        <x:v>0</x:v>
      </x:c>
      <x:c r="F705" s="8" t="str">
        <x:v>0</x:v>
      </x:c>
      <x:c r="G705" s="8" t="str">
        <x:v>0</x:v>
      </x:c>
      <x:c r="H705" s="8" t="str">
        <x:v>1</x:v>
      </x:c>
      <x:c r="I705" s="8" t="str">
        <x:v>4</x:v>
      </x:c>
      <x:c r="J705" s="8" t="str">
        <x:v>0</x:v>
      </x:c>
      <x:c r="K705" s="8" t="str">
        <x:v>0</x:v>
      </x:c>
      <x:c r="L705" s="8" t="str">
        <x:v>0</x:v>
      </x:c>
      <x:c r="M705" s="8" t="str">
        <x:v>0</x:v>
      </x:c>
      <x:c r="N705" s="8" t="str">
        <x:v>0</x:v>
      </x:c>
      <x:c r="O705" s="8" t="str">
        <x:v>0</x:v>
      </x:c>
      <x:c r="P705" s="8" t="str">
        <x:v>0</x:v>
      </x:c>
      <x:c r="Q705" s="8" t="str">
        <x:v>0</x:v>
      </x:c>
      <x:c r="R705" s="8" t="str">
        <x:v>0</x:v>
      </x:c>
      <x:c r="S705" s="8" t="str">
        <x:v>0</x:v>
      </x:c>
      <x:c r="T705" s="8" t="str">
        <x:v>0</x:v>
      </x:c>
      <x:c r="U705" s="8" t="str">
        <x:v>0</x:v>
      </x:c>
      <x:c r="V705" s="8" t="str">
        <x:v>3</x:v>
      </x:c>
      <x:c r="W705" s="8" t="str">
        <x:v>0</x:v>
      </x:c>
      <x:c r="X705" s="8" t="str">
        <x:v>0</x:v>
      </x:c>
      <x:c r="Y705" s="8" t="str">
        <x:v>0</x:v>
      </x:c>
      <x:c r="Z705" s="8" t="str">
        <x:v>0</x:v>
      </x:c>
      <x:c r="AA705" s="8" t="str">
        <x:v>0</x:v>
      </x:c>
      <x:c r="AB705" s="8" t="str">
        <x:v>3</x:v>
      </x:c>
      <x:c r="AC705" s="9" t="str">
        <x:v>0</x:v>
      </x:c>
      <x:c r="AD705" s="8" t="str">
        <x:v>0</x:v>
      </x:c>
      <x:c r="AE705" s="8" t="str">
        <x:v>1</x:v>
      </x:c>
      <x:c r="AF705" s="8" t="str">
        <x:v>0</x:v>
      </x:c>
      <x:c r="AG705" s="8" t="str">
        <x:v>4</x:v>
      </x:c>
      <x:c r="AH705" s="14" t="n">
        <x:v>5</x:v>
      </x:c>
      <x:c r="AI705" s="15" t="str">
        <x:v>Canonical source for Pricing Summary!5</x:v>
      </x:c>
    </x:row>
    <x:row r="706">
      <x:c r="A706" s="12" t="str">
        <x:v>Pricing Summary</x:v>
      </x:c>
      <x:c r="B706" s="13" t="str">
        <x:v>Contact-Sales / Quote Options Count</x:v>
      </x:c>
      <x:c r="C706" s="8" t="str">
        <x:v>0</x:v>
      </x:c>
      <x:c r="D706" s="8" t="str">
        <x:v>0</x:v>
      </x:c>
      <x:c r="E706" s="8" t="str">
        <x:v>0</x:v>
      </x:c>
      <x:c r="F706" s="8" t="str">
        <x:v>0</x:v>
      </x:c>
      <x:c r="G706" s="8" t="str">
        <x:v>0</x:v>
      </x:c>
      <x:c r="H706" s="8" t="str">
        <x:v>0</x:v>
      </x:c>
      <x:c r="I706" s="8" t="str">
        <x:v>0</x:v>
      </x:c>
      <x:c r="J706" s="8" t="str">
        <x:v>0</x:v>
      </x:c>
      <x:c r="K706" s="8" t="str">
        <x:v>0</x:v>
      </x:c>
      <x:c r="L706" s="8" t="str">
        <x:v>0</x:v>
      </x:c>
      <x:c r="M706" s="8" t="str">
        <x:v>0</x:v>
      </x:c>
      <x:c r="N706" s="8" t="str">
        <x:v>0</x:v>
      </x:c>
      <x:c r="O706" s="8" t="str">
        <x:v>0</x:v>
      </x:c>
      <x:c r="P706" s="8" t="str">
        <x:v>3</x:v>
      </x:c>
      <x:c r="Q706" s="8" t="str">
        <x:v>0</x:v>
      </x:c>
      <x:c r="R706" s="8" t="str">
        <x:v>0</x:v>
      </x:c>
      <x:c r="S706" s="8" t="str">
        <x:v>0</x:v>
      </x:c>
      <x:c r="T706" s="8" t="str">
        <x:v>0</x:v>
      </x:c>
      <x:c r="U706" s="8" t="str">
        <x:v>0</x:v>
      </x:c>
      <x:c r="V706" s="8" t="str">
        <x:v>0</x:v>
      </x:c>
      <x:c r="W706" s="8" t="str">
        <x:v>3</x:v>
      </x:c>
      <x:c r="X706" s="8" t="str">
        <x:v>0</x:v>
      </x:c>
      <x:c r="Y706" s="8" t="str">
        <x:v>0</x:v>
      </x:c>
      <x:c r="Z706" s="8" t="str">
        <x:v>0</x:v>
      </x:c>
      <x:c r="AA706" s="8" t="str">
        <x:v>0</x:v>
      </x:c>
      <x:c r="AB706" s="8" t="str">
        <x:v>2</x:v>
      </x:c>
      <x:c r="AC706" s="9" t="str">
        <x:v>0</x:v>
      </x:c>
      <x:c r="AD706" s="8" t="str">
        <x:v>0</x:v>
      </x:c>
      <x:c r="AE706" s="8" t="str">
        <x:v>4</x:v>
      </x:c>
      <x:c r="AF706" s="8" t="str">
        <x:v>0</x:v>
      </x:c>
      <x:c r="AG706" s="8" t="str">
        <x:v>1</x:v>
      </x:c>
      <x:c r="AH706" s="14" t="n">
        <x:v>6</x:v>
      </x:c>
      <x:c r="AI706" s="15" t="str">
        <x:v>Canonical source for Pricing Summary!6</x:v>
      </x:c>
    </x:row>
    <x:row r="707">
      <x:c r="A707" s="12" t="str">
        <x:v>Pricing Summary</x:v>
      </x:c>
      <x:c r="B707" s="13" t="str">
        <x:v>Lowest Public Monthly Price</x:v>
      </x:c>
      <x:c r="C707" s="8" t="str">
        <x:v>$2.99</x:v>
      </x:c>
      <x:c r="D707" s="8"/>
      <x:c r="E707" s="8"/>
      <x:c r="F707" s="8"/>
      <x:c r="G707" s="8" t="str">
        <x:v>$4.99</x:v>
      </x:c>
      <x:c r="H707" s="8" t="str">
        <x:v>$4.99</x:v>
      </x:c>
      <x:c r="I707" s="8" t="str">
        <x:v>$2.00</x:v>
      </x:c>
      <x:c r="J707" s="8"/>
      <x:c r="K707" s="8"/>
      <x:c r="L707" s="8" t="str">
        <x:v>N/A: no paid tier</x:v>
      </x:c>
      <x:c r="M707" s="8"/>
      <x:c r="N707" s="8"/>
      <x:c r="O707" s="8"/>
      <x:c r="P707" s="8"/>
      <x:c r="Q707" s="8"/>
      <x:c r="R707" s="8"/>
      <x:c r="S707" s="8"/>
      <x:c r="T707" s="8"/>
      <x:c r="U707" s="8"/>
      <x:c r="V707" s="8" t="str">
        <x:v>$7.00</x:v>
      </x:c>
      <x:c r="W707" s="8"/>
      <x:c r="X707" s="8"/>
      <x:c r="Y707" s="8"/>
      <x:c r="Z707" s="8"/>
      <x:c r="AA707" s="8"/>
      <x:c r="AB707" s="8" t="str">
        <x:v>$4.99</x:v>
      </x:c>
      <x:c r="AC707" s="9"/>
      <x:c r="AD707" s="8"/>
      <x:c r="AE707" s="8" t="str">
        <x:v>$6.00</x:v>
      </x:c>
      <x:c r="AF707" s="8"/>
      <x:c r="AG707" s="8" t="str">
        <x:v>$3.50</x:v>
      </x:c>
      <x:c r="AH707" s="14" t="n">
        <x:v>7</x:v>
      </x:c>
      <x:c r="AI707" s="15" t="str">
        <x:v>Canonical source for Pricing Summary!7</x:v>
      </x:c>
    </x:row>
    <x:row r="708">
      <x:c r="A708" s="12" t="str">
        <x:v>Pricing Summary</x:v>
      </x:c>
      <x:c r="B708" s="13" t="str">
        <x:v>Lowest Public Annual Price</x:v>
      </x:c>
      <x:c r="C708" s="8" t="str">
        <x:v>$29.99</x:v>
      </x:c>
      <x:c r="D708" s="8"/>
      <x:c r="E708" s="8"/>
      <x:c r="F708" s="8"/>
      <x:c r="G708" s="8"/>
      <x:c r="H708" s="8" t="str">
        <x:v>$49.99</x:v>
      </x:c>
      <x:c r="I708" s="8" t="str">
        <x:v>$15.00</x:v>
      </x:c>
      <x:c r="J708" s="8"/>
      <x:c r="K708" s="8"/>
      <x:c r="L708" s="8" t="str">
        <x:v>N/A: no paid tier</x:v>
      </x:c>
      <x:c r="M708" s="8"/>
      <x:c r="N708" s="8"/>
      <x:c r="O708" s="8"/>
      <x:c r="P708" s="8"/>
      <x:c r="Q708" s="8"/>
      <x:c r="R708" s="8"/>
      <x:c r="S708" s="8"/>
      <x:c r="T708" s="8"/>
      <x:c r="U708" s="8"/>
      <x:c r="V708" s="8" t="str">
        <x:v>$70.00</x:v>
      </x:c>
      <x:c r="W708" s="8"/>
      <x:c r="X708" s="8"/>
      <x:c r="Y708" s="8"/>
      <x:c r="Z708" s="8"/>
      <x:c r="AA708" s="8"/>
      <x:c r="AB708" s="8" t="str">
        <x:v>$53.99</x:v>
      </x:c>
      <x:c r="AC708" s="9"/>
      <x:c r="AD708" s="8"/>
      <x:c r="AE708" s="8"/>
      <x:c r="AF708" s="8"/>
      <x:c r="AG708" s="8" t="str">
        <x:v>$80.04</x:v>
      </x:c>
      <x:c r="AH708" s="14" t="n">
        <x:v>8</x:v>
      </x:c>
      <x:c r="AI708" s="15" t="str">
        <x:v>Canonical source for Pricing Summary!8</x:v>
      </x:c>
    </x:row>
    <x:row r="709" ht="30">
      <x:c r="A709" s="12" t="str">
        <x:v>Pricing Summary</x:v>
      </x:c>
      <x:c r="B709" s="13" t="str">
        <x:v>Has User-Level Subscription?</x:v>
      </x:c>
      <x:c r="C709" s="8" t="str">
        <x:v>Yes</x:v>
      </x:c>
      <x:c r="D709" s="8"/>
      <x:c r="E709" s="8"/>
      <x:c r="F709" s="8"/>
      <x:c r="G709" s="8" t="str">
        <x:v>Planned</x:v>
      </x:c>
      <x:c r="H709" s="8" t="str">
        <x:v>Yes</x:v>
      </x:c>
      <x:c r="I709" s="8"/>
      <x:c r="J709" s="8"/>
      <x:c r="K709" s="8"/>
      <x:c r="L709" s="8" t="str">
        <x:v>No current user subscription</x:v>
      </x:c>
      <x:c r="M709" s="8"/>
      <x:c r="N709" s="8"/>
      <x:c r="O709" s="8"/>
      <x:c r="P709" s="8"/>
      <x:c r="Q709" s="8"/>
      <x:c r="R709" s="8"/>
      <x:c r="S709" s="8"/>
      <x:c r="T709" s="8"/>
      <x:c r="U709" s="8" t="str">
        <x:v>No</x:v>
      </x:c>
      <x:c r="V709" s="8" t="str">
        <x:v>Yes</x:v>
      </x:c>
      <x:c r="W709" s="8"/>
      <x:c r="X709" s="8"/>
      <x:c r="Y709" s="8" t="str">
        <x:v>Yes</x:v>
      </x:c>
      <x:c r="Z709" s="8"/>
      <x:c r="AA709" s="8"/>
      <x:c r="AB709" s="8"/>
      <x:c r="AC709" s="9" t="str">
        <x:v>Yes</x:v>
      </x:c>
      <x:c r="AD709" s="8"/>
      <x:c r="AE709" s="8"/>
      <x:c r="AF709" s="8"/>
      <x:c r="AG709" s="8"/>
      <x:c r="AH709" s="14" t="n">
        <x:v>9</x:v>
      </x:c>
      <x:c r="AI709" s="15" t="str">
        <x:v>Canonical source for Pricing Summary!9</x:v>
      </x:c>
    </x:row>
    <x:row r="710" ht="45">
      <x:c r="A710" s="12" t="str">
        <x:v>Pricing Summary</x:v>
      </x:c>
      <x:c r="B710" s="13" t="str">
        <x:v>Has Community / Server Plan?</x:v>
      </x:c>
      <x:c r="C710" s="8" t="str">
        <x:v>Yes</x:v>
      </x:c>
      <x:c r="D710" s="8"/>
      <x:c r="E710" s="8"/>
      <x:c r="F710" s="8"/>
      <x:c r="G710" s="8"/>
      <x:c r="H710" s="8"/>
      <x:c r="I710" s="8" t="str">
        <x:v>Yes</x:v>
      </x:c>
      <x:c r="J710" s="8"/>
      <x:c r="K710" s="8"/>
      <x:c r="L710" s="8" t="str">
        <x:v>No current community/server subscription</x:v>
      </x:c>
      <x:c r="M710" s="8"/>
      <x:c r="N710" s="8"/>
      <x:c r="O710" s="8"/>
      <x:c r="P710" s="8"/>
      <x:c r="Q710" s="8"/>
      <x:c r="R710" s="8"/>
      <x:c r="S710" s="8"/>
      <x:c r="T710" s="8"/>
      <x:c r="U710" s="8" t="str">
        <x:v>No</x:v>
      </x:c>
      <x:c r="V710" s="8" t="str">
        <x:v>Yes</x:v>
      </x:c>
      <x:c r="W710" s="8"/>
      <x:c r="X710" s="8"/>
      <x:c r="Y710" s="8"/>
      <x:c r="Z710" s="8"/>
      <x:c r="AA710" s="8"/>
      <x:c r="AB710" s="8" t="str">
        <x:v>Yes</x:v>
      </x:c>
      <x:c r="AC710" s="9"/>
      <x:c r="AD710" s="8"/>
      <x:c r="AE710" s="8" t="str">
        <x:v>Yes</x:v>
      </x:c>
      <x:c r="AF710" s="8"/>
      <x:c r="AG710" s="8"/>
      <x:c r="AH710" s="14" t="n">
        <x:v>10</x:v>
      </x:c>
      <x:c r="AI710" s="15" t="str">
        <x:v>Canonical source for Pricing Summary!10</x:v>
      </x:c>
    </x:row>
    <x:row r="711" ht="30">
      <x:c r="A711" s="12" t="str">
        <x:v>Pricing Summary</x:v>
      </x:c>
      <x:c r="B711" s="13" t="str">
        <x:v>Has Paid Self-Host License?</x:v>
      </x:c>
      <x:c r="C711" s="8" t="str">
        <x:v>No</x:v>
      </x:c>
      <x:c r="D711" s="8" t="str">
        <x:v>No</x:v>
      </x:c>
      <x:c r="E711" s="8" t="str">
        <x:v>No</x:v>
      </x:c>
      <x:c r="F711" s="8" t="str">
        <x:v>No</x:v>
      </x:c>
      <x:c r="G711" s="8" t="str">
        <x:v>No</x:v>
      </x:c>
      <x:c r="H711" s="8" t="str">
        <x:v>No</x:v>
      </x:c>
      <x:c r="I711" s="8" t="str">
        <x:v>Yes</x:v>
      </x:c>
      <x:c r="J711" s="8" t="str">
        <x:v>No</x:v>
      </x:c>
      <x:c r="K711" s="8" t="str">
        <x:v>No</x:v>
      </x:c>
      <x:c r="L711" s="8" t="str">
        <x:v>No: MIT self-hosting</x:v>
      </x:c>
      <x:c r="M711" s="8" t="str">
        <x:v>No</x:v>
      </x:c>
      <x:c r="N711" s="8" t="str">
        <x:v>No</x:v>
      </x:c>
      <x:c r="O711" s="8" t="str">
        <x:v>No</x:v>
      </x:c>
      <x:c r="P711" s="8" t="str">
        <x:v>No</x:v>
      </x:c>
      <x:c r="Q711" s="8" t="str">
        <x:v>No</x:v>
      </x:c>
      <x:c r="R711" s="8" t="str">
        <x:v>No</x:v>
      </x:c>
      <x:c r="S711" s="8" t="str">
        <x:v>No</x:v>
      </x:c>
      <x:c r="T711" s="8" t="str">
        <x:v>No</x:v>
      </x:c>
      <x:c r="U711" s="8" t="str">
        <x:v>No: AGPL-3.0</x:v>
      </x:c>
      <x:c r="V711" s="8" t="str">
        <x:v>No</x:v>
      </x:c>
      <x:c r="W711" s="8" t="str">
        <x:v>No</x:v>
      </x:c>
      <x:c r="X711" s="8" t="str">
        <x:v>No</x:v>
      </x:c>
      <x:c r="Y711" s="8" t="str">
        <x:v>No</x:v>
      </x:c>
      <x:c r="Z711" s="8" t="str">
        <x:v>No</x:v>
      </x:c>
      <x:c r="AA711" s="8" t="str">
        <x:v>No</x:v>
      </x:c>
      <x:c r="AB711" s="8" t="str">
        <x:v>Yes</x:v>
      </x:c>
      <x:c r="AC711" s="9" t="str">
        <x:v>No</x:v>
      </x:c>
      <x:c r="AD711" s="8" t="str">
        <x:v>No</x:v>
      </x:c>
      <x:c r="AE711" s="8" t="str">
        <x:v>No</x:v>
      </x:c>
      <x:c r="AF711" s="8" t="str">
        <x:v>No</x:v>
      </x:c>
      <x:c r="AG711" s="8" t="str">
        <x:v>Yes</x:v>
      </x:c>
      <x:c r="AH711" s="14" t="n">
        <x:v>11</x:v>
      </x:c>
      <x:c r="AI711" s="15" t="str">
        <x:v>Canonical source for Pricing Summary!11</x:v>
      </x:c>
    </x:row>
    <x:row r="712" ht="45">
      <x:c r="A712" s="12" t="str">
        <x:v>Pricing Summary</x:v>
      </x:c>
      <x:c r="B712" s="13" t="str">
        <x:v>Has Enterprise / Custom Quote Tier?</x:v>
      </x:c>
      <x:c r="C712" s="8"/>
      <x:c r="D712" s="8"/>
      <x:c r="E712" s="8"/>
      <x:c r="F712" s="8"/>
      <x:c r="G712" s="8"/>
      <x:c r="H712" s="8"/>
      <x:c r="I712" s="8"/>
      <x:c r="J712" s="8"/>
      <x:c r="K712" s="8"/>
      <x:c r="L712" s="8" t="str">
        <x:v>No current enterprise/custom quote tier</x:v>
      </x:c>
      <x:c r="M712" s="8"/>
      <x:c r="N712" s="8"/>
      <x:c r="O712" s="8"/>
      <x:c r="P712" s="8" t="str">
        <x:v>Yes</x:v>
      </x:c>
      <x:c r="Q712" s="8"/>
      <x:c r="R712" s="8"/>
      <x:c r="S712" s="8"/>
      <x:c r="T712" s="8"/>
      <x:c r="U712" s="8" t="str">
        <x:v>No public tier claimed</x:v>
      </x:c>
      <x:c r="V712" s="8" t="str">
        <x:v>No</x:v>
      </x:c>
      <x:c r="W712" s="8" t="str">
        <x:v>Yes</x:v>
      </x:c>
      <x:c r="X712" s="8"/>
      <x:c r="Y712" s="8"/>
      <x:c r="Z712" s="8"/>
      <x:c r="AA712" s="8"/>
      <x:c r="AB712" s="8" t="str">
        <x:v>Yes</x:v>
      </x:c>
      <x:c r="AC712" s="9"/>
      <x:c r="AD712" s="8"/>
      <x:c r="AE712" s="8" t="str">
        <x:v>Yes</x:v>
      </x:c>
      <x:c r="AF712" s="8"/>
      <x:c r="AG712" s="8" t="str">
        <x:v>Yes</x:v>
      </x:c>
      <x:c r="AH712" s="14" t="n">
        <x:v>12</x:v>
      </x:c>
      <x:c r="AI712" s="15" t="str">
        <x:v>Canonical source for Pricing Summary!12</x:v>
      </x:c>
    </x:row>
    <x:row r="713" ht="60">
      <x:c r="A713" s="12" t="str">
        <x:v>Pricing Summary</x:v>
      </x:c>
      <x:c r="B713" s="13" t="str">
        <x:v>Primary Billing Model</x:v>
      </x:c>
      <x:c r="C713" s="8" t="str">
        <x:v>Per user; Per boost</x:v>
      </x:c>
      <x:c r="D713" s="8"/>
      <x:c r="E713" s="8"/>
      <x:c r="F713" s="8"/>
      <x:c r="G713" s="8" t="str">
        <x:v>Subscription</x:v>
      </x:c>
      <x:c r="H713" s="8" t="str">
        <x:v>Per user</x:v>
      </x:c>
      <x:c r="I713" s="8" t="str">
        <x:v>Per server; Per self-hosted server</x:v>
      </x:c>
      <x:c r="J713" s="8"/>
      <x:c r="K713" s="8"/>
      <x:c r="L713" s="8" t="str">
        <x:v>Free / self-funded today; monetization TBD</x:v>
      </x:c>
      <x:c r="M713" s="8"/>
      <x:c r="N713" s="8"/>
      <x:c r="O713" s="8"/>
      <x:c r="P713" s="8" t="str">
        <x:v>Annual seat license; Add-on</x:v>
      </x:c>
      <x:c r="Q713" s="8"/>
      <x:c r="R713" s="8"/>
      <x:c r="S713" s="8"/>
      <x:c r="T713" s="8"/>
      <x:c r="U713" s="8" t="str">
        <x:v>Free hosted + optional donations</x:v>
      </x:c>
      <x:c r="V713" s="8" t="str">
        <x:v>Per user; Per community / Shard</x:v>
      </x:c>
      <x:c r="W713" s="8" t="str">
        <x:v>Organization / deployment</x:v>
      </x:c>
      <x:c r="X713" s="8"/>
      <x:c r="Y713" s="8" t="str">
        <x:v>Per user</x:v>
      </x:c>
      <x:c r="Z713" s="8"/>
      <x:c r="AA713" s="8"/>
      <x:c r="AB713" s="8" t="str">
        <x:v>Per hosted community; Per self-host license; Custom</x:v>
      </x:c>
      <x:c r="AC713" s="9" t="str">
        <x:v>Per supporter</x:v>
      </x:c>
      <x:c r="AD713" s="8"/>
      <x:c r="AE713" s="8" t="str">
        <x:v>Per lobby; Per community build</x:v>
      </x:c>
      <x:c r="AF713" s="8" t="str">
        <x:v>Per managed server</x:v>
      </x:c>
      <x:c r="AG713" s="8" t="str">
        <x:v>Per user; Per user; 10-user minimum; Per user; 25-user minimum; Custom</x:v>
      </x:c>
      <x:c r="AH713" s="14" t="n">
        <x:v>13</x:v>
      </x:c>
      <x:c r="AI713" s="15" t="str">
        <x:v>Canonical source for Pricing Summary!13</x:v>
      </x:c>
    </x:row>
    <x:row r="714" ht="180">
      <x:c r="A714" s="12" t="str">
        <x:v>Pricing Summary</x:v>
      </x:c>
      <x:c r="B714" s="13" t="str">
        <x:v>Paid Option Names</x:v>
      </x:c>
      <x:c r="C714" s="8" t="str">
        <x:v>Nitro Basic; Nitro; Server Boost; Nitro Classic</x:v>
      </x:c>
      <x:c r="D714" s="8" t="str">
        <x:v>No public paid tier verified</x:v>
      </x:c>
      <x:c r="E714" s="8" t="str">
        <x:v>No public paid tier verified</x:v>
      </x:c>
      <x:c r="F714" s="8" t="str">
        <x:v>No public paid tier verified</x:v>
      </x:c>
      <x:c r="G714" s="8" t="str">
        <x:v>Surge; Flare; Prime</x:v>
      </x:c>
      <x:c r="H714" s="8" t="str">
        <x:v>Plutonium</x:v>
      </x:c>
      <x:c r="I714" s="8" t="str">
        <x:v>Silver; Gold; Diamond; Self-Hosted Server License</x:v>
      </x:c>
      <x:c r="J714" s="8" t="str">
        <x:v>No public paid tier verified</x:v>
      </x:c>
      <x:c r="K714" s="8" t="str">
        <x:v>No public paid tier verified</x:v>
      </x:c>
      <x:c r="L714" s="8" t="str">
        <x:v>None</x:v>
      </x:c>
      <x:c r="M714" s="8" t="str">
        <x:v>No public paid tier verified</x:v>
      </x:c>
      <x:c r="N714" s="8" t="str">
        <x:v>No public paid tier verified</x:v>
      </x:c>
      <x:c r="O714" s="8" t="str">
        <x:v>No public paid tier verified</x:v>
      </x:c>
      <x:c r="P714" s="8" t="str">
        <x:v>Professional; Enterprise; Enterprise Advanced; Premier Support</x:v>
      </x:c>
      <x:c r="Q714" s="8" t="str">
        <x:v>No public paid tier verified</x:v>
      </x:c>
      <x:c r="R714" s="8" t="str">
        <x:v>No public paid tier verified</x:v>
      </x:c>
      <x:c r="S714" s="8" t="str">
        <x:v>No public paid tier verified</x:v>
      </x:c>
      <x:c r="T714" s="8" t="str">
        <x:v>No public paid tier verified</x:v>
      </x:c>
      <x:c r="U714" s="8" t="str">
        <x:v>None: donations unlock nothing</x:v>
      </x:c>
      <x:c r="V714" s="8" t="str">
        <x:v>Rift+; Shard Ember; Shard Forge</x:v>
      </x:c>
      <x:c r="W714" s="8" t="str">
        <x:v>Commercial; Government; Defense</x:v>
      </x:c>
      <x:c r="X714" s="8" t="str">
        <x:v>No public paid tier verified</x:v>
      </x:c>
      <x:c r="Y714" s="8" t="str">
        <x:v>Sudo</x:v>
      </x:c>
      <x:c r="Z714" s="8" t="str">
        <x:v>No public paid tier verified</x:v>
      </x:c>
      <x:c r="AA714" s="8" t="str">
        <x:v>No public paid tier verified</x:v>
      </x:c>
      <x:c r="AB714" s="8" t="str">
        <x:v>Crew; Team; Faction; Gamer / Activation 64 slots; Gamer / Activation 128 slots; Gamer / Activation 256 slots; Gamer / Activation 512 slots; Gamer / Activation 1024 slots; Commercial License; TeamSpeak SDK License</x:v>
      </x:c>
      <x:c r="AC714" s="9" t="str">
        <x:v>Stargazer</x:v>
      </x:c>
      <x:c r="AD714" s="8" t="str">
        <x:v>No public paid tier verified</x:v>
      </x:c>
      <x:c r="AE714" s="8" t="str">
        <x:v>Run your own; Have it built: Crew; Have it built: League; Have it built: Network; Have it built: Larger</x:v>
      </x:c>
      <x:c r="AF714" s="8" t="str">
        <x:v>Yapper Hosting: 1 Year</x:v>
      </x:c>
      <x:c r="AG714" s="8" t="str">
        <x:v>Cloud Standard; Cloud Plus; Self-hosted Basic; Self-hosted Business; Self-hosted Enterprise</x:v>
      </x:c>
      <x:c r="AH714" s="14" t="n">
        <x:v>14</x:v>
      </x:c>
      <x:c r="AI714" s="15" t="str">
        <x:v>Canonical source for Pricing Summary!14</x:v>
      </x:c>
    </x:row>
    <x:row r="715" ht="150">
      <x:c r="A715" s="12" t="str">
        <x:v>Pricing Summary</x:v>
      </x:c>
      <x:c r="B715" s="13" t="str">
        <x:v>Pricing Source / Notes</x:v>
      </x:c>
      <x:c r="C715" s="8" t="str">
        <x:v>https://support.discord.com/hc/en-us/articles/4407269525911-Localized-Pricing-on-Discord</x:v>
      </x:c>
      <x:c r="D715" s="8"/>
      <x:c r="E715" s="8"/>
      <x:c r="F715" s="8"/>
      <x:c r="G715" s="8" t="str">
        <x:v>https://fenrid.com/waitlist</x:v>
      </x:c>
      <x:c r="H715" s="8" t="str">
        <x:v>https://fluxer.app/plutonium</x:v>
      </x:c>
      <x:c r="I715" s="8" t="str">
        <x:v>https://gamevox.com/blog/gamevox-vs-discord/; https://gamevox.com/self-hosted/</x:v>
      </x:c>
      <x:c r="J715" s="8"/>
      <x:c r="K715" s="8"/>
      <x:c r="L715" s="8" t="str">
        <x:v>Self-host infrastructure is operator controlled. Per developer report, the official service uses OVH core, Backblaze storage, and Hivelocity/other LiveKit regions.</x:v>
      </x:c>
      <x:c r="M715" s="8"/>
      <x:c r="N715" s="8"/>
      <x:c r="O715" s="8"/>
      <x:c r="P715" s="8" t="str">
        <x:v>https://mattermost.com/pricing/; https://mattermost.com/support/</x:v>
      </x:c>
      <x:c r="Q715" s="8"/>
      <x:c r="R715" s="8"/>
      <x:c r="S715" s="8"/>
      <x:c r="T715" s="8"/>
      <x:c r="U715" s="8" t="str">
        <x:v>https://pqp.gg/apoie: donations unlock nothing; hosted service is free; not VC-backed</x:v>
      </x:c>
      <x:c r="V715" s="8" t="str">
        <x:v>https://therift.chat/de/plans/</x:v>
      </x:c>
      <x:c r="W715" s="8" t="str">
        <x:v>https://docs.rocket.chat/our-plans</x:v>
      </x:c>
      <x:c r="X715" s="8"/>
      <x:c r="Y715" s="8" t="str">
        <x:v>https://support.rootapp.com/docs/sudo/get-started/sudo-faqs/</x:v>
      </x:c>
      <x:c r="Z715" s="8"/>
      <x:c r="AA715" s="8"/>
      <x:c r="AB715" s="8" t="str">
        <x:v>https://support.teamspeak.com/hc/en-us/articles/26033099878045-Current-Community-Options; https://support.teamspeak.com/hc/en-us/articles/26033788383261-What-licenses-are-available</x:v>
      </x:c>
      <x:c r="AC715" s="9" t="str">
        <x:v>https://valour.gg/faq/</x:v>
      </x:c>
      <x:c r="AD715" s="8"/>
      <x:c r="AE715" s="8" t="str">
        <x:v>https://weered.ca/pricing</x:v>
      </x:c>
      <x:c r="AF715" s="8" t="str">
        <x:v>https://yapper.gg/pricing</x:v>
      </x:c>
      <x:c r="AG715" s="8" t="str">
        <x:v>https://zulip.com/plans/</x:v>
      </x:c>
      <x:c r="AH715" s="14" t="n">
        <x:v>15</x:v>
      </x:c>
      <x:c r="AI715" s="15" t="str">
        <x:v>Canonical source for Pricing Summary!15</x:v>
      </x:c>
    </x:row>
    <x:row r="716" ht="45">
      <x:c r="A716" s="12" t="str">
        <x:v>Pricing Summary</x:v>
      </x:c>
      <x:c r="B716" s="13" t="str">
        <x:v>Advertising / Sponsored Content?</x:v>
      </x:c>
      <x:c r="C716" s="8" t="str">
        <x:v>Yes: sponsored Quests/formats</x:v>
      </x:c>
      <x:c r="D716" s="8"/>
      <x:c r="E716" s="8"/>
      <x:c r="F716" s="8"/>
      <x:c r="G716" s="8"/>
      <x:c r="H716" s="8"/>
      <x:c r="I716" s="8"/>
      <x:c r="J716" s="8"/>
      <x:c r="K716" s="8"/>
      <x:c r="L716" s="8" t="str">
        <x:v>No current advertising/sponsored revenue reported</x:v>
      </x:c>
      <x:c r="M716" s="8"/>
      <x:c r="N716" s="8"/>
      <x:c r="O716" s="8" t="str">
        <x:v>Protocol N/A / provider-dependent</x:v>
      </x:c>
      <x:c r="P716" s="8"/>
      <x:c r="Q716" s="8"/>
      <x:c r="R716" s="8"/>
      <x:c r="S716" s="8"/>
      <x:c r="T716" s="8"/>
      <x:c r="U716" s="8" t="str">
        <x:v>No advertising model claimed</x:v>
      </x:c>
      <x:c r="V716" s="8" t="str">
        <x:v>No ads</x:v>
      </x:c>
      <x:c r="W716" s="8"/>
      <x:c r="X716" s="8"/>
      <x:c r="Y716" s="8"/>
      <x:c r="Z716" s="8"/>
      <x:c r="AA716" s="8"/>
      <x:c r="AB716" s="8"/>
      <x:c r="AC716" s="9"/>
      <x:c r="AD716" s="8"/>
      <x:c r="AE716" s="8"/>
      <x:c r="AF716" s="8"/>
      <x:c r="AG716" s="8"/>
      <x:c r="AH716" s="14" t="n">
        <x:v>17</x:v>
      </x:c>
      <x:c r="AI716" s="15" t="str">
        <x:v>Canonical source for Pricing Summary!17</x:v>
      </x:c>
    </x:row>
    <x:row r="717" ht="45">
      <x:c r="A717" s="12" t="str">
        <x:v>Pricing Summary</x:v>
      </x:c>
      <x:c r="B717" s="13" t="str">
        <x:v>Donation / Sponsorship Funding?</x:v>
      </x:c>
      <x:c r="C717" s="8"/>
      <x:c r="D717" s="8"/>
      <x:c r="E717" s="8" t="str">
        <x:v>Yes</x:v>
      </x:c>
      <x:c r="F717" s="8"/>
      <x:c r="G717" s="8"/>
      <x:c r="H717" s="8" t="str">
        <x:v>Yes</x:v>
      </x:c>
      <x:c r="I717" s="8"/>
      <x:c r="J717" s="8"/>
      <x:c r="K717" s="8"/>
      <x:c r="L717" s="8" t="str">
        <x:v>No donation model reported as primary funding</x:v>
      </x:c>
      <x:c r="M717" s="8" t="str">
        <x:v>Yes</x:v>
      </x:c>
      <x:c r="N717" s="8"/>
      <x:c r="O717" s="8" t="str">
        <x:v>Yes: foundation support</x:v>
      </x:c>
      <x:c r="P717" s="8"/>
      <x:c r="Q717" s="8"/>
      <x:c r="R717" s="8"/>
      <x:c r="S717" s="8" t="str">
        <x:v>Yes</x:v>
      </x:c>
      <x:c r="T717" s="8"/>
      <x:c r="U717" s="8" t="str">
        <x:v>Yes</x:v>
      </x:c>
      <x:c r="V717" s="8" t="str">
        <x:v>No</x:v>
      </x:c>
      <x:c r="W717" s="8"/>
      <x:c r="X717" s="8"/>
      <x:c r="Y717" s="8"/>
      <x:c r="Z717" s="8"/>
      <x:c r="AA717" s="8"/>
      <x:c r="AB717" s="8"/>
      <x:c r="AC717" s="9"/>
      <x:c r="AD717" s="8"/>
      <x:c r="AE717" s="8"/>
      <x:c r="AF717" s="8"/>
      <x:c r="AG717" s="8"/>
      <x:c r="AH717" s="14" t="n">
        <x:v>18</x:v>
      </x:c>
      <x:c r="AI717" s="15" t="str">
        <x:v>Canonical source for Pricing Summary!18</x:v>
      </x:c>
    </x:row>
    <x:row r="718" ht="45">
      <x:c r="A718" s="12" t="str">
        <x:v>Pricing Summary</x:v>
      </x:c>
      <x:c r="B718" s="13" t="str">
        <x:v>Marketplace / App Revenue?</x:v>
      </x:c>
      <x:c r="C718" s="8" t="str">
        <x:v>Yes: Premium Apps / creator monetization</x:v>
      </x:c>
      <x:c r="D718" s="8"/>
      <x:c r="E718" s="8"/>
      <x:c r="F718" s="8"/>
      <x:c r="G718" s="8"/>
      <x:c r="H718" s="8"/>
      <x:c r="I718" s="8"/>
      <x:c r="J718" s="8"/>
      <x:c r="K718" s="8"/>
      <x:c r="L718" s="8" t="str">
        <x:v>No current marketplace revenue</x:v>
      </x:c>
      <x:c r="M718" s="8"/>
      <x:c r="N718" s="8"/>
      <x:c r="O718" s="8"/>
      <x:c r="P718" s="8"/>
      <x:c r="Q718" s="8"/>
      <x:c r="R718" s="8"/>
      <x:c r="S718" s="8"/>
      <x:c r="T718" s="8"/>
      <x:c r="U718" s="8" t="str">
        <x:v>No public marketplace/app revenue model</x:v>
      </x:c>
      <x:c r="V718" s="8" t="str">
        <x:v>No</x:v>
      </x:c>
      <x:c r="W718" s="8" t="str">
        <x:v>Paid marketplace apps</x:v>
      </x:c>
      <x:c r="X718" s="8"/>
      <x:c r="Y718" s="8"/>
      <x:c r="Z718" s="8"/>
      <x:c r="AA718" s="8"/>
      <x:c r="AB718" s="8"/>
      <x:c r="AC718" s="9"/>
      <x:c r="AD718" s="8"/>
      <x:c r="AE718" s="8"/>
      <x:c r="AF718" s="8"/>
      <x:c r="AG718" s="8"/>
      <x:c r="AH718" s="14" t="n">
        <x:v>19</x:v>
      </x:c>
      <x:c r="AI718" s="15" t="str">
        <x:v>Canonical source for Pricing Summary!19</x:v>
      </x:c>
    </x:row>
    <x:row r="719" ht="45">
      <x:c r="A719" s="12" t="str">
        <x:v>Pricing Summary</x:v>
      </x:c>
      <x:c r="B719" s="13" t="str">
        <x:v>Free Self-Hosting Software?</x:v>
      </x:c>
      <x:c r="C719" s="8"/>
      <x:c r="D719" s="8"/>
      <x:c r="E719" s="8"/>
      <x:c r="F719" s="8"/>
      <x:c r="G719" s="8"/>
      <x:c r="H719" s="8"/>
      <x:c r="I719" s="8"/>
      <x:c r="J719" s="8"/>
      <x:c r="K719" s="8"/>
      <x:c r="L719" s="8" t="str">
        <x:v>Yes: MIT</x:v>
      </x:c>
      <x:c r="M719" s="8"/>
      <x:c r="N719" s="8"/>
      <x:c r="O719" s="8" t="str">
        <x:v>Yes</x:v>
      </x:c>
      <x:c r="P719" s="8" t="str">
        <x:v>Yes: community edition</x:v>
      </x:c>
      <x:c r="Q719" s="8"/>
      <x:c r="R719" s="8" t="str">
        <x:v>Yes</x:v>
      </x:c>
      <x:c r="S719" s="8"/>
      <x:c r="T719" s="8"/>
      <x:c r="U719" s="8" t="str">
        <x:v>Yes: AGPL-3.0</x:v>
      </x:c>
      <x:c r="V719" s="8" t="str">
        <x:v>No public self-hosting</x:v>
      </x:c>
      <x:c r="W719" s="8" t="str">
        <x:v>Community edition / current licensing conditions</x:v>
      </x:c>
      <x:c r="X719" s="8"/>
      <x:c r="Y719" s="8"/>
      <x:c r="Z719" s="8" t="str">
        <x:v>Yes</x:v>
      </x:c>
      <x:c r="AA719" s="8" t="str">
        <x:v>Yes</x:v>
      </x:c>
      <x:c r="AB719" s="8"/>
      <x:c r="AC719" s="9"/>
      <x:c r="AD719" s="8"/>
      <x:c r="AE719" s="8"/>
      <x:c r="AF719" s="8"/>
      <x:c r="AG719" s="8" t="str">
        <x:v>Yes</x:v>
      </x:c>
      <x:c r="AH719" s="14" t="n">
        <x:v>20</x:v>
      </x:c>
      <x:c r="AI719" s="15" t="str">
        <x:v>Canonical source for Pricing Summary!20</x:v>
      </x:c>
    </x:row>
    <x:row r="720" ht="45">
      <x:c r="A720" s="12" t="str">
        <x:v>Feature Entitlements</x:v>
      </x:c>
      <x:c r="B720" s="13" t="str">
        <x:v>Animated Avatar Available?</x:v>
      </x:c>
      <x:c r="C720" s="8" t="str">
        <x:v>Yes</x:v>
      </x:c>
      <x:c r="D720" s="8"/>
      <x:c r="E720" s="8"/>
      <x:c r="F720" s="8"/>
      <x:c r="G720" s="8"/>
      <x:c r="H720" s="8" t="str">
        <x:v>Yes</x:v>
      </x:c>
      <x:c r="I720" s="8"/>
      <x:c r="J720" s="8"/>
      <x:c r="K720" s="8"/>
      <x:c r="L720" s="8" t="str">
        <x:v>Unknown/not separately documented</x:v>
      </x:c>
      <x:c r="M720" s="8"/>
      <x:c r="N720" s="8"/>
      <x:c r="O720" s="8" t="str">
        <x:v>Client/provider-dependent</x:v>
      </x:c>
      <x:c r="P720" s="8"/>
      <x:c r="Q720" s="8"/>
      <x:c r="R720" s="8"/>
      <x:c r="S720" s="8"/>
      <x:c r="T720" s="8"/>
      <x:c r="U720" s="8"/>
      <x:c r="V720" s="8" t="str">
        <x:v>Yes</x:v>
      </x:c>
      <x:c r="W720" s="8"/>
      <x:c r="X720" s="8"/>
      <x:c r="Y720" s="8"/>
      <x:c r="Z720" s="8"/>
      <x:c r="AA720" s="8"/>
      <x:c r="AB720" s="8"/>
      <x:c r="AC720" s="9"/>
      <x:c r="AD720" s="8"/>
      <x:c r="AE720" s="8"/>
      <x:c r="AF720" s="8"/>
      <x:c r="AG720" s="8"/>
      <x:c r="AH720" s="14" t="n">
        <x:v>4</x:v>
      </x:c>
      <x:c r="AI720" s="15" t="str">
        <x:v>Canonical source for Feature Entitlements!4</x:v>
      </x:c>
    </x:row>
    <x:row r="721" ht="45">
      <x:c r="A721" s="12" t="str">
        <x:v>Feature Entitlements</x:v>
      </x:c>
      <x:c r="B721" s="13" t="str">
        <x:v>Animated Avatar Access</x:v>
      </x:c>
      <x:c r="C721" s="8" t="str">
        <x:v>Paid: Nitro</x:v>
      </x:c>
      <x:c r="D721" s="8"/>
      <x:c r="E721" s="8"/>
      <x:c r="F721" s="8"/>
      <x:c r="G721" s="8"/>
      <x:c r="H721" s="8" t="str">
        <x:v>Paid: Plutonium</x:v>
      </x:c>
      <x:c r="I721" s="8"/>
      <x:c r="J721" s="8"/>
      <x:c r="K721" s="8"/>
      <x:c r="L721" s="8" t="str">
        <x:v>Unknown/not separately documented</x:v>
      </x:c>
      <x:c r="M721" s="8"/>
      <x:c r="N721" s="8"/>
      <x:c r="O721" s="8" t="str">
        <x:v>Client/provider-dependent</x:v>
      </x:c>
      <x:c r="P721" s="8"/>
      <x:c r="Q721" s="8" t="str">
        <x:v>Free if supported</x:v>
      </x:c>
      <x:c r="R721" s="8"/>
      <x:c r="S721" s="8"/>
      <x:c r="T721" s="8"/>
      <x:c r="U721" s="8"/>
      <x:c r="V721" s="8" t="str">
        <x:v>Rift+ / entitlement details vary</x:v>
      </x:c>
      <x:c r="W721" s="8"/>
      <x:c r="X721" s="8"/>
      <x:c r="Y721" s="8"/>
      <x:c r="Z721" s="8"/>
      <x:c r="AA721" s="8"/>
      <x:c r="AB721" s="8"/>
      <x:c r="AC721" s="9"/>
      <x:c r="AD721" s="8"/>
      <x:c r="AE721" s="8"/>
      <x:c r="AF721" s="8"/>
      <x:c r="AG721" s="8"/>
      <x:c r="AH721" s="14" t="n">
        <x:v>5</x:v>
      </x:c>
      <x:c r="AI721" s="15" t="str">
        <x:v>Canonical source for Feature Entitlements!5</x:v>
      </x:c>
    </x:row>
    <x:row r="722" ht="45">
      <x:c r="A722" s="12" t="str">
        <x:v>Feature Entitlements</x:v>
      </x:c>
      <x:c r="B722" s="13" t="str">
        <x:v>Profile Banner Available?</x:v>
      </x:c>
      <x:c r="C722" s="8" t="str">
        <x:v>Yes</x:v>
      </x:c>
      <x:c r="D722" s="8"/>
      <x:c r="E722" s="8"/>
      <x:c r="F722" s="8"/>
      <x:c r="G722" s="8"/>
      <x:c r="H722" s="8" t="str">
        <x:v>Yes</x:v>
      </x:c>
      <x:c r="I722" s="8"/>
      <x:c r="J722" s="8"/>
      <x:c r="K722" s="8"/>
      <x:c r="L722" s="8" t="str">
        <x:v>Unknown/not separately documented</x:v>
      </x:c>
      <x:c r="M722" s="8"/>
      <x:c r="N722" s="8"/>
      <x:c r="O722" s="8" t="str">
        <x:v>Client-dependent</x:v>
      </x:c>
      <x:c r="P722" s="8"/>
      <x:c r="Q722" s="8"/>
      <x:c r="R722" s="8"/>
      <x:c r="S722" s="8"/>
      <x:c r="T722" s="8"/>
      <x:c r="U722" s="8"/>
      <x:c r="V722" s="8" t="str">
        <x:v>Yes</x:v>
      </x:c>
      <x:c r="W722" s="8"/>
      <x:c r="X722" s="8"/>
      <x:c r="Y722" s="8"/>
      <x:c r="Z722" s="8"/>
      <x:c r="AA722" s="8"/>
      <x:c r="AB722" s="8"/>
      <x:c r="AC722" s="9"/>
      <x:c r="AD722" s="8"/>
      <x:c r="AE722" s="8"/>
      <x:c r="AF722" s="8"/>
      <x:c r="AG722" s="8"/>
      <x:c r="AH722" s="14" t="n">
        <x:v>6</x:v>
      </x:c>
      <x:c r="AI722" s="15" t="str">
        <x:v>Canonical source for Feature Entitlements!6</x:v>
      </x:c>
    </x:row>
    <x:row r="723" ht="45">
      <x:c r="A723" s="12" t="str">
        <x:v>Feature Entitlements</x:v>
      </x:c>
      <x:c r="B723" s="13" t="str">
        <x:v>Profile Banner Access</x:v>
      </x:c>
      <x:c r="C723" s="8" t="str">
        <x:v>Paid: Nitro</x:v>
      </x:c>
      <x:c r="D723" s="8"/>
      <x:c r="E723" s="8"/>
      <x:c r="F723" s="8"/>
      <x:c r="G723" s="8"/>
      <x:c r="H723" s="8" t="str">
        <x:v>Paid: Plutonium</x:v>
      </x:c>
      <x:c r="I723" s="8"/>
      <x:c r="J723" s="8"/>
      <x:c r="K723" s="8"/>
      <x:c r="L723" s="8" t="str">
        <x:v>Unknown/not separately documented</x:v>
      </x:c>
      <x:c r="M723" s="8"/>
      <x:c r="N723" s="8"/>
      <x:c r="O723" s="8" t="str">
        <x:v>Client/provider-dependent</x:v>
      </x:c>
      <x:c r="P723" s="8"/>
      <x:c r="Q723" s="8" t="str">
        <x:v>Free if supported</x:v>
      </x:c>
      <x:c r="R723" s="8"/>
      <x:c r="S723" s="8"/>
      <x:c r="T723" s="8"/>
      <x:c r="U723" s="8"/>
      <x:c r="V723" s="8" t="str">
        <x:v>Rift+ adds animated/profile cosmetics</x:v>
      </x:c>
      <x:c r="W723" s="8"/>
      <x:c r="X723" s="8"/>
      <x:c r="Y723" s="8"/>
      <x:c r="Z723" s="8"/>
      <x:c r="AA723" s="8"/>
      <x:c r="AB723" s="8"/>
      <x:c r="AC723" s="9"/>
      <x:c r="AD723" s="8"/>
      <x:c r="AE723" s="8"/>
      <x:c r="AF723" s="8"/>
      <x:c r="AG723" s="8"/>
      <x:c r="AH723" s="14" t="n">
        <x:v>7</x:v>
      </x:c>
      <x:c r="AI723" s="15" t="str">
        <x:v>Canonical source for Feature Entitlements!7</x:v>
      </x:c>
    </x:row>
    <x:row r="724" ht="105">
      <x:c r="A724" s="12" t="str">
        <x:v>Feature Entitlements</x:v>
      </x:c>
      <x:c r="B724" s="13" t="str">
        <x:v>Custom Themes Available?</x:v>
      </x:c>
      <x:c r="C724" s="8" t="str">
        <x:v>Yes</x:v>
      </x:c>
      <x:c r="D724" s="8"/>
      <x:c r="E724" s="8"/>
      <x:c r="F724" s="8"/>
      <x:c r="G724" s="8" t="str">
        <x:v>Planned / Yes</x:v>
      </x:c>
      <x:c r="H724" s="8" t="str">
        <x:v>Yes</x:v>
      </x:c>
      <x:c r="I724" s="8"/>
      <x:c r="J724" s="8" t="str">
        <x:v>Yes / client-controlled</x:v>
      </x:c>
      <x:c r="K724" s="8"/>
      <x:c r="L724" s="8" t="str">
        <x:v>Yes: developer reports custom CSS/theme support</x:v>
      </x:c>
      <x:c r="M724" s="8"/>
      <x:c r="N724" s="8"/>
      <x:c r="O724" s="8" t="str">
        <x:v>Client-dependent</x:v>
      </x:c>
      <x:c r="P724" s="8" t="str">
        <x:v>Yes</x:v>
      </x:c>
      <x:c r="Q724" s="8"/>
      <x:c r="R724" s="8"/>
      <x:c r="S724" s="8" t="str">
        <x:v>Yes / community themes</x:v>
      </x:c>
      <x:c r="T724" s="8"/>
      <x:c r="U724" s="8" t="str">
        <x:v>Built-in light/dark/system themes, accents and high-contrast mode; arbitrary custom-theme framework not claimed</x:v>
      </x:c>
      <x:c r="V724" s="8" t="str">
        <x:v>Yes</x:v>
      </x:c>
      <x:c r="W724" s="8" t="str">
        <x:v>Yes</x:v>
      </x:c>
      <x:c r="X724" s="8"/>
      <x:c r="Y724" s="8"/>
      <x:c r="Z724" s="8" t="str">
        <x:v>Client-dependent</x:v>
      </x:c>
      <x:c r="AA724" s="8"/>
      <x:c r="AB724" s="8" t="str">
        <x:v>Yes / add-on ecosystem</x:v>
      </x:c>
      <x:c r="AC724" s="9" t="str">
        <x:v>Yes</x:v>
      </x:c>
      <x:c r="AD724" s="8"/>
      <x:c r="AE724" s="8"/>
      <x:c r="AF724" s="8"/>
      <x:c r="AG724" s="8" t="str">
        <x:v>Yes</x:v>
      </x:c>
      <x:c r="AH724" s="14" t="n">
        <x:v>8</x:v>
      </x:c>
      <x:c r="AI724" s="15" t="str">
        <x:v>Canonical source for Feature Entitlements!8</x:v>
      </x:c>
    </x:row>
    <x:row r="725" ht="60">
      <x:c r="A725" s="12" t="str">
        <x:v>Feature Entitlements</x:v>
      </x:c>
      <x:c r="B725" s="13" t="str">
        <x:v>Custom Themes Access</x:v>
      </x:c>
      <x:c r="C725" s="8" t="str">
        <x:v>Paid: Nitro</x:v>
      </x:c>
      <x:c r="D725" s="8"/>
      <x:c r="E725" s="8"/>
      <x:c r="F725" s="8"/>
      <x:c r="G725" s="8" t="str">
        <x:v>Paid tiers planned to expand themes</x:v>
      </x:c>
      <x:c r="H725" s="8" t="str">
        <x:v>Free / open-source theming; Plutonium includes additional cosmetics</x:v>
      </x:c>
      <x:c r="I725" s="8"/>
      <x:c r="J725" s="8" t="str">
        <x:v>Open-source client</x:v>
      </x:c>
      <x:c r="K725" s="8"/>
      <x:c r="L725" s="8" t="str">
        <x:v>Free/current; no paid tier</x:v>
      </x:c>
      <x:c r="M725" s="8"/>
      <x:c r="N725" s="8"/>
      <x:c r="O725" s="8" t="str">
        <x:v>Client-dependent</x:v>
      </x:c>
      <x:c r="P725" s="8" t="str">
        <x:v>Core/client capability</x:v>
      </x:c>
      <x:c r="Q725" s="8" t="str">
        <x:v>Free if supported</x:v>
      </x:c>
      <x:c r="R725" s="8"/>
      <x:c r="S725" s="8" t="str">
        <x:v>Free/open-source/community</x:v>
      </x:c>
      <x:c r="T725" s="8"/>
      <x:c r="U725" s="8" t="str">
        <x:v>Free</x:v>
      </x:c>
      <x:c r="V725" s="8" t="str">
        <x:v>Rift+ adds animated themes/accents</x:v>
      </x:c>
      <x:c r="W725" s="8" t="str">
        <x:v>Deployment/admin capability</x:v>
      </x:c>
      <x:c r="X725" s="8"/>
      <x:c r="Y725" s="8"/>
      <x:c r="Z725" s="8" t="str">
        <x:v>Self-host/client controlled</x:v>
      </x:c>
      <x:c r="AA725" s="8"/>
      <x:c r="AB725" s="8" t="str">
        <x:v>Client/add-on ecosystem</x:v>
      </x:c>
      <x:c r="AC725" s="9" t="str">
        <x:v>Themes marketplace/core</x:v>
      </x:c>
      <x:c r="AD725" s="8"/>
      <x:c r="AE725" s="8"/>
      <x:c r="AF725" s="8"/>
      <x:c r="AG725" s="8" t="str">
        <x:v>Core app themes; not a cosmetic subscription model</x:v>
      </x:c>
      <x:c r="AH725" s="14" t="n">
        <x:v>9</x:v>
      </x:c>
      <x:c r="AI725" s="15" t="str">
        <x:v>Canonical source for Feature Entitlements!9</x:v>
      </x:c>
    </x:row>
    <x:row r="726" ht="45">
      <x:c r="A726" s="12" t="str">
        <x:v>Feature Entitlements</x:v>
      </x:c>
      <x:c r="B726" s="13" t="str">
        <x:v>Per-Community Profile Available?</x:v>
      </x:c>
      <x:c r="C726" s="8" t="str">
        <x:v>Yes</x:v>
      </x:c>
      <x:c r="D726" s="8"/>
      <x:c r="E726" s="8"/>
      <x:c r="F726" s="8"/>
      <x:c r="G726" s="8"/>
      <x:c r="H726" s="8" t="str">
        <x:v>Yes</x:v>
      </x:c>
      <x:c r="I726" s="8"/>
      <x:c r="J726" s="8"/>
      <x:c r="K726" s="8"/>
      <x:c r="L726" s="8" t="str">
        <x:v>Unknown/not separately documented</x:v>
      </x:c>
      <x:c r="M726" s="8"/>
      <x:c r="N726" s="8"/>
      <x:c r="O726" s="8" t="str">
        <x:v>Client/protocol-extension dependent</x:v>
      </x:c>
      <x:c r="P726" s="8"/>
      <x:c r="Q726" s="8"/>
      <x:c r="R726" s="8"/>
      <x:c r="S726" s="8"/>
      <x:c r="T726" s="8"/>
      <x:c r="U726" s="8"/>
      <x:c r="V726" s="8" t="str">
        <x:v>Yes</x:v>
      </x:c>
      <x:c r="W726" s="8"/>
      <x:c r="X726" s="8"/>
      <x:c r="Y726" s="8"/>
      <x:c r="Z726" s="8"/>
      <x:c r="AA726" s="8"/>
      <x:c r="AB726" s="8"/>
      <x:c r="AC726" s="9"/>
      <x:c r="AD726" s="8"/>
      <x:c r="AE726" s="8"/>
      <x:c r="AF726" s="8"/>
      <x:c r="AG726" s="8"/>
      <x:c r="AH726" s="14" t="n">
        <x:v>10</x:v>
      </x:c>
      <x:c r="AI726" s="15" t="str">
        <x:v>Canonical source for Feature Entitlements!10</x:v>
      </x:c>
    </x:row>
    <x:row r="727" ht="45">
      <x:c r="A727" s="12" t="str">
        <x:v>Feature Entitlements</x:v>
      </x:c>
      <x:c r="B727" s="13" t="str">
        <x:v>Per-Community Profile Access</x:v>
      </x:c>
      <x:c r="C727" s="8" t="str">
        <x:v>Paid: Nitro for expanded customization</x:v>
      </x:c>
      <x:c r="D727" s="8"/>
      <x:c r="E727" s="8"/>
      <x:c r="F727" s="8"/>
      <x:c r="G727" s="8"/>
      <x:c r="H727" s="8" t="str">
        <x:v>Paid: Plutonium</x:v>
      </x:c>
      <x:c r="I727" s="8"/>
      <x:c r="J727" s="8"/>
      <x:c r="K727" s="8"/>
      <x:c r="L727" s="8" t="str">
        <x:v>Unknown/not separately documented</x:v>
      </x:c>
      <x:c r="M727" s="8"/>
      <x:c r="N727" s="8"/>
      <x:c r="O727" s="8" t="str">
        <x:v>Client/provider-dependent</x:v>
      </x:c>
      <x:c r="P727" s="8"/>
      <x:c r="Q727" s="8"/>
      <x:c r="R727" s="8"/>
      <x:c r="S727" s="8"/>
      <x:c r="T727" s="8"/>
      <x:c r="U727" s="8"/>
      <x:c r="V727" s="8" t="str">
        <x:v>Yes</x:v>
      </x:c>
      <x:c r="W727" s="8"/>
      <x:c r="X727" s="8"/>
      <x:c r="Y727" s="8"/>
      <x:c r="Z727" s="8"/>
      <x:c r="AA727" s="8"/>
      <x:c r="AB727" s="8"/>
      <x:c r="AC727" s="9"/>
      <x:c r="AD727" s="8"/>
      <x:c r="AE727" s="8"/>
      <x:c r="AF727" s="8"/>
      <x:c r="AG727" s="8"/>
      <x:c r="AH727" s="14" t="n">
        <x:v>11</x:v>
      </x:c>
      <x:c r="AI727" s="15" t="str">
        <x:v>Canonical source for Feature Entitlements!11</x:v>
      </x:c>
    </x:row>
    <x:row r="728" ht="30">
      <x:c r="A728" s="12" t="str">
        <x:v>Feature Entitlements</x:v>
      </x:c>
      <x:c r="B728" s="13" t="str">
        <x:v>Custom Emoji Available?</x:v>
      </x:c>
      <x:c r="C728" s="8" t="str">
        <x:v>Yes</x:v>
      </x:c>
      <x:c r="D728" s="8"/>
      <x:c r="E728" s="8"/>
      <x:c r="F728" s="8"/>
      <x:c r="G728" s="8" t="str">
        <x:v>Yes</x:v>
      </x:c>
      <x:c r="H728" s="8" t="str">
        <x:v>Yes</x:v>
      </x:c>
      <x:c r="I728" s="8" t="str">
        <x:v>Yes</x:v>
      </x:c>
      <x:c r="J728" s="8"/>
      <x:c r="K728" s="8"/>
      <x:c r="L728" s="8" t="str">
        <x:v>Yes</x:v>
      </x:c>
      <x:c r="M728" s="8"/>
      <x:c r="N728" s="8" t="str">
        <x:v>Yes</x:v>
      </x:c>
      <x:c r="O728" s="8" t="str">
        <x:v>Client/room-state dependent</x:v>
      </x:c>
      <x:c r="P728" s="8"/>
      <x:c r="Q728" s="8" t="str">
        <x:v>Yes</x:v>
      </x:c>
      <x:c r="R728" s="8"/>
      <x:c r="S728" s="8" t="str">
        <x:v>Yes</x:v>
      </x:c>
      <x:c r="T728" s="8"/>
      <x:c r="U728" s="8"/>
      <x:c r="V728" s="8" t="str">
        <x:v>Yes</x:v>
      </x:c>
      <x:c r="W728" s="8"/>
      <x:c r="X728" s="8"/>
      <x:c r="Y728" s="8" t="str">
        <x:v>Yes</x:v>
      </x:c>
      <x:c r="Z728" s="8" t="str">
        <x:v>Yes / Discord-compatible target</x:v>
      </x:c>
      <x:c r="AA728" s="8"/>
      <x:c r="AB728" s="8"/>
      <x:c r="AC728" s="9"/>
      <x:c r="AD728" s="8"/>
      <x:c r="AE728" s="8"/>
      <x:c r="AF728" s="8"/>
      <x:c r="AG728" s="8"/>
      <x:c r="AH728" s="14" t="n">
        <x:v>13</x:v>
      </x:c>
      <x:c r="AI728" s="15" t="str">
        <x:v>Canonical source for Feature Entitlements!13</x:v>
      </x:c>
    </x:row>
    <x:row r="729" ht="60">
      <x:c r="A729" s="12" t="str">
        <x:v>Feature Entitlements</x:v>
      </x:c>
      <x:c r="B729" s="13" t="str">
        <x:v>Custom Emoji Access</x:v>
      </x:c>
      <x:c r="C729" s="8" t="str">
        <x:v>Free within owning server; cross-server use is a Nitro perk</x:v>
      </x:c>
      <x:c r="D729" s="8"/>
      <x:c r="E729" s="8"/>
      <x:c r="F729" s="8"/>
      <x:c r="G729" s="8" t="str">
        <x:v>Free base; higher limits planned on paid tiers</x:v>
      </x:c>
      <x:c r="H729" s="8" t="str">
        <x:v>Free in own community; Plutonium expands global use/limits</x:v>
      </x:c>
      <x:c r="I729" s="8" t="str">
        <x:v>0 free → up to 500 Diamond</x:v>
      </x:c>
      <x:c r="J729" s="8"/>
      <x:c r="K729" s="8"/>
      <x:c r="L729" s="8" t="str">
        <x:v>Free/current; no paid tier</x:v>
      </x:c>
      <x:c r="M729" s="8"/>
      <x:c r="N729" s="8" t="str">
        <x:v>Open-beta/core</x:v>
      </x:c>
      <x:c r="O729" s="8" t="str">
        <x:v>Client/provider-dependent</x:v>
      </x:c>
      <x:c r="P729" s="8"/>
      <x:c r="Q729" s="8" t="str">
        <x:v>Free</x:v>
      </x:c>
      <x:c r="R729" s="8"/>
      <x:c r="S729" s="8" t="str">
        <x:v>Free</x:v>
      </x:c>
      <x:c r="T729" s="8"/>
      <x:c r="U729" s="8"/>
      <x:c r="V729" s="8" t="str">
        <x:v>50 Shard → 150 Ember → 250 Forge; personal 25 free → 100 Rift+</x:v>
      </x:c>
      <x:c r="W729" s="8"/>
      <x:c r="X729" s="8"/>
      <x:c r="Y729" s="8"/>
      <x:c r="Z729" s="8" t="str">
        <x:v>Operator-configurable</x:v>
      </x:c>
      <x:c r="AA729" s="8"/>
      <x:c r="AB729" s="8"/>
      <x:c r="AC729" s="9"/>
      <x:c r="AD729" s="8"/>
      <x:c r="AE729" s="8"/>
      <x:c r="AF729" s="8"/>
      <x:c r="AG729" s="8"/>
      <x:c r="AH729" s="14" t="n">
        <x:v>14</x:v>
      </x:c>
      <x:c r="AI729" s="15" t="str">
        <x:v>Canonical source for Feature Entitlements!14</x:v>
      </x:c>
    </x:row>
    <x:row r="730" ht="30">
      <x:c r="A730" s="12" t="str">
        <x:v>Feature Entitlements</x:v>
      </x:c>
      <x:c r="B730" s="13" t="str">
        <x:v>Animated Emoji Available?</x:v>
      </x:c>
      <x:c r="C730" s="8" t="str">
        <x:v>Yes</x:v>
      </x:c>
      <x:c r="D730" s="8"/>
      <x:c r="E730" s="8"/>
      <x:c r="F730" s="8"/>
      <x:c r="G730" s="8"/>
      <x:c r="H730" s="8" t="str">
        <x:v>Yes</x:v>
      </x:c>
      <x:c r="I730" s="8"/>
      <x:c r="J730" s="8"/>
      <x:c r="K730" s="8"/>
      <x:c r="L730" s="8" t="str">
        <x:v>Not separately documented</x:v>
      </x:c>
      <x:c r="M730" s="8"/>
      <x:c r="N730" s="8"/>
      <x:c r="O730" s="8"/>
      <x:c r="P730" s="8"/>
      <x:c r="Q730" s="8"/>
      <x:c r="R730" s="8"/>
      <x:c r="S730" s="8"/>
      <x:c r="T730" s="8"/>
      <x:c r="U730" s="8"/>
      <x:c r="V730" s="8" t="str">
        <x:v>Yes</x:v>
      </x:c>
      <x:c r="W730" s="8"/>
      <x:c r="X730" s="8"/>
      <x:c r="Y730" s="8"/>
      <x:c r="Z730" s="8"/>
      <x:c r="AA730" s="8"/>
      <x:c r="AB730" s="8"/>
      <x:c r="AC730" s="9"/>
      <x:c r="AD730" s="8"/>
      <x:c r="AE730" s="8"/>
      <x:c r="AF730" s="8"/>
      <x:c r="AG730" s="8"/>
      <x:c r="AH730" s="14" t="n">
        <x:v>15</x:v>
      </x:c>
      <x:c r="AI730" s="15" t="str">
        <x:v>Canonical source for Feature Entitlements!15</x:v>
      </x:c>
    </x:row>
    <x:row r="731" ht="45">
      <x:c r="A731" s="12" t="str">
        <x:v>Feature Entitlements</x:v>
      </x:c>
      <x:c r="B731" s="13" t="str">
        <x:v>Animated Emoji Access</x:v>
      </x:c>
      <x:c r="C731" s="8" t="str">
        <x:v>Server-dependent creation; Nitro expands use</x:v>
      </x:c>
      <x:c r="D731" s="8"/>
      <x:c r="E731" s="8"/>
      <x:c r="F731" s="8"/>
      <x:c r="G731" s="8"/>
      <x:c r="H731" s="8" t="str">
        <x:v>Plutonium expands use</x:v>
      </x:c>
      <x:c r="I731" s="8"/>
      <x:c r="J731" s="8"/>
      <x:c r="K731" s="8"/>
      <x:c r="L731" s="8" t="str">
        <x:v>Not separately documented</x:v>
      </x:c>
      <x:c r="M731" s="8"/>
      <x:c r="N731" s="8"/>
      <x:c r="O731" s="8"/>
      <x:c r="P731" s="8"/>
      <x:c r="Q731" s="8"/>
      <x:c r="R731" s="8"/>
      <x:c r="S731" s="8"/>
      <x:c r="T731" s="8"/>
      <x:c r="U731" s="8"/>
      <x:c r="V731" s="30"/>
      <x:c r="W731" s="8"/>
      <x:c r="X731" s="8"/>
      <x:c r="Y731" s="8"/>
      <x:c r="Z731" s="8"/>
      <x:c r="AA731" s="8"/>
      <x:c r="AB731" s="8"/>
      <x:c r="AC731" s="9"/>
      <x:c r="AD731" s="8"/>
      <x:c r="AE731" s="8"/>
      <x:c r="AF731" s="8"/>
      <x:c r="AG731" s="8"/>
      <x:c r="AH731" s="14" t="n">
        <x:v>16</x:v>
      </x:c>
      <x:c r="AI731" s="15" t="str">
        <x:v>Canonical source for Feature Entitlements!16</x:v>
      </x:c>
    </x:row>
    <x:row r="732">
      <x:c r="A732" s="12" t="str">
        <x:v>Feature Entitlements</x:v>
      </x:c>
      <x:c r="B732" s="13" t="str">
        <x:v>Custom Stickers Available?</x:v>
      </x:c>
      <x:c r="C732" s="8" t="str">
        <x:v>Yes</x:v>
      </x:c>
      <x:c r="D732" s="8"/>
      <x:c r="E732" s="8"/>
      <x:c r="F732" s="8"/>
      <x:c r="G732" s="8"/>
      <x:c r="H732" s="8" t="str">
        <x:v>Yes</x:v>
      </x:c>
      <x:c r="I732" s="8"/>
      <x:c r="J732" s="8"/>
      <x:c r="K732" s="8"/>
      <x:c r="L732" s="8" t="str">
        <x:v>Yes</x:v>
      </x:c>
      <x:c r="M732" s="8"/>
      <x:c r="N732" s="8"/>
      <x:c r="O732" s="8"/>
      <x:c r="P732" s="8"/>
      <x:c r="Q732" s="8"/>
      <x:c r="R732" s="8"/>
      <x:c r="S732" s="8"/>
      <x:c r="T732" s="8"/>
      <x:c r="U732" s="8"/>
      <x:c r="V732" s="8" t="str">
        <x:v>Yes</x:v>
      </x:c>
      <x:c r="W732" s="8"/>
      <x:c r="X732" s="8"/>
      <x:c r="Y732" s="8"/>
      <x:c r="Z732" s="8"/>
      <x:c r="AA732" s="8"/>
      <x:c r="AB732" s="8"/>
      <x:c r="AC732" s="9"/>
      <x:c r="AD732" s="8"/>
      <x:c r="AE732" s="8"/>
      <x:c r="AF732" s="8"/>
      <x:c r="AG732" s="8"/>
      <x:c r="AH732" s="14" t="n">
        <x:v>17</x:v>
      </x:c>
      <x:c r="AI732" s="15" t="str">
        <x:v>Canonical source for Feature Entitlements!17</x:v>
      </x:c>
    </x:row>
    <x:row r="733" ht="45">
      <x:c r="A733" s="12" t="str">
        <x:v>Feature Entitlements</x:v>
      </x:c>
      <x:c r="B733" s="13" t="str">
        <x:v>Custom Stickers Access</x:v>
      </x:c>
      <x:c r="C733" s="8" t="str">
        <x:v>Server-dependent; Nitro expands cross-server use</x:v>
      </x:c>
      <x:c r="D733" s="8"/>
      <x:c r="E733" s="8"/>
      <x:c r="F733" s="8"/>
      <x:c r="G733" s="8"/>
      <x:c r="H733" s="8" t="str">
        <x:v>Plutonium expands use</x:v>
      </x:c>
      <x:c r="I733" s="8"/>
      <x:c r="J733" s="8"/>
      <x:c r="K733" s="8"/>
      <x:c r="L733" s="8" t="str">
        <x:v>Free/current; no paid tier</x:v>
      </x:c>
      <x:c r="M733" s="8"/>
      <x:c r="N733" s="8"/>
      <x:c r="O733" s="8"/>
      <x:c r="P733" s="8"/>
      <x:c r="Q733" s="8"/>
      <x:c r="R733" s="8"/>
      <x:c r="S733" s="8"/>
      <x:c r="T733" s="8"/>
      <x:c r="U733" s="8"/>
      <x:c r="V733" s="8"/>
      <x:c r="W733" s="8"/>
      <x:c r="X733" s="8"/>
      <x:c r="Y733" s="8"/>
      <x:c r="Z733" s="8"/>
      <x:c r="AA733" s="8"/>
      <x:c r="AB733" s="8"/>
      <x:c r="AC733" s="9"/>
      <x:c r="AD733" s="8"/>
      <x:c r="AE733" s="8"/>
      <x:c r="AF733" s="8"/>
      <x:c r="AG733" s="8"/>
      <x:c r="AH733" s="14" t="n">
        <x:v>18</x:v>
      </x:c>
      <x:c r="AI733" s="15" t="str">
        <x:v>Canonical source for Feature Entitlements!18</x:v>
      </x:c>
    </x:row>
    <x:row r="734" ht="30">
      <x:c r="A734" s="12" t="str">
        <x:v>Feature Entitlements</x:v>
      </x:c>
      <x:c r="B734" s="13" t="str">
        <x:v>Personal Soundboard Available?</x:v>
      </x:c>
      <x:c r="C734" s="8" t="str">
        <x:v>Partial</x:v>
      </x:c>
      <x:c r="D734" s="8"/>
      <x:c r="E734" s="8"/>
      <x:c r="F734" s="8"/>
      <x:c r="G734" s="8"/>
      <x:c r="H734" s="8"/>
      <x:c r="I734" s="8"/>
      <x:c r="J734" s="8"/>
      <x:c r="K734" s="8"/>
      <x:c r="L734" s="8" t="str">
        <x:v>Not separately documented</x:v>
      </x:c>
      <x:c r="M734" s="8"/>
      <x:c r="N734" s="8"/>
      <x:c r="O734" s="8"/>
      <x:c r="P734" s="8"/>
      <x:c r="Q734" s="8"/>
      <x:c r="R734" s="8"/>
      <x:c r="S734" s="8"/>
      <x:c r="T734" s="8"/>
      <x:c r="U734" s="8"/>
      <x:c r="V734" s="8" t="str">
        <x:v>Yes</x:v>
      </x:c>
      <x:c r="W734" s="8"/>
      <x:c r="X734" s="8"/>
      <x:c r="Y734" s="8"/>
      <x:c r="Z734" s="8"/>
      <x:c r="AA734" s="8"/>
      <x:c r="AB734" s="8"/>
      <x:c r="AC734" s="9"/>
      <x:c r="AD734" s="8"/>
      <x:c r="AE734" s="8"/>
      <x:c r="AF734" s="8"/>
      <x:c r="AG734" s="8"/>
      <x:c r="AH734" s="14" t="n">
        <x:v>19</x:v>
      </x:c>
      <x:c r="AI734" s="15" t="str">
        <x:v>Canonical source for Feature Entitlements!19</x:v>
      </x:c>
    </x:row>
    <x:row r="735" ht="30">
      <x:c r="A735" s="12" t="str">
        <x:v>Feature Entitlements</x:v>
      </x:c>
      <x:c r="B735" s="13" t="str">
        <x:v>Personal Soundboard Access</x:v>
      </x:c>
      <x:c r="C735" s="8"/>
      <x:c r="D735" s="8"/>
      <x:c r="E735" s="8"/>
      <x:c r="F735" s="8"/>
      <x:c r="G735" s="8"/>
      <x:c r="H735" s="8"/>
      <x:c r="I735" s="8"/>
      <x:c r="J735" s="8"/>
      <x:c r="K735" s="8"/>
      <x:c r="L735" s="8" t="str">
        <x:v>Not separately documented</x:v>
      </x:c>
      <x:c r="M735" s="8"/>
      <x:c r="N735" s="8"/>
      <x:c r="O735" s="8"/>
      <x:c r="P735" s="8"/>
      <x:c r="Q735" s="8"/>
      <x:c r="R735" s="8"/>
      <x:c r="S735" s="8"/>
      <x:c r="T735" s="8"/>
      <x:c r="U735" s="8"/>
      <x:c r="V735" s="30" t="str">
        <x:v>Free</x:v>
      </x:c>
      <x:c r="W735" s="8"/>
      <x:c r="X735" s="8"/>
      <x:c r="Y735" s="8"/>
      <x:c r="Z735" s="8"/>
      <x:c r="AA735" s="8"/>
      <x:c r="AB735" s="8"/>
      <x:c r="AC735" s="9"/>
      <x:c r="AD735" s="8"/>
      <x:c r="AE735" s="8"/>
      <x:c r="AF735" s="8"/>
      <x:c r="AG735" s="8"/>
      <x:c r="AH735" s="14" t="n">
        <x:v>20</x:v>
      </x:c>
      <x:c r="AI735" s="15" t="str">
        <x:v>Canonical source for Feature Entitlements!20</x:v>
      </x:c>
    </x:row>
    <x:row r="736">
      <x:c r="A736" s="12" t="str">
        <x:v>Feature Entitlements</x:v>
      </x:c>
      <x:c r="B736" s="13" t="str">
        <x:v>Server Soundboard Available?</x:v>
      </x:c>
      <x:c r="C736" s="8" t="str">
        <x:v>Yes</x:v>
      </x:c>
      <x:c r="D736" s="8"/>
      <x:c r="E736" s="8"/>
      <x:c r="F736" s="8"/>
      <x:c r="G736" s="8"/>
      <x:c r="H736" s="8"/>
      <x:c r="I736" s="8" t="str">
        <x:v>Yes</x:v>
      </x:c>
      <x:c r="J736" s="8"/>
      <x:c r="K736" s="8"/>
      <x:c r="L736" s="8" t="str">
        <x:v>Yes</x:v>
      </x:c>
      <x:c r="M736" s="8"/>
      <x:c r="N736" s="8"/>
      <x:c r="O736" s="8"/>
      <x:c r="P736" s="8"/>
      <x:c r="Q736" s="8"/>
      <x:c r="R736" s="8"/>
      <x:c r="S736" s="8"/>
      <x:c r="T736" s="8"/>
      <x:c r="U736" s="8"/>
      <x:c r="V736" s="8" t="str">
        <x:v>Yes</x:v>
      </x:c>
      <x:c r="W736" s="8"/>
      <x:c r="X736" s="8"/>
      <x:c r="Y736" s="8"/>
      <x:c r="Z736" s="8"/>
      <x:c r="AA736" s="8"/>
      <x:c r="AB736" s="8"/>
      <x:c r="AC736" s="9"/>
      <x:c r="AD736" s="8"/>
      <x:c r="AE736" s="8"/>
      <x:c r="AF736" s="8"/>
      <x:c r="AG736" s="8"/>
      <x:c r="AH736" s="14" t="n">
        <x:v>21</x:v>
      </x:c>
      <x:c r="AI736" s="15" t="str">
        <x:v>Canonical source for Feature Entitlements!21</x:v>
      </x:c>
    </x:row>
    <x:row r="737" ht="60">
      <x:c r="A737" s="12" t="str">
        <x:v>Feature Entitlements</x:v>
      </x:c>
      <x:c r="B737" s="13" t="str">
        <x:v>Server Soundboard Access</x:v>
      </x:c>
      <x:c r="C737" s="8" t="str">
        <x:v>Free base slots; more slots with Server Boost level</x:v>
      </x:c>
      <x:c r="D737" s="8"/>
      <x:c r="E737" s="8"/>
      <x:c r="F737" s="8"/>
      <x:c r="G737" s="8"/>
      <x:c r="H737" s="8"/>
      <x:c r="I737" s="8" t="str">
        <x:v>8 free → 48 Diamond</x:v>
      </x:c>
      <x:c r="J737" s="8"/>
      <x:c r="K737" s="8"/>
      <x:c r="L737" s="8" t="str">
        <x:v>Free/current; no paid tier</x:v>
      </x:c>
      <x:c r="M737" s="8"/>
      <x:c r="N737" s="8"/>
      <x:c r="O737" s="8"/>
      <x:c r="P737" s="8"/>
      <x:c r="Q737" s="8"/>
      <x:c r="R737" s="8"/>
      <x:c r="S737" s="8"/>
      <x:c r="T737" s="8"/>
      <x:c r="U737" s="8"/>
      <x:c r="V737" s="8" t="str">
        <x:v>10 free Shard → 25 Ember → 75 Forge; personal 5 free → 25 Rift+</x:v>
      </x:c>
      <x:c r="W737" s="8"/>
      <x:c r="X737" s="8"/>
      <x:c r="Y737" s="8"/>
      <x:c r="Z737" s="8"/>
      <x:c r="AA737" s="8"/>
      <x:c r="AB737" s="8"/>
      <x:c r="AC737" s="9"/>
      <x:c r="AD737" s="8"/>
      <x:c r="AE737" s="8"/>
      <x:c r="AF737" s="8"/>
      <x:c r="AG737" s="8"/>
      <x:c r="AH737" s="14" t="n">
        <x:v>22</x:v>
      </x:c>
      <x:c r="AI737" s="15" t="str">
        <x:v>Canonical source for Feature Entitlements!22</x:v>
      </x:c>
    </x:row>
    <x:row r="738" ht="30">
      <x:c r="A738" s="12" t="str">
        <x:v>Feature Entitlements</x:v>
      </x:c>
      <x:c r="B738" s="13" t="str">
        <x:v>Vanity Invite Available?</x:v>
      </x:c>
      <x:c r="C738" s="8" t="str">
        <x:v>Yes</x:v>
      </x:c>
      <x:c r="D738" s="8"/>
      <x:c r="E738" s="8"/>
      <x:c r="F738" s="8"/>
      <x:c r="G738" s="8"/>
      <x:c r="H738" s="8"/>
      <x:c r="I738" s="8"/>
      <x:c r="J738" s="8"/>
      <x:c r="K738" s="8"/>
      <x:c r="L738" s="8" t="str">
        <x:v>Not separately documented</x:v>
      </x:c>
      <x:c r="M738" s="8"/>
      <x:c r="N738" s="8"/>
      <x:c r="O738" s="8"/>
      <x:c r="P738" s="8"/>
      <x:c r="Q738" s="8"/>
      <x:c r="R738" s="8"/>
      <x:c r="S738" s="8"/>
      <x:c r="T738" s="8"/>
      <x:c r="U738" s="8"/>
      <x:c r="V738" s="8" t="str">
        <x:v>Yes</x:v>
      </x:c>
      <x:c r="W738" s="8"/>
      <x:c r="X738" s="8"/>
      <x:c r="Y738" s="8"/>
      <x:c r="Z738" s="8"/>
      <x:c r="AA738" s="8"/>
      <x:c r="AB738" s="8"/>
      <x:c r="AC738" s="9"/>
      <x:c r="AD738" s="8"/>
      <x:c r="AE738" s="8"/>
      <x:c r="AF738" s="8"/>
      <x:c r="AG738" s="8"/>
      <x:c r="AH738" s="14" t="n">
        <x:v>24</x:v>
      </x:c>
      <x:c r="AI738" s="15" t="str">
        <x:v>Canonical source for Feature Entitlements!24</x:v>
      </x:c>
    </x:row>
    <x:row r="739" ht="30">
      <x:c r="A739" s="12" t="str">
        <x:v>Feature Entitlements</x:v>
      </x:c>
      <x:c r="B739" s="13" t="str">
        <x:v>Vanity Invite Access</x:v>
      </x:c>
      <x:c r="C739" s="8" t="str">
        <x:v>Server Boost Level 3 / eligible communities</x:v>
      </x:c>
      <x:c r="D739" s="8"/>
      <x:c r="E739" s="8"/>
      <x:c r="F739" s="8"/>
      <x:c r="G739" s="8"/>
      <x:c r="H739" s="8"/>
      <x:c r="I739" s="8"/>
      <x:c r="J739" s="8"/>
      <x:c r="K739" s="8"/>
      <x:c r="L739" s="8" t="str">
        <x:v>Not separately documented</x:v>
      </x:c>
      <x:c r="M739" s="8"/>
      <x:c r="N739" s="8"/>
      <x:c r="O739" s="8"/>
      <x:c r="P739" s="8"/>
      <x:c r="Q739" s="8"/>
      <x:c r="R739" s="8"/>
      <x:c r="S739" s="8"/>
      <x:c r="T739" s="8"/>
      <x:c r="U739" s="8"/>
      <x:c r="V739" s="8" t="str">
        <x:v>Shard Forge</x:v>
      </x:c>
      <x:c r="W739" s="8"/>
      <x:c r="X739" s="8"/>
      <x:c r="Y739" s="8"/>
      <x:c r="Z739" s="8"/>
      <x:c r="AA739" s="8"/>
      <x:c r="AB739" s="8"/>
      <x:c r="AC739" s="9"/>
      <x:c r="AD739" s="8"/>
      <x:c r="AE739" s="8"/>
      <x:c r="AF739" s="8"/>
      <x:c r="AG739" s="8"/>
      <x:c r="AH739" s="14" t="n">
        <x:v>25</x:v>
      </x:c>
      <x:c r="AI739" s="15" t="str">
        <x:v>Canonical source for Feature Entitlements!25</x:v>
      </x:c>
    </x:row>
    <x:row r="740" ht="60">
      <x:c r="A740" s="12" t="str">
        <x:v>Feature Entitlements</x:v>
      </x:c>
      <x:c r="B740" s="13" t="str">
        <x:v>Higher Voice Bitrate Paid?</x:v>
      </x:c>
      <x:c r="C740" s="8" t="str">
        <x:v>Yes: Server Boost levels</x:v>
      </x:c>
      <x:c r="D740" s="8"/>
      <x:c r="E740" s="8" t="str">
        <x:v>No central premium tier; operator-configurable</x:v>
      </x:c>
      <x:c r="F740" s="8"/>
      <x:c r="G740" s="8"/>
      <x:c r="H740" s="8"/>
      <x:c r="I740" s="8" t="str">
        <x:v>Yes: higher tiers</x:v>
      </x:c>
      <x:c r="J740" s="8" t="str">
        <x:v>No central premium tier</x:v>
      </x:c>
      <x:c r="K740" s="8"/>
      <x:c r="L740" s="8" t="str">
        <x:v>No: channel/user-selectable voice quality exists without a paid tier</x:v>
      </x:c>
      <x:c r="M740" s="8"/>
      <x:c r="N740" s="8"/>
      <x:c r="O740" s="8" t="str">
        <x:v>Provider/client-dependent</x:v>
      </x:c>
      <x:c r="P740" s="8"/>
      <x:c r="Q740" s="8" t="str">
        <x:v>No: no premium plan</x:v>
      </x:c>
      <x:c r="R740" s="8" t="str">
        <x:v>No platform tier; server-configurable</x:v>
      </x:c>
      <x:c r="S740" s="8"/>
      <x:c r="T740" s="8"/>
      <x:c r="U740" s="8"/>
      <x:c r="V740" s="8" t="str">
        <x:v>Yes: 96 free → 128 Rift+/Ember → 192 Forge</x:v>
      </x:c>
      <x:c r="W740" s="8"/>
      <x:c r="X740" s="8"/>
      <x:c r="Y740" s="8"/>
      <x:c r="Z740" s="8" t="str">
        <x:v>No platform subscription; operator-configurable</x:v>
      </x:c>
      <x:c r="AA740" s="8"/>
      <x:c r="AB740" s="8" t="str">
        <x:v>Server/license/provider-dependent</x:v>
      </x:c>
      <x:c r="AC740" s="9"/>
      <x:c r="AD740" s="8"/>
      <x:c r="AE740" s="8" t="str">
        <x:v>No: core media available to users</x:v>
      </x:c>
      <x:c r="AF740" s="8" t="str">
        <x:v>License/server resources rather than per-user premium</x:v>
      </x:c>
      <x:c r="AG740" s="8"/>
      <x:c r="AH740" s="14" t="n">
        <x:v>26</x:v>
      </x:c>
      <x:c r="AI740" s="15" t="str">
        <x:v>Canonical source for Feature Entitlements!26</x:v>
      </x:c>
    </x:row>
    <x:row r="741" ht="60">
      <x:c r="A741" s="12" t="str">
        <x:v>Feature Entitlements</x:v>
      </x:c>
      <x:c r="B741" s="13" t="str">
        <x:v>Higher Screen Share Quality Paid?</x:v>
      </x:c>
      <x:c r="C741" s="8" t="str">
        <x:v>Yes: Nitro</x:v>
      </x:c>
      <x:c r="D741" s="8"/>
      <x:c r="E741" s="8" t="str">
        <x:v>No central premium tier; operator-configurable</x:v>
      </x:c>
      <x:c r="F741" s="8"/>
      <x:c r="G741" s="8" t="str">
        <x:v>Planned paid differentiation</x:v>
      </x:c>
      <x:c r="H741" s="8" t="str">
        <x:v>Yes: Plutonium</x:v>
      </x:c>
      <x:c r="I741" s="8" t="str">
        <x:v>Yes: Gold/Diamond</x:v>
      </x:c>
      <x:c r="J741" s="8" t="str">
        <x:v>No central premium tier</x:v>
      </x:c>
      <x:c r="K741" s="8"/>
      <x:c r="L741" s="8" t="str">
        <x:v>No: documented screen-share quality presets are not paywalled</x:v>
      </x:c>
      <x:c r="M741" s="8"/>
      <x:c r="N741" s="8" t="str">
        <x:v>No paid tier verified</x:v>
      </x:c>
      <x:c r="O741" s="8" t="str">
        <x:v>Provider/client-dependent</x:v>
      </x:c>
      <x:c r="P741" s="8"/>
      <x:c r="Q741" s="8" t="str">
        <x:v>No: no premium plan</x:v>
      </x:c>
      <x:c r="R741" s="8" t="str">
        <x:v>N/A</x:v>
      </x:c>
      <x:c r="S741" s="8" t="str">
        <x:v>No paid tier verified</x:v>
      </x:c>
      <x:c r="T741" s="8"/>
      <x:c r="U741" s="8" t="str">
        <x:v>No: 1080p is free</x:v>
      </x:c>
      <x:c r="V741" s="30" t="str">
        <x:v>1080p Free - 1440p Rift+</x:v>
      </x:c>
      <x:c r="W741" s="8"/>
      <x:c r="X741" s="8"/>
      <x:c r="Y741" s="8" t="str">
        <x:v>Yes: Sudo</x:v>
      </x:c>
      <x:c r="Z741" s="8" t="str">
        <x:v>No platform subscription; operator-configurable</x:v>
      </x:c>
      <x:c r="AA741" s="8"/>
      <x:c r="AB741" s="8"/>
      <x:c r="AC741" s="9"/>
      <x:c r="AD741" s="8"/>
      <x:c r="AE741" s="8" t="str">
        <x:v>No core quality paywall verified</x:v>
      </x:c>
      <x:c r="AF741" s="8"/>
      <x:c r="AG741" s="8"/>
      <x:c r="AH741" s="14" t="n">
        <x:v>27</x:v>
      </x:c>
      <x:c r="AI741" s="15" t="str">
        <x:v>Canonical source for Feature Entitlements!27</x:v>
      </x:c>
    </x:row>
    <x:row r="742" ht="75">
      <x:c r="A742" s="12" t="str">
        <x:v>Feature Entitlements</x:v>
      </x:c>
      <x:c r="B742" s="13" t="str">
        <x:v>Larger File Uploads Paid?</x:v>
      </x:c>
      <x:c r="C742" s="8" t="str">
        <x:v>Yes: Nitro Basic / Nitro</x:v>
      </x:c>
      <x:c r="D742" s="8"/>
      <x:c r="E742" s="8" t="str">
        <x:v>No central premium tier; operator-configurable</x:v>
      </x:c>
      <x:c r="F742" s="8"/>
      <x:c r="G742" s="8" t="str">
        <x:v>Planned paid higher limits</x:v>
      </x:c>
      <x:c r="H742" s="8" t="str">
        <x:v>Yes: 25 MB free → 500 MB Plutonium</x:v>
      </x:c>
      <x:c r="I742" s="8" t="str">
        <x:v>Yes: 500 MB free → 10 GB Diamond</x:v>
      </x:c>
      <x:c r="J742" s="8" t="str">
        <x:v>Self-host/operator controlled</x:v>
      </x:c>
      <x:c r="K742" s="8"/>
      <x:c r="L742" s="8" t="str">
        <x:v>No paid tier; official 15 MB limit is developer-reported and self-host quotas are configurable</x:v>
      </x:c>
      <x:c r="M742" s="8"/>
      <x:c r="N742" s="8"/>
      <x:c r="O742" s="8" t="str">
        <x:v>Homeserver/provider-dependent</x:v>
      </x:c>
      <x:c r="P742" s="8"/>
      <x:c r="Q742" s="8" t="str">
        <x:v>No: no premium plan</x:v>
      </x:c>
      <x:c r="R742" s="8" t="str">
        <x:v>N/A</x:v>
      </x:c>
      <x:c r="S742" s="8" t="str">
        <x:v>No paid tier verified</x:v>
      </x:c>
      <x:c r="T742" s="8"/>
      <x:c r="U742" s="8" t="str">
        <x:v>No paid tier; hard upload limit not publicly claimed</x:v>
      </x:c>
      <x:c r="V742" s="8" t="str">
        <x:v>Yes: 50 MB free → 300 MB Rift+ / 75 to 100 MB per member Shard tiers</x:v>
      </x:c>
      <x:c r="W742" s="8" t="str">
        <x:v>Deployment/admin configurable</x:v>
      </x:c>
      <x:c r="X742" s="8"/>
      <x:c r="Y742" s="8" t="str">
        <x:v>No higher paid file cap verified</x:v>
      </x:c>
      <x:c r="Z742" s="8" t="str">
        <x:v>No platform subscription; operator-configurable</x:v>
      </x:c>
      <x:c r="AA742" s="8"/>
      <x:c r="AB742" s="8"/>
      <x:c r="AC742" s="9"/>
      <x:c r="AD742" s="8"/>
      <x:c r="AE742" s="8"/>
      <x:c r="AF742" s="8"/>
      <x:c r="AG742" s="8" t="str">
        <x:v>Storage/history increase with paid cloud plans</x:v>
      </x:c>
      <x:c r="AH742" s="14" t="n">
        <x:v>28</x:v>
      </x:c>
      <x:c r="AI742" s="15" t="str">
        <x:v>Canonical source for Feature Entitlements!28</x:v>
      </x:c>
    </x:row>
    <x:row r="743" ht="45">
      <x:c r="A743" s="12" t="str">
        <x:v>Feature Entitlements</x:v>
      </x:c>
      <x:c r="B743" s="13" t="str">
        <x:v>Extra App / Bot Capacity Paid?</x:v>
      </x:c>
      <x:c r="C743" s="8" t="str">
        <x:v>No general Nitro requirement</x:v>
      </x:c>
      <x:c r="D743" s="8"/>
      <x:c r="E743" s="8"/>
      <x:c r="F743" s="8"/>
      <x:c r="G743" s="8"/>
      <x:c r="H743" s="8"/>
      <x:c r="I743" s="8"/>
      <x:c r="J743" s="8"/>
      <x:c r="K743" s="8"/>
      <x:c r="L743" s="8" t="str">
        <x:v>No paid app/bot capacity tier documented</x:v>
      </x:c>
      <x:c r="M743" s="8"/>
      <x:c r="N743" s="8"/>
      <x:c r="O743" s="8" t="str">
        <x:v>Provider-dependent</x:v>
      </x:c>
      <x:c r="P743" s="8" t="str">
        <x:v>Enterprise/deployment-dependent</x:v>
      </x:c>
      <x:c r="Q743" s="8" t="str">
        <x:v>No subscription paywall verified</x:v>
      </x:c>
      <x:c r="R743" s="8"/>
      <x:c r="S743" s="8"/>
      <x:c r="T743" s="8"/>
      <x:c r="U743" s="8" t="str">
        <x:v>No public bot API or paid app-capacity tier</x:v>
      </x:c>
      <x:c r="V743" s="8" t="str">
        <x:v>Webhook/community capacity increases by Shard tier</x:v>
      </x:c>
      <x:c r="W743" s="8" t="str">
        <x:v>Plan/deployment-dependent</x:v>
      </x:c>
      <x:c r="X743" s="8"/>
      <x:c r="Y743" s="8" t="str">
        <x:v>Yes / community Core model can affect hosted app capacity</x:v>
      </x:c>
      <x:c r="Z743" s="8"/>
      <x:c r="AA743" s="8"/>
      <x:c r="AB743" s="8"/>
      <x:c r="AC743" s="9"/>
      <x:c r="AD743" s="8"/>
      <x:c r="AE743" s="8" t="str">
        <x:v>Owning/customizing a lobby is paid</x:v>
      </x:c>
      <x:c r="AF743" s="8"/>
      <x:c r="AG743" s="8"/>
      <x:c r="AH743" s="14" t="n">
        <x:v>29</x:v>
      </x:c>
      <x:c r="AI743" s="15" t="str">
        <x:v>Canonical source for Feature Entitlements!29</x:v>
      </x:c>
    </x:row>
    <x:row r="744" ht="60">
      <x:c r="A744" s="12" t="str">
        <x:v>Feature Entitlements</x:v>
      </x:c>
      <x:c r="B744" s="13" t="str">
        <x:v>Analytics Paid?</x:v>
      </x:c>
      <x:c r="C744" s="8" t="str">
        <x:v>No general Nitro requirement / community tools</x:v>
      </x:c>
      <x:c r="D744" s="8"/>
      <x:c r="E744" s="8"/>
      <x:c r="F744" s="8"/>
      <x:c r="G744" s="8"/>
      <x:c r="H744" s="8"/>
      <x:c r="I744" s="8"/>
      <x:c r="J744" s="8"/>
      <x:c r="K744" s="8"/>
      <x:c r="L744" s="8" t="str">
        <x:v>No paid analytics tier documented</x:v>
      </x:c>
      <x:c r="M744" s="8"/>
      <x:c r="N744" s="8"/>
      <x:c r="O744" s="8" t="str">
        <x:v>Provider-dependent</x:v>
      </x:c>
      <x:c r="P744" s="8" t="str">
        <x:v>Yes: advanced enterprise analytics/admin features</x:v>
      </x:c>
      <x:c r="Q744" s="8" t="str">
        <x:v>No premium communication tier</x:v>
      </x:c>
      <x:c r="R744" s="8"/>
      <x:c r="S744" s="8"/>
      <x:c r="T744" s="8"/>
      <x:c r="U744" s="8" t="str">
        <x:v>No paid tier</x:v>
      </x:c>
      <x:c r="V744" s="8" t="str">
        <x:v>Yes: Shard tiers add analytics</x:v>
      </x:c>
      <x:c r="W744" s="8" t="str">
        <x:v>Enterprise/admin features vary by plan</x:v>
      </x:c>
      <x:c r="X744" s="8"/>
      <x:c r="Y744" s="8"/>
      <x:c r="Z744" s="8"/>
      <x:c r="AA744" s="8"/>
      <x:c r="AB744" s="8"/>
      <x:c r="AC744" s="9"/>
      <x:c r="AD744" s="8"/>
      <x:c r="AE744" s="8"/>
      <x:c r="AF744" s="8"/>
      <x:c r="AG744" s="8" t="str">
        <x:v>Advanced organization/admin capabilities vary by plan</x:v>
      </x:c>
      <x:c r="AH744" s="14" t="n">
        <x:v>30</x:v>
      </x:c>
      <x:c r="AI744" s="15" t="str">
        <x:v>Canonical source for Feature Entitlements!30</x:v>
      </x:c>
    </x:row>
    <x:row r="745" ht="60">
      <x:c r="A745" s="12" t="str">
        <x:v>Feature Entitlements</x:v>
      </x:c>
      <x:c r="B745" s="13" t="str">
        <x:v>Advanced Moderation Paid?</x:v>
      </x:c>
      <x:c r="C745" s="8" t="str">
        <x:v>No: core moderation/AutoMod is not a Nitro entitlement</x:v>
      </x:c>
      <x:c r="D745" s="8"/>
      <x:c r="E745" s="8"/>
      <x:c r="F745" s="8"/>
      <x:c r="G745" s="8"/>
      <x:c r="H745" s="8"/>
      <x:c r="I745" s="8"/>
      <x:c r="J745" s="8"/>
      <x:c r="K745" s="8"/>
      <x:c r="L745" s="8" t="str">
        <x:v>No paid advanced-moderation tier documented</x:v>
      </x:c>
      <x:c r="M745" s="8"/>
      <x:c r="N745" s="8"/>
      <x:c r="O745" s="8" t="str">
        <x:v>Provider-dependent</x:v>
      </x:c>
      <x:c r="P745" s="8" t="str">
        <x:v>Enterprise governance/compliance features paid</x:v>
      </x:c>
      <x:c r="Q745" s="8" t="str">
        <x:v>No premium communication tier</x:v>
      </x:c>
      <x:c r="R745" s="8" t="str">
        <x:v>No: ACLs are core</x:v>
      </x:c>
      <x:c r="S745" s="8"/>
      <x:c r="T745" s="8"/>
      <x:c r="U745" s="8" t="str">
        <x:v>No paid tier</x:v>
      </x:c>
      <x:c r="V745" s="8" t="str">
        <x:v>No: safety/moderation remains free</x:v>
      </x:c>
      <x:c r="W745" s="8" t="str">
        <x:v>Enterprise governance features vary by plan</x:v>
      </x:c>
      <x:c r="X745" s="8"/>
      <x:c r="Y745" s="8" t="str">
        <x:v>No evidence core moderation is Sudo-gated</x:v>
      </x:c>
      <x:c r="Z745" s="8"/>
      <x:c r="AA745" s="8"/>
      <x:c r="AB745" s="8" t="str">
        <x:v>Core permissions available; enterprise options separate</x:v>
      </x:c>
      <x:c r="AC745" s="9"/>
      <x:c r="AD745" s="8"/>
      <x:c r="AE745" s="8"/>
      <x:c r="AF745" s="8"/>
      <x:c r="AG745" s="8" t="str">
        <x:v>Some enterprise/admin functionality is plan-dependent</x:v>
      </x:c>
      <x:c r="AH745" s="14" t="n">
        <x:v>31</x:v>
      </x:c>
      <x:c r="AI745" s="15" t="str">
        <x:v>Canonical source for Feature Entitlements!31</x:v>
      </x:c>
    </x:row>
    <x:row r="746" ht="105">
      <x:c r="A746" s="12" t="str">
        <x:v>Feature Entitlements</x:v>
      </x:c>
      <x:c r="B746" s="13" t="str">
        <x:v>Entitlement Notes</x:v>
      </x:c>
      <x:c r="C746" s="8" t="str">
        <x:v>Discord splits personal Nitro entitlements from server-wide Boost entitlements.</x:v>
      </x:c>
      <x:c r="D746" s="8" t="str">
        <x:v>No central paid entitlement system; relay/provider costs are separate.</x:v>
      </x:c>
      <x:c r="E746" s="8" t="str">
        <x:v>AGPL/self-host model; limits are operator/configuration concerns.</x:v>
      </x:c>
      <x:c r="F746" s="8" t="str">
        <x:v>No public premium entitlement schedule verified.</x:v>
      </x:c>
      <x:c r="G746" s="8" t="str">
        <x:v>Fenrid is alpha; tier benefits are planned and may change before stable release.</x:v>
      </x:c>
      <x:c r="H746" s="8" t="str">
        <x:v>Plutonium is primarily a personal premium tier; self-hosting remains free/open source.</x:v>
      </x:c>
      <x:c r="I746" s="8" t="str">
        <x:v>Premium tiers are server-wide; all members benefit from the selected server tier.</x:v>
      </x:c>
      <x:c r="J746" s="8" t="str">
        <x:v>Open-source/self-host model; no central premium entitlement system.</x:v>
      </x:c>
      <x:c r="K746" s="8" t="str">
        <x:v>No central paid entitlement system; open-source/local-first.</x:v>
      </x:c>
      <x:c r="L746" s="8" t="str">
        <x:v>Core/self-host features are not split into paid tiers today</x:v>
      </x:c>
      <x:c r="M746" s="8" t="str">
        <x:v>No public premium entitlement schedule verified.</x:v>
      </x:c>
      <x:c r="N746" s="8" t="str">
        <x:v>Open beta; fixed premium entitlements not verified.</x:v>
      </x:c>
      <x:c r="O746" s="8" t="str">
        <x:v>Matrix has no universal paid tier. Entitlements belong to a homeserver provider or client vendor, not the protocol.</x:v>
      </x:c>
      <x:c r="P746" s="8" t="str">
        <x:v>Paid differentiation is enterprise governance/workflow/support, not gaming cosmetics.</x:v>
      </x:c>
      <x:c r="Q746" s="8" t="str">
        <x:v>Official FAQ says communication features are free with no premium plan/paywall.</x:v>
      </x:c>
      <x:c r="R746" s="8" t="str">
        <x:v>No Nitro-style entitlement system.</x:v>
      </x:c>
      <x:c r="S746" s="8" t="str">
        <x:v>Donation-funded; no premium entitlement tier verified.</x:v>
      </x:c>
      <x:c r="T746" s="8" t="str">
        <x:v>Public monetization/entitlement schedule is not sufficiently documented.</x:v>
      </x:c>
      <x:c r="U746" s="8" t="str">
        <x:v>Hosted service is free; donations unlock nothing. Built-in themes/accessibility settings are free; 1080p screen share is free.</x:v>
      </x:c>
      <x:c r="V746" s="8" t="str">
        <x:v>Rift separates personal Rift+ entitlements from community-wide Shard Ember/Forge entitlements.</x:v>
      </x:c>
      <x:c r="W746" s="8" t="str">
        <x:v>Paid differentiation is commercial deployment/support/security rather than Nitro-style cosmetics.</x:v>
      </x:c>
      <x:c r="X746" s="8" t="str">
        <x:v>No Roomy-specific paid entitlement system verified.</x:v>
      </x:c>
      <x:c r="Y746" s="8" t="str">
        <x:v>Sudo is user-level; Cores are community resources. They should not be conflated.</x:v>
      </x:c>
      <x:c r="Z746" s="8" t="str">
        <x:v>Self-host operator sets limits; no central premium tier.</x:v>
      </x:c>
      <x:c r="AA746" s="8"/>
      <x:c r="AB746" s="8" t="str">
        <x:v>Paid model centers on server slots/licensing rather than per-user cosmetic entitlements.</x:v>
      </x:c>
      <x:c r="AC746" s="9" t="str">
        <x:v>Stargazer supporter subscription exists; current public price/caps were not verified.</x:v>
      </x:c>
      <x:c r="AD746" s="8" t="str">
        <x:v>Early project; premium feature gating not publicly defined.</x:v>
      </x:c>
      <x:c r="AE746" s="8" t="str">
        <x:v>Using existing lobbies is free; operating your own lobby is the paid distinction.</x:v>
      </x:c>
      <x:c r="AF746" s="8" t="str">
        <x:v>Monetization is licensing/managed hosting, not Nitro-style cosmetics.</x:v>
      </x:c>
      <x:c r="AG746" s="8" t="str">
        <x:v>Paid tiers focus on history, storage, support, compliance and admin features rather than cosmetics.</x:v>
      </x:c>
      <x:c r="AH746" s="14" t="n">
        <x:v>33</x:v>
      </x:c>
      <x:c r="AI746" s="15" t="str">
        <x:v>Canonical source for Feature Entitlements!33</x:v>
      </x:c>
    </x:row>
    <x:row r="747" ht="45">
      <x:c r="A747" s="12" t="str">
        <x:v>Feature Entitlements</x:v>
      </x:c>
      <x:c r="B747" s="13" t="str">
        <x:v>Saved Layouts / Workspaces Available?</x:v>
      </x:c>
      <x:c r="C747" s="8" t="str">
        <x:v>No general feature</x:v>
      </x:c>
      <x:c r="D747" s="8"/>
      <x:c r="E747" s="8"/>
      <x:c r="F747" s="8"/>
      <x:c r="G747" s="8"/>
      <x:c r="H747" s="8"/>
      <x:c r="I747" s="8"/>
      <x:c r="J747" s="8"/>
      <x:c r="K747" s="8"/>
      <x:c r="L747" s="8" t="str">
        <x:v>No saved multi-panel workspace/layout system documented</x:v>
      </x:c>
      <x:c r="M747" s="8"/>
      <x:c r="N747" s="8"/>
      <x:c r="O747" s="8"/>
      <x:c r="P747" s="8"/>
      <x:c r="Q747" s="8"/>
      <x:c r="R747" s="8"/>
      <x:c r="S747" s="8"/>
      <x:c r="T747" s="8"/>
      <x:c r="U747" s="8"/>
      <x:c r="V747" s="8" t="str">
        <x:v>Yes</x:v>
      </x:c>
      <x:c r="W747" s="8"/>
      <x:c r="X747" s="8"/>
      <x:c r="Y747" s="8"/>
      <x:c r="Z747" s="8"/>
      <x:c r="AA747" s="8"/>
      <x:c r="AB747" s="8"/>
      <x:c r="AC747" s="9"/>
      <x:c r="AD747" s="8"/>
      <x:c r="AE747" s="8"/>
      <x:c r="AF747" s="8"/>
      <x:c r="AG747" s="8"/>
      <x:c r="AH747" s="14" t="n">
        <x:v>35</x:v>
      </x:c>
      <x:c r="AI747" s="15" t="str">
        <x:v>Canonical source for Feature Entitlements!35</x:v>
      </x:c>
    </x:row>
    <x:row r="748" ht="45">
      <x:c r="A748" s="12" t="str">
        <x:v>Feature Entitlements</x:v>
      </x:c>
      <x:c r="B748" s="13" t="str">
        <x:v>Saved Layouts / Workspaces Access</x:v>
      </x:c>
      <x:c r="C748" s="8" t="str">
        <x:v>N/A</x:v>
      </x:c>
      <x:c r="D748" s="8"/>
      <x:c r="E748" s="8"/>
      <x:c r="F748" s="8"/>
      <x:c r="G748" s="8"/>
      <x:c r="H748" s="8"/>
      <x:c r="I748" s="8"/>
      <x:c r="J748" s="8"/>
      <x:c r="K748" s="8"/>
      <x:c r="L748" s="8" t="str">
        <x:v>No saved multi-panel workspace/layout system documented</x:v>
      </x:c>
      <x:c r="M748" s="8"/>
      <x:c r="N748" s="8"/>
      <x:c r="O748" s="8"/>
      <x:c r="P748" s="8"/>
      <x:c r="Q748" s="8"/>
      <x:c r="R748" s="8"/>
      <x:c r="S748" s="8"/>
      <x:c r="T748" s="8"/>
      <x:c r="U748" s="8"/>
      <x:c r="V748" s="8" t="str">
        <x:v>2 layouts free/ 8 layouts Rift +</x:v>
      </x:c>
      <x:c r="W748" s="8"/>
      <x:c r="X748" s="8"/>
      <x:c r="Y748" s="8"/>
      <x:c r="Z748" s="8"/>
      <x:c r="AA748" s="8"/>
      <x:c r="AB748" s="8"/>
      <x:c r="AC748" s="9"/>
      <x:c r="AD748" s="8"/>
      <x:c r="AE748" s="8"/>
      <x:c r="AF748" s="8"/>
      <x:c r="AG748" s="8"/>
      <x:c r="AH748" s="14" t="n">
        <x:v>36</x:v>
      </x:c>
      <x:c r="AI748" s="15" t="str">
        <x:v>Canonical source for Feature Entitlements!36</x:v>
      </x:c>
    </x:row>
    <x:row r="749" ht="45">
      <x:c r="A749" s="12" t="str">
        <x:v>Feature Entitlements</x:v>
      </x:c>
      <x:c r="B749" s="13" t="str">
        <x:v>Embedded Apps / Portals Available?</x:v>
      </x:c>
      <x:c r="C749" s="8" t="str">
        <x:v>Yes: Activities/apps</x:v>
      </x:c>
      <x:c r="D749" s="8"/>
      <x:c r="E749" s="8"/>
      <x:c r="F749" s="8"/>
      <x:c r="G749" s="8"/>
      <x:c r="H749" s="8"/>
      <x:c r="I749" s="8"/>
      <x:c r="J749" s="8"/>
      <x:c r="K749" s="8"/>
      <x:c r="L749" s="8" t="str">
        <x:v>No embedded-app/Portal runtime documented</x:v>
      </x:c>
      <x:c r="M749" s="8"/>
      <x:c r="N749" s="8"/>
      <x:c r="O749" s="8"/>
      <x:c r="P749" s="8"/>
      <x:c r="Q749" s="8"/>
      <x:c r="R749" s="8"/>
      <x:c r="S749" s="8"/>
      <x:c r="T749" s="8"/>
      <x:c r="U749" s="8"/>
      <x:c r="V749" s="8" t="str">
        <x:v>Yes: Portals</x:v>
      </x:c>
      <x:c r="W749" s="8"/>
      <x:c r="X749" s="8"/>
      <x:c r="Y749" s="8"/>
      <x:c r="Z749" s="8"/>
      <x:c r="AA749" s="8"/>
      <x:c r="AB749" s="8"/>
      <x:c r="AC749" s="9"/>
      <x:c r="AD749" s="8"/>
      <x:c r="AE749" s="8"/>
      <x:c r="AF749" s="8"/>
      <x:c r="AG749" s="8"/>
      <x:c r="AH749" s="14" t="n">
        <x:v>37</x:v>
      </x:c>
      <x:c r="AI749" s="15" t="str">
        <x:v>Canonical source for Feature Entitlements!37</x:v>
      </x:c>
    </x:row>
    <x:row r="750" ht="60">
      <x:c r="A750" s="12" t="str">
        <x:v>Feature Entitlements</x:v>
      </x:c>
      <x:c r="B750" s="13" t="str">
        <x:v>Embedded Apps / Portals Access</x:v>
      </x:c>
      <x:c r="C750" s="8" t="str">
        <x:v>Many Activities free; app-specific monetization may apply</x:v>
      </x:c>
      <x:c r="D750" s="8"/>
      <x:c r="E750" s="8"/>
      <x:c r="F750" s="8"/>
      <x:c r="G750" s="8"/>
      <x:c r="H750" s="8"/>
      <x:c r="I750" s="8"/>
      <x:c r="J750" s="8"/>
      <x:c r="K750" s="8"/>
      <x:c r="L750" s="8" t="str">
        <x:v>No embedded-app/Portal runtime documented</x:v>
      </x:c>
      <x:c r="M750" s="8"/>
      <x:c r="N750" s="8"/>
      <x:c r="O750" s="8"/>
      <x:c r="P750" s="8"/>
      <x:c r="Q750" s="8"/>
      <x:c r="R750" s="8"/>
      <x:c r="S750" s="8"/>
      <x:c r="T750" s="8"/>
      <x:c r="U750" s="8"/>
      <x:c r="V750" s="8" t="str">
        <x:v>Embedded Apps Free / Rift+ Studio</x:v>
      </x:c>
      <x:c r="W750" s="8"/>
      <x:c r="X750" s="8"/>
      <x:c r="Y750" s="8"/>
      <x:c r="Z750" s="8"/>
      <x:c r="AA750" s="8"/>
      <x:c r="AB750" s="8"/>
      <x:c r="AC750" s="9"/>
      <x:c r="AD750" s="8"/>
      <x:c r="AE750" s="8"/>
      <x:c r="AF750" s="8"/>
      <x:c r="AG750" s="8"/>
      <x:c r="AH750" s="14" t="n">
        <x:v>38</x:v>
      </x:c>
      <x:c r="AI750" s="15" t="str">
        <x:v>Canonical source for Feature Entitlements!38</x:v>
      </x:c>
    </x:row>
    <x:row r="751" ht="60">
      <x:c r="A751" s="12" t="str">
        <x:v>Feature Entitlements</x:v>
      </x:c>
      <x:c r="B751" s="13" t="str">
        <x:v>Giveaways / Leveling Paid?</x:v>
      </x:c>
      <x:c r="C751" s="8" t="str">
        <x:v>Via third-party apps/bots; app pricing varies</x:v>
      </x:c>
      <x:c r="D751" s="8"/>
      <x:c r="E751" s="8"/>
      <x:c r="F751" s="8"/>
      <x:c r="G751" s="8"/>
      <x:c r="H751" s="8"/>
      <x:c r="I751" s="8"/>
      <x:c r="J751" s="8"/>
      <x:c r="K751" s="8"/>
      <x:c r="L751" s="8" t="str">
        <x:v>No native leveling/giveaway monetization system documented</x:v>
      </x:c>
      <x:c r="M751" s="8"/>
      <x:c r="N751" s="8"/>
      <x:c r="O751" s="8"/>
      <x:c r="P751" s="8"/>
      <x:c r="Q751" s="8"/>
      <x:c r="R751" s="8"/>
      <x:c r="S751" s="8"/>
      <x:c r="T751" s="8"/>
      <x:c r="U751" s="8"/>
      <x:c r="V751" s="8" t="str">
        <x:v>No: leveling stated free for every Shard; giveaways built in</x:v>
      </x:c>
      <x:c r="W751" s="8"/>
      <x:c r="X751" s="8"/>
      <x:c r="Y751" s="8"/>
      <x:c r="Z751" s="8"/>
      <x:c r="AA751" s="8"/>
      <x:c r="AB751" s="8"/>
      <x:c r="AC751" s="9"/>
      <x:c r="AD751" s="8"/>
      <x:c r="AE751" s="8"/>
      <x:c r="AF751" s="8"/>
      <x:c r="AG751" s="8"/>
      <x:c r="AH751" s="14" t="n">
        <x:v>39</x:v>
      </x:c>
      <x:c r="AI751" s="15" t="str">
        <x:v>Canonical source for Feature Entitlements!39</x:v>
      </x:c>
    </x:row>
    <x:row r="752">
      <x:c r="A752" s="8"/>
      <x:c r="B752" s="8"/>
      <x:c r="C752" s="8"/>
      <x:c r="D752" s="8"/>
      <x:c r="E752" s="8"/>
      <x:c r="F752" s="8"/>
      <x:c r="G752" s="8"/>
      <x:c r="H752" s="8"/>
      <x:c r="I752" s="8"/>
      <x:c r="J752" s="8"/>
      <x:c r="K752" s="8"/>
      <x:c r="L752" s="8"/>
      <x:c r="M752" s="8"/>
      <x:c r="N752" s="8"/>
      <x:c r="O752" s="8"/>
      <x:c r="P752" s="8"/>
      <x:c r="Q752" s="8"/>
      <x:c r="R752" s="8"/>
      <x:c r="S752" s="8"/>
      <x:c r="T752" s="8"/>
      <x:c r="U752" s="8"/>
      <x:c r="V752" s="8"/>
      <x:c r="W752" s="8"/>
      <x:c r="X752" s="8"/>
      <x:c r="Y752" s="8"/>
      <x:c r="Z752" s="8"/>
      <x:c r="AA752" s="8"/>
      <x:c r="AB752" s="8"/>
      <x:c r="AC752" s="9"/>
      <x:c r="AD752" s="8"/>
      <x:c r="AE752" s="8"/>
      <x:c r="AF752" s="8"/>
      <x:c r="AG752" s="8"/>
      <x:c r="AH752" s="8"/>
      <x:c r="AI752" s="8"/>
    </x:row>
    <x:row r="753" ht="30">
      <x:c r="A753" s="12" t="str">
        <x:v>Supplemental canonical rows: non-matrix source records</x:v>
      </x:c>
      <x:c r="B753" s="12"/>
      <x:c r="C753" s="12"/>
      <x:c r="D753" s="12"/>
      <x:c r="E753" s="12"/>
      <x:c r="F753" s="12"/>
      <x:c r="G753" s="12"/>
      <x:c r="H753" s="12"/>
      <x:c r="I753" s="12"/>
      <x:c r="J753" s="12"/>
      <x:c r="K753" s="12"/>
      <x:c r="L753" s="12"/>
      <x:c r="M753" s="12"/>
      <x:c r="N753" s="12"/>
      <x:c r="O753" s="12"/>
      <x:c r="P753" s="12"/>
      <x:c r="Q753" s="12"/>
      <x:c r="R753" s="12"/>
      <x:c r="S753" s="12"/>
      <x:c r="T753" s="12"/>
      <x:c r="U753" s="12"/>
      <x:c r="V753" s="12"/>
      <x:c r="W753" s="12"/>
      <x:c r="X753" s="12"/>
      <x:c r="Y753" s="12"/>
      <x:c r="Z753" s="12"/>
      <x:c r="AA753" s="12"/>
      <x:c r="AB753" s="12"/>
      <x:c r="AC753" s="12"/>
      <x:c r="AD753" s="12"/>
      <x:c r="AE753" s="12"/>
      <x:c r="AF753" s="12"/>
      <x:c r="AG753" s="12"/>
      <x:c r="AH753" s="12"/>
      <x:c r="AI753" s="12"/>
    </x:row>
    <x:row r="754">
      <x:c r="A754" s="16" t="str">
        <x:v>Source Sheet</x:v>
      </x:c>
      <x:c r="B754" s="16" t="str">
        <x:v>Original Row</x:v>
      </x:c>
      <x:c r="C754" s="16" t="str">
        <x:v>Col C</x:v>
      </x:c>
      <x:c r="D754" s="16" t="str">
        <x:v>Col A</x:v>
      </x:c>
      <x:c r="E754" s="16" t="str">
        <x:v>Col B</x:v>
      </x:c>
      <x:c r="F754" s="16" t="str">
        <x:v>Col D</x:v>
      </x:c>
      <x:c r="G754" s="16" t="str">
        <x:v>Col E</x:v>
      </x:c>
      <x:c r="H754" s="16" t="str">
        <x:v>Col F</x:v>
      </x:c>
      <x:c r="I754" s="16" t="str">
        <x:v>Col G</x:v>
      </x:c>
      <x:c r="J754" s="16" t="str">
        <x:v>Col H</x:v>
      </x:c>
      <x:c r="K754" s="16" t="str">
        <x:v>Col I</x:v>
      </x:c>
      <x:c r="L754" s="16" t="str">
        <x:v>Col J</x:v>
      </x:c>
      <x:c r="M754" s="16" t="str">
        <x:v>Col K</x:v>
      </x:c>
      <x:c r="N754" s="16" t="str">
        <x:v>Col L</x:v>
      </x:c>
      <x:c r="O754" s="16" t="str">
        <x:v>Col M</x:v>
      </x:c>
      <x:c r="P754" s="16" t="str">
        <x:v>Col N</x:v>
      </x:c>
      <x:c r="Q754" s="16" t="str">
        <x:v>Col O</x:v>
      </x:c>
      <x:c r="R754" s="8"/>
      <x:c r="S754" s="8"/>
      <x:c r="T754" s="8"/>
      <x:c r="U754" s="8"/>
      <x:c r="V754" s="8"/>
      <x:c r="W754" s="8"/>
      <x:c r="X754" s="8"/>
      <x:c r="Y754" s="8"/>
      <x:c r="Z754" s="8"/>
      <x:c r="AA754" s="8"/>
      <x:c r="AB754" s="8"/>
      <x:c r="AC754" s="9"/>
      <x:c r="AD754" s="8"/>
      <x:c r="AE754" s="8"/>
      <x:c r="AF754" s="8"/>
      <x:c r="AG754" s="8"/>
      <x:c r="AH754" s="8"/>
      <x:c r="AI754" s="8"/>
    </x:row>
    <x:row r="755" ht="75">
      <x:c r="A755" s="8" t="str">
        <x:v>Pricing &amp; Tiers</x:v>
      </x:c>
      <x:c r="B755" s="8" t="n">
        <x:v>57</x:v>
      </x:c>
      <x:c r="C755" s="8" t="str">
        <x:v>No paid tier: donations unlock nothing</x:v>
      </x:c>
      <x:c r="D755" s="8" t="str">
        <x:v>pqp.gg</x:v>
      </x:c>
      <x:c r="E755" s="8" t="str">
        <x:v>Free hosted + donations</x:v>
      </x:c>
      <x:c r="F755" s="8" t="str">
        <x:v>Active free hosted beta</x:v>
      </x:c>
      <x:c r="G755" s="8" t="str">
        <x:v>N/A</x:v>
      </x:c>
      <x:c r="H755" s="8" t="str">
        <x:v>N/A</x:v>
      </x:c>
      <x:c r="I755" s="8" t="str">
        <x:v>N/A</x:v>
      </x:c>
      <x:c r="J755" s="8" t="str">
        <x:v>N/A</x:v>
      </x:c>
      <x:c r="K755" s="8" t="str">
        <x:v>Free hosted + optional donations</x:v>
      </x:c>
      <x:c r="L755" s="8" t="str">
        <x:v>All hosted users / self-hosters</x:v>
      </x:c>
      <x:c r="M755" s="8" t="str">
        <x:v>AGPL-3.0 self-host</x:v>
      </x:c>
      <x:c r="N755" s="8" t="str">
        <x:v>Free hosted service; donations unlock nothing; self-hostable AGPL-3.0; not VC-backed</x:v>
      </x:c>
      <x:c r="O755" s="8" t="str">
        <x:v>https://pqp.gg/apoie</x:v>
      </x:c>
      <x:c r="P755" s="8" t="str">
        <x:v>2026-09-16</x:v>
      </x:c>
      <x:c r="Q755" s="8" t="str">
        <x:v>No fixed-price subscription; donations confer no feature unlocks.</x:v>
      </x:c>
      <x:c r="R755" s="8" t="str">
        <x:v>Primary / developer-provided response</x:v>
      </x:c>
      <x:c r="S755" s="8"/>
      <x:c r="T755" s="8"/>
      <x:c r="U755" s="8"/>
      <x:c r="V755" s="8"/>
      <x:c r="W755" s="8"/>
      <x:c r="X755" s="8"/>
      <x:c r="Y755" s="8"/>
      <x:c r="Z755" s="8"/>
      <x:c r="AA755" s="8"/>
      <x:c r="AB755" s="8"/>
      <x:c r="AC755" s="9"/>
      <x:c r="AD755" s="8"/>
      <x:c r="AE755" s="8"/>
      <x:c r="AF755" s="8"/>
      <x:c r="AG755" s="8"/>
      <x:c r="AH755" s="8"/>
      <x:c r="AI755" s="8"/>
    </x:row>
    <x:row r="756" ht="45">
      <x:c r="A756" s="8" t="str">
        <x:v>Monetization Detail</x:v>
      </x:c>
      <x:c r="B756" s="8" t="n">
        <x:v>57</x:v>
      </x:c>
      <x:c r="C756" s="8" t="str">
        <x:v>No paid tier</x:v>
      </x:c>
      <x:c r="D756" s="8" t="str">
        <x:v>pqp.gg</x:v>
      </x:c>
      <x:c r="E756" s="8" t="str">
        <x:v>Current</x:v>
      </x:c>
      <x:c r="F756" s="8" t="str">
        <x:v>Free hosted service</x:v>
      </x:c>
      <x:c r="G756" s="8" t="str">
        <x:v>0</x:v>
      </x:c>
      <x:c r="H756" s="8" t="str">
        <x:v>N/A</x:v>
      </x:c>
      <x:c r="I756" s="8" t="str">
        <x:v>N/A</x:v>
      </x:c>
      <x:c r="J756" s="8" t="str">
        <x:v>Hosted users</x:v>
      </x:c>
      <x:c r="K756" s="8" t="str">
        <x:v>All hosted users</x:v>
      </x:c>
      <x:c r="L756" s="8" t="str">
        <x:v>No</x:v>
      </x:c>
      <x:c r="M756" s="8" t="str">
        <x:v>Free service</x:v>
      </x:c>
      <x:c r="N756" s="8" t="str">
        <x:v>Active</x:v>
      </x:c>
      <x:c r="O756" s="8" t="str">
        <x:v>Donations are optional and unlock nothing</x:v>
      </x:c>
      <x:c r="P756" s="8" t="str">
        <x:v>https://pqp.gg/</x:v>
      </x:c>
      <x:c r="Q756" s="8" t="str">
        <x:v>2026-09-16</x:v>
      </x:c>
      <x:c r="R756" s="8" t="str">
        <x:v>Free hosted beta; AGPL self-hostable; not VC-backed.</x:v>
      </x:c>
      <x:c r="S756" s="8" t="str">
        <x:v>Primary / developer-provided response</x:v>
      </x:c>
      <x:c r="T756" s="8"/>
      <x:c r="U756" s="8"/>
      <x:c r="V756" s="8"/>
      <x:c r="W756" s="8"/>
      <x:c r="X756" s="8"/>
      <x:c r="Y756" s="8"/>
      <x:c r="Z756" s="8"/>
      <x:c r="AA756" s="8"/>
      <x:c r="AB756" s="8"/>
      <x:c r="AC756" s="9"/>
      <x:c r="AD756" s="8"/>
      <x:c r="AE756" s="8"/>
      <x:c r="AF756" s="8"/>
      <x:c r="AG756" s="8"/>
      <x:c r="AH756" s="8"/>
      <x:c r="AI756" s="8"/>
    </x:row>
    <x:row r="757" ht="45">
      <x:c r="A757" s="8" t="str">
        <x:v>Monetization Detail</x:v>
      </x:c>
      <x:c r="B757" s="8" t="n">
        <x:v>78</x:v>
      </x:c>
      <x:c r="C757" s="8" t="str">
        <x:v>Donations</x:v>
      </x:c>
      <x:c r="D757" s="8" t="str">
        <x:v>pqp.gg</x:v>
      </x:c>
      <x:c r="E757" s="8" t="str">
        <x:v>Current</x:v>
      </x:c>
      <x:c r="F757" s="8" t="str">
        <x:v>Project donations</x:v>
      </x:c>
      <x:c r="G757" s="8" t="str">
        <x:v>User-selected</x:v>
      </x:c>
      <x:c r="H757" s="8" t="str">
        <x:v>N/A</x:v>
      </x:c>
      <x:c r="I757" s="8" t="str">
        <x:v>Donation</x:v>
      </x:c>
      <x:c r="J757" s="8" t="str">
        <x:v>Donor</x:v>
      </x:c>
      <x:c r="K757" s="8" t="str">
        <x:v>Project funding</x:v>
      </x:c>
      <x:c r="L757" s="8" t="str">
        <x:v>No</x:v>
      </x:c>
      <x:c r="M757" s="8" t="str">
        <x:v>Donations unlock nothing</x:v>
      </x:c>
      <x:c r="N757" s="8" t="str">
        <x:v>Active</x:v>
      </x:c>
      <x:c r="O757" s="8" t="str">
        <x:v>No feature unlocks</x:v>
      </x:c>
      <x:c r="P757" s="8" t="str">
        <x:v>https://pqp.gg/apoie</x:v>
      </x:c>
      <x:c r="Q757" s="8" t="str">
        <x:v>2026-09-16</x:v>
      </x:c>
      <x:c r="R757" s="8" t="str">
        <x:v>Optional project support only; not a paid feature tier.</x:v>
      </x:c>
      <x:c r="S757" s="8" t="str">
        <x:v>Primary / developer-provided response</x:v>
      </x:c>
      <x:c r="T757" s="8"/>
      <x:c r="U757" s="8"/>
      <x:c r="V757" s="8"/>
      <x:c r="W757" s="8"/>
      <x:c r="X757" s="8"/>
      <x:c r="Y757" s="8"/>
      <x:c r="Z757" s="8"/>
      <x:c r="AA757" s="8"/>
      <x:c r="AB757" s="8"/>
      <x:c r="AC757" s="9"/>
      <x:c r="AD757" s="8"/>
      <x:c r="AE757" s="8"/>
      <x:c r="AF757" s="8"/>
      <x:c r="AG757" s="8"/>
      <x:c r="AH757" s="8"/>
      <x:c r="AI757" s="8"/>
    </x:row>
    <x:row r="758" ht="60">
      <x:c r="A758" s="8" t="str">
        <x:v>Monetization Detail</x:v>
      </x:c>
      <x:c r="B758" s="8" t="n">
        <x:v>109</x:v>
      </x:c>
      <x:c r="C758" s="8" t="str">
        <x:v>Future monetization status</x:v>
      </x:c>
      <x:c r="D758" s="8" t="str">
        <x:v>pqp.gg</x:v>
      </x:c>
      <x:c r="E758" s="8" t="str">
        <x:v>Intended / Planned</x:v>
      </x:c>
      <x:c r="F758" s="8" t="str">
        <x:v>No additional monetization plan stated</x:v>
      </x:c>
      <x:c r="G758" s="8" t="str">
        <x:v>U/K</x:v>
      </x:c>
      <x:c r="H758" s="8" t="str">
        <x:v>U/K</x:v>
      </x:c>
      <x:c r="I758" s="8" t="str">
        <x:v>U/K</x:v>
      </x:c>
      <x:c r="J758" s="8" t="str">
        <x:v>U/K</x:v>
      </x:c>
      <x:c r="K758" s="8" t="str">
        <x:v>U/K</x:v>
      </x:c>
      <x:c r="L758" s="8" t="str">
        <x:v>U/K</x:v>
      </x:c>
      <x:c r="M758" s="8" t="str">
        <x:v>U/K</x:v>
      </x:c>
      <x:c r="N758" s="8" t="str">
        <x:v>Not publicly announced</x:v>
      </x:c>
      <x:c r="O758" s="8" t="str">
        <x:v>Developer response only confirms current free hosted + donations model</x:v>
      </x:c>
      <x:c r="P758" s="8" t="str">
        <x:v>https://pqp.gg/apoie</x:v>
      </x:c>
      <x:c r="Q758" s="8" t="str">
        <x:v>2026-09-16</x:v>
      </x:c>
      <x:c r="R758" s="8" t="str">
        <x:v>Not VC-backed; no future paid roadmap stated.</x:v>
      </x:c>
      <x:c r="S758" s="8" t="str">
        <x:v>Primary / developer-provided response</x:v>
      </x:c>
      <x:c r="T758" s="8"/>
      <x:c r="U758" s="8"/>
      <x:c r="V758" s="8"/>
      <x:c r="W758" s="8"/>
      <x:c r="X758" s="8"/>
      <x:c r="Y758" s="8"/>
      <x:c r="Z758" s="8"/>
      <x:c r="AA758" s="8"/>
      <x:c r="AB758" s="8"/>
      <x:c r="AC758" s="9"/>
      <x:c r="AD758" s="8"/>
      <x:c r="AE758" s="8"/>
      <x:c r="AF758" s="8"/>
      <x:c r="AG758" s="8"/>
      <x:c r="AH758" s="8"/>
      <x:c r="AI758" s="8"/>
    </x:row>
    <x:row r="759">
      <x:c r="A759" s="8" t="str">
        <x:v>Language Support</x:v>
      </x:c>
      <x:c r="B759" s="8" t="str">
        <x:v>English / English / English</x:v>
      </x:c>
      <x:c r="C759" s="8" t="str">
        <x:v>Yes</x:v>
      </x:c>
      <x:c r="D759" s="8" t="str">
        <x:v>Yes</x:v>
      </x:c>
      <x:c r="E759" s="8" t="str">
        <x:v>Yes</x:v>
      </x:c>
      <x:c r="F759" s="8" t="str">
        <x:v>Yes</x:v>
      </x:c>
      <x:c r="G759" s="8" t="str">
        <x:v>Yes</x:v>
      </x:c>
      <x:c r="H759" s="8" t="str">
        <x:v>Yes</x:v>
      </x:c>
      <x:c r="I759" s="8" t="str">
        <x:v>Yes</x:v>
      </x:c>
      <x:c r="J759" s="8" t="str">
        <x:v>Yes</x:v>
      </x:c>
      <x:c r="K759" s="8" t="str">
        <x:v>Yes</x:v>
      </x:c>
      <x:c r="L759" s="8" t="str">
        <x:v>Yes</x:v>
      </x:c>
      <x:c r="M759" s="8" t="str">
        <x:v>Yes</x:v>
      </x:c>
      <x:c r="N759" s="8" t="str">
        <x:v>Yes</x:v>
      </x:c>
      <x:c r="O759" s="8" t="str">
        <x:v>Yes</x:v>
      </x:c>
      <x:c r="P759" s="8" t="str">
        <x:v>Yes</x:v>
      </x:c>
      <x:c r="Q759" s="8" t="str">
        <x:v>Yes</x:v>
      </x:c>
      <x:c r="R759" s="8" t="str">
        <x:v>Yes</x:v>
      </x:c>
      <x:c r="S759" s="8" t="str">
        <x:v>Yes</x:v>
      </x:c>
      <x:c r="T759" s="8" t="str">
        <x:v>Yes</x:v>
      </x:c>
      <x:c r="U759" s="8" t="str">
        <x:v>Yes</x:v>
      </x:c>
      <x:c r="V759" s="8" t="str">
        <x:v>Yes</x:v>
      </x:c>
      <x:c r="W759" s="8" t="str">
        <x:v>Yes</x:v>
      </x:c>
      <x:c r="X759" s="8" t="str">
        <x:v>Yes</x:v>
      </x:c>
      <x:c r="Y759" s="8" t="str">
        <x:v>Yes</x:v>
      </x:c>
      <x:c r="Z759" s="8" t="str">
        <x:v>Yes</x:v>
      </x:c>
      <x:c r="AA759" s="8" t="str">
        <x:v>Yes</x:v>
      </x:c>
      <x:c r="AB759" s="8" t="str">
        <x:v>Yes</x:v>
      </x:c>
      <x:c r="AC759" s="9" t="str">
        <x:v>Yes</x:v>
      </x:c>
      <x:c r="AD759" s="8" t="str">
        <x:v>Yes</x:v>
      </x:c>
      <x:c r="AE759" s="8" t="str">
        <x:v>Yes</x:v>
      </x:c>
      <x:c r="AF759" s="8" t="str">
        <x:v>Yes</x:v>
      </x:c>
      <x:c r="AG759" s="8" t="str">
        <x:v>Yes</x:v>
      </x:c>
      <x:c r="AH759" s="8" t="n">
        <x:v>3</x:v>
      </x:c>
      <x:c r="AI759" s="8" t="str">
        <x:v>Canonical source for Language Support row 3</x:v>
      </x:c>
    </x:row>
    <x:row r="760">
      <x:c r="A760" s="8" t="str">
        <x:v>Language Support</x:v>
      </x:c>
      <x:c r="B760" s="8" t="str">
        <x:v>Chinese (Simplified) / Zhongwen (Jianti) / 中文（简体）</x:v>
      </x:c>
      <x:c r="C760" s="8" t="str">
        <x:v>Yes</x:v>
      </x:c>
      <x:c r="D760" s="8" t="str">
        <x:v>No</x:v>
      </x:c>
      <x:c r="E760" s="8" t="str">
        <x:v>No</x:v>
      </x:c>
      <x:c r="F760" s="8" t="str">
        <x:v>No</x:v>
      </x:c>
      <x:c r="G760" s="8" t="str">
        <x:v>No</x:v>
      </x:c>
      <x:c r="H760" s="8" t="str">
        <x:v>Yes</x:v>
      </x:c>
      <x:c r="I760" s="8" t="str">
        <x:v>No</x:v>
      </x:c>
      <x:c r="J760" s="8" t="str">
        <x:v>No</x:v>
      </x:c>
      <x:c r="K760" s="8" t="str">
        <x:v>No</x:v>
      </x:c>
      <x:c r="L760" s="8" t="str">
        <x:v>No</x:v>
      </x:c>
      <x:c r="M760" s="8" t="str">
        <x:v>No</x:v>
      </x:c>
      <x:c r="N760" s="8" t="str">
        <x:v>No</x:v>
      </x:c>
      <x:c r="O760" s="8" t="str">
        <x:v>Active translation</x:v>
      </x:c>
      <x:c r="P760" s="8" t="str">
        <x:v>Yes</x:v>
      </x:c>
      <x:c r="Q760" s="8" t="str">
        <x:v>No</x:v>
      </x:c>
      <x:c r="R760" s="8" t="str">
        <x:v>No</x:v>
      </x:c>
      <x:c r="S760" s="8" t="str">
        <x:v>No</x:v>
      </x:c>
      <x:c r="T760" s="8" t="str">
        <x:v>No</x:v>
      </x:c>
      <x:c r="U760" s="8" t="str">
        <x:v>No</x:v>
      </x:c>
      <x:c r="V760" s="8" t="str">
        <x:v>No</x:v>
      </x:c>
      <x:c r="W760" s="8" t="str">
        <x:v>Yes</x:v>
      </x:c>
      <x:c r="X760" s="8" t="str">
        <x:v>No</x:v>
      </x:c>
      <x:c r="Y760" s="8" t="str">
        <x:v>No</x:v>
      </x:c>
      <x:c r="Z760" s="8" t="str">
        <x:v>No</x:v>
      </x:c>
      <x:c r="AA760" s="8" t="str">
        <x:v>No</x:v>
      </x:c>
      <x:c r="AB760" s="8" t="str">
        <x:v>No</x:v>
      </x:c>
      <x:c r="AC760" s="9" t="str">
        <x:v>No</x:v>
      </x:c>
      <x:c r="AD760" s="8" t="str">
        <x:v>No</x:v>
      </x:c>
      <x:c r="AE760" s="8" t="str">
        <x:v>No</x:v>
      </x:c>
      <x:c r="AF760" s="8" t="str">
        <x:v>No</x:v>
      </x:c>
      <x:c r="AG760" s="8" t="str">
        <x:v>Active translation</x:v>
      </x:c>
      <x:c r="AH760" s="8" t="n">
        <x:v>4</x:v>
      </x:c>
      <x:c r="AI760" s="8" t="str">
        <x:v>Canonical source for Language Support row 4</x:v>
      </x:c>
    </x:row>
    <x:row r="761">
      <x:c r="A761" s="8" t="str">
        <x:v>Language Support</x:v>
      </x:c>
      <x:c r="B761" s="8" t="str">
        <x:v>Chinese (Traditional) / Zhongwen (Fanti) / 中文（繁體）</x:v>
      </x:c>
      <x:c r="C761" s="8" t="str">
        <x:v>Yes</x:v>
      </x:c>
      <x:c r="D761" s="8" t="str">
        <x:v>No</x:v>
      </x:c>
      <x:c r="E761" s="8" t="str">
        <x:v>No</x:v>
      </x:c>
      <x:c r="F761" s="8" t="str">
        <x:v>No</x:v>
      </x:c>
      <x:c r="G761" s="8" t="str">
        <x:v>No</x:v>
      </x:c>
      <x:c r="H761" s="8" t="str">
        <x:v>Yes</x:v>
      </x:c>
      <x:c r="I761" s="8" t="str">
        <x:v>No</x:v>
      </x:c>
      <x:c r="J761" s="8" t="str">
        <x:v>No</x:v>
      </x:c>
      <x:c r="K761" s="8" t="str">
        <x:v>No</x:v>
      </x:c>
      <x:c r="L761" s="8" t="str">
        <x:v>No</x:v>
      </x:c>
      <x:c r="M761" s="8" t="str">
        <x:v>No</x:v>
      </x:c>
      <x:c r="N761" s="8" t="str">
        <x:v>No</x:v>
      </x:c>
      <x:c r="O761" s="8" t="str">
        <x:v>No</x:v>
      </x:c>
      <x:c r="P761" s="8" t="str">
        <x:v>Yes</x:v>
      </x:c>
      <x:c r="Q761" s="8" t="str">
        <x:v>No</x:v>
      </x:c>
      <x:c r="R761" s="8" t="str">
        <x:v>No</x:v>
      </x:c>
      <x:c r="S761" s="8" t="str">
        <x:v>No</x:v>
      </x:c>
      <x:c r="T761" s="8" t="str">
        <x:v>No</x:v>
      </x:c>
      <x:c r="U761" s="8" t="str">
        <x:v>No</x:v>
      </x:c>
      <x:c r="V761" s="8" t="str">
        <x:v>No</x:v>
      </x:c>
      <x:c r="W761" s="8" t="str">
        <x:v>Yes</x:v>
      </x:c>
      <x:c r="X761" s="8" t="str">
        <x:v>No</x:v>
      </x:c>
      <x:c r="Y761" s="8" t="str">
        <x:v>No</x:v>
      </x:c>
      <x:c r="Z761" s="8" t="str">
        <x:v>No</x:v>
      </x:c>
      <x:c r="AA761" s="8" t="str">
        <x:v>No</x:v>
      </x:c>
      <x:c r="AB761" s="8" t="str">
        <x:v>No</x:v>
      </x:c>
      <x:c r="AC761" s="9" t="str">
        <x:v>No</x:v>
      </x:c>
      <x:c r="AD761" s="8" t="str">
        <x:v>No</x:v>
      </x:c>
      <x:c r="AE761" s="8" t="str">
        <x:v>No</x:v>
      </x:c>
      <x:c r="AF761" s="8" t="str">
        <x:v>No</x:v>
      </x:c>
      <x:c r="AG761" s="8" t="str">
        <x:v>No</x:v>
      </x:c>
      <x:c r="AH761" s="8" t="n">
        <x:v>5</x:v>
      </x:c>
      <x:c r="AI761" s="8" t="str">
        <x:v>Canonical source for Language Support row 5</x:v>
      </x:c>
    </x:row>
    <x:row r="762">
      <x:c r="A762" s="8" t="str">
        <x:v>Language Support</x:v>
      </x:c>
      <x:c r="B762" s="8" t="str">
        <x:v>Spanish / Español / Español</x:v>
      </x:c>
      <x:c r="C762" s="8" t="str">
        <x:v>Yes</x:v>
      </x:c>
      <x:c r="D762" s="8" t="str">
        <x:v>No</x:v>
      </x:c>
      <x:c r="E762" s="8" t="str">
        <x:v>No</x:v>
      </x:c>
      <x:c r="F762" s="8" t="str">
        <x:v>No</x:v>
      </x:c>
      <x:c r="G762" s="8" t="str">
        <x:v>No</x:v>
      </x:c>
      <x:c r="H762" s="8" t="str">
        <x:v>Yes</x:v>
      </x:c>
      <x:c r="I762" s="8" t="str">
        <x:v>No</x:v>
      </x:c>
      <x:c r="J762" s="8" t="str">
        <x:v>No</x:v>
      </x:c>
      <x:c r="K762" s="8" t="str">
        <x:v>No</x:v>
      </x:c>
      <x:c r="L762" s="8" t="str">
        <x:v>No</x:v>
      </x:c>
      <x:c r="M762" s="8" t="str">
        <x:v>No</x:v>
      </x:c>
      <x:c r="N762" s="8" t="str">
        <x:v>No</x:v>
      </x:c>
      <x:c r="O762" s="8" t="str">
        <x:v>Active translation</x:v>
      </x:c>
      <x:c r="P762" s="8" t="str">
        <x:v>Yes</x:v>
      </x:c>
      <x:c r="Q762" s="8" t="str">
        <x:v>No</x:v>
      </x:c>
      <x:c r="R762" s="8" t="str">
        <x:v>Yes</x:v>
      </x:c>
      <x:c r="S762" s="8" t="str">
        <x:v>No</x:v>
      </x:c>
      <x:c r="T762" s="8" t="str">
        <x:v>No</x:v>
      </x:c>
      <x:c r="U762" s="8" t="str">
        <x:v>No</x:v>
      </x:c>
      <x:c r="V762" s="8" t="str">
        <x:v>No</x:v>
      </x:c>
      <x:c r="W762" s="8" t="str">
        <x:v>Yes</x:v>
      </x:c>
      <x:c r="X762" s="8" t="str">
        <x:v>No</x:v>
      </x:c>
      <x:c r="Y762" s="8" t="str">
        <x:v>No</x:v>
      </x:c>
      <x:c r="Z762" s="8" t="str">
        <x:v>No</x:v>
      </x:c>
      <x:c r="AA762" s="8" t="str">
        <x:v>No</x:v>
      </x:c>
      <x:c r="AB762" s="8" t="str">
        <x:v>No</x:v>
      </x:c>
      <x:c r="AC762" s="9" t="str">
        <x:v>No</x:v>
      </x:c>
      <x:c r="AD762" s="8" t="str">
        <x:v>No</x:v>
      </x:c>
      <x:c r="AE762" s="8" t="str">
        <x:v>No</x:v>
      </x:c>
      <x:c r="AF762" s="8" t="str">
        <x:v>No</x:v>
      </x:c>
      <x:c r="AG762" s="8" t="str">
        <x:v>Active translation</x:v>
      </x:c>
      <x:c r="AH762" s="8" t="n">
        <x:v>6</x:v>
      </x:c>
      <x:c r="AI762" s="8" t="str">
        <x:v>Canonical source for Language Support row 6</x:v>
      </x:c>
    </x:row>
    <x:row r="763">
      <x:c r="A763" s="8" t="str">
        <x:v>Language Support</x:v>
      </x:c>
      <x:c r="B763" s="8" t="str">
        <x:v>Hindi / Hindi / हिन्दी</x:v>
      </x:c>
      <x:c r="C763" s="8" t="str">
        <x:v>Yes</x:v>
      </x:c>
      <x:c r="D763" s="8" t="str">
        <x:v>No</x:v>
      </x:c>
      <x:c r="E763" s="8" t="str">
        <x:v>No</x:v>
      </x:c>
      <x:c r="F763" s="8" t="str">
        <x:v>No</x:v>
      </x:c>
      <x:c r="G763" s="8" t="str">
        <x:v>No</x:v>
      </x:c>
      <x:c r="H763" s="8" t="str">
        <x:v>Yes</x:v>
      </x:c>
      <x:c r="I763" s="8" t="str">
        <x:v>No</x:v>
      </x:c>
      <x:c r="J763" s="8" t="str">
        <x:v>No</x:v>
      </x:c>
      <x:c r="K763" s="8" t="str">
        <x:v>No</x:v>
      </x:c>
      <x:c r="L763" s="8" t="str">
        <x:v>No</x:v>
      </x:c>
      <x:c r="M763" s="8" t="str">
        <x:v>No</x:v>
      </x:c>
      <x:c r="N763" s="8" t="str">
        <x:v>No</x:v>
      </x:c>
      <x:c r="O763" s="8" t="str">
        <x:v>No</x:v>
      </x:c>
      <x:c r="P763" s="8" t="str">
        <x:v>No</x:v>
      </x:c>
      <x:c r="Q763" s="8" t="str">
        <x:v>No</x:v>
      </x:c>
      <x:c r="R763" s="8" t="str">
        <x:v>No</x:v>
      </x:c>
      <x:c r="S763" s="8" t="str">
        <x:v>No</x:v>
      </x:c>
      <x:c r="T763" s="8" t="str">
        <x:v>No</x:v>
      </x:c>
      <x:c r="U763" s="8" t="str">
        <x:v>No</x:v>
      </x:c>
      <x:c r="V763" s="8" t="str">
        <x:v>No</x:v>
      </x:c>
      <x:c r="W763" s="8" t="str">
        <x:v>Yes</x:v>
      </x:c>
      <x:c r="X763" s="8" t="str">
        <x:v>No</x:v>
      </x:c>
      <x:c r="Y763" s="8" t="str">
        <x:v>No</x:v>
      </x:c>
      <x:c r="Z763" s="8" t="str">
        <x:v>No</x:v>
      </x:c>
      <x:c r="AA763" s="8" t="str">
        <x:v>No</x:v>
      </x:c>
      <x:c r="AB763" s="8" t="str">
        <x:v>No</x:v>
      </x:c>
      <x:c r="AC763" s="9" t="str">
        <x:v>No</x:v>
      </x:c>
      <x:c r="AD763" s="8" t="str">
        <x:v>No</x:v>
      </x:c>
      <x:c r="AE763" s="8" t="str">
        <x:v>No</x:v>
      </x:c>
      <x:c r="AF763" s="8" t="str">
        <x:v>No</x:v>
      </x:c>
      <x:c r="AG763" s="8" t="str">
        <x:v>Active translation</x:v>
      </x:c>
      <x:c r="AH763" s="8" t="n">
        <x:v>7</x:v>
      </x:c>
      <x:c r="AI763" s="8" t="str">
        <x:v>Canonical source for Language Support row 7</x:v>
      </x:c>
    </x:row>
    <x:row r="764">
      <x:c r="A764" s="8" t="str">
        <x:v>Language Support</x:v>
      </x:c>
      <x:c r="B764" s="8" t="str">
        <x:v>Arabic / al-Arabiyyah / العربية</x:v>
      </x:c>
      <x:c r="C764" s="8" t="str">
        <x:v>No</x:v>
      </x:c>
      <x:c r="D764" s="8" t="str">
        <x:v>No</x:v>
      </x:c>
      <x:c r="E764" s="8" t="str">
        <x:v>No</x:v>
      </x:c>
      <x:c r="F764" s="8" t="str">
        <x:v>No</x:v>
      </x:c>
      <x:c r="G764" s="8" t="str">
        <x:v>No</x:v>
      </x:c>
      <x:c r="H764" s="8" t="str">
        <x:v>Yes</x:v>
      </x:c>
      <x:c r="I764" s="8" t="str">
        <x:v>No</x:v>
      </x:c>
      <x:c r="J764" s="8" t="str">
        <x:v>No</x:v>
      </x:c>
      <x:c r="K764" s="8" t="str">
        <x:v>No</x:v>
      </x:c>
      <x:c r="L764" s="8" t="str">
        <x:v>No</x:v>
      </x:c>
      <x:c r="M764" s="8" t="str">
        <x:v>No</x:v>
      </x:c>
      <x:c r="N764" s="8" t="str">
        <x:v>No</x:v>
      </x:c>
      <x:c r="O764" s="8" t="str">
        <x:v>Active translation</x:v>
      </x:c>
      <x:c r="P764" s="8" t="str">
        <x:v>No</x:v>
      </x:c>
      <x:c r="Q764" s="8" t="str">
        <x:v>No</x:v>
      </x:c>
      <x:c r="R764" s="8" t="str">
        <x:v>No</x:v>
      </x:c>
      <x:c r="S764" s="8" t="str">
        <x:v>No</x:v>
      </x:c>
      <x:c r="T764" s="8" t="str">
        <x:v>No</x:v>
      </x:c>
      <x:c r="U764" s="8" t="str">
        <x:v>No</x:v>
      </x:c>
      <x:c r="V764" s="8" t="str">
        <x:v>No</x:v>
      </x:c>
      <x:c r="W764" s="8" t="str">
        <x:v>Yes</x:v>
      </x:c>
      <x:c r="X764" s="8" t="str">
        <x:v>No</x:v>
      </x:c>
      <x:c r="Y764" s="8" t="str">
        <x:v>No</x:v>
      </x:c>
      <x:c r="Z764" s="8" t="str">
        <x:v>No</x:v>
      </x:c>
      <x:c r="AA764" s="8" t="str">
        <x:v>No</x:v>
      </x:c>
      <x:c r="AB764" s="8" t="str">
        <x:v>No</x:v>
      </x:c>
      <x:c r="AC764" s="9" t="str">
        <x:v>No</x:v>
      </x:c>
      <x:c r="AD764" s="8" t="str">
        <x:v>No</x:v>
      </x:c>
      <x:c r="AE764" s="8" t="str">
        <x:v>No</x:v>
      </x:c>
      <x:c r="AF764" s="8" t="str">
        <x:v>No</x:v>
      </x:c>
      <x:c r="AG764" s="8" t="str">
        <x:v>No</x:v>
      </x:c>
      <x:c r="AH764" s="8" t="n">
        <x:v>8</x:v>
      </x:c>
      <x:c r="AI764" s="8" t="str">
        <x:v>Canonical source for Language Support row 8</x:v>
      </x:c>
    </x:row>
    <x:row r="765">
      <x:c r="A765" s="8" t="str">
        <x:v>Language Support</x:v>
      </x:c>
      <x:c r="B765" s="8" t="str">
        <x:v>Bengali / Bangla / বাংলা</x:v>
      </x:c>
      <x:c r="C765" s="8" t="str">
        <x:v>No</x:v>
      </x:c>
      <x:c r="D765" s="8" t="str">
        <x:v>No</x:v>
      </x:c>
      <x:c r="E765" s="8" t="str">
        <x:v>No</x:v>
      </x:c>
      <x:c r="F765" s="8" t="str">
        <x:v>No</x:v>
      </x:c>
      <x:c r="G765" s="8" t="str">
        <x:v>No</x:v>
      </x:c>
      <x:c r="H765" s="8" t="str">
        <x:v>No</x:v>
      </x:c>
      <x:c r="I765" s="8" t="str">
        <x:v>No</x:v>
      </x:c>
      <x:c r="J765" s="8" t="str">
        <x:v>No</x:v>
      </x:c>
      <x:c r="K765" s="8" t="str">
        <x:v>No</x:v>
      </x:c>
      <x:c r="L765" s="8" t="str">
        <x:v>No</x:v>
      </x:c>
      <x:c r="M765" s="8" t="str">
        <x:v>No</x:v>
      </x:c>
      <x:c r="N765" s="8" t="str">
        <x:v>No</x:v>
      </x:c>
      <x:c r="O765" s="8" t="str">
        <x:v>Active translation</x:v>
      </x:c>
      <x:c r="P765" s="8" t="str">
        <x:v>No</x:v>
      </x:c>
      <x:c r="Q765" s="8" t="str">
        <x:v>No</x:v>
      </x:c>
      <x:c r="R765" s="8" t="str">
        <x:v>No</x:v>
      </x:c>
      <x:c r="S765" s="8" t="str">
        <x:v>No</x:v>
      </x:c>
      <x:c r="T765" s="8" t="str">
        <x:v>No</x:v>
      </x:c>
      <x:c r="U765" s="8" t="str">
        <x:v>No</x:v>
      </x:c>
      <x:c r="V765" s="8" t="str">
        <x:v>No</x:v>
      </x:c>
      <x:c r="W765" s="8" t="str">
        <x:v>Yes</x:v>
      </x:c>
      <x:c r="X765" s="8" t="str">
        <x:v>No</x:v>
      </x:c>
      <x:c r="Y765" s="8" t="str">
        <x:v>No</x:v>
      </x:c>
      <x:c r="Z765" s="8" t="str">
        <x:v>No</x:v>
      </x:c>
      <x:c r="AA765" s="8" t="str">
        <x:v>No</x:v>
      </x:c>
      <x:c r="AB765" s="8" t="str">
        <x:v>No</x:v>
      </x:c>
      <x:c r="AC765" s="9" t="str">
        <x:v>No</x:v>
      </x:c>
      <x:c r="AD765" s="8" t="str">
        <x:v>No</x:v>
      </x:c>
      <x:c r="AE765" s="8" t="str">
        <x:v>No</x:v>
      </x:c>
      <x:c r="AF765" s="8" t="str">
        <x:v>No</x:v>
      </x:c>
      <x:c r="AG765" s="8" t="str">
        <x:v>No</x:v>
      </x:c>
      <x:c r="AH765" s="8" t="n">
        <x:v>9</x:v>
      </x:c>
      <x:c r="AI765" s="8" t="str">
        <x:v>Canonical source for Language Support row 9</x:v>
      </x:c>
    </x:row>
    <x:row r="766">
      <x:c r="A766" s="8" t="str">
        <x:v>Language Support</x:v>
      </x:c>
      <x:c r="B766" s="8" t="str">
        <x:v>Portuguese (Brazil) / Português (Brasil) / Português (Brasil)</x:v>
      </x:c>
      <x:c r="C766" s="8" t="str">
        <x:v>Yes</x:v>
      </x:c>
      <x:c r="D766" s="8" t="str">
        <x:v>No</x:v>
      </x:c>
      <x:c r="E766" s="8" t="str">
        <x:v>No</x:v>
      </x:c>
      <x:c r="F766" s="8" t="str">
        <x:v>No</x:v>
      </x:c>
      <x:c r="G766" s="8" t="str">
        <x:v>No</x:v>
      </x:c>
      <x:c r="H766" s="8" t="str">
        <x:v>Yes</x:v>
      </x:c>
      <x:c r="I766" s="8" t="str">
        <x:v>No</x:v>
      </x:c>
      <x:c r="J766" s="8" t="str">
        <x:v>No</x:v>
      </x:c>
      <x:c r="K766" s="8" t="str">
        <x:v>No</x:v>
      </x:c>
      <x:c r="L766" s="8" t="str">
        <x:v>No</x:v>
      </x:c>
      <x:c r="M766" s="8" t="str">
        <x:v>No</x:v>
      </x:c>
      <x:c r="N766" s="8" t="str">
        <x:v>No</x:v>
      </x:c>
      <x:c r="O766" s="8" t="str">
        <x:v>Active translation</x:v>
      </x:c>
      <x:c r="P766" s="8" t="str">
        <x:v>Yes</x:v>
      </x:c>
      <x:c r="Q766" s="8" t="str">
        <x:v>No</x:v>
      </x:c>
      <x:c r="R766" s="8" t="str">
        <x:v>Yes</x:v>
      </x:c>
      <x:c r="S766" s="8" t="str">
        <x:v>No</x:v>
      </x:c>
      <x:c r="T766" s="8" t="str">
        <x:v>No</x:v>
      </x:c>
      <x:c r="U766" s="8" t="str">
        <x:v>Yes</x:v>
      </x:c>
      <x:c r="V766" s="8" t="str">
        <x:v>No</x:v>
      </x:c>
      <x:c r="W766" s="8" t="str">
        <x:v>Yes</x:v>
      </x:c>
      <x:c r="X766" s="8" t="str">
        <x:v>No</x:v>
      </x:c>
      <x:c r="Y766" s="8" t="str">
        <x:v>No</x:v>
      </x:c>
      <x:c r="Z766" s="8" t="str">
        <x:v>No</x:v>
      </x:c>
      <x:c r="AA766" s="8" t="str">
        <x:v>No</x:v>
      </x:c>
      <x:c r="AB766" s="8" t="str">
        <x:v>No</x:v>
      </x:c>
      <x:c r="AC766" s="9" t="str">
        <x:v>No</x:v>
      </x:c>
      <x:c r="AD766" s="8" t="str">
        <x:v>No</x:v>
      </x:c>
      <x:c r="AE766" s="8" t="str">
        <x:v>No</x:v>
      </x:c>
      <x:c r="AF766" s="8" t="str">
        <x:v>No</x:v>
      </x:c>
      <x:c r="AG766" s="8" t="str">
        <x:v>No</x:v>
      </x:c>
      <x:c r="AH766" s="8" t="n">
        <x:v>10</x:v>
      </x:c>
      <x:c r="AI766" s="8" t="str">
        <x:v>Canonical source for Language Support row 10</x:v>
      </x:c>
    </x:row>
    <x:row r="767">
      <x:c r="A767" s="8" t="str">
        <x:v>Language Support</x:v>
      </x:c>
      <x:c r="B767" s="8" t="str">
        <x:v>Russian / Russkiy / Русский</x:v>
      </x:c>
      <x:c r="C767" s="8" t="str">
        <x:v>Yes</x:v>
      </x:c>
      <x:c r="D767" s="8" t="str">
        <x:v>No</x:v>
      </x:c>
      <x:c r="E767" s="8" t="str">
        <x:v>No</x:v>
      </x:c>
      <x:c r="F767" s="8" t="str">
        <x:v>No</x:v>
      </x:c>
      <x:c r="G767" s="8" t="str">
        <x:v>No</x:v>
      </x:c>
      <x:c r="H767" s="8" t="str">
        <x:v>Yes</x:v>
      </x:c>
      <x:c r="I767" s="8" t="str">
        <x:v>No</x:v>
      </x:c>
      <x:c r="J767" s="8" t="str">
        <x:v>No</x:v>
      </x:c>
      <x:c r="K767" s="8" t="str">
        <x:v>No</x:v>
      </x:c>
      <x:c r="L767" s="8" t="str">
        <x:v>No</x:v>
      </x:c>
      <x:c r="M767" s="8" t="str">
        <x:v>No</x:v>
      </x:c>
      <x:c r="N767" s="8" t="str">
        <x:v>No</x:v>
      </x:c>
      <x:c r="O767" s="8" t="str">
        <x:v>Active translation</x:v>
      </x:c>
      <x:c r="P767" s="8" t="str">
        <x:v>Yes</x:v>
      </x:c>
      <x:c r="Q767" s="8" t="str">
        <x:v>No</x:v>
      </x:c>
      <x:c r="R767" s="8" t="str">
        <x:v>No</x:v>
      </x:c>
      <x:c r="S767" s="8" t="str">
        <x:v>No</x:v>
      </x:c>
      <x:c r="T767" s="8" t="str">
        <x:v>No</x:v>
      </x:c>
      <x:c r="U767" s="8" t="str">
        <x:v>No</x:v>
      </x:c>
      <x:c r="V767" s="8" t="str">
        <x:v>No</x:v>
      </x:c>
      <x:c r="W767" s="8" t="str">
        <x:v>Yes</x:v>
      </x:c>
      <x:c r="X767" s="8" t="str">
        <x:v>No</x:v>
      </x:c>
      <x:c r="Y767" s="8" t="str">
        <x:v>No</x:v>
      </x:c>
      <x:c r="Z767" s="8" t="str">
        <x:v>No</x:v>
      </x:c>
      <x:c r="AA767" s="8" t="str">
        <x:v>No</x:v>
      </x:c>
      <x:c r="AB767" s="8" t="str">
        <x:v>No</x:v>
      </x:c>
      <x:c r="AC767" s="9" t="str">
        <x:v>No</x:v>
      </x:c>
      <x:c r="AD767" s="8" t="str">
        <x:v>No</x:v>
      </x:c>
      <x:c r="AE767" s="8" t="str">
        <x:v>No</x:v>
      </x:c>
      <x:c r="AF767" s="8" t="str">
        <x:v>No</x:v>
      </x:c>
      <x:c r="AG767" s="8" t="str">
        <x:v>Active translation</x:v>
      </x:c>
      <x:c r="AH767" s="8" t="n">
        <x:v>11</x:v>
      </x:c>
      <x:c r="AI767" s="8" t="str">
        <x:v>Canonical source for Language Support row 11</x:v>
      </x:c>
    </x:row>
    <x:row r="768">
      <x:c r="A768" s="8" t="str">
        <x:v>Language Support</x:v>
      </x:c>
      <x:c r="B768" s="8" t="str">
        <x:v>Japanese / Nihongo / 日本語</x:v>
      </x:c>
      <x:c r="C768" s="8" t="str">
        <x:v>Yes</x:v>
      </x:c>
      <x:c r="D768" s="8" t="str">
        <x:v>No</x:v>
      </x:c>
      <x:c r="E768" s="8" t="str">
        <x:v>No</x:v>
      </x:c>
      <x:c r="F768" s="8" t="str">
        <x:v>No</x:v>
      </x:c>
      <x:c r="G768" s="8" t="str">
        <x:v>No</x:v>
      </x:c>
      <x:c r="H768" s="8" t="str">
        <x:v>Yes</x:v>
      </x:c>
      <x:c r="I768" s="8" t="str">
        <x:v>No</x:v>
      </x:c>
      <x:c r="J768" s="8" t="str">
        <x:v>No</x:v>
      </x:c>
      <x:c r="K768" s="8" t="str">
        <x:v>No</x:v>
      </x:c>
      <x:c r="L768" s="8" t="str">
        <x:v>No</x:v>
      </x:c>
      <x:c r="M768" s="8" t="str">
        <x:v>No</x:v>
      </x:c>
      <x:c r="N768" s="8" t="str">
        <x:v>No</x:v>
      </x:c>
      <x:c r="O768" s="8" t="str">
        <x:v>Active translation</x:v>
      </x:c>
      <x:c r="P768" s="8" t="str">
        <x:v>Yes</x:v>
      </x:c>
      <x:c r="Q768" s="8" t="str">
        <x:v>No</x:v>
      </x:c>
      <x:c r="R768" s="8" t="str">
        <x:v>No</x:v>
      </x:c>
      <x:c r="S768" s="8" t="str">
        <x:v>No</x:v>
      </x:c>
      <x:c r="T768" s="8" t="str">
        <x:v>No</x:v>
      </x:c>
      <x:c r="U768" s="8" t="str">
        <x:v>No</x:v>
      </x:c>
      <x:c r="V768" s="8" t="str">
        <x:v>No</x:v>
      </x:c>
      <x:c r="W768" s="8" t="str">
        <x:v>Yes</x:v>
      </x:c>
      <x:c r="X768" s="8" t="str">
        <x:v>No</x:v>
      </x:c>
      <x:c r="Y768" s="8" t="str">
        <x:v>No</x:v>
      </x:c>
      <x:c r="Z768" s="8" t="str">
        <x:v>No</x:v>
      </x:c>
      <x:c r="AA768" s="8" t="str">
        <x:v>No</x:v>
      </x:c>
      <x:c r="AB768" s="8" t="str">
        <x:v>No</x:v>
      </x:c>
      <x:c r="AC768" s="9" t="str">
        <x:v>No</x:v>
      </x:c>
      <x:c r="AD768" s="8" t="str">
        <x:v>No</x:v>
      </x:c>
      <x:c r="AE768" s="8" t="str">
        <x:v>No</x:v>
      </x:c>
      <x:c r="AF768" s="8" t="str">
        <x:v>No</x:v>
      </x:c>
      <x:c r="AG768" s="8" t="str">
        <x:v>Active translation</x:v>
      </x:c>
      <x:c r="AH768" s="8" t="n">
        <x:v>12</x:v>
      </x:c>
      <x:c r="AI768" s="8" t="str">
        <x:v>Canonical source for Language Support row 12</x:v>
      </x:c>
    </x:row>
    <x:row r="769">
      <x:c r="A769" s="8" t="str">
        <x:v>Language Support</x:v>
      </x:c>
      <x:c r="B769" s="8" t="str">
        <x:v>German / Deutsch / Deutsch</x:v>
      </x:c>
      <x:c r="C769" s="8" t="str">
        <x:v>Yes</x:v>
      </x:c>
      <x:c r="D769" s="8" t="str">
        <x:v>No</x:v>
      </x:c>
      <x:c r="E769" s="8" t="str">
        <x:v>No</x:v>
      </x:c>
      <x:c r="F769" s="8" t="str">
        <x:v>No</x:v>
      </x:c>
      <x:c r="G769" s="8" t="str">
        <x:v>No</x:v>
      </x:c>
      <x:c r="H769" s="8" t="str">
        <x:v>Yes</x:v>
      </x:c>
      <x:c r="I769" s="8" t="str">
        <x:v>No</x:v>
      </x:c>
      <x:c r="J769" s="8" t="str">
        <x:v>No</x:v>
      </x:c>
      <x:c r="K769" s="8" t="str">
        <x:v>No</x:v>
      </x:c>
      <x:c r="L769" s="8" t="str">
        <x:v>No</x:v>
      </x:c>
      <x:c r="M769" s="8" t="str">
        <x:v>No</x:v>
      </x:c>
      <x:c r="N769" s="8" t="str">
        <x:v>No</x:v>
      </x:c>
      <x:c r="O769" s="8" t="str">
        <x:v>Active translation</x:v>
      </x:c>
      <x:c r="P769" s="8" t="str">
        <x:v>Yes</x:v>
      </x:c>
      <x:c r="Q769" s="8" t="str">
        <x:v>No</x:v>
      </x:c>
      <x:c r="R769" s="8" t="str">
        <x:v>Yes</x:v>
      </x:c>
      <x:c r="S769" s="8" t="str">
        <x:v>No</x:v>
      </x:c>
      <x:c r="T769" s="8" t="str">
        <x:v>No</x:v>
      </x:c>
      <x:c r="U769" s="8" t="str">
        <x:v>No</x:v>
      </x:c>
      <x:c r="V769" s="8" t="str">
        <x:v>No</x:v>
      </x:c>
      <x:c r="W769" s="8" t="str">
        <x:v>Yes</x:v>
      </x:c>
      <x:c r="X769" s="8" t="str">
        <x:v>No</x:v>
      </x:c>
      <x:c r="Y769" s="8" t="str">
        <x:v>No</x:v>
      </x:c>
      <x:c r="Z769" s="8" t="str">
        <x:v>No</x:v>
      </x:c>
      <x:c r="AA769" s="8" t="str">
        <x:v>No</x:v>
      </x:c>
      <x:c r="AB769" s="8" t="str">
        <x:v>No</x:v>
      </x:c>
      <x:c r="AC769" s="9" t="str">
        <x:v>No</x:v>
      </x:c>
      <x:c r="AD769" s="8" t="str">
        <x:v>No</x:v>
      </x:c>
      <x:c r="AE769" s="8" t="str">
        <x:v>No</x:v>
      </x:c>
      <x:c r="AF769" s="8" t="str">
        <x:v>No</x:v>
      </x:c>
      <x:c r="AG769" s="8" t="str">
        <x:v>Active translation</x:v>
      </x:c>
      <x:c r="AH769" s="8" t="n">
        <x:v>13</x:v>
      </x:c>
      <x:c r="AI769" s="8" t="str">
        <x:v>Canonical source for Language Support row 13</x:v>
      </x:c>
    </x:row>
    <x:row r="770">
      <x:c r="A770" s="8" t="str">
        <x:v>Language Support</x:v>
      </x:c>
      <x:c r="B770" s="8" t="str">
        <x:v>French / Français / Français</x:v>
      </x:c>
      <x:c r="C770" s="8" t="str">
        <x:v>Yes</x:v>
      </x:c>
      <x:c r="D770" s="8" t="str">
        <x:v>No</x:v>
      </x:c>
      <x:c r="E770" s="8" t="str">
        <x:v>No</x:v>
      </x:c>
      <x:c r="F770" s="8" t="str">
        <x:v>No</x:v>
      </x:c>
      <x:c r="G770" s="8" t="str">
        <x:v>No</x:v>
      </x:c>
      <x:c r="H770" s="8" t="str">
        <x:v>Yes</x:v>
      </x:c>
      <x:c r="I770" s="8" t="str">
        <x:v>No</x:v>
      </x:c>
      <x:c r="J770" s="8" t="str">
        <x:v>No</x:v>
      </x:c>
      <x:c r="K770" s="8" t="str">
        <x:v>No</x:v>
      </x:c>
      <x:c r="L770" s="8" t="str">
        <x:v>No</x:v>
      </x:c>
      <x:c r="M770" s="8" t="str">
        <x:v>No</x:v>
      </x:c>
      <x:c r="N770" s="8" t="str">
        <x:v>No</x:v>
      </x:c>
      <x:c r="O770" s="8" t="str">
        <x:v>Active translation</x:v>
      </x:c>
      <x:c r="P770" s="8" t="str">
        <x:v>Yes</x:v>
      </x:c>
      <x:c r="Q770" s="8" t="str">
        <x:v>No</x:v>
      </x:c>
      <x:c r="R770" s="8" t="str">
        <x:v>Yes</x:v>
      </x:c>
      <x:c r="S770" s="8" t="str">
        <x:v>No</x:v>
      </x:c>
      <x:c r="T770" s="8" t="str">
        <x:v>No</x:v>
      </x:c>
      <x:c r="U770" s="8" t="str">
        <x:v>No</x:v>
      </x:c>
      <x:c r="V770" s="8" t="str">
        <x:v>No</x:v>
      </x:c>
      <x:c r="W770" s="8" t="str">
        <x:v>Yes</x:v>
      </x:c>
      <x:c r="X770" s="8" t="str">
        <x:v>No</x:v>
      </x:c>
      <x:c r="Y770" s="8" t="str">
        <x:v>No</x:v>
      </x:c>
      <x:c r="Z770" s="8" t="str">
        <x:v>No</x:v>
      </x:c>
      <x:c r="AA770" s="8" t="str">
        <x:v>No</x:v>
      </x:c>
      <x:c r="AB770" s="8" t="str">
        <x:v>No</x:v>
      </x:c>
      <x:c r="AC770" s="9" t="str">
        <x:v>No</x:v>
      </x:c>
      <x:c r="AD770" s="8" t="str">
        <x:v>No</x:v>
      </x:c>
      <x:c r="AE770" s="8" t="str">
        <x:v>No</x:v>
      </x:c>
      <x:c r="AF770" s="8" t="str">
        <x:v>No</x:v>
      </x:c>
      <x:c r="AG770" s="8" t="str">
        <x:v>Active translation</x:v>
      </x:c>
      <x:c r="AH770" s="8" t="n">
        <x:v>14</x:v>
      </x:c>
      <x:c r="AI770" s="8" t="str">
        <x:v>Canonical source for Language Support row 14</x:v>
      </x:c>
    </x:row>
    <x:row r="771">
      <x:c r="A771" s="8" t="str">
        <x:v>Language Support</x:v>
      </x:c>
      <x:c r="B771" s="8" t="str">
        <x:v>Korean / Hangugeo / 한국어</x:v>
      </x:c>
      <x:c r="C771" s="8" t="str">
        <x:v>Yes</x:v>
      </x:c>
      <x:c r="D771" s="8" t="str">
        <x:v>No</x:v>
      </x:c>
      <x:c r="E771" s="8" t="str">
        <x:v>No</x:v>
      </x:c>
      <x:c r="F771" s="8" t="str">
        <x:v>No</x:v>
      </x:c>
      <x:c r="G771" s="8" t="str">
        <x:v>No</x:v>
      </x:c>
      <x:c r="H771" s="8" t="str">
        <x:v>Yes</x:v>
      </x:c>
      <x:c r="I771" s="8" t="str">
        <x:v>No</x:v>
      </x:c>
      <x:c r="J771" s="8" t="str">
        <x:v>No</x:v>
      </x:c>
      <x:c r="K771" s="8" t="str">
        <x:v>No</x:v>
      </x:c>
      <x:c r="L771" s="8" t="str">
        <x:v>No</x:v>
      </x:c>
      <x:c r="M771" s="8" t="str">
        <x:v>No</x:v>
      </x:c>
      <x:c r="N771" s="8" t="str">
        <x:v>No</x:v>
      </x:c>
      <x:c r="O771" s="8" t="str">
        <x:v>Active translation</x:v>
      </x:c>
      <x:c r="P771" s="8" t="str">
        <x:v>Yes</x:v>
      </x:c>
      <x:c r="Q771" s="8" t="str">
        <x:v>No</x:v>
      </x:c>
      <x:c r="R771" s="8" t="str">
        <x:v>No</x:v>
      </x:c>
      <x:c r="S771" s="8" t="str">
        <x:v>No</x:v>
      </x:c>
      <x:c r="T771" s="8" t="str">
        <x:v>No</x:v>
      </x:c>
      <x:c r="U771" s="8" t="str">
        <x:v>No</x:v>
      </x:c>
      <x:c r="V771" s="8" t="str">
        <x:v>No</x:v>
      </x:c>
      <x:c r="W771" s="8" t="str">
        <x:v>Yes</x:v>
      </x:c>
      <x:c r="X771" s="8" t="str">
        <x:v>No</x:v>
      </x:c>
      <x:c r="Y771" s="8" t="str">
        <x:v>No</x:v>
      </x:c>
      <x:c r="Z771" s="8" t="str">
        <x:v>No</x:v>
      </x:c>
      <x:c r="AA771" s="8" t="str">
        <x:v>No</x:v>
      </x:c>
      <x:c r="AB771" s="8" t="str">
        <x:v>No</x:v>
      </x:c>
      <x:c r="AC771" s="9" t="str">
        <x:v>No</x:v>
      </x:c>
      <x:c r="AD771" s="8" t="str">
        <x:v>No</x:v>
      </x:c>
      <x:c r="AE771" s="8" t="str">
        <x:v>No</x:v>
      </x:c>
      <x:c r="AF771" s="8" t="str">
        <x:v>No</x:v>
      </x:c>
      <x:c r="AG771" s="8" t="str">
        <x:v>No</x:v>
      </x:c>
      <x:c r="AH771" s="8" t="n">
        <x:v>15</x:v>
      </x:c>
      <x:c r="AI771" s="8" t="str">
        <x:v>Canonical source for Language Support row 15</x:v>
      </x:c>
    </x:row>
    <x:row r="772">
      <x:c r="A772" s="8" t="str">
        <x:v>Language Support</x:v>
      </x:c>
      <x:c r="B772" s="8" t="str">
        <x:v>Indonesian / Bahasa Indonesia / Bahasa Indonesia</x:v>
      </x:c>
      <x:c r="C772" s="8" t="str">
        <x:v>Yes</x:v>
      </x:c>
      <x:c r="D772" s="8" t="str">
        <x:v>No</x:v>
      </x:c>
      <x:c r="E772" s="8" t="str">
        <x:v>No</x:v>
      </x:c>
      <x:c r="F772" s="8" t="str">
        <x:v>No</x:v>
      </x:c>
      <x:c r="G772" s="8" t="str">
        <x:v>No</x:v>
      </x:c>
      <x:c r="H772" s="8" t="str">
        <x:v>Yes</x:v>
      </x:c>
      <x:c r="I772" s="8" t="str">
        <x:v>No</x:v>
      </x:c>
      <x:c r="J772" s="8" t="str">
        <x:v>No</x:v>
      </x:c>
      <x:c r="K772" s="8" t="str">
        <x:v>No</x:v>
      </x:c>
      <x:c r="L772" s="8" t="str">
        <x:v>No</x:v>
      </x:c>
      <x:c r="M772" s="8" t="str">
        <x:v>No</x:v>
      </x:c>
      <x:c r="N772" s="8" t="str">
        <x:v>No</x:v>
      </x:c>
      <x:c r="O772" s="8" t="str">
        <x:v>Active translation</x:v>
      </x:c>
      <x:c r="P772" s="8" t="str">
        <x:v>No</x:v>
      </x:c>
      <x:c r="Q772" s="8" t="str">
        <x:v>No</x:v>
      </x:c>
      <x:c r="R772" s="8" t="str">
        <x:v>No</x:v>
      </x:c>
      <x:c r="S772" s="8" t="str">
        <x:v>No</x:v>
      </x:c>
      <x:c r="T772" s="8" t="str">
        <x:v>No</x:v>
      </x:c>
      <x:c r="U772" s="8" t="str">
        <x:v>No</x:v>
      </x:c>
      <x:c r="V772" s="8" t="str">
        <x:v>No</x:v>
      </x:c>
      <x:c r="W772" s="8" t="str">
        <x:v>Yes</x:v>
      </x:c>
      <x:c r="X772" s="8" t="str">
        <x:v>No</x:v>
      </x:c>
      <x:c r="Y772" s="8" t="str">
        <x:v>No</x:v>
      </x:c>
      <x:c r="Z772" s="8" t="str">
        <x:v>No</x:v>
      </x:c>
      <x:c r="AA772" s="8" t="str">
        <x:v>No</x:v>
      </x:c>
      <x:c r="AB772" s="8" t="str">
        <x:v>No</x:v>
      </x:c>
      <x:c r="AC772" s="9" t="str">
        <x:v>No</x:v>
      </x:c>
      <x:c r="AD772" s="8" t="str">
        <x:v>No</x:v>
      </x:c>
      <x:c r="AE772" s="8" t="str">
        <x:v>No</x:v>
      </x:c>
      <x:c r="AF772" s="8" t="str">
        <x:v>No</x:v>
      </x:c>
      <x:c r="AG772" s="8" t="str">
        <x:v>No</x:v>
      </x:c>
      <x:c r="AH772" s="8" t="n">
        <x:v>16</x:v>
      </x:c>
      <x:c r="AI772" s="8" t="str">
        <x:v>Canonical source for Language Support row 16</x:v>
      </x:c>
    </x:row>
    <x:row r="773">
      <x:c r="A773" s="8" t="str">
        <x:v>Language Support</x:v>
      </x:c>
      <x:c r="B773" s="8" t="str">
        <x:v>Turkish / Türkçe / Türkçe</x:v>
      </x:c>
      <x:c r="C773" s="8" t="str">
        <x:v>Yes</x:v>
      </x:c>
      <x:c r="D773" s="8" t="str">
        <x:v>No</x:v>
      </x:c>
      <x:c r="E773" s="8" t="str">
        <x:v>No</x:v>
      </x:c>
      <x:c r="F773" s="8" t="str">
        <x:v>No</x:v>
      </x:c>
      <x:c r="G773" s="8" t="str">
        <x:v>No</x:v>
      </x:c>
      <x:c r="H773" s="8" t="str">
        <x:v>Yes</x:v>
      </x:c>
      <x:c r="I773" s="8" t="str">
        <x:v>No</x:v>
      </x:c>
      <x:c r="J773" s="8" t="str">
        <x:v>No</x:v>
      </x:c>
      <x:c r="K773" s="8" t="str">
        <x:v>No</x:v>
      </x:c>
      <x:c r="L773" s="8" t="str">
        <x:v>No</x:v>
      </x:c>
      <x:c r="M773" s="8" t="str">
        <x:v>No</x:v>
      </x:c>
      <x:c r="N773" s="8" t="str">
        <x:v>No</x:v>
      </x:c>
      <x:c r="O773" s="8" t="str">
        <x:v>Active translation</x:v>
      </x:c>
      <x:c r="P773" s="8" t="str">
        <x:v>Yes</x:v>
      </x:c>
      <x:c r="Q773" s="8" t="str">
        <x:v>No</x:v>
      </x:c>
      <x:c r="R773" s="8" t="str">
        <x:v>No</x:v>
      </x:c>
      <x:c r="S773" s="8" t="str">
        <x:v>No</x:v>
      </x:c>
      <x:c r="T773" s="8" t="str">
        <x:v>No</x:v>
      </x:c>
      <x:c r="U773" s="8" t="str">
        <x:v>No</x:v>
      </x:c>
      <x:c r="V773" s="8" t="str">
        <x:v>No</x:v>
      </x:c>
      <x:c r="W773" s="8" t="str">
        <x:v>Yes</x:v>
      </x:c>
      <x:c r="X773" s="8" t="str">
        <x:v>No</x:v>
      </x:c>
      <x:c r="Y773" s="8" t="str">
        <x:v>No</x:v>
      </x:c>
      <x:c r="Z773" s="8" t="str">
        <x:v>No</x:v>
      </x:c>
      <x:c r="AA773" s="8" t="str">
        <x:v>No</x:v>
      </x:c>
      <x:c r="AB773" s="8" t="str">
        <x:v>No</x:v>
      </x:c>
      <x:c r="AC773" s="9" t="str">
        <x:v>No</x:v>
      </x:c>
      <x:c r="AD773" s="8" t="str">
        <x:v>No</x:v>
      </x:c>
      <x:c r="AE773" s="8" t="str">
        <x:v>No</x:v>
      </x:c>
      <x:c r="AF773" s="8" t="str">
        <x:v>No</x:v>
      </x:c>
      <x:c r="AG773" s="8" t="str">
        <x:v>No</x:v>
      </x:c>
      <x:c r="AH773" s="8" t="n">
        <x:v>17</x:v>
      </x:c>
      <x:c r="AI773" s="8" t="str">
        <x:v>Canonical source for Language Support row 17</x:v>
      </x:c>
    </x:row>
    <x:row r="774">
      <x:c r="A774" s="8" t="str">
        <x:v>Language Support</x:v>
      </x:c>
      <x:c r="B774" s="8" t="str">
        <x:v>Vietnamese / Tiếng Việt / Tiếng Việt</x:v>
      </x:c>
      <x:c r="C774" s="8" t="str">
        <x:v>Yes</x:v>
      </x:c>
      <x:c r="D774" s="8" t="str">
        <x:v>No</x:v>
      </x:c>
      <x:c r="E774" s="8" t="str">
        <x:v>No</x:v>
      </x:c>
      <x:c r="F774" s="8" t="str">
        <x:v>No</x:v>
      </x:c>
      <x:c r="G774" s="8" t="str">
        <x:v>No</x:v>
      </x:c>
      <x:c r="H774" s="8" t="str">
        <x:v>Yes</x:v>
      </x:c>
      <x:c r="I774" s="8" t="str">
        <x:v>No</x:v>
      </x:c>
      <x:c r="J774" s="8" t="str">
        <x:v>No</x:v>
      </x:c>
      <x:c r="K774" s="8" t="str">
        <x:v>No</x:v>
      </x:c>
      <x:c r="L774" s="8" t="str">
        <x:v>No</x:v>
      </x:c>
      <x:c r="M774" s="8" t="str">
        <x:v>No</x:v>
      </x:c>
      <x:c r="N774" s="8" t="str">
        <x:v>No</x:v>
      </x:c>
      <x:c r="O774" s="8" t="str">
        <x:v>Active translation</x:v>
      </x:c>
      <x:c r="P774" s="8" t="str">
        <x:v>Yes</x:v>
      </x:c>
      <x:c r="Q774" s="8" t="str">
        <x:v>Yes</x:v>
      </x:c>
      <x:c r="R774" s="8" t="str">
        <x:v>No</x:v>
      </x:c>
      <x:c r="S774" s="8" t="str">
        <x:v>No</x:v>
      </x:c>
      <x:c r="T774" s="8" t="str">
        <x:v>No</x:v>
      </x:c>
      <x:c r="U774" s="8" t="str">
        <x:v>No</x:v>
      </x:c>
      <x:c r="V774" s="8" t="str">
        <x:v>No</x:v>
      </x:c>
      <x:c r="W774" s="8" t="str">
        <x:v>Yes</x:v>
      </x:c>
      <x:c r="X774" s="8" t="str">
        <x:v>No</x:v>
      </x:c>
      <x:c r="Y774" s="8" t="str">
        <x:v>No</x:v>
      </x:c>
      <x:c r="Z774" s="8" t="str">
        <x:v>No</x:v>
      </x:c>
      <x:c r="AA774" s="8" t="str">
        <x:v>No</x:v>
      </x:c>
      <x:c r="AB774" s="8" t="str">
        <x:v>No</x:v>
      </x:c>
      <x:c r="AC774" s="9" t="str">
        <x:v>No</x:v>
      </x:c>
      <x:c r="AD774" s="8" t="str">
        <x:v>No</x:v>
      </x:c>
      <x:c r="AE774" s="8" t="str">
        <x:v>No</x:v>
      </x:c>
      <x:c r="AF774" s="8" t="str">
        <x:v>No</x:v>
      </x:c>
      <x:c r="AG774" s="8" t="str">
        <x:v>No</x:v>
      </x:c>
      <x:c r="AH774" s="8" t="n">
        <x:v>18</x:v>
      </x:c>
      <x:c r="AI774" s="8" t="str">
        <x:v>Canonical source for Language Support row 18</x:v>
      </x:c>
    </x:row>
    <x:row r="775">
      <x:c r="A775" s="8" t="str">
        <x:v>Language Support</x:v>
      </x:c>
      <x:c r="B775" s="8" t="str">
        <x:v>Italian / Italiano / Italiano</x:v>
      </x:c>
      <x:c r="C775" s="8" t="str">
        <x:v>Yes</x:v>
      </x:c>
      <x:c r="D775" s="8" t="str">
        <x:v>No</x:v>
      </x:c>
      <x:c r="E775" s="8" t="str">
        <x:v>No</x:v>
      </x:c>
      <x:c r="F775" s="8" t="str">
        <x:v>No</x:v>
      </x:c>
      <x:c r="G775" s="8" t="str">
        <x:v>No</x:v>
      </x:c>
      <x:c r="H775" s="8" t="str">
        <x:v>Yes</x:v>
      </x:c>
      <x:c r="I775" s="8" t="str">
        <x:v>No</x:v>
      </x:c>
      <x:c r="J775" s="8" t="str">
        <x:v>No</x:v>
      </x:c>
      <x:c r="K775" s="8" t="str">
        <x:v>No</x:v>
      </x:c>
      <x:c r="L775" s="8" t="str">
        <x:v>No</x:v>
      </x:c>
      <x:c r="M775" s="8" t="str">
        <x:v>No</x:v>
      </x:c>
      <x:c r="N775" s="8" t="str">
        <x:v>No</x:v>
      </x:c>
      <x:c r="O775" s="8" t="str">
        <x:v>Active translation</x:v>
      </x:c>
      <x:c r="P775" s="8" t="str">
        <x:v>Yes</x:v>
      </x:c>
      <x:c r="Q775" s="8" t="str">
        <x:v>No</x:v>
      </x:c>
      <x:c r="R775" s="8" t="str">
        <x:v>Yes</x:v>
      </x:c>
      <x:c r="S775" s="8" t="str">
        <x:v>No</x:v>
      </x:c>
      <x:c r="T775" s="8" t="str">
        <x:v>No</x:v>
      </x:c>
      <x:c r="U775" s="8" t="str">
        <x:v>No</x:v>
      </x:c>
      <x:c r="V775" s="8" t="str">
        <x:v>No</x:v>
      </x:c>
      <x:c r="W775" s="8" t="str">
        <x:v>Yes</x:v>
      </x:c>
      <x:c r="X775" s="8" t="str">
        <x:v>No</x:v>
      </x:c>
      <x:c r="Y775" s="8" t="str">
        <x:v>No</x:v>
      </x:c>
      <x:c r="Z775" s="8" t="str">
        <x:v>No</x:v>
      </x:c>
      <x:c r="AA775" s="8" t="str">
        <x:v>No</x:v>
      </x:c>
      <x:c r="AB775" s="8" t="str">
        <x:v>No</x:v>
      </x:c>
      <x:c r="AC775" s="9" t="str">
        <x:v>No</x:v>
      </x:c>
      <x:c r="AD775" s="8" t="str">
        <x:v>No</x:v>
      </x:c>
      <x:c r="AE775" s="8" t="str">
        <x:v>No</x:v>
      </x:c>
      <x:c r="AF775" s="8" t="str">
        <x:v>No</x:v>
      </x:c>
      <x:c r="AG775" s="8" t="str">
        <x:v>No</x:v>
      </x:c>
      <x:c r="AH775" s="8" t="n">
        <x:v>19</x:v>
      </x:c>
      <x:c r="AI775" s="8" t="str">
        <x:v>Canonical source for Language Support row 19</x:v>
      </x:c>
    </x:row>
    <x:row r="776">
      <x:c r="A776" s="8" t="str">
        <x:v>Language Support</x:v>
      </x:c>
      <x:c r="B776" s="8" t="str">
        <x:v>Persian / Farsi / فارسی</x:v>
      </x:c>
      <x:c r="C776" s="8" t="str">
        <x:v>No</x:v>
      </x:c>
      <x:c r="D776" s="8" t="str">
        <x:v>No</x:v>
      </x:c>
      <x:c r="E776" s="8" t="str">
        <x:v>No</x:v>
      </x:c>
      <x:c r="F776" s="8" t="str">
        <x:v>No</x:v>
      </x:c>
      <x:c r="G776" s="8" t="str">
        <x:v>No</x:v>
      </x:c>
      <x:c r="H776" s="8" t="str">
        <x:v>No</x:v>
      </x:c>
      <x:c r="I776" s="8" t="str">
        <x:v>No</x:v>
      </x:c>
      <x:c r="J776" s="8" t="str">
        <x:v>No</x:v>
      </x:c>
      <x:c r="K776" s="8" t="str">
        <x:v>No</x:v>
      </x:c>
      <x:c r="L776" s="8" t="str">
        <x:v>No</x:v>
      </x:c>
      <x:c r="M776" s="8" t="str">
        <x:v>No</x:v>
      </x:c>
      <x:c r="N776" s="8" t="str">
        <x:v>No</x:v>
      </x:c>
      <x:c r="O776" s="8" t="str">
        <x:v>No</x:v>
      </x:c>
      <x:c r="P776" s="8" t="str">
        <x:v>Yes</x:v>
      </x:c>
      <x:c r="Q776" s="8" t="str">
        <x:v>No</x:v>
      </x:c>
      <x:c r="R776" s="8" t="str">
        <x:v>No</x:v>
      </x:c>
      <x:c r="S776" s="8" t="str">
        <x:v>No</x:v>
      </x:c>
      <x:c r="T776" s="8" t="str">
        <x:v>No</x:v>
      </x:c>
      <x:c r="U776" s="8" t="str">
        <x:v>No</x:v>
      </x:c>
      <x:c r="V776" s="8" t="str">
        <x:v>No</x:v>
      </x:c>
      <x:c r="W776" s="8" t="str">
        <x:v>Yes</x:v>
      </x:c>
      <x:c r="X776" s="8" t="str">
        <x:v>No</x:v>
      </x:c>
      <x:c r="Y776" s="8" t="str">
        <x:v>No</x:v>
      </x:c>
      <x:c r="Z776" s="8" t="str">
        <x:v>No</x:v>
      </x:c>
      <x:c r="AA776" s="8" t="str">
        <x:v>No</x:v>
      </x:c>
      <x:c r="AB776" s="8" t="str">
        <x:v>No</x:v>
      </x:c>
      <x:c r="AC776" s="9" t="str">
        <x:v>No</x:v>
      </x:c>
      <x:c r="AD776" s="8" t="str">
        <x:v>No</x:v>
      </x:c>
      <x:c r="AE776" s="8" t="str">
        <x:v>No</x:v>
      </x:c>
      <x:c r="AF776" s="8" t="str">
        <x:v>No</x:v>
      </x:c>
      <x:c r="AG776" s="8" t="str">
        <x:v>No</x:v>
      </x:c>
      <x:c r="AH776" s="8" t="n">
        <x:v>20</x:v>
      </x:c>
      <x:c r="AI776" s="8" t="str">
        <x:v>Canonical source for Language Support row 20</x:v>
      </x:c>
    </x:row>
    <x:row r="777">
      <x:c r="A777" s="8" t="str">
        <x:v>Language Support</x:v>
      </x:c>
      <x:c r="B777" s="8" t="str">
        <x:v>Polish / Polski / Polski</x:v>
      </x:c>
      <x:c r="C777" s="8" t="str">
        <x:v>Yes</x:v>
      </x:c>
      <x:c r="D777" s="8" t="str">
        <x:v>No</x:v>
      </x:c>
      <x:c r="E777" s="8" t="str">
        <x:v>No</x:v>
      </x:c>
      <x:c r="F777" s="8" t="str">
        <x:v>No</x:v>
      </x:c>
      <x:c r="G777" s="8" t="str">
        <x:v>No</x:v>
      </x:c>
      <x:c r="H777" s="8" t="str">
        <x:v>Yes</x:v>
      </x:c>
      <x:c r="I777" s="8" t="str">
        <x:v>No</x:v>
      </x:c>
      <x:c r="J777" s="8" t="str">
        <x:v>No</x:v>
      </x:c>
      <x:c r="K777" s="8" t="str">
        <x:v>No</x:v>
      </x:c>
      <x:c r="L777" s="8" t="str">
        <x:v>No</x:v>
      </x:c>
      <x:c r="M777" s="8" t="str">
        <x:v>No</x:v>
      </x:c>
      <x:c r="N777" s="8" t="str">
        <x:v>No</x:v>
      </x:c>
      <x:c r="O777" s="8" t="str">
        <x:v>Active translation</x:v>
      </x:c>
      <x:c r="P777" s="8" t="str">
        <x:v>Yes</x:v>
      </x:c>
      <x:c r="Q777" s="8" t="str">
        <x:v>No</x:v>
      </x:c>
      <x:c r="R777" s="8" t="str">
        <x:v>No</x:v>
      </x:c>
      <x:c r="S777" s="8" t="str">
        <x:v>No</x:v>
      </x:c>
      <x:c r="T777" s="8" t="str">
        <x:v>No</x:v>
      </x:c>
      <x:c r="U777" s="8" t="str">
        <x:v>No</x:v>
      </x:c>
      <x:c r="V777" s="8" t="str">
        <x:v>No</x:v>
      </x:c>
      <x:c r="W777" s="8" t="str">
        <x:v>Yes</x:v>
      </x:c>
      <x:c r="X777" s="8" t="str">
        <x:v>No</x:v>
      </x:c>
      <x:c r="Y777" s="8" t="str">
        <x:v>No</x:v>
      </x:c>
      <x:c r="Z777" s="8" t="str">
        <x:v>No</x:v>
      </x:c>
      <x:c r="AA777" s="8" t="str">
        <x:v>No</x:v>
      </x:c>
      <x:c r="AB777" s="8" t="str">
        <x:v>No</x:v>
      </x:c>
      <x:c r="AC777" s="9" t="str">
        <x:v>No</x:v>
      </x:c>
      <x:c r="AD777" s="8" t="str">
        <x:v>No</x:v>
      </x:c>
      <x:c r="AE777" s="8" t="str">
        <x:v>No</x:v>
      </x:c>
      <x:c r="AF777" s="8" t="str">
        <x:v>No</x:v>
      </x:c>
      <x:c r="AG777" s="8" t="str">
        <x:v>No</x:v>
      </x:c>
      <x:c r="AH777" s="8" t="n">
        <x:v>21</x:v>
      </x:c>
      <x:c r="AI777" s="8" t="str">
        <x:v>Canonical source for Language Support row 21</x:v>
      </x:c>
    </x:row>
    <x:row r="778">
      <x:c r="A778" s="8" t="str">
        <x:v>Language Support</x:v>
      </x:c>
      <x:c r="B778" s="8" t="str">
        <x:v>Ukrainian / Ukrainska / Українська</x:v>
      </x:c>
      <x:c r="C778" s="8" t="str">
        <x:v>Yes</x:v>
      </x:c>
      <x:c r="D778" s="8" t="str">
        <x:v>No</x:v>
      </x:c>
      <x:c r="E778" s="8" t="str">
        <x:v>No</x:v>
      </x:c>
      <x:c r="F778" s="8" t="str">
        <x:v>No</x:v>
      </x:c>
      <x:c r="G778" s="8" t="str">
        <x:v>No</x:v>
      </x:c>
      <x:c r="H778" s="8" t="str">
        <x:v>Yes</x:v>
      </x:c>
      <x:c r="I778" s="8" t="str">
        <x:v>No</x:v>
      </x:c>
      <x:c r="J778" s="8" t="str">
        <x:v>No</x:v>
      </x:c>
      <x:c r="K778" s="8" t="str">
        <x:v>No</x:v>
      </x:c>
      <x:c r="L778" s="8" t="str">
        <x:v>No</x:v>
      </x:c>
      <x:c r="M778" s="8" t="str">
        <x:v>No</x:v>
      </x:c>
      <x:c r="N778" s="8" t="str">
        <x:v>No</x:v>
      </x:c>
      <x:c r="O778" s="8" t="str">
        <x:v>Active translation</x:v>
      </x:c>
      <x:c r="P778" s="8" t="str">
        <x:v>Yes</x:v>
      </x:c>
      <x:c r="Q778" s="8" t="str">
        <x:v>No</x:v>
      </x:c>
      <x:c r="R778" s="8" t="str">
        <x:v>No</x:v>
      </x:c>
      <x:c r="S778" s="8" t="str">
        <x:v>No</x:v>
      </x:c>
      <x:c r="T778" s="8" t="str">
        <x:v>No</x:v>
      </x:c>
      <x:c r="U778" s="8" t="str">
        <x:v>No</x:v>
      </x:c>
      <x:c r="V778" s="8" t="str">
        <x:v>No</x:v>
      </x:c>
      <x:c r="W778" s="8" t="str">
        <x:v>Yes</x:v>
      </x:c>
      <x:c r="X778" s="8" t="str">
        <x:v>No</x:v>
      </x:c>
      <x:c r="Y778" s="8" t="str">
        <x:v>No</x:v>
      </x:c>
      <x:c r="Z778" s="8" t="str">
        <x:v>No</x:v>
      </x:c>
      <x:c r="AA778" s="8" t="str">
        <x:v>No</x:v>
      </x:c>
      <x:c r="AB778" s="8" t="str">
        <x:v>No</x:v>
      </x:c>
      <x:c r="AC778" s="9" t="str">
        <x:v>No</x:v>
      </x:c>
      <x:c r="AD778" s="8" t="str">
        <x:v>No</x:v>
      </x:c>
      <x:c r="AE778" s="8" t="str">
        <x:v>No</x:v>
      </x:c>
      <x:c r="AF778" s="8" t="str">
        <x:v>No</x:v>
      </x:c>
      <x:c r="AG778" s="8" t="str">
        <x:v>No</x:v>
      </x:c>
      <x:c r="AH778" s="8" t="n">
        <x:v>22</x:v>
      </x:c>
      <x:c r="AI778" s="8" t="str">
        <x:v>Canonical source for Language Support row 22</x:v>
      </x:c>
    </x:row>
    <x:row r="779">
      <x:c r="A779" s="8" t="str">
        <x:v>Language Support</x:v>
      </x:c>
      <x:c r="B779" s="8" t="str">
        <x:v>Dutch / Nederlands / Nederlands</x:v>
      </x:c>
      <x:c r="C779" s="8" t="str">
        <x:v>Yes</x:v>
      </x:c>
      <x:c r="D779" s="8" t="str">
        <x:v>No</x:v>
      </x:c>
      <x:c r="E779" s="8" t="str">
        <x:v>No</x:v>
      </x:c>
      <x:c r="F779" s="8" t="str">
        <x:v>No</x:v>
      </x:c>
      <x:c r="G779" s="8" t="str">
        <x:v>No</x:v>
      </x:c>
      <x:c r="H779" s="8" t="str">
        <x:v>Yes</x:v>
      </x:c>
      <x:c r="I779" s="8" t="str">
        <x:v>No</x:v>
      </x:c>
      <x:c r="J779" s="8" t="str">
        <x:v>No</x:v>
      </x:c>
      <x:c r="K779" s="8" t="str">
        <x:v>No</x:v>
      </x:c>
      <x:c r="L779" s="8" t="str">
        <x:v>No</x:v>
      </x:c>
      <x:c r="M779" s="8" t="str">
        <x:v>No</x:v>
      </x:c>
      <x:c r="N779" s="8" t="str">
        <x:v>No</x:v>
      </x:c>
      <x:c r="O779" s="8" t="str">
        <x:v>Active translation</x:v>
      </x:c>
      <x:c r="P779" s="8" t="str">
        <x:v>Yes</x:v>
      </x:c>
      <x:c r="Q779" s="8" t="str">
        <x:v>No</x:v>
      </x:c>
      <x:c r="R779" s="8" t="str">
        <x:v>No</x:v>
      </x:c>
      <x:c r="S779" s="8" t="str">
        <x:v>No</x:v>
      </x:c>
      <x:c r="T779" s="8" t="str">
        <x:v>No</x:v>
      </x:c>
      <x:c r="U779" s="8" t="str">
        <x:v>No</x:v>
      </x:c>
      <x:c r="V779" s="8" t="str">
        <x:v>No</x:v>
      </x:c>
      <x:c r="W779" s="8" t="str">
        <x:v>Yes</x:v>
      </x:c>
      <x:c r="X779" s="8" t="str">
        <x:v>No</x:v>
      </x:c>
      <x:c r="Y779" s="8" t="str">
        <x:v>No</x:v>
      </x:c>
      <x:c r="Z779" s="8" t="str">
        <x:v>No</x:v>
      </x:c>
      <x:c r="AA779" s="8" t="str">
        <x:v>No</x:v>
      </x:c>
      <x:c r="AB779" s="8" t="str">
        <x:v>No</x:v>
      </x:c>
      <x:c r="AC779" s="9" t="str">
        <x:v>No</x:v>
      </x:c>
      <x:c r="AD779" s="8" t="str">
        <x:v>No</x:v>
      </x:c>
      <x:c r="AE779" s="8" t="str">
        <x:v>No</x:v>
      </x:c>
      <x:c r="AF779" s="8" t="str">
        <x:v>No</x:v>
      </x:c>
      <x:c r="AG779" s="8" t="str">
        <x:v>No</x:v>
      </x:c>
      <x:c r="AH779" s="8" t="n">
        <x:v>23</x:v>
      </x:c>
      <x:c r="AI779" s="8" t="str">
        <x:v>Canonical source for Language Support row 23</x:v>
      </x:c>
    </x:row>
    <x:row r="780">
      <x:c r="A780" s="8" t="str">
        <x:v>Language Support</x:v>
      </x:c>
      <x:c r="B780" s="8" t="str">
        <x:v>Thai / Phasa Thai / ภาษาไทย</x:v>
      </x:c>
      <x:c r="C780" s="8" t="str">
        <x:v>Yes</x:v>
      </x:c>
      <x:c r="D780" s="8" t="str">
        <x:v>No</x:v>
      </x:c>
      <x:c r="E780" s="8" t="str">
        <x:v>No</x:v>
      </x:c>
      <x:c r="F780" s="8" t="str">
        <x:v>No</x:v>
      </x:c>
      <x:c r="G780" s="8" t="str">
        <x:v>No</x:v>
      </x:c>
      <x:c r="H780" s="8" t="str">
        <x:v>Yes</x:v>
      </x:c>
      <x:c r="I780" s="8" t="str">
        <x:v>No</x:v>
      </x:c>
      <x:c r="J780" s="8" t="str">
        <x:v>No</x:v>
      </x:c>
      <x:c r="K780" s="8" t="str">
        <x:v>No</x:v>
      </x:c>
      <x:c r="L780" s="8" t="str">
        <x:v>No</x:v>
      </x:c>
      <x:c r="M780" s="8" t="str">
        <x:v>No</x:v>
      </x:c>
      <x:c r="N780" s="8" t="str">
        <x:v>No</x:v>
      </x:c>
      <x:c r="O780" s="8" t="str">
        <x:v>Active translation</x:v>
      </x:c>
      <x:c r="P780" s="8" t="str">
        <x:v>No</x:v>
      </x:c>
      <x:c r="Q780" s="8" t="str">
        <x:v>No</x:v>
      </x:c>
      <x:c r="R780" s="8" t="str">
        <x:v>No</x:v>
      </x:c>
      <x:c r="S780" s="8" t="str">
        <x:v>No</x:v>
      </x:c>
      <x:c r="T780" s="8" t="str">
        <x:v>No</x:v>
      </x:c>
      <x:c r="U780" s="8" t="str">
        <x:v>No</x:v>
      </x:c>
      <x:c r="V780" s="8" t="str">
        <x:v>No</x:v>
      </x:c>
      <x:c r="W780" s="8" t="str">
        <x:v>Yes</x:v>
      </x:c>
      <x:c r="X780" s="8" t="str">
        <x:v>No</x:v>
      </x:c>
      <x:c r="Y780" s="8" t="str">
        <x:v>No</x:v>
      </x:c>
      <x:c r="Z780" s="8" t="str">
        <x:v>No</x:v>
      </x:c>
      <x:c r="AA780" s="8" t="str">
        <x:v>No</x:v>
      </x:c>
      <x:c r="AB780" s="8" t="str">
        <x:v>No</x:v>
      </x:c>
      <x:c r="AC780" s="9" t="str">
        <x:v>No</x:v>
      </x:c>
      <x:c r="AD780" s="8" t="str">
        <x:v>No</x:v>
      </x:c>
      <x:c r="AE780" s="8" t="str">
        <x:v>No</x:v>
      </x:c>
      <x:c r="AF780" s="8" t="str">
        <x:v>No</x:v>
      </x:c>
      <x:c r="AG780" s="8" t="str">
        <x:v>No</x:v>
      </x:c>
      <x:c r="AH780" s="8" t="n">
        <x:v>24</x:v>
      </x:c>
      <x:c r="AI780" s="8" t="str">
        <x:v>Canonical source for Language Support row 24</x:v>
      </x:c>
    </x:row>
    <x:row r="781">
      <x:c r="A781" s="8" t="str">
        <x:v>Language Support</x:v>
      </x:c>
      <x:c r="B781" s="8" t="str">
        <x:v>Swedish / Svenska / Svenska</x:v>
      </x:c>
      <x:c r="C781" s="8" t="str">
        <x:v>Yes</x:v>
      </x:c>
      <x:c r="D781" s="8" t="str">
        <x:v>No</x:v>
      </x:c>
      <x:c r="E781" s="8" t="str">
        <x:v>No</x:v>
      </x:c>
      <x:c r="F781" s="8" t="str">
        <x:v>No</x:v>
      </x:c>
      <x:c r="G781" s="8" t="str">
        <x:v>No</x:v>
      </x:c>
      <x:c r="H781" s="8" t="str">
        <x:v>Yes</x:v>
      </x:c>
      <x:c r="I781" s="8" t="str">
        <x:v>No</x:v>
      </x:c>
      <x:c r="J781" s="8" t="str">
        <x:v>No</x:v>
      </x:c>
      <x:c r="K781" s="8" t="str">
        <x:v>No</x:v>
      </x:c>
      <x:c r="L781" s="8" t="str">
        <x:v>No</x:v>
      </x:c>
      <x:c r="M781" s="8" t="str">
        <x:v>No</x:v>
      </x:c>
      <x:c r="N781" s="8" t="str">
        <x:v>No</x:v>
      </x:c>
      <x:c r="O781" s="8" t="str">
        <x:v>Active translation</x:v>
      </x:c>
      <x:c r="P781" s="8" t="str">
        <x:v>Yes</x:v>
      </x:c>
      <x:c r="Q781" s="8" t="str">
        <x:v>No</x:v>
      </x:c>
      <x:c r="R781" s="8" t="str">
        <x:v>No</x:v>
      </x:c>
      <x:c r="S781" s="8" t="str">
        <x:v>No</x:v>
      </x:c>
      <x:c r="T781" s="8" t="str">
        <x:v>No</x:v>
      </x:c>
      <x:c r="U781" s="8" t="str">
        <x:v>No</x:v>
      </x:c>
      <x:c r="V781" s="8" t="str">
        <x:v>No</x:v>
      </x:c>
      <x:c r="W781" s="8" t="str">
        <x:v>Yes</x:v>
      </x:c>
      <x:c r="X781" s="8" t="str">
        <x:v>No</x:v>
      </x:c>
      <x:c r="Y781" s="8" t="str">
        <x:v>No</x:v>
      </x:c>
      <x:c r="Z781" s="8" t="str">
        <x:v>No</x:v>
      </x:c>
      <x:c r="AA781" s="8" t="str">
        <x:v>No</x:v>
      </x:c>
      <x:c r="AB781" s="8" t="str">
        <x:v>No</x:v>
      </x:c>
      <x:c r="AC781" s="9" t="str">
        <x:v>No</x:v>
      </x:c>
      <x:c r="AD781" s="8" t="str">
        <x:v>No</x:v>
      </x:c>
      <x:c r="AE781" s="8" t="str">
        <x:v>No</x:v>
      </x:c>
      <x:c r="AF781" s="8" t="str">
        <x:v>No</x:v>
      </x:c>
      <x:c r="AG781" s="8" t="str">
        <x:v>No</x:v>
      </x:c>
      <x:c r="AH781" s="8" t="n">
        <x:v>25</x:v>
      </x:c>
      <x:c r="AI781" s="8" t="str">
        <x:v>Canonical source for Language Support row 25</x:v>
      </x:c>
    </x:row>
    <x:row r="782">
      <x:c r="A782" s="8" t="str">
        <x:v>Language Support</x:v>
      </x:c>
      <x:c r="B782" s="8" t="str">
        <x:v>Czech / Čeština / Čeština</x:v>
      </x:c>
      <x:c r="C782" s="8" t="str">
        <x:v>Yes</x:v>
      </x:c>
      <x:c r="D782" s="8" t="str">
        <x:v>No</x:v>
      </x:c>
      <x:c r="E782" s="8" t="str">
        <x:v>No</x:v>
      </x:c>
      <x:c r="F782" s="8" t="str">
        <x:v>No</x:v>
      </x:c>
      <x:c r="G782" s="8" t="str">
        <x:v>No</x:v>
      </x:c>
      <x:c r="H782" s="8" t="str">
        <x:v>Yes</x:v>
      </x:c>
      <x:c r="I782" s="8" t="str">
        <x:v>No</x:v>
      </x:c>
      <x:c r="J782" s="8" t="str">
        <x:v>No</x:v>
      </x:c>
      <x:c r="K782" s="8" t="str">
        <x:v>No</x:v>
      </x:c>
      <x:c r="L782" s="8" t="str">
        <x:v>No</x:v>
      </x:c>
      <x:c r="M782" s="8" t="str">
        <x:v>No</x:v>
      </x:c>
      <x:c r="N782" s="8" t="str">
        <x:v>No</x:v>
      </x:c>
      <x:c r="O782" s="8" t="str">
        <x:v>Yes</x:v>
      </x:c>
      <x:c r="P782" s="8" t="str">
        <x:v>No</x:v>
      </x:c>
      <x:c r="Q782" s="8" t="str">
        <x:v>No</x:v>
      </x:c>
      <x:c r="R782" s="8" t="str">
        <x:v>No</x:v>
      </x:c>
      <x:c r="S782" s="8" t="str">
        <x:v>No</x:v>
      </x:c>
      <x:c r="T782" s="8" t="str">
        <x:v>No</x:v>
      </x:c>
      <x:c r="U782" s="8" t="str">
        <x:v>No</x:v>
      </x:c>
      <x:c r="V782" s="8" t="str">
        <x:v>No</x:v>
      </x:c>
      <x:c r="W782" s="8" t="str">
        <x:v>Yes</x:v>
      </x:c>
      <x:c r="X782" s="8" t="str">
        <x:v>No</x:v>
      </x:c>
      <x:c r="Y782" s="8" t="str">
        <x:v>No</x:v>
      </x:c>
      <x:c r="Z782" s="8" t="str">
        <x:v>No</x:v>
      </x:c>
      <x:c r="AA782" s="8" t="str">
        <x:v>No</x:v>
      </x:c>
      <x:c r="AB782" s="8" t="str">
        <x:v>No</x:v>
      </x:c>
      <x:c r="AC782" s="9" t="str">
        <x:v>No</x:v>
      </x:c>
      <x:c r="AD782" s="8" t="str">
        <x:v>No</x:v>
      </x:c>
      <x:c r="AE782" s="8" t="str">
        <x:v>No</x:v>
      </x:c>
      <x:c r="AF782" s="8" t="str">
        <x:v>No</x:v>
      </x:c>
      <x:c r="AG782" s="8" t="str">
        <x:v>No</x:v>
      </x:c>
      <x:c r="AH782" s="8" t="n">
        <x:v>26</x:v>
      </x:c>
      <x:c r="AI782" s="8" t="str">
        <x:v>Canonical source for Language Support row 26</x:v>
      </x:c>
    </x:row>
    <x:row r="783">
      <x:c r="A783" s="8" t="str">
        <x:v>Language Support</x:v>
      </x:c>
      <x:c r="B783" s="8" t="str">
        <x:v>Romanian / Română / Română</x:v>
      </x:c>
      <x:c r="C783" s="8" t="str">
        <x:v>Yes</x:v>
      </x:c>
      <x:c r="D783" s="8" t="str">
        <x:v>No</x:v>
      </x:c>
      <x:c r="E783" s="8" t="str">
        <x:v>No</x:v>
      </x:c>
      <x:c r="F783" s="8" t="str">
        <x:v>No</x:v>
      </x:c>
      <x:c r="G783" s="8" t="str">
        <x:v>No</x:v>
      </x:c>
      <x:c r="H783" s="8" t="str">
        <x:v>Yes</x:v>
      </x:c>
      <x:c r="I783" s="8" t="str">
        <x:v>No</x:v>
      </x:c>
      <x:c r="J783" s="8" t="str">
        <x:v>No</x:v>
      </x:c>
      <x:c r="K783" s="8" t="str">
        <x:v>No</x:v>
      </x:c>
      <x:c r="L783" s="8" t="str">
        <x:v>No</x:v>
      </x:c>
      <x:c r="M783" s="8" t="str">
        <x:v>No</x:v>
      </x:c>
      <x:c r="N783" s="8" t="str">
        <x:v>No</x:v>
      </x:c>
      <x:c r="O783" s="8" t="str">
        <x:v>Active translation</x:v>
      </x:c>
      <x:c r="P783" s="8" t="str">
        <x:v>Yes</x:v>
      </x:c>
      <x:c r="Q783" s="8" t="str">
        <x:v>No</x:v>
      </x:c>
      <x:c r="R783" s="8" t="str">
        <x:v>No</x:v>
      </x:c>
      <x:c r="S783" s="8" t="str">
        <x:v>No</x:v>
      </x:c>
      <x:c r="T783" s="8" t="str">
        <x:v>No</x:v>
      </x:c>
      <x:c r="U783" s="8" t="str">
        <x:v>No</x:v>
      </x:c>
      <x:c r="V783" s="8" t="str">
        <x:v>No</x:v>
      </x:c>
      <x:c r="W783" s="8" t="str">
        <x:v>Yes</x:v>
      </x:c>
      <x:c r="X783" s="8" t="str">
        <x:v>No</x:v>
      </x:c>
      <x:c r="Y783" s="8" t="str">
        <x:v>No</x:v>
      </x:c>
      <x:c r="Z783" s="8" t="str">
        <x:v>No</x:v>
      </x:c>
      <x:c r="AA783" s="8" t="str">
        <x:v>No</x:v>
      </x:c>
      <x:c r="AB783" s="8" t="str">
        <x:v>No</x:v>
      </x:c>
      <x:c r="AC783" s="9" t="str">
        <x:v>No</x:v>
      </x:c>
      <x:c r="AD783" s="8" t="str">
        <x:v>No</x:v>
      </x:c>
      <x:c r="AE783" s="8" t="str">
        <x:v>No</x:v>
      </x:c>
      <x:c r="AF783" s="8" t="str">
        <x:v>No</x:v>
      </x:c>
      <x:c r="AG783" s="8" t="str">
        <x:v>No</x:v>
      </x:c>
      <x:c r="AH783" s="8" t="n">
        <x:v>27</x:v>
      </x:c>
      <x:c r="AI783" s="8" t="str">
        <x:v>Canonical source for Language Support row 27</x:v>
      </x:c>
    </x:row>
    <x:row r="784">
      <x:c r="A784" s="8" t="str">
        <x:v>Language Support</x:v>
      </x:c>
      <x:c r="B784" s="8" t="str">
        <x:v>Hungarian / Magyar / Magyar</x:v>
      </x:c>
      <x:c r="C784" s="8" t="str">
        <x:v>Yes</x:v>
      </x:c>
      <x:c r="D784" s="8" t="str">
        <x:v>No</x:v>
      </x:c>
      <x:c r="E784" s="8" t="str">
        <x:v>No</x:v>
      </x:c>
      <x:c r="F784" s="8" t="str">
        <x:v>No</x:v>
      </x:c>
      <x:c r="G784" s="8" t="str">
        <x:v>No</x:v>
      </x:c>
      <x:c r="H784" s="8" t="str">
        <x:v>Yes</x:v>
      </x:c>
      <x:c r="I784" s="8" t="str">
        <x:v>No</x:v>
      </x:c>
      <x:c r="J784" s="8" t="str">
        <x:v>No</x:v>
      </x:c>
      <x:c r="K784" s="8" t="str">
        <x:v>No</x:v>
      </x:c>
      <x:c r="L784" s="8" t="str">
        <x:v>No</x:v>
      </x:c>
      <x:c r="M784" s="8" t="str">
        <x:v>No</x:v>
      </x:c>
      <x:c r="N784" s="8" t="str">
        <x:v>No</x:v>
      </x:c>
      <x:c r="O784" s="8" t="str">
        <x:v>Active translation</x:v>
      </x:c>
      <x:c r="P784" s="8" t="str">
        <x:v>Yes</x:v>
      </x:c>
      <x:c r="Q784" s="8" t="str">
        <x:v>No</x:v>
      </x:c>
      <x:c r="R784" s="8" t="str">
        <x:v>No</x:v>
      </x:c>
      <x:c r="S784" s="8" t="str">
        <x:v>No</x:v>
      </x:c>
      <x:c r="T784" s="8" t="str">
        <x:v>No</x:v>
      </x:c>
      <x:c r="U784" s="8" t="str">
        <x:v>No</x:v>
      </x:c>
      <x:c r="V784" s="8" t="str">
        <x:v>No</x:v>
      </x:c>
      <x:c r="W784" s="8" t="str">
        <x:v>Yes</x:v>
      </x:c>
      <x:c r="X784" s="8" t="str">
        <x:v>No</x:v>
      </x:c>
      <x:c r="Y784" s="8" t="str">
        <x:v>No</x:v>
      </x:c>
      <x:c r="Z784" s="8" t="str">
        <x:v>No</x:v>
      </x:c>
      <x:c r="AA784" s="8" t="str">
        <x:v>No</x:v>
      </x:c>
      <x:c r="AB784" s="8" t="str">
        <x:v>No</x:v>
      </x:c>
      <x:c r="AC784" s="9" t="str">
        <x:v>No</x:v>
      </x:c>
      <x:c r="AD784" s="8" t="str">
        <x:v>No</x:v>
      </x:c>
      <x:c r="AE784" s="8" t="str">
        <x:v>No</x:v>
      </x:c>
      <x:c r="AF784" s="8" t="str">
        <x:v>No</x:v>
      </x:c>
      <x:c r="AG784" s="8" t="str">
        <x:v>No</x:v>
      </x:c>
      <x:c r="AH784" s="8" t="n">
        <x:v>28</x:v>
      </x:c>
      <x:c r="AI784" s="8" t="str">
        <x:v>Canonical source for Language Support row 28</x:v>
      </x:c>
    </x:row>
    <x:row r="785">
      <x:c r="A785" s="8" t="str">
        <x:v>Language Support</x:v>
      </x:c>
      <x:c r="B785" s="8" t="str">
        <x:v>Greek / Ellinika / Ελληνικά</x:v>
      </x:c>
      <x:c r="C785" s="8" t="str">
        <x:v>Yes</x:v>
      </x:c>
      <x:c r="D785" s="8" t="str">
        <x:v>No</x:v>
      </x:c>
      <x:c r="E785" s="8" t="str">
        <x:v>No</x:v>
      </x:c>
      <x:c r="F785" s="8" t="str">
        <x:v>No</x:v>
      </x:c>
      <x:c r="G785" s="8" t="str">
        <x:v>No</x:v>
      </x:c>
      <x:c r="H785" s="8" t="str">
        <x:v>Yes</x:v>
      </x:c>
      <x:c r="I785" s="8" t="str">
        <x:v>No</x:v>
      </x:c>
      <x:c r="J785" s="8" t="str">
        <x:v>No</x:v>
      </x:c>
      <x:c r="K785" s="8" t="str">
        <x:v>No</x:v>
      </x:c>
      <x:c r="L785" s="8" t="str">
        <x:v>No</x:v>
      </x:c>
      <x:c r="M785" s="8" t="str">
        <x:v>No</x:v>
      </x:c>
      <x:c r="N785" s="8" t="str">
        <x:v>No</x:v>
      </x:c>
      <x:c r="O785" s="8" t="str">
        <x:v>Active translation</x:v>
      </x:c>
      <x:c r="P785" s="8" t="str">
        <x:v>No</x:v>
      </x:c>
      <x:c r="Q785" s="8" t="str">
        <x:v>No</x:v>
      </x:c>
      <x:c r="R785" s="8" t="str">
        <x:v>No</x:v>
      </x:c>
      <x:c r="S785" s="8" t="str">
        <x:v>No</x:v>
      </x:c>
      <x:c r="T785" s="8" t="str">
        <x:v>No</x:v>
      </x:c>
      <x:c r="U785" s="8" t="str">
        <x:v>No</x:v>
      </x:c>
      <x:c r="V785" s="8" t="str">
        <x:v>No</x:v>
      </x:c>
      <x:c r="W785" s="8" t="str">
        <x:v>Yes</x:v>
      </x:c>
      <x:c r="X785" s="8" t="str">
        <x:v>No</x:v>
      </x:c>
      <x:c r="Y785" s="8" t="str">
        <x:v>No</x:v>
      </x:c>
      <x:c r="Z785" s="8" t="str">
        <x:v>No</x:v>
      </x:c>
      <x:c r="AA785" s="8" t="str">
        <x:v>No</x:v>
      </x:c>
      <x:c r="AB785" s="8" t="str">
        <x:v>No</x:v>
      </x:c>
      <x:c r="AC785" s="9" t="str">
        <x:v>No</x:v>
      </x:c>
      <x:c r="AD785" s="8" t="str">
        <x:v>No</x:v>
      </x:c>
      <x:c r="AE785" s="8" t="str">
        <x:v>No</x:v>
      </x:c>
      <x:c r="AF785" s="8" t="str">
        <x:v>No</x:v>
      </x:c>
      <x:c r="AG785" s="8" t="str">
        <x:v>No</x:v>
      </x:c>
      <x:c r="AH785" s="8" t="n">
        <x:v>29</x:v>
      </x:c>
      <x:c r="AI785" s="8" t="str">
        <x:v>Canonical source for Language Support row 29</x:v>
      </x:c>
    </x:row>
    <x:row r="786">
      <x:c r="A786" s="8" t="str">
        <x:v>Language Support</x:v>
      </x:c>
      <x:c r="B786" s="8" t="str">
        <x:v>Hebrew / Ivrit / עברית</x:v>
      </x:c>
      <x:c r="C786" s="8" t="str">
        <x:v>No</x:v>
      </x:c>
      <x:c r="D786" s="8" t="str">
        <x:v>No</x:v>
      </x:c>
      <x:c r="E786" s="8" t="str">
        <x:v>No</x:v>
      </x:c>
      <x:c r="F786" s="8" t="str">
        <x:v>No</x:v>
      </x:c>
      <x:c r="G786" s="8" t="str">
        <x:v>No</x:v>
      </x:c>
      <x:c r="H786" s="8" t="str">
        <x:v>Yes</x:v>
      </x:c>
      <x:c r="I786" s="8" t="str">
        <x:v>No</x:v>
      </x:c>
      <x:c r="J786" s="8" t="str">
        <x:v>No</x:v>
      </x:c>
      <x:c r="K786" s="8" t="str">
        <x:v>No</x:v>
      </x:c>
      <x:c r="L786" s="8" t="str">
        <x:v>No</x:v>
      </x:c>
      <x:c r="M786" s="8" t="str">
        <x:v>No</x:v>
      </x:c>
      <x:c r="N786" s="8" t="str">
        <x:v>No</x:v>
      </x:c>
      <x:c r="O786" s="8" t="str">
        <x:v>Active translation</x:v>
      </x:c>
      <x:c r="P786" s="8" t="str">
        <x:v>No</x:v>
      </x:c>
      <x:c r="Q786" s="8" t="str">
        <x:v>No</x:v>
      </x:c>
      <x:c r="R786" s="8" t="str">
        <x:v>No</x:v>
      </x:c>
      <x:c r="S786" s="8" t="str">
        <x:v>No</x:v>
      </x:c>
      <x:c r="T786" s="8" t="str">
        <x:v>No</x:v>
      </x:c>
      <x:c r="U786" s="8" t="str">
        <x:v>No</x:v>
      </x:c>
      <x:c r="V786" s="8" t="str">
        <x:v>No</x:v>
      </x:c>
      <x:c r="W786" s="8" t="str">
        <x:v>Yes</x:v>
      </x:c>
      <x:c r="X786" s="8" t="str">
        <x:v>No</x:v>
      </x:c>
      <x:c r="Y786" s="8" t="str">
        <x:v>No</x:v>
      </x:c>
      <x:c r="Z786" s="8" t="str">
        <x:v>No</x:v>
      </x:c>
      <x:c r="AA786" s="8" t="str">
        <x:v>No</x:v>
      </x:c>
      <x:c r="AB786" s="8" t="str">
        <x:v>No</x:v>
      </x:c>
      <x:c r="AC786" s="9" t="str">
        <x:v>No</x:v>
      </x:c>
      <x:c r="AD786" s="8" t="str">
        <x:v>No</x:v>
      </x:c>
      <x:c r="AE786" s="8" t="str">
        <x:v>No</x:v>
      </x:c>
      <x:c r="AF786" s="8" t="str">
        <x:v>No</x:v>
      </x:c>
      <x:c r="AG786" s="8" t="str">
        <x:v>No</x:v>
      </x:c>
      <x:c r="AH786" s="8" t="n">
        <x:v>30</x:v>
      </x:c>
      <x:c r="AI786" s="8" t="str">
        <x:v>Canonical source for Language Support row 30</x:v>
      </x:c>
    </x:row>
    <x:row r="787">
      <x:c r="A787" s="8" t="str">
        <x:v>Language Support</x:v>
      </x:c>
      <x:c r="B787" s="8" t="str">
        <x:v>Danish / Dansk / Dansk</x:v>
      </x:c>
      <x:c r="C787" s="8" t="str">
        <x:v>Yes</x:v>
      </x:c>
      <x:c r="D787" s="8" t="str">
        <x:v>No</x:v>
      </x:c>
      <x:c r="E787" s="8" t="str">
        <x:v>No</x:v>
      </x:c>
      <x:c r="F787" s="8" t="str">
        <x:v>No</x:v>
      </x:c>
      <x:c r="G787" s="8" t="str">
        <x:v>No</x:v>
      </x:c>
      <x:c r="H787" s="8" t="str">
        <x:v>Yes</x:v>
      </x:c>
      <x:c r="I787" s="8" t="str">
        <x:v>No</x:v>
      </x:c>
      <x:c r="J787" s="8" t="str">
        <x:v>No</x:v>
      </x:c>
      <x:c r="K787" s="8" t="str">
        <x:v>No</x:v>
      </x:c>
      <x:c r="L787" s="8" t="str">
        <x:v>No</x:v>
      </x:c>
      <x:c r="M787" s="8" t="str">
        <x:v>No</x:v>
      </x:c>
      <x:c r="N787" s="8" t="str">
        <x:v>No</x:v>
      </x:c>
      <x:c r="O787" s="8" t="str">
        <x:v>Active translation</x:v>
      </x:c>
      <x:c r="P787" s="8" t="str">
        <x:v>No</x:v>
      </x:c>
      <x:c r="Q787" s="8" t="str">
        <x:v>No</x:v>
      </x:c>
      <x:c r="R787" s="8" t="str">
        <x:v>No</x:v>
      </x:c>
      <x:c r="S787" s="8" t="str">
        <x:v>No</x:v>
      </x:c>
      <x:c r="T787" s="8" t="str">
        <x:v>No</x:v>
      </x:c>
      <x:c r="U787" s="8" t="str">
        <x:v>No</x:v>
      </x:c>
      <x:c r="V787" s="8" t="str">
        <x:v>No</x:v>
      </x:c>
      <x:c r="W787" s="8" t="str">
        <x:v>Yes</x:v>
      </x:c>
      <x:c r="X787" s="8" t="str">
        <x:v>No</x:v>
      </x:c>
      <x:c r="Y787" s="8" t="str">
        <x:v>No</x:v>
      </x:c>
      <x:c r="Z787" s="8" t="str">
        <x:v>No</x:v>
      </x:c>
      <x:c r="AA787" s="8" t="str">
        <x:v>No</x:v>
      </x:c>
      <x:c r="AB787" s="8" t="str">
        <x:v>No</x:v>
      </x:c>
      <x:c r="AC787" s="9" t="str">
        <x:v>No</x:v>
      </x:c>
      <x:c r="AD787" s="8" t="str">
        <x:v>No</x:v>
      </x:c>
      <x:c r="AE787" s="8" t="str">
        <x:v>No</x:v>
      </x:c>
      <x:c r="AF787" s="8" t="str">
        <x:v>No</x:v>
      </x:c>
      <x:c r="AG787" s="8" t="str">
        <x:v>No</x:v>
      </x:c>
      <x:c r="AH787" s="8" t="n">
        <x:v>31</x:v>
      </x:c>
      <x:c r="AI787" s="8" t="str">
        <x:v>Canonical source for Language Support row 31</x:v>
      </x:c>
    </x:row>
    <x:row r="788">
      <x:c r="A788" s="8" t="str">
        <x:v>Language Support</x:v>
      </x:c>
      <x:c r="B788" s="8" t="str">
        <x:v>Finnish / Suomi / Suomi</x:v>
      </x:c>
      <x:c r="C788" s="8" t="str">
        <x:v>Yes</x:v>
      </x:c>
      <x:c r="D788" s="8" t="str">
        <x:v>No</x:v>
      </x:c>
      <x:c r="E788" s="8" t="str">
        <x:v>No</x:v>
      </x:c>
      <x:c r="F788" s="8" t="str">
        <x:v>No</x:v>
      </x:c>
      <x:c r="G788" s="8" t="str">
        <x:v>No</x:v>
      </x:c>
      <x:c r="H788" s="8" t="str">
        <x:v>Yes</x:v>
      </x:c>
      <x:c r="I788" s="8" t="str">
        <x:v>No</x:v>
      </x:c>
      <x:c r="J788" s="8" t="str">
        <x:v>No</x:v>
      </x:c>
      <x:c r="K788" s="8" t="str">
        <x:v>No</x:v>
      </x:c>
      <x:c r="L788" s="8" t="str">
        <x:v>No</x:v>
      </x:c>
      <x:c r="M788" s="8" t="str">
        <x:v>No</x:v>
      </x:c>
      <x:c r="N788" s="8" t="str">
        <x:v>No</x:v>
      </x:c>
      <x:c r="O788" s="8" t="str">
        <x:v>Active translation</x:v>
      </x:c>
      <x:c r="P788" s="8" t="str">
        <x:v>No</x:v>
      </x:c>
      <x:c r="Q788" s="8" t="str">
        <x:v>No</x:v>
      </x:c>
      <x:c r="R788" s="8" t="str">
        <x:v>No</x:v>
      </x:c>
      <x:c r="S788" s="8" t="str">
        <x:v>No</x:v>
      </x:c>
      <x:c r="T788" s="8" t="str">
        <x:v>No</x:v>
      </x:c>
      <x:c r="U788" s="8" t="str">
        <x:v>No</x:v>
      </x:c>
      <x:c r="V788" s="8" t="str">
        <x:v>No</x:v>
      </x:c>
      <x:c r="W788" s="8" t="str">
        <x:v>Yes</x:v>
      </x:c>
      <x:c r="X788" s="8" t="str">
        <x:v>No</x:v>
      </x:c>
      <x:c r="Y788" s="8" t="str">
        <x:v>No</x:v>
      </x:c>
      <x:c r="Z788" s="8" t="str">
        <x:v>No</x:v>
      </x:c>
      <x:c r="AA788" s="8" t="str">
        <x:v>No</x:v>
      </x:c>
      <x:c r="AB788" s="8" t="str">
        <x:v>No</x:v>
      </x:c>
      <x:c r="AC788" s="9" t="str">
        <x:v>No</x:v>
      </x:c>
      <x:c r="AD788" s="8" t="str">
        <x:v>No</x:v>
      </x:c>
      <x:c r="AE788" s="8" t="str">
        <x:v>No</x:v>
      </x:c>
      <x:c r="AF788" s="8" t="str">
        <x:v>No</x:v>
      </x:c>
      <x:c r="AG788" s="8" t="str">
        <x:v>No</x:v>
      </x:c>
      <x:c r="AH788" s="8" t="n">
        <x:v>32</x:v>
      </x:c>
      <x:c r="AI788" s="8" t="str">
        <x:v>Canonical source for Language Support row 32</x:v>
      </x:c>
    </x:row>
    <x:row r="789">
      <x:c r="A789" s="8" t="str">
        <x:v>Language Support</x:v>
      </x:c>
      <x:c r="B789" s="8" t="str">
        <x:v>Norwegian / Norsk / Norsk</x:v>
      </x:c>
      <x:c r="C789" s="8" t="str">
        <x:v>Yes</x:v>
      </x:c>
      <x:c r="D789" s="8" t="str">
        <x:v>No</x:v>
      </x:c>
      <x:c r="E789" s="8" t="str">
        <x:v>No</x:v>
      </x:c>
      <x:c r="F789" s="8" t="str">
        <x:v>No</x:v>
      </x:c>
      <x:c r="G789" s="8" t="str">
        <x:v>No</x:v>
      </x:c>
      <x:c r="H789" s="8" t="str">
        <x:v>Yes</x:v>
      </x:c>
      <x:c r="I789" s="8" t="str">
        <x:v>No</x:v>
      </x:c>
      <x:c r="J789" s="8" t="str">
        <x:v>No</x:v>
      </x:c>
      <x:c r="K789" s="8" t="str">
        <x:v>No</x:v>
      </x:c>
      <x:c r="L789" s="8" t="str">
        <x:v>No</x:v>
      </x:c>
      <x:c r="M789" s="8" t="str">
        <x:v>No</x:v>
      </x:c>
      <x:c r="N789" s="8" t="str">
        <x:v>No</x:v>
      </x:c>
      <x:c r="O789" s="8" t="str">
        <x:v>Active translation</x:v>
      </x:c>
      <x:c r="P789" s="8" t="str">
        <x:v>No</x:v>
      </x:c>
      <x:c r="Q789" s="8" t="str">
        <x:v>No</x:v>
      </x:c>
      <x:c r="R789" s="8" t="str">
        <x:v>No</x:v>
      </x:c>
      <x:c r="S789" s="8" t="str">
        <x:v>No</x:v>
      </x:c>
      <x:c r="T789" s="8" t="str">
        <x:v>No</x:v>
      </x:c>
      <x:c r="U789" s="8" t="str">
        <x:v>No</x:v>
      </x:c>
      <x:c r="V789" s="8" t="str">
        <x:v>No</x:v>
      </x:c>
      <x:c r="W789" s="8" t="str">
        <x:v>Yes</x:v>
      </x:c>
      <x:c r="X789" s="8" t="str">
        <x:v>No</x:v>
      </x:c>
      <x:c r="Y789" s="8" t="str">
        <x:v>No</x:v>
      </x:c>
      <x:c r="Z789" s="8" t="str">
        <x:v>No</x:v>
      </x:c>
      <x:c r="AA789" s="8" t="str">
        <x:v>No</x:v>
      </x:c>
      <x:c r="AB789" s="8" t="str">
        <x:v>No</x:v>
      </x:c>
      <x:c r="AC789" s="9" t="str">
        <x:v>No</x:v>
      </x:c>
      <x:c r="AD789" s="8" t="str">
        <x:v>No</x:v>
      </x:c>
      <x:c r="AE789" s="8" t="str">
        <x:v>No</x:v>
      </x:c>
      <x:c r="AF789" s="8" t="str">
        <x:v>No</x:v>
      </x:c>
      <x:c r="AG789" s="8" t="str">
        <x:v>No</x:v>
      </x:c>
      <x:c r="AH789" s="8" t="n">
        <x:v>33</x:v>
      </x:c>
      <x:c r="AI789" s="8" t="str">
        <x:v>Canonical source for Language Support row 33</x:v>
      </x:c>
    </x:row>
    <x:row r="790">
      <x:c r="A790" s="8" t="str">
        <x:v>Language Support</x:v>
      </x:c>
      <x:c r="B790" s="8" t="str">
        <x:v>Bulgarian / Balgarski / Български</x:v>
      </x:c>
      <x:c r="C790" s="8" t="str">
        <x:v>Yes</x:v>
      </x:c>
      <x:c r="D790" s="8" t="str">
        <x:v>No</x:v>
      </x:c>
      <x:c r="E790" s="8" t="str">
        <x:v>No</x:v>
      </x:c>
      <x:c r="F790" s="8" t="str">
        <x:v>No</x:v>
      </x:c>
      <x:c r="G790" s="8" t="str">
        <x:v>No</x:v>
      </x:c>
      <x:c r="H790" s="8" t="str">
        <x:v>Yes</x:v>
      </x:c>
      <x:c r="I790" s="8" t="str">
        <x:v>No</x:v>
      </x:c>
      <x:c r="J790" s="8" t="str">
        <x:v>No</x:v>
      </x:c>
      <x:c r="K790" s="8" t="str">
        <x:v>No</x:v>
      </x:c>
      <x:c r="L790" s="8" t="str">
        <x:v>No</x:v>
      </x:c>
      <x:c r="M790" s="8" t="str">
        <x:v>No</x:v>
      </x:c>
      <x:c r="N790" s="8" t="str">
        <x:v>No</x:v>
      </x:c>
      <x:c r="O790" s="8" t="str">
        <x:v>Active translation</x:v>
      </x:c>
      <x:c r="P790" s="8" t="str">
        <x:v>Yes</x:v>
      </x:c>
      <x:c r="Q790" s="8" t="str">
        <x:v>No</x:v>
      </x:c>
      <x:c r="R790" s="8" t="str">
        <x:v>No</x:v>
      </x:c>
      <x:c r="S790" s="8" t="str">
        <x:v>No</x:v>
      </x:c>
      <x:c r="T790" s="8" t="str">
        <x:v>No</x:v>
      </x:c>
      <x:c r="U790" s="8" t="str">
        <x:v>No</x:v>
      </x:c>
      <x:c r="V790" s="8" t="str">
        <x:v>No</x:v>
      </x:c>
      <x:c r="W790" s="8" t="str">
        <x:v>Yes</x:v>
      </x:c>
      <x:c r="X790" s="8" t="str">
        <x:v>No</x:v>
      </x:c>
      <x:c r="Y790" s="8" t="str">
        <x:v>No</x:v>
      </x:c>
      <x:c r="Z790" s="8" t="str">
        <x:v>No</x:v>
      </x:c>
      <x:c r="AA790" s="8" t="str">
        <x:v>No</x:v>
      </x:c>
      <x:c r="AB790" s="8" t="str">
        <x:v>No</x:v>
      </x:c>
      <x:c r="AC790" s="9" t="str">
        <x:v>No</x:v>
      </x:c>
      <x:c r="AD790" s="8" t="str">
        <x:v>No</x:v>
      </x:c>
      <x:c r="AE790" s="8" t="str">
        <x:v>No</x:v>
      </x:c>
      <x:c r="AF790" s="8" t="str">
        <x:v>No</x:v>
      </x:c>
      <x:c r="AG790" s="8" t="str">
        <x:v>No</x:v>
      </x:c>
      <x:c r="AH790" s="8" t="n">
        <x:v>34</x:v>
      </x:c>
      <x:c r="AI790" s="8" t="str">
        <x:v>Canonical source for Language Support row 34</x:v>
      </x:c>
    </x:row>
    <x:row r="791">
      <x:c r="A791" s="8" t="str">
        <x:v>Language Support</x:v>
      </x:c>
      <x:c r="B791" s="8" t="str">
        <x:v>Croatian / Hrvatski / Hrvatski</x:v>
      </x:c>
      <x:c r="C791" s="8" t="str">
        <x:v>Yes</x:v>
      </x:c>
      <x:c r="D791" s="8" t="str">
        <x:v>No</x:v>
      </x:c>
      <x:c r="E791" s="8" t="str">
        <x:v>No</x:v>
      </x:c>
      <x:c r="F791" s="8" t="str">
        <x:v>No</x:v>
      </x:c>
      <x:c r="G791" s="8" t="str">
        <x:v>No</x:v>
      </x:c>
      <x:c r="H791" s="8" t="str">
        <x:v>Yes</x:v>
      </x:c>
      <x:c r="I791" s="8" t="str">
        <x:v>No</x:v>
      </x:c>
      <x:c r="J791" s="8" t="str">
        <x:v>No</x:v>
      </x:c>
      <x:c r="K791" s="8" t="str">
        <x:v>No</x:v>
      </x:c>
      <x:c r="L791" s="8" t="str">
        <x:v>No</x:v>
      </x:c>
      <x:c r="M791" s="8" t="str">
        <x:v>No</x:v>
      </x:c>
      <x:c r="N791" s="8" t="str">
        <x:v>No</x:v>
      </x:c>
      <x:c r="O791" s="8" t="str">
        <x:v>Active translation</x:v>
      </x:c>
      <x:c r="P791" s="8" t="str">
        <x:v>No</x:v>
      </x:c>
      <x:c r="Q791" s="8" t="str">
        <x:v>No</x:v>
      </x:c>
      <x:c r="R791" s="8" t="str">
        <x:v>No</x:v>
      </x:c>
      <x:c r="S791" s="8" t="str">
        <x:v>No</x:v>
      </x:c>
      <x:c r="T791" s="8" t="str">
        <x:v>No</x:v>
      </x:c>
      <x:c r="U791" s="8" t="str">
        <x:v>No</x:v>
      </x:c>
      <x:c r="V791" s="8" t="str">
        <x:v>No</x:v>
      </x:c>
      <x:c r="W791" s="8" t="str">
        <x:v>Yes</x:v>
      </x:c>
      <x:c r="X791" s="8" t="str">
        <x:v>No</x:v>
      </x:c>
      <x:c r="Y791" s="8" t="str">
        <x:v>No</x:v>
      </x:c>
      <x:c r="Z791" s="8" t="str">
        <x:v>No</x:v>
      </x:c>
      <x:c r="AA791" s="8" t="str">
        <x:v>No</x:v>
      </x:c>
      <x:c r="AB791" s="8" t="str">
        <x:v>No</x:v>
      </x:c>
      <x:c r="AC791" s="9" t="str">
        <x:v>No</x:v>
      </x:c>
      <x:c r="AD791" s="8" t="str">
        <x:v>No</x:v>
      </x:c>
      <x:c r="AE791" s="8" t="str">
        <x:v>No</x:v>
      </x:c>
      <x:c r="AF791" s="8" t="str">
        <x:v>No</x:v>
      </x:c>
      <x:c r="AG791" s="8" t="str">
        <x:v>No</x:v>
      </x:c>
      <x:c r="AH791" s="8" t="n">
        <x:v>35</x:v>
      </x:c>
      <x:c r="AI791" s="8" t="str">
        <x:v>Canonical source for Language Support row 35</x:v>
      </x:c>
    </x:row>
    <x:row r="792">
      <x:c r="A792" s="8" t="str">
        <x:v>Language Support</x:v>
      </x:c>
      <x:c r="B792" s="8" t="str">
        <x:v>Serbian / Srpski / Српски</x:v>
      </x:c>
      <x:c r="C792" s="8" t="str">
        <x:v>No</x:v>
      </x:c>
      <x:c r="D792" s="8" t="str">
        <x:v>No</x:v>
      </x:c>
      <x:c r="E792" s="8" t="str">
        <x:v>No</x:v>
      </x:c>
      <x:c r="F792" s="8" t="str">
        <x:v>No</x:v>
      </x:c>
      <x:c r="G792" s="8" t="str">
        <x:v>No</x:v>
      </x:c>
      <x:c r="H792" s="8" t="str">
        <x:v>No</x:v>
      </x:c>
      <x:c r="I792" s="8" t="str">
        <x:v>No</x:v>
      </x:c>
      <x:c r="J792" s="8" t="str">
        <x:v>No</x:v>
      </x:c>
      <x:c r="K792" s="8" t="str">
        <x:v>No</x:v>
      </x:c>
      <x:c r="L792" s="8" t="str">
        <x:v>No</x:v>
      </x:c>
      <x:c r="M792" s="8" t="str">
        <x:v>No</x:v>
      </x:c>
      <x:c r="N792" s="8" t="str">
        <x:v>No</x:v>
      </x:c>
      <x:c r="O792" s="8" t="str">
        <x:v>Active translation</x:v>
      </x:c>
      <x:c r="P792" s="8" t="str">
        <x:v>No</x:v>
      </x:c>
      <x:c r="Q792" s="8" t="str">
        <x:v>No</x:v>
      </x:c>
      <x:c r="R792" s="8" t="str">
        <x:v>No</x:v>
      </x:c>
      <x:c r="S792" s="8" t="str">
        <x:v>No</x:v>
      </x:c>
      <x:c r="T792" s="8" t="str">
        <x:v>No</x:v>
      </x:c>
      <x:c r="U792" s="8" t="str">
        <x:v>No</x:v>
      </x:c>
      <x:c r="V792" s="8" t="str">
        <x:v>No</x:v>
      </x:c>
      <x:c r="W792" s="8" t="str">
        <x:v>Yes</x:v>
      </x:c>
      <x:c r="X792" s="8" t="str">
        <x:v>No</x:v>
      </x:c>
      <x:c r="Y792" s="8" t="str">
        <x:v>No</x:v>
      </x:c>
      <x:c r="Z792" s="8" t="str">
        <x:v>No</x:v>
      </x:c>
      <x:c r="AA792" s="8" t="str">
        <x:v>No</x:v>
      </x:c>
      <x:c r="AB792" s="8" t="str">
        <x:v>No</x:v>
      </x:c>
      <x:c r="AC792" s="9" t="str">
        <x:v>No</x:v>
      </x:c>
      <x:c r="AD792" s="8" t="str">
        <x:v>No</x:v>
      </x:c>
      <x:c r="AE792" s="8" t="str">
        <x:v>No</x:v>
      </x:c>
      <x:c r="AF792" s="8" t="str">
        <x:v>No</x:v>
      </x:c>
      <x:c r="AG792" s="8" t="str">
        <x:v>No</x:v>
      </x:c>
      <x:c r="AH792" s="8" t="n">
        <x:v>36</x:v>
      </x:c>
      <x:c r="AI792" s="8" t="str">
        <x:v>Canonical source for Language Support row 36</x:v>
      </x:c>
    </x:row>
    <x:row r="793">
      <x:c r="A793" s="8" t="str">
        <x:v>Language Support</x:v>
      </x:c>
      <x:c r="B793" s="8" t="str">
        <x:v>Slovak / Slovenčina / Slovenčina</x:v>
      </x:c>
      <x:c r="C793" s="8" t="str">
        <x:v>No</x:v>
      </x:c>
      <x:c r="D793" s="8" t="str">
        <x:v>No</x:v>
      </x:c>
      <x:c r="E793" s="8" t="str">
        <x:v>No</x:v>
      </x:c>
      <x:c r="F793" s="8" t="str">
        <x:v>No</x:v>
      </x:c>
      <x:c r="G793" s="8" t="str">
        <x:v>No</x:v>
      </x:c>
      <x:c r="H793" s="8" t="str">
        <x:v>No</x:v>
      </x:c>
      <x:c r="I793" s="8" t="str">
        <x:v>No</x:v>
      </x:c>
      <x:c r="J793" s="8" t="str">
        <x:v>No</x:v>
      </x:c>
      <x:c r="K793" s="8" t="str">
        <x:v>No</x:v>
      </x:c>
      <x:c r="L793" s="8" t="str">
        <x:v>No</x:v>
      </x:c>
      <x:c r="M793" s="8" t="str">
        <x:v>No</x:v>
      </x:c>
      <x:c r="N793" s="8" t="str">
        <x:v>No</x:v>
      </x:c>
      <x:c r="O793" s="8" t="str">
        <x:v>Active translation</x:v>
      </x:c>
      <x:c r="P793" s="8" t="str">
        <x:v>No</x:v>
      </x:c>
      <x:c r="Q793" s="8" t="str">
        <x:v>No</x:v>
      </x:c>
      <x:c r="R793" s="8" t="str">
        <x:v>No</x:v>
      </x:c>
      <x:c r="S793" s="8" t="str">
        <x:v>No</x:v>
      </x:c>
      <x:c r="T793" s="8" t="str">
        <x:v>No</x:v>
      </x:c>
      <x:c r="U793" s="8" t="str">
        <x:v>No</x:v>
      </x:c>
      <x:c r="V793" s="8" t="str">
        <x:v>No</x:v>
      </x:c>
      <x:c r="W793" s="8" t="str">
        <x:v>Yes</x:v>
      </x:c>
      <x:c r="X793" s="8" t="str">
        <x:v>No</x:v>
      </x:c>
      <x:c r="Y793" s="8" t="str">
        <x:v>No</x:v>
      </x:c>
      <x:c r="Z793" s="8" t="str">
        <x:v>No</x:v>
      </x:c>
      <x:c r="AA793" s="8" t="str">
        <x:v>No</x:v>
      </x:c>
      <x:c r="AB793" s="8" t="str">
        <x:v>No</x:v>
      </x:c>
      <x:c r="AC793" s="9" t="str">
        <x:v>No</x:v>
      </x:c>
      <x:c r="AD793" s="8" t="str">
        <x:v>No</x:v>
      </x:c>
      <x:c r="AE793" s="8" t="str">
        <x:v>No</x:v>
      </x:c>
      <x:c r="AF793" s="8" t="str">
        <x:v>No</x:v>
      </x:c>
      <x:c r="AG793" s="8" t="str">
        <x:v>No</x:v>
      </x:c>
      <x:c r="AH793" s="8" t="n">
        <x:v>37</x:v>
      </x:c>
      <x:c r="AI793" s="8" t="str">
        <x:v>Canonical source for Language Support row 37</x:v>
      </x:c>
    </x:row>
    <x:row r="794">
      <x:c r="A794" s="8" t="str">
        <x:v>Language Support</x:v>
      </x:c>
      <x:c r="B794" s="8" t="str">
        <x:v>Slovenian / Slovenščina / Slovenščina</x:v>
      </x:c>
      <x:c r="C794" s="8" t="str">
        <x:v>No</x:v>
      </x:c>
      <x:c r="D794" s="8" t="str">
        <x:v>No</x:v>
      </x:c>
      <x:c r="E794" s="8" t="str">
        <x:v>No</x:v>
      </x:c>
      <x:c r="F794" s="8" t="str">
        <x:v>No</x:v>
      </x:c>
      <x:c r="G794" s="8" t="str">
        <x:v>No</x:v>
      </x:c>
      <x:c r="H794" s="8" t="str">
        <x:v>No</x:v>
      </x:c>
      <x:c r="I794" s="8" t="str">
        <x:v>No</x:v>
      </x:c>
      <x:c r="J794" s="8" t="str">
        <x:v>No</x:v>
      </x:c>
      <x:c r="K794" s="8" t="str">
        <x:v>No</x:v>
      </x:c>
      <x:c r="L794" s="8" t="str">
        <x:v>No</x:v>
      </x:c>
      <x:c r="M794" s="8" t="str">
        <x:v>No</x:v>
      </x:c>
      <x:c r="N794" s="8" t="str">
        <x:v>No</x:v>
      </x:c>
      <x:c r="O794" s="8" t="str">
        <x:v>Active translation</x:v>
      </x:c>
      <x:c r="P794" s="8" t="str">
        <x:v>No</x:v>
      </x:c>
      <x:c r="Q794" s="8" t="str">
        <x:v>No</x:v>
      </x:c>
      <x:c r="R794" s="8" t="str">
        <x:v>No</x:v>
      </x:c>
      <x:c r="S794" s="8" t="str">
        <x:v>No</x:v>
      </x:c>
      <x:c r="T794" s="8" t="str">
        <x:v>No</x:v>
      </x:c>
      <x:c r="U794" s="8" t="str">
        <x:v>No</x:v>
      </x:c>
      <x:c r="V794" s="8" t="str">
        <x:v>No</x:v>
      </x:c>
      <x:c r="W794" s="8" t="str">
        <x:v>Yes</x:v>
      </x:c>
      <x:c r="X794" s="8" t="str">
        <x:v>No</x:v>
      </x:c>
      <x:c r="Y794" s="8" t="str">
        <x:v>No</x:v>
      </x:c>
      <x:c r="Z794" s="8" t="str">
        <x:v>No</x:v>
      </x:c>
      <x:c r="AA794" s="8" t="str">
        <x:v>No</x:v>
      </x:c>
      <x:c r="AB794" s="8" t="str">
        <x:v>No</x:v>
      </x:c>
      <x:c r="AC794" s="9" t="str">
        <x:v>No</x:v>
      </x:c>
      <x:c r="AD794" s="8" t="str">
        <x:v>No</x:v>
      </x:c>
      <x:c r="AE794" s="8" t="str">
        <x:v>No</x:v>
      </x:c>
      <x:c r="AF794" s="8" t="str">
        <x:v>No</x:v>
      </x:c>
      <x:c r="AG794" s="8" t="str">
        <x:v>No</x:v>
      </x:c>
      <x:c r="AH794" s="8" t="n">
        <x:v>38</x:v>
      </x:c>
      <x:c r="AI794" s="8" t="str">
        <x:v>Canonical source for Language Support row 38</x:v>
      </x:c>
    </x:row>
    <x:row r="795">
      <x:c r="A795" s="8" t="str">
        <x:v>Language Support</x:v>
      </x:c>
      <x:c r="B795" s="8" t="str">
        <x:v>Lithuanian / Lietuvių / Lietuvių</x:v>
      </x:c>
      <x:c r="C795" s="8" t="str">
        <x:v>Yes</x:v>
      </x:c>
      <x:c r="D795" s="8" t="str">
        <x:v>No</x:v>
      </x:c>
      <x:c r="E795" s="8" t="str">
        <x:v>No</x:v>
      </x:c>
      <x:c r="F795" s="8" t="str">
        <x:v>No</x:v>
      </x:c>
      <x:c r="G795" s="8" t="str">
        <x:v>No</x:v>
      </x:c>
      <x:c r="H795" s="8" t="str">
        <x:v>Yes</x:v>
      </x:c>
      <x:c r="I795" s="8" t="str">
        <x:v>No</x:v>
      </x:c>
      <x:c r="J795" s="8" t="str">
        <x:v>No</x:v>
      </x:c>
      <x:c r="K795" s="8" t="str">
        <x:v>No</x:v>
      </x:c>
      <x:c r="L795" s="8" t="str">
        <x:v>No</x:v>
      </x:c>
      <x:c r="M795" s="8" t="str">
        <x:v>No</x:v>
      </x:c>
      <x:c r="N795" s="8" t="str">
        <x:v>No</x:v>
      </x:c>
      <x:c r="O795" s="8" t="str">
        <x:v>Active translation</x:v>
      </x:c>
      <x:c r="P795" s="8" t="str">
        <x:v>No</x:v>
      </x:c>
      <x:c r="Q795" s="8" t="str">
        <x:v>No</x:v>
      </x:c>
      <x:c r="R795" s="8" t="str">
        <x:v>No</x:v>
      </x:c>
      <x:c r="S795" s="8" t="str">
        <x:v>No</x:v>
      </x:c>
      <x:c r="T795" s="8" t="str">
        <x:v>No</x:v>
      </x:c>
      <x:c r="U795" s="8" t="str">
        <x:v>No</x:v>
      </x:c>
      <x:c r="V795" s="8" t="str">
        <x:v>No</x:v>
      </x:c>
      <x:c r="W795" s="8" t="str">
        <x:v>Yes</x:v>
      </x:c>
      <x:c r="X795" s="8" t="str">
        <x:v>No</x:v>
      </x:c>
      <x:c r="Y795" s="8" t="str">
        <x:v>No</x:v>
      </x:c>
      <x:c r="Z795" s="8" t="str">
        <x:v>No</x:v>
      </x:c>
      <x:c r="AA795" s="8" t="str">
        <x:v>No</x:v>
      </x:c>
      <x:c r="AB795" s="8" t="str">
        <x:v>No</x:v>
      </x:c>
      <x:c r="AC795" s="9" t="str">
        <x:v>No</x:v>
      </x:c>
      <x:c r="AD795" s="8" t="str">
        <x:v>No</x:v>
      </x:c>
      <x:c r="AE795" s="8" t="str">
        <x:v>No</x:v>
      </x:c>
      <x:c r="AF795" s="8" t="str">
        <x:v>No</x:v>
      </x:c>
      <x:c r="AG795" s="8" t="str">
        <x:v>No</x:v>
      </x:c>
      <x:c r="AH795" s="8" t="n">
        <x:v>39</x:v>
      </x:c>
      <x:c r="AI795" s="8" t="str">
        <x:v>Canonical source for Language Support row 39</x:v>
      </x:c>
    </x:row>
    <x:row r="796">
      <x:c r="A796" s="8" t="str">
        <x:v>Language Support</x:v>
      </x:c>
      <x:c r="B796" s="8" t="str">
        <x:v>Malay / Bahasa Melayu / Bahasa Melayu</x:v>
      </x:c>
      <x:c r="C796" s="8" t="str">
        <x:v>No</x:v>
      </x:c>
      <x:c r="D796" s="8" t="str">
        <x:v>No</x:v>
      </x:c>
      <x:c r="E796" s="8" t="str">
        <x:v>No</x:v>
      </x:c>
      <x:c r="F796" s="8" t="str">
        <x:v>No</x:v>
      </x:c>
      <x:c r="G796" s="8" t="str">
        <x:v>No</x:v>
      </x:c>
      <x:c r="H796" s="8" t="str">
        <x:v>No</x:v>
      </x:c>
      <x:c r="I796" s="8" t="str">
        <x:v>No</x:v>
      </x:c>
      <x:c r="J796" s="8" t="str">
        <x:v>No</x:v>
      </x:c>
      <x:c r="K796" s="8" t="str">
        <x:v>No</x:v>
      </x:c>
      <x:c r="L796" s="8" t="str">
        <x:v>No</x:v>
      </x:c>
      <x:c r="M796" s="8" t="str">
        <x:v>No</x:v>
      </x:c>
      <x:c r="N796" s="8" t="str">
        <x:v>No</x:v>
      </x:c>
      <x:c r="O796" s="8" t="str">
        <x:v>No</x:v>
      </x:c>
      <x:c r="P796" s="8" t="str">
        <x:v>No</x:v>
      </x:c>
      <x:c r="Q796" s="8" t="str">
        <x:v>No</x:v>
      </x:c>
      <x:c r="R796" s="8" t="str">
        <x:v>No</x:v>
      </x:c>
      <x:c r="S796" s="8" t="str">
        <x:v>No</x:v>
      </x:c>
      <x:c r="T796" s="8" t="str">
        <x:v>No</x:v>
      </x:c>
      <x:c r="U796" s="8" t="str">
        <x:v>No</x:v>
      </x:c>
      <x:c r="V796" s="8" t="str">
        <x:v>No</x:v>
      </x:c>
      <x:c r="W796" s="8" t="str">
        <x:v>Yes</x:v>
      </x:c>
      <x:c r="X796" s="8" t="str">
        <x:v>No</x:v>
      </x:c>
      <x:c r="Y796" s="8" t="str">
        <x:v>No</x:v>
      </x:c>
      <x:c r="Z796" s="8" t="str">
        <x:v>No</x:v>
      </x:c>
      <x:c r="AA796" s="8" t="str">
        <x:v>No</x:v>
      </x:c>
      <x:c r="AB796" s="8" t="str">
        <x:v>No</x:v>
      </x:c>
      <x:c r="AC796" s="9" t="str">
        <x:v>No</x:v>
      </x:c>
      <x:c r="AD796" s="8" t="str">
        <x:v>No</x:v>
      </x:c>
      <x:c r="AE796" s="8" t="str">
        <x:v>No</x:v>
      </x:c>
      <x:c r="AF796" s="8" t="str">
        <x:v>No</x:v>
      </x:c>
      <x:c r="AG796" s="8" t="str">
        <x:v>No</x:v>
      </x:c>
      <x:c r="AH796" s="8" t="n">
        <x:v>40</x:v>
      </x:c>
      <x:c r="AI796" s="8" t="str">
        <x:v>Canonical source for Language Support row 40</x:v>
      </x:c>
    </x:row>
    <x:row r="797">
      <x:c r="A797" s="8" t="str">
        <x:v>Language Support</x:v>
      </x:c>
      <x:c r="B797" s="8" t="str">
        <x:v>Catalan / Català / Català</x:v>
      </x:c>
      <x:c r="C797" s="8" t="str">
        <x:v>No</x:v>
      </x:c>
      <x:c r="D797" s="8" t="str">
        <x:v>No</x:v>
      </x:c>
      <x:c r="E797" s="8" t="str">
        <x:v>No</x:v>
      </x:c>
      <x:c r="F797" s="8" t="str">
        <x:v>No</x:v>
      </x:c>
      <x:c r="G797" s="8" t="str">
        <x:v>No</x:v>
      </x:c>
      <x:c r="H797" s="8" t="str">
        <x:v>No</x:v>
      </x:c>
      <x:c r="I797" s="8" t="str">
        <x:v>No</x:v>
      </x:c>
      <x:c r="J797" s="8" t="str">
        <x:v>No</x:v>
      </x:c>
      <x:c r="K797" s="8" t="str">
        <x:v>No</x:v>
      </x:c>
      <x:c r="L797" s="8" t="str">
        <x:v>No</x:v>
      </x:c>
      <x:c r="M797" s="8" t="str">
        <x:v>No</x:v>
      </x:c>
      <x:c r="N797" s="8" t="str">
        <x:v>No</x:v>
      </x:c>
      <x:c r="O797" s="8" t="str">
        <x:v>Active translation</x:v>
      </x:c>
      <x:c r="P797" s="8" t="str">
        <x:v>No</x:v>
      </x:c>
      <x:c r="Q797" s="8" t="str">
        <x:v>No</x:v>
      </x:c>
      <x:c r="R797" s="8" t="str">
        <x:v>No</x:v>
      </x:c>
      <x:c r="S797" s="8" t="str">
        <x:v>No</x:v>
      </x:c>
      <x:c r="T797" s="8" t="str">
        <x:v>No</x:v>
      </x:c>
      <x:c r="U797" s="8" t="str">
        <x:v>No</x:v>
      </x:c>
      <x:c r="V797" s="8" t="str">
        <x:v>No</x:v>
      </x:c>
      <x:c r="W797" s="8" t="str">
        <x:v>Yes</x:v>
      </x:c>
      <x:c r="X797" s="8" t="str">
        <x:v>No</x:v>
      </x:c>
      <x:c r="Y797" s="8" t="str">
        <x:v>No</x:v>
      </x:c>
      <x:c r="Z797" s="8" t="str">
        <x:v>No</x:v>
      </x:c>
      <x:c r="AA797" s="8" t="str">
        <x:v>No</x:v>
      </x:c>
      <x:c r="AB797" s="8" t="str">
        <x:v>No</x:v>
      </x:c>
      <x:c r="AC797" s="9" t="str">
        <x:v>No</x:v>
      </x:c>
      <x:c r="AD797" s="8" t="str">
        <x:v>No</x:v>
      </x:c>
      <x:c r="AE797" s="8" t="str">
        <x:v>No</x:v>
      </x:c>
      <x:c r="AF797" s="8" t="str">
        <x:v>No</x:v>
      </x:c>
      <x:c r="AG797" s="8" t="str">
        <x:v>No</x:v>
      </x:c>
      <x:c r="AH797" s="8" t="n">
        <x:v>41</x:v>
      </x:c>
      <x:c r="AI797" s="8" t="str">
        <x:v>Canonical source for Language Support row 41</x:v>
      </x:c>
    </x:row>
    <x:row r="798">
      <x:c r="A798" s="8" t="str">
        <x:v>Language Support</x:v>
      </x:c>
      <x:c r="B798" s="8" t="str">
        <x:v>Estonian / Eesti / Eesti</x:v>
      </x:c>
      <x:c r="C798" s="8" t="str">
        <x:v>No</x:v>
      </x:c>
      <x:c r="D798" s="8" t="str">
        <x:v>No</x:v>
      </x:c>
      <x:c r="E798" s="8" t="str">
        <x:v>No</x:v>
      </x:c>
      <x:c r="F798" s="8" t="str">
        <x:v>No</x:v>
      </x:c>
      <x:c r="G798" s="8" t="str">
        <x:v>No</x:v>
      </x:c>
      <x:c r="H798" s="8" t="str">
        <x:v>No</x:v>
      </x:c>
      <x:c r="I798" s="8" t="str">
        <x:v>No</x:v>
      </x:c>
      <x:c r="J798" s="8" t="str">
        <x:v>No</x:v>
      </x:c>
      <x:c r="K798" s="8" t="str">
        <x:v>No</x:v>
      </x:c>
      <x:c r="L798" s="8" t="str">
        <x:v>No</x:v>
      </x:c>
      <x:c r="M798" s="8" t="str">
        <x:v>No</x:v>
      </x:c>
      <x:c r="N798" s="8" t="str">
        <x:v>No</x:v>
      </x:c>
      <x:c r="O798" s="8" t="str">
        <x:v>Active translation</x:v>
      </x:c>
      <x:c r="P798" s="8" t="str">
        <x:v>No</x:v>
      </x:c>
      <x:c r="Q798" s="8" t="str">
        <x:v>No</x:v>
      </x:c>
      <x:c r="R798" s="8" t="str">
        <x:v>No</x:v>
      </x:c>
      <x:c r="S798" s="8" t="str">
        <x:v>No</x:v>
      </x:c>
      <x:c r="T798" s="8" t="str">
        <x:v>No</x:v>
      </x:c>
      <x:c r="U798" s="8" t="str">
        <x:v>No</x:v>
      </x:c>
      <x:c r="V798" s="8" t="str">
        <x:v>No</x:v>
      </x:c>
      <x:c r="W798" s="8" t="str">
        <x:v>Yes</x:v>
      </x:c>
      <x:c r="X798" s="8" t="str">
        <x:v>No</x:v>
      </x:c>
      <x:c r="Y798" s="8" t="str">
        <x:v>No</x:v>
      </x:c>
      <x:c r="Z798" s="8" t="str">
        <x:v>No</x:v>
      </x:c>
      <x:c r="AA798" s="8" t="str">
        <x:v>No</x:v>
      </x:c>
      <x:c r="AB798" s="8" t="str">
        <x:v>No</x:v>
      </x:c>
      <x:c r="AC798" s="9" t="str">
        <x:v>No</x:v>
      </x:c>
      <x:c r="AD798" s="8" t="str">
        <x:v>No</x:v>
      </x:c>
      <x:c r="AE798" s="8" t="str">
        <x:v>No</x:v>
      </x:c>
      <x:c r="AF798" s="8" t="str">
        <x:v>No</x:v>
      </x:c>
      <x:c r="AG798" s="8" t="str">
        <x:v>No</x:v>
      </x:c>
      <x:c r="AH798" s="8" t="n">
        <x:v>42</x:v>
      </x:c>
      <x:c r="AI798" s="8" t="str">
        <x:v>Canonical source for Language Support row 42</x:v>
      </x:c>
    </x:row>
    <x:row r="799">
      <x:c r="A799" s="8" t="str">
        <x:v>Language Support</x:v>
      </x:c>
      <x:c r="B799" s="8" t="str">
        <x:v>Latvian / Latviešu / Latviešu</x:v>
      </x:c>
      <x:c r="C799" s="8" t="str">
        <x:v>No</x:v>
      </x:c>
      <x:c r="D799" s="8" t="str">
        <x:v>No</x:v>
      </x:c>
      <x:c r="E799" s="8" t="str">
        <x:v>No</x:v>
      </x:c>
      <x:c r="F799" s="8" t="str">
        <x:v>No</x:v>
      </x:c>
      <x:c r="G799" s="8" t="str">
        <x:v>No</x:v>
      </x:c>
      <x:c r="H799" s="8" t="str">
        <x:v>No</x:v>
      </x:c>
      <x:c r="I799" s="8" t="str">
        <x:v>No</x:v>
      </x:c>
      <x:c r="J799" s="8" t="str">
        <x:v>No</x:v>
      </x:c>
      <x:c r="K799" s="8" t="str">
        <x:v>No</x:v>
      </x:c>
      <x:c r="L799" s="8" t="str">
        <x:v>No</x:v>
      </x:c>
      <x:c r="M799" s="8" t="str">
        <x:v>No</x:v>
      </x:c>
      <x:c r="N799" s="8" t="str">
        <x:v>No</x:v>
      </x:c>
      <x:c r="O799" s="8" t="str">
        <x:v>Active translation</x:v>
      </x:c>
      <x:c r="P799" s="8" t="str">
        <x:v>No</x:v>
      </x:c>
      <x:c r="Q799" s="8" t="str">
        <x:v>No</x:v>
      </x:c>
      <x:c r="R799" s="8" t="str">
        <x:v>No</x:v>
      </x:c>
      <x:c r="S799" s="8" t="str">
        <x:v>No</x:v>
      </x:c>
      <x:c r="T799" s="8" t="str">
        <x:v>No</x:v>
      </x:c>
      <x:c r="U799" s="8" t="str">
        <x:v>No</x:v>
      </x:c>
      <x:c r="V799" s="8" t="str">
        <x:v>No</x:v>
      </x:c>
      <x:c r="W799" s="8" t="str">
        <x:v>Yes</x:v>
      </x:c>
      <x:c r="X799" s="8" t="str">
        <x:v>No</x:v>
      </x:c>
      <x:c r="Y799" s="8" t="str">
        <x:v>No</x:v>
      </x:c>
      <x:c r="Z799" s="8" t="str">
        <x:v>No</x:v>
      </x:c>
      <x:c r="AA799" s="8" t="str">
        <x:v>No</x:v>
      </x:c>
      <x:c r="AB799" s="8" t="str">
        <x:v>No</x:v>
      </x:c>
      <x:c r="AC799" s="9" t="str">
        <x:v>No</x:v>
      </x:c>
      <x:c r="AD799" s="8" t="str">
        <x:v>No</x:v>
      </x:c>
      <x:c r="AE799" s="8" t="str">
        <x:v>No</x:v>
      </x:c>
      <x:c r="AF799" s="8" t="str">
        <x:v>No</x:v>
      </x:c>
      <x:c r="AG799" s="8" t="str">
        <x:v>No</x:v>
      </x:c>
      <x:c r="AH799" s="8" t="n">
        <x:v>43</x:v>
      </x:c>
      <x:c r="AI799" s="8" t="str">
        <x:v>Canonical source for Language Support row 43</x:v>
      </x:c>
    </x:row>
    <x:row r="800">
      <x:c r="A800" s="8" t="str">
        <x:v>Language Support</x:v>
      </x:c>
      <x:c r="B800" s="8" t="str">
        <x:v>Tamil / Tamil / தமிழ்</x:v>
      </x:c>
      <x:c r="C800" s="8" t="str">
        <x:v>No</x:v>
      </x:c>
      <x:c r="D800" s="8" t="str">
        <x:v>No</x:v>
      </x:c>
      <x:c r="E800" s="8" t="str">
        <x:v>No</x:v>
      </x:c>
      <x:c r="F800" s="8" t="str">
        <x:v>No</x:v>
      </x:c>
      <x:c r="G800" s="8" t="str">
        <x:v>No</x:v>
      </x:c>
      <x:c r="H800" s="8" t="str">
        <x:v>No</x:v>
      </x:c>
      <x:c r="I800" s="8" t="str">
        <x:v>No</x:v>
      </x:c>
      <x:c r="J800" s="8" t="str">
        <x:v>No</x:v>
      </x:c>
      <x:c r="K800" s="8" t="str">
        <x:v>No</x:v>
      </x:c>
      <x:c r="L800" s="8" t="str">
        <x:v>No</x:v>
      </x:c>
      <x:c r="M800" s="8" t="str">
        <x:v>No</x:v>
      </x:c>
      <x:c r="N800" s="8" t="str">
        <x:v>No</x:v>
      </x:c>
      <x:c r="O800" s="8" t="str">
        <x:v>Active translation</x:v>
      </x:c>
      <x:c r="P800" s="8" t="str">
        <x:v>No</x:v>
      </x:c>
      <x:c r="Q800" s="8" t="str">
        <x:v>No</x:v>
      </x:c>
      <x:c r="R800" s="8" t="str">
        <x:v>No</x:v>
      </x:c>
      <x:c r="S800" s="8" t="str">
        <x:v>No</x:v>
      </x:c>
      <x:c r="T800" s="8" t="str">
        <x:v>No</x:v>
      </x:c>
      <x:c r="U800" s="8" t="str">
        <x:v>No</x:v>
      </x:c>
      <x:c r="V800" s="8" t="str">
        <x:v>No</x:v>
      </x:c>
      <x:c r="W800" s="8" t="str">
        <x:v>Yes</x:v>
      </x:c>
      <x:c r="X800" s="8" t="str">
        <x:v>No</x:v>
      </x:c>
      <x:c r="Y800" s="8" t="str">
        <x:v>No</x:v>
      </x:c>
      <x:c r="Z800" s="8" t="str">
        <x:v>No</x:v>
      </x:c>
      <x:c r="AA800" s="8" t="str">
        <x:v>No</x:v>
      </x:c>
      <x:c r="AB800" s="8" t="str">
        <x:v>No</x:v>
      </x:c>
      <x:c r="AC800" s="9" t="str">
        <x:v>No</x:v>
      </x:c>
      <x:c r="AD800" s="8" t="str">
        <x:v>No</x:v>
      </x:c>
      <x:c r="AE800" s="8" t="str">
        <x:v>No</x:v>
      </x:c>
      <x:c r="AF800" s="8" t="str">
        <x:v>No</x:v>
      </x:c>
      <x:c r="AG800" s="8" t="str">
        <x:v>No</x:v>
      </x:c>
      <x:c r="AH800" s="8" t="n">
        <x:v>44</x:v>
      </x:c>
      <x:c r="AI800" s="8" t="str">
        <x:v>Canonical source for Language Support row 44</x:v>
      </x:c>
    </x:row>
    <x:row r="801">
      <x:c r="A801" s="8" t="str">
        <x:v>Language Support</x:v>
      </x:c>
      <x:c r="B801" s="8" t="str">
        <x:v>Urdu / Urdu / اردو</x:v>
      </x:c>
      <x:c r="C801" s="8" t="str">
        <x:v>No</x:v>
      </x:c>
      <x:c r="D801" s="8" t="str">
        <x:v>No</x:v>
      </x:c>
      <x:c r="E801" s="8" t="str">
        <x:v>No</x:v>
      </x:c>
      <x:c r="F801" s="8" t="str">
        <x:v>No</x:v>
      </x:c>
      <x:c r="G801" s="8" t="str">
        <x:v>No</x:v>
      </x:c>
      <x:c r="H801" s="8" t="str">
        <x:v>No</x:v>
      </x:c>
      <x:c r="I801" s="8" t="str">
        <x:v>No</x:v>
      </x:c>
      <x:c r="J801" s="8" t="str">
        <x:v>No</x:v>
      </x:c>
      <x:c r="K801" s="8" t="str">
        <x:v>No</x:v>
      </x:c>
      <x:c r="L801" s="8" t="str">
        <x:v>No</x:v>
      </x:c>
      <x:c r="M801" s="8" t="str">
        <x:v>No</x:v>
      </x:c>
      <x:c r="N801" s="8" t="str">
        <x:v>No</x:v>
      </x:c>
      <x:c r="O801" s="8" t="str">
        <x:v>Active translation</x:v>
      </x:c>
      <x:c r="P801" s="8" t="str">
        <x:v>No</x:v>
      </x:c>
      <x:c r="Q801" s="8" t="str">
        <x:v>No</x:v>
      </x:c>
      <x:c r="R801" s="8" t="str">
        <x:v>No</x:v>
      </x:c>
      <x:c r="S801" s="8" t="str">
        <x:v>No</x:v>
      </x:c>
      <x:c r="T801" s="8" t="str">
        <x:v>No</x:v>
      </x:c>
      <x:c r="U801" s="8" t="str">
        <x:v>No</x:v>
      </x:c>
      <x:c r="V801" s="8" t="str">
        <x:v>No</x:v>
      </x:c>
      <x:c r="W801" s="8" t="str">
        <x:v>No</x:v>
      </x:c>
      <x:c r="X801" s="8" t="str">
        <x:v>No</x:v>
      </x:c>
      <x:c r="Y801" s="8" t="str">
        <x:v>No</x:v>
      </x:c>
      <x:c r="Z801" s="8" t="str">
        <x:v>No</x:v>
      </x:c>
      <x:c r="AA801" s="8" t="str">
        <x:v>No</x:v>
      </x:c>
      <x:c r="AB801" s="8" t="str">
        <x:v>No</x:v>
      </x:c>
      <x:c r="AC801" s="9" t="str">
        <x:v>No</x:v>
      </x:c>
      <x:c r="AD801" s="8" t="str">
        <x:v>No</x:v>
      </x:c>
      <x:c r="AE801" s="8" t="str">
        <x:v>No</x:v>
      </x:c>
      <x:c r="AF801" s="8" t="str">
        <x:v>No</x:v>
      </x:c>
      <x:c r="AG801" s="8" t="str">
        <x:v>No</x:v>
      </x:c>
      <x:c r="AH801" s="8" t="n">
        <x:v>45</x:v>
      </x:c>
      <x:c r="AI801" s="8" t="str">
        <x:v>Canonical source for Language Support row 45</x:v>
      </x:c>
    </x:row>
    <x:row r="802">
      <x:c r="A802" s="8" t="str">
        <x:v>Language Support</x:v>
      </x:c>
      <x:c r="B802" s="8" t="str">
        <x:v>Filipino / Filipino / Filipino</x:v>
      </x:c>
      <x:c r="C802" s="8" t="str">
        <x:v>No</x:v>
      </x:c>
      <x:c r="D802" s="8" t="str">
        <x:v>No</x:v>
      </x:c>
      <x:c r="E802" s="8" t="str">
        <x:v>No</x:v>
      </x:c>
      <x:c r="F802" s="8" t="str">
        <x:v>No</x:v>
      </x:c>
      <x:c r="G802" s="8" t="str">
        <x:v>No</x:v>
      </x:c>
      <x:c r="H802" s="8" t="str">
        <x:v>No</x:v>
      </x:c>
      <x:c r="I802" s="8" t="str">
        <x:v>No</x:v>
      </x:c>
      <x:c r="J802" s="8" t="str">
        <x:v>No</x:v>
      </x:c>
      <x:c r="K802" s="8" t="str">
        <x:v>No</x:v>
      </x:c>
      <x:c r="L802" s="8" t="str">
        <x:v>No</x:v>
      </x:c>
      <x:c r="M802" s="8" t="str">
        <x:v>No</x:v>
      </x:c>
      <x:c r="N802" s="8" t="str">
        <x:v>No</x:v>
      </x:c>
      <x:c r="O802" s="8" t="str">
        <x:v>No</x:v>
      </x:c>
      <x:c r="P802" s="8" t="str">
        <x:v>No</x:v>
      </x:c>
      <x:c r="Q802" s="8" t="str">
        <x:v>No</x:v>
      </x:c>
      <x:c r="R802" s="8" t="str">
        <x:v>No</x:v>
      </x:c>
      <x:c r="S802" s="8" t="str">
        <x:v>No</x:v>
      </x:c>
      <x:c r="T802" s="8" t="str">
        <x:v>No</x:v>
      </x:c>
      <x:c r="U802" s="8" t="str">
        <x:v>No</x:v>
      </x:c>
      <x:c r="V802" s="8" t="str">
        <x:v>No</x:v>
      </x:c>
      <x:c r="W802" s="8" t="str">
        <x:v>No</x:v>
      </x:c>
      <x:c r="X802" s="8" t="str">
        <x:v>No</x:v>
      </x:c>
      <x:c r="Y802" s="8" t="str">
        <x:v>No</x:v>
      </x:c>
      <x:c r="Z802" s="8" t="str">
        <x:v>No</x:v>
      </x:c>
      <x:c r="AA802" s="8" t="str">
        <x:v>No</x:v>
      </x:c>
      <x:c r="AB802" s="8" t="str">
        <x:v>No</x:v>
      </x:c>
      <x:c r="AC802" s="9" t="str">
        <x:v>No</x:v>
      </x:c>
      <x:c r="AD802" s="8" t="str">
        <x:v>No</x:v>
      </x:c>
      <x:c r="AE802" s="8" t="str">
        <x:v>No</x:v>
      </x:c>
      <x:c r="AF802" s="8" t="str">
        <x:v>No</x:v>
      </x:c>
      <x:c r="AG802" s="8" t="str">
        <x:v>No</x:v>
      </x:c>
      <x:c r="AH802" s="8" t="n">
        <x:v>46</x:v>
      </x:c>
      <x:c r="AI802" s="8" t="str">
        <x:v>Canonical source for Language Support row 46</x:v>
      </x:c>
    </x:row>
    <x:row r="803">
      <x:c r="A803" s="8"/>
      <x:c r="B803" s="8"/>
      <x:c r="C803" s="8"/>
      <x:c r="D803" s="8"/>
      <x:c r="E803" s="8"/>
      <x:c r="F803" s="8"/>
      <x:c r="G803" s="8"/>
      <x:c r="H803" s="8"/>
      <x:c r="I803" s="8"/>
      <x:c r="J803" s="8"/>
      <x:c r="K803" s="8"/>
      <x:c r="L803" s="8"/>
      <x:c r="M803" s="8"/>
      <x:c r="N803" s="8"/>
      <x:c r="O803" s="8"/>
      <x:c r="P803" s="8"/>
      <x:c r="Q803" s="8"/>
      <x:c r="R803" s="8"/>
      <x:c r="S803" s="8"/>
      <x:c r="T803" s="8"/>
      <x:c r="U803" s="8"/>
      <x:c r="V803" s="8"/>
      <x:c r="W803" s="8"/>
      <x:c r="X803" s="8"/>
      <x:c r="Y803" s="8"/>
      <x:c r="Z803" s="8"/>
      <x:c r="AA803" s="8"/>
      <x:c r="AB803" s="8"/>
      <x:c r="AC803" s="9"/>
      <x:c r="AD803" s="8"/>
      <x:c r="AE803" s="8"/>
      <x:c r="AF803" s="8"/>
      <x:c r="AG803" s="8"/>
      <x:c r="AH803" s="8"/>
      <x:c r="AI803" s="8"/>
    </x:row>
    <x:row r="804">
      <x:c r="A804" s="8"/>
      <x:c r="B804" s="8"/>
      <x:c r="C804" s="8"/>
      <x:c r="D804" s="8"/>
      <x:c r="E804" s="8"/>
      <x:c r="F804" s="8"/>
      <x:c r="G804" s="8"/>
      <x:c r="H804" s="8"/>
      <x:c r="I804" s="8"/>
      <x:c r="J804" s="8"/>
      <x:c r="K804" s="8"/>
      <x:c r="L804" s="8"/>
      <x:c r="M804" s="8"/>
      <x:c r="N804" s="8"/>
      <x:c r="O804" s="8"/>
      <x:c r="P804" s="8"/>
      <x:c r="Q804" s="8"/>
      <x:c r="R804" s="8"/>
      <x:c r="S804" s="8"/>
      <x:c r="T804" s="8"/>
      <x:c r="U804" s="8"/>
      <x:c r="V804" s="8"/>
      <x:c r="W804" s="8"/>
      <x:c r="X804" s="8"/>
      <x:c r="Y804" s="8"/>
      <x:c r="Z804" s="8"/>
      <x:c r="AA804" s="8"/>
      <x:c r="AB804" s="8"/>
      <x:c r="AC804" s="9"/>
      <x:c r="AD804" s="8"/>
      <x:c r="AE804" s="8"/>
      <x:c r="AF804" s="8"/>
      <x:c r="AG804" s="8"/>
      <x:c r="AH804" s="8"/>
      <x:c r="AI804" s="8"/>
    </x:row>
    <x:row r="805">
      <x:c r="A805" s="8"/>
      <x:c r="B805" s="8"/>
      <x:c r="C805" s="8"/>
      <x:c r="D805" s="8"/>
      <x:c r="E805" s="8"/>
      <x:c r="F805" s="8"/>
      <x:c r="G805" s="8"/>
      <x:c r="H805" s="8"/>
      <x:c r="I805" s="8"/>
      <x:c r="J805" s="8"/>
      <x:c r="K805" s="8"/>
      <x:c r="L805" s="8"/>
      <x:c r="M805" s="8"/>
      <x:c r="N805" s="8"/>
      <x:c r="O805" s="8"/>
      <x:c r="P805" s="8"/>
      <x:c r="Q805" s="8"/>
      <x:c r="R805" s="8"/>
      <x:c r="S805" s="8"/>
      <x:c r="T805" s="8"/>
      <x:c r="U805" s="8"/>
      <x:c r="V805" s="8"/>
      <x:c r="W805" s="8"/>
      <x:c r="X805" s="8"/>
      <x:c r="Y805" s="8"/>
      <x:c r="Z805" s="8"/>
      <x:c r="AA805" s="8"/>
      <x:c r="AB805" s="8"/>
      <x:c r="AC805" s="9"/>
      <x:c r="AD805" s="8"/>
      <x:c r="AE805" s="8"/>
      <x:c r="AF805" s="8"/>
      <x:c r="AG805" s="8"/>
      <x:c r="AH805" s="8"/>
      <x:c r="AI805" s="8"/>
    </x:row>
    <x:row r="806">
      <x:c r="A806" s="8"/>
      <x:c r="B806" s="8"/>
      <x:c r="C806" s="8"/>
      <x:c r="D806" s="8"/>
      <x:c r="E806" s="8"/>
      <x:c r="F806" s="8"/>
      <x:c r="G806" s="8"/>
      <x:c r="H806" s="8"/>
      <x:c r="I806" s="8"/>
      <x:c r="J806" s="8"/>
      <x:c r="K806" s="8"/>
      <x:c r="L806" s="8"/>
      <x:c r="M806" s="8"/>
      <x:c r="N806" s="8"/>
      <x:c r="O806" s="8"/>
      <x:c r="P806" s="8"/>
      <x:c r="Q806" s="8"/>
      <x:c r="R806" s="8"/>
      <x:c r="S806" s="8"/>
      <x:c r="T806" s="8"/>
      <x:c r="U806" s="8"/>
      <x:c r="V806" s="8"/>
      <x:c r="W806" s="8"/>
      <x:c r="X806" s="8"/>
      <x:c r="Y806" s="8"/>
      <x:c r="Z806" s="8"/>
      <x:c r="AA806" s="8"/>
      <x:c r="AB806" s="8"/>
      <x:c r="AC806" s="9"/>
      <x:c r="AD806" s="8"/>
      <x:c r="AE806" s="8"/>
      <x:c r="AF806" s="8"/>
      <x:c r="AG806" s="8"/>
      <x:c r="AH806" s="8"/>
      <x:c r="AI806" s="8"/>
    </x:row>
    <x:row r="807">
      <x:c r="A807" s="8"/>
      <x:c r="B807" s="8"/>
      <x:c r="C807" s="8"/>
      <x:c r="D807" s="8"/>
      <x:c r="E807" s="8"/>
      <x:c r="F807" s="8"/>
      <x:c r="G807" s="8"/>
      <x:c r="H807" s="8"/>
      <x:c r="I807" s="8"/>
      <x:c r="J807" s="8"/>
      <x:c r="K807" s="8"/>
      <x:c r="L807" s="8"/>
      <x:c r="M807" s="8"/>
      <x:c r="N807" s="8"/>
      <x:c r="O807" s="8"/>
      <x:c r="P807" s="8"/>
      <x:c r="Q807" s="8"/>
      <x:c r="R807" s="8"/>
      <x:c r="S807" s="8"/>
      <x:c r="T807" s="8"/>
      <x:c r="U807" s="8"/>
      <x:c r="V807" s="8"/>
      <x:c r="W807" s="8"/>
      <x:c r="X807" s="8"/>
      <x:c r="Y807" s="8"/>
      <x:c r="Z807" s="8"/>
      <x:c r="AA807" s="8"/>
      <x:c r="AB807" s="8"/>
      <x:c r="AC807" s="9"/>
      <x:c r="AD807" s="8"/>
      <x:c r="AE807" s="8"/>
      <x:c r="AF807" s="8"/>
      <x:c r="AG807" s="8"/>
      <x:c r="AH807" s="8"/>
      <x:c r="AI807" s="8"/>
    </x:row>
    <x:row r="808">
      <x:c r="A808" s="8"/>
      <x:c r="B808" s="8"/>
      <x:c r="C808" s="8"/>
      <x:c r="D808" s="8"/>
      <x:c r="E808" s="8"/>
      <x:c r="F808" s="8"/>
      <x:c r="G808" s="8"/>
      <x:c r="H808" s="8"/>
      <x:c r="I808" s="8"/>
      <x:c r="J808" s="8"/>
      <x:c r="K808" s="8"/>
      <x:c r="L808" s="8"/>
      <x:c r="M808" s="8"/>
      <x:c r="N808" s="8"/>
      <x:c r="O808" s="8"/>
      <x:c r="P808" s="8"/>
      <x:c r="Q808" s="8"/>
      <x:c r="R808" s="8"/>
      <x:c r="S808" s="8"/>
      <x:c r="T808" s="8"/>
      <x:c r="U808" s="8"/>
      <x:c r="V808" s="8"/>
      <x:c r="W808" s="8"/>
      <x:c r="X808" s="8"/>
      <x:c r="Y808" s="8"/>
      <x:c r="Z808" s="8"/>
      <x:c r="AA808" s="8"/>
      <x:c r="AB808" s="8"/>
      <x:c r="AC808" s="9"/>
      <x:c r="AD808" s="8"/>
      <x:c r="AE808" s="8"/>
      <x:c r="AF808" s="8"/>
      <x:c r="AG808" s="8"/>
      <x:c r="AH808" s="8"/>
      <x:c r="AI808" s="8"/>
    </x:row>
    <x:row r="809">
      <x:c r="A809" s="8"/>
      <x:c r="B809" s="8"/>
      <x:c r="C809" s="8"/>
      <x:c r="D809" s="8"/>
      <x:c r="E809" s="8"/>
      <x:c r="F809" s="8"/>
      <x:c r="G809" s="8"/>
      <x:c r="H809" s="8"/>
      <x:c r="I809" s="8"/>
      <x:c r="J809" s="8"/>
      <x:c r="K809" s="8"/>
      <x:c r="L809" s="8"/>
      <x:c r="M809" s="8"/>
      <x:c r="N809" s="8"/>
      <x:c r="O809" s="8"/>
      <x:c r="P809" s="8"/>
      <x:c r="Q809" s="8"/>
      <x:c r="R809" s="8"/>
      <x:c r="S809" s="8"/>
      <x:c r="T809" s="8"/>
      <x:c r="U809" s="8"/>
      <x:c r="V809" s="8"/>
      <x:c r="W809" s="8"/>
      <x:c r="X809" s="8"/>
      <x:c r="Y809" s="8"/>
      <x:c r="Z809" s="8"/>
      <x:c r="AA809" s="8"/>
      <x:c r="AB809" s="8"/>
      <x:c r="AC809" s="9"/>
      <x:c r="AD809" s="8"/>
      <x:c r="AE809" s="8"/>
      <x:c r="AF809" s="8"/>
      <x:c r="AG809" s="8"/>
      <x:c r="AH809" s="8"/>
      <x:c r="AI809" s="8"/>
    </x:row>
    <x:row r="810">
      <x:c r="A810" s="8"/>
      <x:c r="B810" s="8"/>
      <x:c r="C810" s="8"/>
      <x:c r="D810" s="8"/>
      <x:c r="E810" s="8"/>
      <x:c r="F810" s="8"/>
      <x:c r="G810" s="8"/>
      <x:c r="H810" s="8"/>
      <x:c r="I810" s="8"/>
      <x:c r="J810" s="8"/>
      <x:c r="K810" s="8"/>
      <x:c r="L810" s="8"/>
      <x:c r="M810" s="8"/>
      <x:c r="N810" s="8"/>
      <x:c r="O810" s="8"/>
      <x:c r="P810" s="8"/>
      <x:c r="Q810" s="8"/>
      <x:c r="R810" s="8"/>
      <x:c r="S810" s="8"/>
      <x:c r="T810" s="8"/>
      <x:c r="U810" s="8"/>
      <x:c r="V810" s="8"/>
      <x:c r="W810" s="8"/>
      <x:c r="X810" s="8"/>
      <x:c r="Y810" s="8"/>
      <x:c r="Z810" s="8"/>
      <x:c r="AA810" s="8"/>
      <x:c r="AB810" s="8"/>
      <x:c r="AC810" s="9"/>
      <x:c r="AD810" s="8"/>
      <x:c r="AE810" s="8"/>
      <x:c r="AF810" s="8"/>
      <x:c r="AG810" s="8"/>
      <x:c r="AH810" s="8"/>
      <x:c r="AI810" s="8"/>
    </x:row>
    <x:row r="811">
      <x:c r="A811" s="8"/>
      <x:c r="B811" s="8"/>
      <x:c r="C811" s="8"/>
      <x:c r="D811" s="8"/>
      <x:c r="E811" s="8"/>
      <x:c r="F811" s="8"/>
      <x:c r="G811" s="8"/>
      <x:c r="H811" s="8"/>
      <x:c r="I811" s="8"/>
      <x:c r="J811" s="8"/>
      <x:c r="K811" s="8"/>
      <x:c r="L811" s="8"/>
      <x:c r="M811" s="8"/>
      <x:c r="N811" s="8"/>
      <x:c r="O811" s="8"/>
      <x:c r="P811" s="8"/>
      <x:c r="Q811" s="8"/>
      <x:c r="R811" s="8"/>
      <x:c r="S811" s="8"/>
      <x:c r="T811" s="8"/>
      <x:c r="U811" s="8"/>
      <x:c r="V811" s="8"/>
      <x:c r="W811" s="8"/>
      <x:c r="X811" s="8"/>
      <x:c r="Y811" s="8"/>
      <x:c r="Z811" s="8"/>
      <x:c r="AA811" s="8"/>
      <x:c r="AB811" s="8"/>
      <x:c r="AC811" s="9"/>
      <x:c r="AD811" s="8"/>
      <x:c r="AE811" s="8"/>
      <x:c r="AF811" s="8"/>
      <x:c r="AG811" s="8"/>
      <x:c r="AH811" s="8"/>
      <x:c r="AI811" s="8"/>
    </x:row>
    <x:row r="812">
      <x:c r="A812" s="8"/>
      <x:c r="B812" s="8"/>
      <x:c r="C812" s="8"/>
      <x:c r="D812" s="8"/>
      <x:c r="E812" s="8"/>
      <x:c r="F812" s="8"/>
      <x:c r="G812" s="8"/>
      <x:c r="H812" s="8"/>
      <x:c r="I812" s="8"/>
      <x:c r="J812" s="8"/>
      <x:c r="K812" s="8"/>
      <x:c r="L812" s="8"/>
      <x:c r="M812" s="8"/>
      <x:c r="N812" s="8"/>
      <x:c r="O812" s="8"/>
      <x:c r="P812" s="8"/>
      <x:c r="Q812" s="8"/>
      <x:c r="R812" s="8"/>
      <x:c r="S812" s="8"/>
      <x:c r="T812" s="8"/>
      <x:c r="U812" s="8"/>
      <x:c r="V812" s="8"/>
      <x:c r="W812" s="8"/>
      <x:c r="X812" s="8"/>
      <x:c r="Y812" s="8"/>
      <x:c r="Z812" s="8"/>
      <x:c r="AA812" s="8"/>
      <x:c r="AB812" s="8"/>
      <x:c r="AC812" s="9"/>
      <x:c r="AD812" s="8"/>
      <x:c r="AE812" s="8"/>
      <x:c r="AF812" s="8"/>
      <x:c r="AG812" s="8"/>
      <x:c r="AH812" s="8"/>
      <x:c r="AI812" s="8"/>
    </x:row>
    <x:row r="813">
      <x:c r="A813" s="8"/>
      <x:c r="B813" s="8"/>
      <x:c r="C813" s="8"/>
      <x:c r="D813" s="8"/>
      <x:c r="E813" s="8"/>
      <x:c r="F813" s="8"/>
      <x:c r="G813" s="8"/>
      <x:c r="H813" s="8"/>
      <x:c r="I813" s="8"/>
      <x:c r="J813" s="8"/>
      <x:c r="K813" s="8"/>
      <x:c r="L813" s="8"/>
      <x:c r="M813" s="8"/>
      <x:c r="N813" s="8"/>
      <x:c r="O813" s="8"/>
      <x:c r="P813" s="8"/>
      <x:c r="Q813" s="8"/>
      <x:c r="R813" s="8"/>
      <x:c r="S813" s="8"/>
      <x:c r="T813" s="8"/>
      <x:c r="U813" s="8"/>
      <x:c r="V813" s="8"/>
      <x:c r="W813" s="8"/>
      <x:c r="X813" s="8"/>
      <x:c r="Y813" s="8"/>
      <x:c r="Z813" s="8"/>
      <x:c r="AA813" s="8"/>
      <x:c r="AB813" s="8"/>
      <x:c r="AC813" s="9"/>
      <x:c r="AD813" s="8"/>
      <x:c r="AE813" s="8"/>
      <x:c r="AF813" s="8"/>
      <x:c r="AG813" s="8"/>
      <x:c r="AH813" s="8"/>
      <x:c r="AI813" s="8"/>
    </x:row>
    <x:row r="814">
      <x:c r="A814" s="8"/>
      <x:c r="B814" s="8"/>
      <x:c r="C814" s="8"/>
      <x:c r="D814" s="8"/>
      <x:c r="E814" s="8"/>
      <x:c r="F814" s="8"/>
      <x:c r="G814" s="8"/>
      <x:c r="H814" s="8"/>
      <x:c r="I814" s="8"/>
      <x:c r="J814" s="8"/>
      <x:c r="K814" s="8"/>
      <x:c r="L814" s="8"/>
      <x:c r="M814" s="8"/>
      <x:c r="N814" s="8"/>
      <x:c r="O814" s="8"/>
      <x:c r="P814" s="8"/>
      <x:c r="Q814" s="8"/>
      <x:c r="R814" s="8"/>
      <x:c r="S814" s="8"/>
      <x:c r="T814" s="8"/>
      <x:c r="U814" s="8"/>
      <x:c r="V814" s="8"/>
      <x:c r="W814" s="8"/>
      <x:c r="X814" s="8"/>
      <x:c r="Y814" s="8"/>
      <x:c r="Z814" s="8"/>
      <x:c r="AA814" s="8"/>
      <x:c r="AB814" s="8"/>
      <x:c r="AC814" s="9"/>
      <x:c r="AD814" s="8"/>
      <x:c r="AE814" s="8"/>
      <x:c r="AF814" s="8"/>
      <x:c r="AG814" s="8"/>
      <x:c r="AH814" s="8"/>
      <x:c r="AI814" s="8"/>
    </x:row>
    <x:row r="815">
      <x:c r="A815" s="8"/>
      <x:c r="B815" s="8"/>
      <x:c r="C815" s="8"/>
      <x:c r="D815" s="8"/>
      <x:c r="E815" s="8"/>
      <x:c r="F815" s="8"/>
      <x:c r="G815" s="8"/>
      <x:c r="H815" s="8"/>
      <x:c r="I815" s="8"/>
      <x:c r="J815" s="8"/>
      <x:c r="K815" s="8"/>
      <x:c r="L815" s="8"/>
      <x:c r="M815" s="8"/>
      <x:c r="N815" s="8"/>
      <x:c r="O815" s="8"/>
      <x:c r="P815" s="8"/>
      <x:c r="Q815" s="8"/>
      <x:c r="R815" s="8"/>
      <x:c r="S815" s="8"/>
      <x:c r="T815" s="8"/>
      <x:c r="U815" s="8"/>
      <x:c r="V815" s="8"/>
      <x:c r="W815" s="8"/>
      <x:c r="X815" s="8"/>
      <x:c r="Y815" s="8"/>
      <x:c r="Z815" s="8"/>
      <x:c r="AA815" s="8"/>
      <x:c r="AB815" s="8"/>
      <x:c r="AC815" s="9"/>
      <x:c r="AD815" s="8"/>
      <x:c r="AE815" s="8"/>
      <x:c r="AF815" s="8"/>
      <x:c r="AG815" s="8"/>
      <x:c r="AH815" s="8"/>
      <x:c r="AI815" s="8"/>
    </x:row>
    <x:row r="816">
      <x:c r="A816" s="8"/>
      <x:c r="B816" s="8"/>
      <x:c r="C816" s="8"/>
      <x:c r="D816" s="8"/>
      <x:c r="E816" s="8"/>
      <x:c r="F816" s="8"/>
      <x:c r="G816" s="8"/>
      <x:c r="H816" s="8"/>
      <x:c r="I816" s="8"/>
      <x:c r="J816" s="8"/>
      <x:c r="K816" s="8"/>
      <x:c r="L816" s="8"/>
      <x:c r="M816" s="8"/>
      <x:c r="N816" s="8"/>
      <x:c r="O816" s="8"/>
      <x:c r="P816" s="8"/>
      <x:c r="Q816" s="8"/>
      <x:c r="R816" s="8"/>
      <x:c r="S816" s="8"/>
      <x:c r="T816" s="8"/>
      <x:c r="U816" s="8"/>
      <x:c r="V816" s="8"/>
      <x:c r="W816" s="8"/>
      <x:c r="X816" s="8"/>
      <x:c r="Y816" s="8"/>
      <x:c r="Z816" s="8"/>
      <x:c r="AA816" s="8"/>
      <x:c r="AB816" s="8"/>
      <x:c r="AC816" s="9"/>
      <x:c r="AD816" s="8"/>
      <x:c r="AE816" s="8"/>
      <x:c r="AF816" s="8"/>
      <x:c r="AG816" s="8"/>
      <x:c r="AH816" s="8"/>
      <x:c r="AI816" s="8"/>
    </x:row>
    <x:row r="817">
      <x:c r="A817" s="8"/>
      <x:c r="B817" s="8"/>
      <x:c r="C817" s="8"/>
      <x:c r="D817" s="8"/>
      <x:c r="E817" s="8"/>
      <x:c r="F817" s="8"/>
      <x:c r="G817" s="8"/>
      <x:c r="H817" s="8"/>
      <x:c r="I817" s="8"/>
      <x:c r="J817" s="8"/>
      <x:c r="K817" s="8"/>
      <x:c r="L817" s="8"/>
      <x:c r="M817" s="8"/>
      <x:c r="N817" s="8"/>
      <x:c r="O817" s="8"/>
      <x:c r="P817" s="8"/>
      <x:c r="Q817" s="8"/>
      <x:c r="R817" s="8"/>
      <x:c r="S817" s="8"/>
      <x:c r="T817" s="8"/>
      <x:c r="U817" s="8"/>
      <x:c r="V817" s="8"/>
      <x:c r="W817" s="8"/>
      <x:c r="X817" s="8"/>
      <x:c r="Y817" s="8"/>
      <x:c r="Z817" s="8"/>
      <x:c r="AA817" s="8"/>
      <x:c r="AB817" s="8"/>
      <x:c r="AC817" s="9"/>
      <x:c r="AD817" s="8"/>
      <x:c r="AE817" s="8"/>
      <x:c r="AF817" s="8"/>
      <x:c r="AG817" s="8"/>
      <x:c r="AH817" s="8"/>
      <x:c r="AI817" s="8"/>
    </x:row>
    <x:row r="818">
      <x:c r="A818" s="8"/>
      <x:c r="B818" s="8"/>
      <x:c r="C818" s="8"/>
      <x:c r="D818" s="8"/>
      <x:c r="E818" s="8"/>
      <x:c r="F818" s="8"/>
      <x:c r="G818" s="8"/>
      <x:c r="H818" s="8"/>
      <x:c r="I818" s="8"/>
      <x:c r="J818" s="8"/>
      <x:c r="K818" s="8"/>
      <x:c r="L818" s="8"/>
      <x:c r="M818" s="8"/>
      <x:c r="N818" s="8"/>
      <x:c r="O818" s="8"/>
      <x:c r="P818" s="8"/>
      <x:c r="Q818" s="8"/>
      <x:c r="R818" s="8"/>
      <x:c r="S818" s="8"/>
      <x:c r="T818" s="8"/>
      <x:c r="U818" s="8"/>
      <x:c r="V818" s="8"/>
      <x:c r="W818" s="8"/>
      <x:c r="X818" s="8"/>
      <x:c r="Y818" s="8"/>
      <x:c r="Z818" s="8"/>
      <x:c r="AA818" s="8"/>
      <x:c r="AB818" s="8"/>
      <x:c r="AC818" s="9"/>
      <x:c r="AD818" s="8"/>
      <x:c r="AE818" s="8"/>
      <x:c r="AF818" s="8"/>
      <x:c r="AG818" s="8"/>
      <x:c r="AH818" s="8"/>
      <x:c r="AI818" s="8"/>
    </x:row>
    <x:row r="819">
      <x:c r="A819" s="8"/>
      <x:c r="B819" s="8"/>
      <x:c r="C819" s="8"/>
      <x:c r="D819" s="8"/>
      <x:c r="E819" s="8"/>
      <x:c r="F819" s="8"/>
      <x:c r="G819" s="8"/>
      <x:c r="H819" s="8"/>
      <x:c r="I819" s="8"/>
      <x:c r="J819" s="8"/>
      <x:c r="K819" s="8"/>
      <x:c r="L819" s="8"/>
      <x:c r="M819" s="8"/>
      <x:c r="N819" s="8"/>
      <x:c r="O819" s="8"/>
      <x:c r="P819" s="8"/>
      <x:c r="Q819" s="8"/>
      <x:c r="R819" s="8"/>
      <x:c r="S819" s="8"/>
      <x:c r="T819" s="8"/>
      <x:c r="U819" s="8"/>
      <x:c r="V819" s="8"/>
      <x:c r="W819" s="8"/>
      <x:c r="X819" s="8"/>
      <x:c r="Y819" s="8"/>
      <x:c r="Z819" s="8"/>
      <x:c r="AA819" s="8"/>
      <x:c r="AB819" s="8"/>
      <x:c r="AC819" s="9"/>
      <x:c r="AD819" s="8"/>
      <x:c r="AE819" s="8"/>
      <x:c r="AF819" s="8"/>
      <x:c r="AG819" s="8"/>
      <x:c r="AH819" s="8"/>
      <x:c r="AI819" s="8"/>
    </x:row>
    <x:row r="820">
      <x:c r="A820" s="8"/>
      <x:c r="B820" s="8"/>
      <x:c r="C820" s="8"/>
      <x:c r="D820" s="8"/>
      <x:c r="E820" s="8"/>
      <x:c r="F820" s="8"/>
      <x:c r="G820" s="8"/>
      <x:c r="H820" s="8"/>
      <x:c r="I820" s="8"/>
      <x:c r="J820" s="8"/>
      <x:c r="K820" s="8"/>
      <x:c r="L820" s="8"/>
      <x:c r="M820" s="8"/>
      <x:c r="N820" s="8"/>
      <x:c r="O820" s="8"/>
      <x:c r="P820" s="8"/>
      <x:c r="Q820" s="8"/>
      <x:c r="R820" s="8"/>
      <x:c r="S820" s="8"/>
      <x:c r="T820" s="8"/>
      <x:c r="U820" s="8"/>
      <x:c r="V820" s="8"/>
      <x:c r="W820" s="8"/>
      <x:c r="X820" s="8"/>
      <x:c r="Y820" s="8"/>
      <x:c r="Z820" s="8"/>
      <x:c r="AA820" s="8"/>
      <x:c r="AB820" s="8"/>
      <x:c r="AC820" s="9"/>
      <x:c r="AD820" s="8"/>
      <x:c r="AE820" s="8"/>
      <x:c r="AF820" s="8"/>
      <x:c r="AG820" s="8"/>
      <x:c r="AH820" s="8"/>
      <x:c r="AI820" s="8"/>
    </x:row>
    <x:row r="821">
      <x:c r="A821" s="8"/>
      <x:c r="B821" s="8"/>
      <x:c r="C821" s="8"/>
      <x:c r="D821" s="8"/>
      <x:c r="E821" s="8"/>
      <x:c r="F821" s="8"/>
      <x:c r="G821" s="8"/>
      <x:c r="H821" s="8"/>
      <x:c r="I821" s="8"/>
      <x:c r="J821" s="8"/>
      <x:c r="K821" s="8"/>
      <x:c r="L821" s="8"/>
      <x:c r="M821" s="8"/>
      <x:c r="N821" s="8"/>
      <x:c r="O821" s="8"/>
      <x:c r="P821" s="8"/>
      <x:c r="Q821" s="8"/>
      <x:c r="R821" s="8"/>
      <x:c r="S821" s="8"/>
      <x:c r="T821" s="8"/>
      <x:c r="U821" s="8"/>
      <x:c r="V821" s="8"/>
      <x:c r="W821" s="8"/>
      <x:c r="X821" s="8"/>
      <x:c r="Y821" s="8"/>
      <x:c r="Z821" s="8"/>
      <x:c r="AA821" s="8"/>
      <x:c r="AB821" s="8"/>
      <x:c r="AC821" s="9"/>
      <x:c r="AD821" s="8"/>
      <x:c r="AE821" s="8"/>
      <x:c r="AF821" s="8"/>
      <x:c r="AG821" s="8"/>
      <x:c r="AH821" s="8"/>
      <x:c r="AI821" s="8"/>
    </x:row>
    <x:row r="822">
      <x:c r="A822" s="8"/>
      <x:c r="B822" s="8"/>
      <x:c r="C822" s="8"/>
      <x:c r="D822" s="8"/>
      <x:c r="E822" s="8"/>
      <x:c r="F822" s="8"/>
      <x:c r="G822" s="8"/>
      <x:c r="H822" s="8"/>
      <x:c r="I822" s="8"/>
      <x:c r="J822" s="8"/>
      <x:c r="K822" s="8"/>
      <x:c r="L822" s="8"/>
      <x:c r="M822" s="8"/>
      <x:c r="N822" s="8"/>
      <x:c r="O822" s="8"/>
      <x:c r="P822" s="8"/>
      <x:c r="Q822" s="8"/>
      <x:c r="R822" s="8"/>
      <x:c r="S822" s="8"/>
      <x:c r="T822" s="8"/>
      <x:c r="U822" s="8"/>
      <x:c r="V822" s="8"/>
      <x:c r="W822" s="8"/>
      <x:c r="X822" s="8"/>
      <x:c r="Y822" s="8"/>
      <x:c r="Z822" s="8"/>
      <x:c r="AA822" s="8"/>
      <x:c r="AB822" s="8"/>
      <x:c r="AC822" s="9"/>
      <x:c r="AD822" s="8"/>
      <x:c r="AE822" s="8"/>
      <x:c r="AF822" s="8"/>
      <x:c r="AG822" s="8"/>
      <x:c r="AH822" s="8"/>
      <x:c r="AI822" s="8"/>
    </x:row>
    <x:row r="823">
      <x:c r="A823" s="8"/>
      <x:c r="B823" s="8"/>
      <x:c r="C823" s="8"/>
      <x:c r="D823" s="8"/>
      <x:c r="E823" s="8"/>
      <x:c r="F823" s="8"/>
      <x:c r="G823" s="8"/>
      <x:c r="H823" s="8"/>
      <x:c r="I823" s="8"/>
      <x:c r="J823" s="8"/>
      <x:c r="K823" s="8"/>
      <x:c r="L823" s="8"/>
      <x:c r="M823" s="8"/>
      <x:c r="N823" s="8"/>
      <x:c r="O823" s="8"/>
      <x:c r="P823" s="8"/>
      <x:c r="Q823" s="8"/>
      <x:c r="R823" s="8"/>
      <x:c r="S823" s="8"/>
      <x:c r="T823" s="8"/>
      <x:c r="U823" s="8"/>
      <x:c r="V823" s="8"/>
      <x:c r="W823" s="8"/>
      <x:c r="X823" s="8"/>
      <x:c r="Y823" s="8"/>
      <x:c r="Z823" s="8"/>
      <x:c r="AA823" s="8"/>
      <x:c r="AB823" s="8"/>
      <x:c r="AC823" s="9"/>
      <x:c r="AD823" s="8"/>
      <x:c r="AE823" s="8"/>
      <x:c r="AF823" s="8"/>
      <x:c r="AG823" s="8"/>
      <x:c r="AH823" s="8"/>
      <x:c r="AI823" s="8"/>
    </x:row>
    <x:row r="824">
      <x:c r="A824" s="8"/>
      <x:c r="B824" s="8"/>
      <x:c r="C824" s="8"/>
      <x:c r="D824" s="8"/>
      <x:c r="E824" s="8"/>
      <x:c r="F824" s="8"/>
      <x:c r="G824" s="8"/>
      <x:c r="H824" s="8"/>
      <x:c r="I824" s="8"/>
      <x:c r="J824" s="8"/>
      <x:c r="K824" s="8"/>
      <x:c r="L824" s="8"/>
      <x:c r="M824" s="8"/>
      <x:c r="N824" s="8"/>
      <x:c r="O824" s="8"/>
      <x:c r="P824" s="8"/>
      <x:c r="Q824" s="8"/>
      <x:c r="R824" s="8"/>
      <x:c r="S824" s="8"/>
      <x:c r="T824" s="8"/>
      <x:c r="U824" s="8"/>
      <x:c r="V824" s="8"/>
      <x:c r="W824" s="8"/>
      <x:c r="X824" s="8"/>
      <x:c r="Y824" s="8"/>
      <x:c r="Z824" s="8"/>
      <x:c r="AA824" s="8"/>
      <x:c r="AB824" s="8"/>
      <x:c r="AC824" s="9"/>
      <x:c r="AD824" s="8"/>
      <x:c r="AE824" s="8"/>
      <x:c r="AF824" s="8"/>
      <x:c r="AG824" s="8"/>
      <x:c r="AH824" s="8"/>
      <x:c r="AI824" s="8"/>
    </x:row>
    <x:row r="825">
      <x:c r="A825" s="8"/>
      <x:c r="B825" s="8"/>
      <x:c r="C825" s="8"/>
      <x:c r="D825" s="8"/>
      <x:c r="E825" s="8"/>
      <x:c r="F825" s="8"/>
      <x:c r="G825" s="8"/>
      <x:c r="H825" s="8"/>
      <x:c r="I825" s="8"/>
      <x:c r="J825" s="8"/>
      <x:c r="K825" s="8"/>
      <x:c r="L825" s="8"/>
      <x:c r="M825" s="8"/>
      <x:c r="N825" s="8"/>
      <x:c r="O825" s="8"/>
      <x:c r="P825" s="8"/>
      <x:c r="Q825" s="8"/>
      <x:c r="R825" s="8"/>
      <x:c r="S825" s="8"/>
      <x:c r="T825" s="8"/>
      <x:c r="U825" s="8"/>
      <x:c r="V825" s="8"/>
      <x:c r="W825" s="8"/>
      <x:c r="X825" s="8"/>
      <x:c r="Y825" s="8"/>
      <x:c r="Z825" s="8"/>
      <x:c r="AA825" s="8"/>
      <x:c r="AB825" s="8"/>
      <x:c r="AC825" s="9"/>
      <x:c r="AD825" s="8"/>
      <x:c r="AE825" s="8"/>
      <x:c r="AF825" s="8"/>
      <x:c r="AG825" s="8"/>
      <x:c r="AH825" s="8"/>
      <x:c r="AI825" s="8"/>
    </x:row>
    <x:row r="826">
      <x:c r="A826" s="8"/>
      <x:c r="B826" s="8"/>
      <x:c r="C826" s="8"/>
      <x:c r="D826" s="8"/>
      <x:c r="E826" s="8"/>
      <x:c r="F826" s="8"/>
      <x:c r="G826" s="8"/>
      <x:c r="H826" s="8"/>
      <x:c r="I826" s="8"/>
      <x:c r="J826" s="8"/>
      <x:c r="K826" s="8"/>
      <x:c r="L826" s="8"/>
      <x:c r="M826" s="8"/>
      <x:c r="N826" s="8"/>
      <x:c r="O826" s="8"/>
      <x:c r="P826" s="8"/>
      <x:c r="Q826" s="8"/>
      <x:c r="R826" s="8"/>
      <x:c r="S826" s="8"/>
      <x:c r="T826" s="8"/>
      <x:c r="U826" s="8"/>
      <x:c r="V826" s="8"/>
      <x:c r="W826" s="8"/>
      <x:c r="X826" s="8"/>
      <x:c r="Y826" s="8"/>
      <x:c r="Z826" s="8"/>
      <x:c r="AA826" s="8"/>
      <x:c r="AB826" s="8"/>
      <x:c r="AC826" s="9"/>
      <x:c r="AD826" s="8"/>
      <x:c r="AE826" s="8"/>
      <x:c r="AF826" s="8"/>
      <x:c r="AG826" s="8"/>
      <x:c r="AH826" s="8"/>
      <x:c r="AI826" s="8"/>
    </x:row>
    <x:row r="827">
      <x:c r="A827" s="8"/>
      <x:c r="B827" s="8"/>
      <x:c r="C827" s="8"/>
      <x:c r="D827" s="8"/>
      <x:c r="E827" s="8"/>
      <x:c r="F827" s="8"/>
      <x:c r="G827" s="8"/>
      <x:c r="H827" s="8"/>
      <x:c r="I827" s="8"/>
      <x:c r="J827" s="8"/>
      <x:c r="K827" s="8"/>
      <x:c r="L827" s="8"/>
      <x:c r="M827" s="8"/>
      <x:c r="N827" s="8"/>
      <x:c r="O827" s="8"/>
      <x:c r="P827" s="8"/>
      <x:c r="Q827" s="8"/>
      <x:c r="R827" s="8"/>
      <x:c r="S827" s="8"/>
      <x:c r="T827" s="8"/>
      <x:c r="U827" s="8"/>
      <x:c r="V827" s="8"/>
      <x:c r="W827" s="8"/>
      <x:c r="X827" s="8"/>
      <x:c r="Y827" s="8"/>
      <x:c r="Z827" s="8"/>
      <x:c r="AA827" s="8"/>
      <x:c r="AB827" s="8"/>
      <x:c r="AC827" s="9"/>
      <x:c r="AD827" s="8"/>
      <x:c r="AE827" s="8"/>
      <x:c r="AF827" s="8"/>
      <x:c r="AG827" s="8"/>
      <x:c r="AH827" s="8"/>
      <x:c r="AI827" s="8"/>
    </x:row>
    <x:row r="828">
      <x:c r="A828" s="8"/>
      <x:c r="B828" s="8"/>
      <x:c r="C828" s="8"/>
      <x:c r="D828" s="8"/>
      <x:c r="E828" s="8"/>
      <x:c r="F828" s="8"/>
      <x:c r="G828" s="8"/>
      <x:c r="H828" s="8"/>
      <x:c r="I828" s="8"/>
      <x:c r="J828" s="8"/>
      <x:c r="K828" s="8"/>
      <x:c r="L828" s="8"/>
      <x:c r="M828" s="8"/>
      <x:c r="N828" s="8"/>
      <x:c r="O828" s="8"/>
      <x:c r="P828" s="8"/>
      <x:c r="Q828" s="8"/>
      <x:c r="R828" s="8"/>
      <x:c r="S828" s="8"/>
      <x:c r="T828" s="8"/>
      <x:c r="U828" s="8"/>
      <x:c r="V828" s="8"/>
      <x:c r="W828" s="8"/>
      <x:c r="X828" s="8"/>
      <x:c r="Y828" s="8"/>
      <x:c r="Z828" s="8"/>
      <x:c r="AA828" s="8"/>
      <x:c r="AB828" s="8"/>
      <x:c r="AC828" s="9"/>
      <x:c r="AD828" s="8"/>
      <x:c r="AE828" s="8"/>
      <x:c r="AF828" s="8"/>
      <x:c r="AG828" s="8"/>
      <x:c r="AH828" s="8"/>
      <x:c r="AI828" s="8"/>
    </x:row>
    <x:row r="829">
      <x:c r="A829" s="8"/>
      <x:c r="B829" s="8"/>
      <x:c r="C829" s="8"/>
      <x:c r="D829" s="8"/>
      <x:c r="E829" s="8"/>
      <x:c r="F829" s="8"/>
      <x:c r="G829" s="8"/>
      <x:c r="H829" s="8"/>
      <x:c r="I829" s="8"/>
      <x:c r="J829" s="8"/>
      <x:c r="K829" s="8"/>
      <x:c r="L829" s="8"/>
      <x:c r="M829" s="8"/>
      <x:c r="N829" s="8"/>
      <x:c r="O829" s="8"/>
      <x:c r="P829" s="8"/>
      <x:c r="Q829" s="8"/>
      <x:c r="R829" s="8"/>
      <x:c r="S829" s="8"/>
      <x:c r="T829" s="8"/>
      <x:c r="U829" s="8"/>
      <x:c r="V829" s="8"/>
      <x:c r="W829" s="8"/>
      <x:c r="X829" s="8"/>
      <x:c r="Y829" s="8"/>
      <x:c r="Z829" s="8"/>
      <x:c r="AA829" s="8"/>
      <x:c r="AB829" s="8"/>
      <x:c r="AC829" s="9"/>
      <x:c r="AD829" s="8"/>
      <x:c r="AE829" s="8"/>
      <x:c r="AF829" s="8"/>
      <x:c r="AG829" s="8"/>
      <x:c r="AH829" s="8"/>
      <x:c r="AI829" s="8"/>
    </x:row>
    <x:row r="830">
      <x:c r="A830" s="8"/>
      <x:c r="B830" s="8"/>
      <x:c r="C830" s="8"/>
      <x:c r="D830" s="8"/>
      <x:c r="E830" s="8"/>
      <x:c r="F830" s="8"/>
      <x:c r="G830" s="8"/>
      <x:c r="H830" s="8"/>
      <x:c r="I830" s="8"/>
      <x:c r="J830" s="8"/>
      <x:c r="K830" s="8"/>
      <x:c r="L830" s="8"/>
      <x:c r="M830" s="8"/>
      <x:c r="N830" s="8"/>
      <x:c r="O830" s="8"/>
      <x:c r="P830" s="8"/>
      <x:c r="Q830" s="8"/>
      <x:c r="R830" s="8"/>
      <x:c r="S830" s="8"/>
      <x:c r="T830" s="8"/>
      <x:c r="U830" s="8"/>
      <x:c r="V830" s="8"/>
      <x:c r="W830" s="8"/>
      <x:c r="X830" s="8"/>
      <x:c r="Y830" s="8"/>
      <x:c r="Z830" s="8"/>
      <x:c r="AA830" s="8"/>
      <x:c r="AB830" s="8"/>
      <x:c r="AC830" s="9"/>
      <x:c r="AD830" s="8"/>
      <x:c r="AE830" s="8"/>
      <x:c r="AF830" s="8"/>
      <x:c r="AG830" s="8"/>
      <x:c r="AH830" s="8"/>
      <x:c r="AI830" s="8"/>
    </x:row>
    <x:row r="831">
      <x:c r="A831" s="8"/>
      <x:c r="B831" s="8"/>
      <x:c r="C831" s="8"/>
      <x:c r="D831" s="8"/>
      <x:c r="E831" s="8"/>
      <x:c r="F831" s="8"/>
      <x:c r="G831" s="8"/>
      <x:c r="H831" s="8"/>
      <x:c r="I831" s="8"/>
      <x:c r="J831" s="8"/>
      <x:c r="K831" s="8"/>
      <x:c r="L831" s="8"/>
      <x:c r="M831" s="8"/>
      <x:c r="N831" s="8"/>
      <x:c r="O831" s="8"/>
      <x:c r="P831" s="8"/>
      <x:c r="Q831" s="8"/>
      <x:c r="R831" s="8"/>
      <x:c r="S831" s="8"/>
      <x:c r="T831" s="8"/>
      <x:c r="U831" s="8"/>
      <x:c r="V831" s="8"/>
      <x:c r="W831" s="8"/>
      <x:c r="X831" s="8"/>
      <x:c r="Y831" s="8"/>
      <x:c r="Z831" s="8"/>
      <x:c r="AA831" s="8"/>
      <x:c r="AB831" s="8"/>
      <x:c r="AC831" s="9"/>
      <x:c r="AD831" s="8"/>
      <x:c r="AE831" s="8"/>
      <x:c r="AF831" s="8"/>
      <x:c r="AG831" s="8"/>
      <x:c r="AH831" s="8"/>
      <x:c r="AI831" s="8"/>
    </x:row>
    <x:row r="832">
      <x:c r="A832" s="8"/>
      <x:c r="B832" s="8"/>
      <x:c r="C832" s="8"/>
      <x:c r="D832" s="8"/>
      <x:c r="E832" s="8"/>
      <x:c r="F832" s="8"/>
      <x:c r="G832" s="8"/>
      <x:c r="H832" s="8"/>
      <x:c r="I832" s="8"/>
      <x:c r="J832" s="8"/>
      <x:c r="K832" s="8"/>
      <x:c r="L832" s="8"/>
      <x:c r="M832" s="8"/>
      <x:c r="N832" s="8"/>
      <x:c r="O832" s="8"/>
      <x:c r="P832" s="8"/>
      <x:c r="Q832" s="8"/>
      <x:c r="R832" s="8"/>
      <x:c r="S832" s="8"/>
      <x:c r="T832" s="8"/>
      <x:c r="U832" s="8"/>
      <x:c r="V832" s="8"/>
      <x:c r="W832" s="8"/>
      <x:c r="X832" s="8"/>
      <x:c r="Y832" s="8"/>
      <x:c r="Z832" s="8"/>
      <x:c r="AA832" s="8"/>
      <x:c r="AB832" s="8"/>
      <x:c r="AC832" s="9"/>
      <x:c r="AD832" s="8"/>
      <x:c r="AE832" s="8"/>
      <x:c r="AF832" s="8"/>
      <x:c r="AG832" s="8"/>
      <x:c r="AH832" s="8"/>
      <x:c r="AI832" s="8"/>
    </x:row>
    <x:row r="833">
      <x:c r="A833" s="8"/>
      <x:c r="B833" s="8"/>
      <x:c r="C833" s="8"/>
      <x:c r="D833" s="8"/>
      <x:c r="E833" s="8"/>
      <x:c r="F833" s="8"/>
      <x:c r="G833" s="8"/>
      <x:c r="H833" s="8"/>
      <x:c r="I833" s="8"/>
      <x:c r="J833" s="8"/>
      <x:c r="K833" s="8"/>
      <x:c r="L833" s="8"/>
      <x:c r="M833" s="8"/>
      <x:c r="N833" s="8"/>
      <x:c r="O833" s="8"/>
      <x:c r="P833" s="8"/>
      <x:c r="Q833" s="8"/>
      <x:c r="R833" s="8"/>
      <x:c r="S833" s="8"/>
      <x:c r="T833" s="8"/>
      <x:c r="U833" s="8"/>
      <x:c r="V833" s="8"/>
      <x:c r="W833" s="8"/>
      <x:c r="X833" s="8"/>
      <x:c r="Y833" s="8"/>
      <x:c r="Z833" s="8"/>
      <x:c r="AA833" s="8"/>
      <x:c r="AB833" s="8"/>
      <x:c r="AC833" s="9"/>
      <x:c r="AD833" s="8"/>
      <x:c r="AE833" s="8"/>
      <x:c r="AF833" s="8"/>
      <x:c r="AG833" s="8"/>
      <x:c r="AH833" s="8"/>
      <x:c r="AI833" s="8"/>
    </x:row>
    <x:row r="834">
      <x:c r="A834" s="8"/>
      <x:c r="B834" s="8"/>
      <x:c r="C834" s="8"/>
      <x:c r="D834" s="8"/>
      <x:c r="E834" s="8"/>
      <x:c r="F834" s="8"/>
      <x:c r="G834" s="8"/>
      <x:c r="H834" s="8"/>
      <x:c r="I834" s="8"/>
      <x:c r="J834" s="8"/>
      <x:c r="K834" s="8"/>
      <x:c r="L834" s="8"/>
      <x:c r="M834" s="8"/>
      <x:c r="N834" s="8"/>
      <x:c r="O834" s="8"/>
      <x:c r="P834" s="8"/>
      <x:c r="Q834" s="8"/>
      <x:c r="R834" s="8"/>
      <x:c r="S834" s="8"/>
      <x:c r="T834" s="8"/>
      <x:c r="U834" s="8"/>
      <x:c r="V834" s="8"/>
      <x:c r="W834" s="8"/>
      <x:c r="X834" s="8"/>
      <x:c r="Y834" s="8"/>
      <x:c r="Z834" s="8"/>
      <x:c r="AA834" s="8"/>
      <x:c r="AB834" s="8"/>
      <x:c r="AC834" s="9"/>
      <x:c r="AD834" s="8"/>
      <x:c r="AE834" s="8"/>
      <x:c r="AF834" s="8"/>
      <x:c r="AG834" s="8"/>
      <x:c r="AH834" s="8"/>
      <x:c r="AI834" s="8"/>
    </x:row>
    <x:row r="835">
      <x:c r="A835" s="8"/>
      <x:c r="B835" s="8"/>
      <x:c r="C835" s="8"/>
      <x:c r="D835" s="8"/>
      <x:c r="E835" s="8"/>
      <x:c r="F835" s="8"/>
      <x:c r="G835" s="8"/>
      <x:c r="H835" s="8"/>
      <x:c r="I835" s="8"/>
      <x:c r="J835" s="8"/>
      <x:c r="K835" s="8"/>
      <x:c r="L835" s="8"/>
      <x:c r="M835" s="8"/>
      <x:c r="N835" s="8"/>
      <x:c r="O835" s="8"/>
      <x:c r="P835" s="8"/>
      <x:c r="Q835" s="8"/>
      <x:c r="R835" s="8"/>
      <x:c r="S835" s="8"/>
      <x:c r="T835" s="8"/>
      <x:c r="U835" s="8"/>
      <x:c r="V835" s="8"/>
      <x:c r="W835" s="8"/>
      <x:c r="X835" s="8"/>
      <x:c r="Y835" s="8"/>
      <x:c r="Z835" s="8"/>
      <x:c r="AA835" s="8"/>
      <x:c r="AB835" s="8"/>
      <x:c r="AC835" s="9"/>
      <x:c r="AD835" s="8"/>
      <x:c r="AE835" s="8"/>
      <x:c r="AF835" s="8"/>
      <x:c r="AG835" s="8"/>
      <x:c r="AH835" s="8"/>
      <x:c r="AI835" s="8"/>
    </x:row>
    <x:row r="836">
      <x:c r="A836" s="8"/>
      <x:c r="B836" s="8"/>
      <x:c r="C836" s="8"/>
      <x:c r="D836" s="8"/>
      <x:c r="E836" s="8"/>
      <x:c r="F836" s="8"/>
      <x:c r="G836" s="8"/>
      <x:c r="H836" s="8"/>
      <x:c r="I836" s="8"/>
      <x:c r="J836" s="8"/>
      <x:c r="K836" s="8"/>
      <x:c r="L836" s="8"/>
      <x:c r="M836" s="8"/>
      <x:c r="N836" s="8"/>
      <x:c r="O836" s="8"/>
      <x:c r="P836" s="8"/>
      <x:c r="Q836" s="8"/>
      <x:c r="R836" s="8"/>
      <x:c r="S836" s="8"/>
      <x:c r="T836" s="8"/>
      <x:c r="U836" s="8"/>
      <x:c r="V836" s="8"/>
      <x:c r="W836" s="8"/>
      <x:c r="X836" s="8"/>
      <x:c r="Y836" s="8"/>
      <x:c r="Z836" s="8"/>
      <x:c r="AA836" s="8"/>
      <x:c r="AB836" s="8"/>
      <x:c r="AC836" s="9"/>
      <x:c r="AD836" s="8"/>
      <x:c r="AE836" s="8"/>
      <x:c r="AF836" s="8"/>
      <x:c r="AG836" s="8"/>
      <x:c r="AH836" s="8"/>
      <x:c r="AI836" s="8"/>
    </x:row>
    <x:row r="837">
      <x:c r="A837" s="8"/>
      <x:c r="B837" s="8"/>
      <x:c r="C837" s="8"/>
      <x:c r="D837" s="8"/>
      <x:c r="E837" s="8"/>
      <x:c r="F837" s="8"/>
      <x:c r="G837" s="8"/>
      <x:c r="H837" s="8"/>
      <x:c r="I837" s="8"/>
      <x:c r="J837" s="8"/>
      <x:c r="K837" s="8"/>
      <x:c r="L837" s="8"/>
      <x:c r="M837" s="8"/>
      <x:c r="N837" s="8"/>
      <x:c r="O837" s="8"/>
      <x:c r="P837" s="8"/>
      <x:c r="Q837" s="8"/>
      <x:c r="R837" s="8"/>
      <x:c r="S837" s="8"/>
      <x:c r="T837" s="8"/>
      <x:c r="U837" s="8"/>
      <x:c r="V837" s="8"/>
      <x:c r="W837" s="8"/>
      <x:c r="X837" s="8"/>
      <x:c r="Y837" s="8"/>
      <x:c r="Z837" s="8"/>
      <x:c r="AA837" s="8"/>
      <x:c r="AB837" s="8"/>
      <x:c r="AC837" s="9"/>
      <x:c r="AD837" s="8"/>
      <x:c r="AE837" s="8"/>
      <x:c r="AF837" s="8"/>
      <x:c r="AG837" s="8"/>
      <x:c r="AH837" s="8"/>
      <x:c r="AI837" s="8"/>
    </x:row>
    <x:row r="838">
      <x:c r="A838" s="8"/>
      <x:c r="B838" s="8"/>
      <x:c r="C838" s="8"/>
      <x:c r="D838" s="8"/>
      <x:c r="E838" s="8"/>
      <x:c r="F838" s="8"/>
      <x:c r="G838" s="8"/>
      <x:c r="H838" s="8"/>
      <x:c r="I838" s="8"/>
      <x:c r="J838" s="8"/>
      <x:c r="K838" s="8"/>
      <x:c r="L838" s="8"/>
      <x:c r="M838" s="8"/>
      <x:c r="N838" s="8"/>
      <x:c r="O838" s="8"/>
      <x:c r="P838" s="8"/>
      <x:c r="Q838" s="8"/>
      <x:c r="R838" s="8"/>
      <x:c r="S838" s="8"/>
      <x:c r="T838" s="8"/>
      <x:c r="U838" s="8"/>
      <x:c r="V838" s="8"/>
      <x:c r="W838" s="8"/>
      <x:c r="X838" s="8"/>
      <x:c r="Y838" s="8"/>
      <x:c r="Z838" s="8"/>
      <x:c r="AA838" s="8"/>
      <x:c r="AB838" s="8"/>
      <x:c r="AC838" s="9"/>
      <x:c r="AD838" s="8"/>
      <x:c r="AE838" s="8"/>
      <x:c r="AF838" s="8"/>
      <x:c r="AG838" s="8"/>
      <x:c r="AH838" s="8"/>
      <x:c r="AI838" s="8"/>
    </x:row>
    <x:row r="839">
      <x:c r="A839" s="8"/>
      <x:c r="B839" s="8"/>
      <x:c r="C839" s="8"/>
      <x:c r="D839" s="8"/>
      <x:c r="E839" s="8"/>
      <x:c r="F839" s="8"/>
      <x:c r="G839" s="8"/>
      <x:c r="H839" s="8"/>
      <x:c r="I839" s="8"/>
      <x:c r="J839" s="8"/>
      <x:c r="K839" s="8"/>
      <x:c r="L839" s="8"/>
      <x:c r="M839" s="8"/>
      <x:c r="N839" s="8"/>
      <x:c r="O839" s="8"/>
      <x:c r="P839" s="8"/>
      <x:c r="Q839" s="8"/>
      <x:c r="R839" s="8"/>
      <x:c r="S839" s="8"/>
      <x:c r="T839" s="8"/>
      <x:c r="U839" s="8"/>
      <x:c r="V839" s="8"/>
      <x:c r="W839" s="8"/>
      <x:c r="X839" s="8"/>
      <x:c r="Y839" s="8"/>
      <x:c r="Z839" s="8"/>
      <x:c r="AA839" s="8"/>
      <x:c r="AB839" s="8"/>
      <x:c r="AC839" s="9"/>
      <x:c r="AD839" s="8"/>
      <x:c r="AE839" s="8"/>
      <x:c r="AF839" s="8"/>
      <x:c r="AG839" s="8"/>
      <x:c r="AH839" s="8"/>
      <x:c r="AI839" s="8"/>
    </x:row>
    <x:row r="840">
      <x:c r="A840" s="8"/>
      <x:c r="B840" s="8"/>
      <x:c r="C840" s="8"/>
      <x:c r="D840" s="8"/>
      <x:c r="E840" s="8"/>
      <x:c r="F840" s="8"/>
      <x:c r="G840" s="8"/>
      <x:c r="H840" s="8"/>
      <x:c r="I840" s="8"/>
      <x:c r="J840" s="8"/>
      <x:c r="K840" s="8"/>
      <x:c r="L840" s="8"/>
      <x:c r="M840" s="8"/>
      <x:c r="N840" s="8"/>
      <x:c r="O840" s="8"/>
      <x:c r="P840" s="8"/>
      <x:c r="Q840" s="8"/>
      <x:c r="R840" s="8"/>
      <x:c r="S840" s="8"/>
      <x:c r="T840" s="8"/>
      <x:c r="U840" s="8"/>
      <x:c r="V840" s="8"/>
      <x:c r="W840" s="8"/>
      <x:c r="X840" s="8"/>
      <x:c r="Y840" s="8"/>
      <x:c r="Z840" s="8"/>
      <x:c r="AA840" s="8"/>
      <x:c r="AB840" s="8"/>
      <x:c r="AC840" s="9"/>
      <x:c r="AD840" s="8"/>
      <x:c r="AE840" s="8"/>
      <x:c r="AF840" s="8"/>
      <x:c r="AG840" s="8"/>
      <x:c r="AH840" s="8"/>
      <x:c r="AI840" s="8"/>
    </x:row>
    <x:row r="841">
      <x:c r="A841" s="8"/>
      <x:c r="B841" s="8"/>
      <x:c r="C841" s="8"/>
      <x:c r="D841" s="8"/>
      <x:c r="E841" s="8"/>
      <x:c r="F841" s="8"/>
      <x:c r="G841" s="8"/>
      <x:c r="H841" s="8"/>
      <x:c r="I841" s="8"/>
      <x:c r="J841" s="8"/>
      <x:c r="K841" s="8"/>
      <x:c r="L841" s="8"/>
      <x:c r="M841" s="8"/>
      <x:c r="N841" s="8"/>
      <x:c r="O841" s="8"/>
      <x:c r="P841" s="8"/>
      <x:c r="Q841" s="8"/>
      <x:c r="R841" s="8"/>
      <x:c r="S841" s="8"/>
      <x:c r="T841" s="8"/>
      <x:c r="U841" s="8"/>
      <x:c r="V841" s="8"/>
      <x:c r="W841" s="8"/>
      <x:c r="X841" s="8"/>
      <x:c r="Y841" s="8"/>
      <x:c r="Z841" s="8"/>
      <x:c r="AA841" s="8"/>
      <x:c r="AB841" s="8"/>
      <x:c r="AC841" s="9"/>
      <x:c r="AD841" s="8"/>
      <x:c r="AE841" s="8"/>
      <x:c r="AF841" s="8"/>
      <x:c r="AG841" s="8"/>
      <x:c r="AH841" s="8"/>
      <x:c r="AI841" s="8"/>
    </x:row>
    <x:row r="842">
      <x:c r="A842" s="8"/>
      <x:c r="B842" s="8"/>
      <x:c r="C842" s="8"/>
      <x:c r="D842" s="8"/>
      <x:c r="E842" s="8"/>
      <x:c r="F842" s="8"/>
      <x:c r="G842" s="8"/>
      <x:c r="H842" s="8"/>
      <x:c r="I842" s="8"/>
      <x:c r="J842" s="8"/>
      <x:c r="K842" s="8"/>
      <x:c r="L842" s="8"/>
      <x:c r="M842" s="8"/>
      <x:c r="N842" s="8"/>
      <x:c r="O842" s="8"/>
      <x:c r="P842" s="8"/>
      <x:c r="Q842" s="8"/>
      <x:c r="R842" s="8"/>
      <x:c r="S842" s="8"/>
      <x:c r="T842" s="8"/>
      <x:c r="U842" s="8"/>
      <x:c r="V842" s="8"/>
      <x:c r="W842" s="8"/>
      <x:c r="X842" s="8"/>
      <x:c r="Y842" s="8"/>
      <x:c r="Z842" s="8"/>
      <x:c r="AA842" s="8"/>
      <x:c r="AB842" s="8"/>
      <x:c r="AC842" s="9"/>
      <x:c r="AD842" s="8"/>
      <x:c r="AE842" s="8"/>
      <x:c r="AF842" s="8"/>
      <x:c r="AG842" s="8"/>
      <x:c r="AH842" s="8"/>
      <x:c r="AI842" s="8"/>
    </x:row>
    <x:row r="843">
      <x:c r="A843" s="8"/>
      <x:c r="B843" s="8"/>
      <x:c r="C843" s="8"/>
      <x:c r="D843" s="8"/>
      <x:c r="E843" s="8"/>
      <x:c r="F843" s="8"/>
      <x:c r="G843" s="8"/>
      <x:c r="H843" s="8"/>
      <x:c r="I843" s="8"/>
      <x:c r="J843" s="8"/>
      <x:c r="K843" s="8"/>
      <x:c r="L843" s="8"/>
      <x:c r="M843" s="8"/>
      <x:c r="N843" s="8"/>
      <x:c r="O843" s="8"/>
      <x:c r="P843" s="8"/>
      <x:c r="Q843" s="8"/>
      <x:c r="R843" s="8"/>
      <x:c r="S843" s="8"/>
      <x:c r="T843" s="8"/>
      <x:c r="U843" s="8"/>
      <x:c r="V843" s="8"/>
      <x:c r="W843" s="8"/>
      <x:c r="X843" s="8"/>
      <x:c r="Y843" s="8"/>
      <x:c r="Z843" s="8"/>
      <x:c r="AA843" s="8"/>
      <x:c r="AB843" s="8"/>
      <x:c r="AC843" s="9"/>
      <x:c r="AD843" s="8"/>
      <x:c r="AE843" s="8"/>
      <x:c r="AF843" s="8"/>
      <x:c r="AG843" s="8"/>
      <x:c r="AH843" s="8"/>
      <x:c r="AI843" s="8"/>
    </x:row>
    <x:row r="844">
      <x:c r="A844" s="8"/>
      <x:c r="B844" s="8"/>
      <x:c r="C844" s="8"/>
      <x:c r="D844" s="8"/>
      <x:c r="E844" s="8"/>
      <x:c r="F844" s="8"/>
      <x:c r="G844" s="8"/>
      <x:c r="H844" s="8"/>
      <x:c r="I844" s="8"/>
      <x:c r="J844" s="8"/>
      <x:c r="K844" s="8"/>
      <x:c r="L844" s="8"/>
      <x:c r="M844" s="8"/>
      <x:c r="N844" s="8"/>
      <x:c r="O844" s="8"/>
      <x:c r="P844" s="8"/>
      <x:c r="Q844" s="8"/>
      <x:c r="R844" s="8"/>
      <x:c r="S844" s="8"/>
      <x:c r="T844" s="8"/>
      <x:c r="U844" s="8"/>
      <x:c r="V844" s="8"/>
      <x:c r="W844" s="8"/>
      <x:c r="X844" s="8"/>
      <x:c r="Y844" s="8"/>
      <x:c r="Z844" s="8"/>
      <x:c r="AA844" s="8"/>
      <x:c r="AB844" s="8"/>
      <x:c r="AC844" s="9"/>
      <x:c r="AD844" s="8"/>
      <x:c r="AE844" s="8"/>
      <x:c r="AF844" s="8"/>
      <x:c r="AG844" s="8"/>
      <x:c r="AH844" s="8"/>
      <x:c r="AI844" s="8"/>
    </x:row>
    <x:row r="845">
      <x:c r="A845" s="8"/>
      <x:c r="B845" s="8"/>
      <x:c r="C845" s="8"/>
      <x:c r="D845" s="8"/>
      <x:c r="E845" s="8"/>
      <x:c r="F845" s="8"/>
      <x:c r="G845" s="8"/>
      <x:c r="H845" s="8"/>
      <x:c r="I845" s="8"/>
      <x:c r="J845" s="8"/>
      <x:c r="K845" s="8"/>
      <x:c r="L845" s="8"/>
      <x:c r="M845" s="8"/>
      <x:c r="N845" s="8"/>
      <x:c r="O845" s="8"/>
      <x:c r="P845" s="8"/>
      <x:c r="Q845" s="8"/>
      <x:c r="R845" s="8"/>
      <x:c r="S845" s="8"/>
      <x:c r="T845" s="8"/>
      <x:c r="U845" s="8"/>
      <x:c r="V845" s="8"/>
      <x:c r="W845" s="8"/>
      <x:c r="X845" s="8"/>
      <x:c r="Y845" s="8"/>
      <x:c r="Z845" s="8"/>
      <x:c r="AA845" s="8"/>
      <x:c r="AB845" s="8"/>
      <x:c r="AC845" s="9"/>
      <x:c r="AD845" s="8"/>
      <x:c r="AE845" s="8"/>
      <x:c r="AF845" s="8"/>
      <x:c r="AG845" s="8"/>
      <x:c r="AH845" s="8"/>
      <x:c r="AI845" s="8"/>
    </x:row>
    <x:row r="846">
      <x:c r="A846" s="8"/>
      <x:c r="B846" s="8"/>
      <x:c r="C846" s="8"/>
      <x:c r="D846" s="8"/>
      <x:c r="E846" s="8"/>
      <x:c r="F846" s="8"/>
      <x:c r="G846" s="8"/>
      <x:c r="H846" s="8"/>
      <x:c r="I846" s="8"/>
      <x:c r="J846" s="8"/>
      <x:c r="K846" s="8"/>
      <x:c r="L846" s="8"/>
      <x:c r="M846" s="8"/>
      <x:c r="N846" s="8"/>
      <x:c r="O846" s="8"/>
      <x:c r="P846" s="8"/>
      <x:c r="Q846" s="8"/>
      <x:c r="R846" s="8"/>
      <x:c r="S846" s="8"/>
      <x:c r="T846" s="8"/>
      <x:c r="U846" s="8"/>
      <x:c r="V846" s="8"/>
      <x:c r="W846" s="8"/>
      <x:c r="X846" s="8"/>
      <x:c r="Y846" s="8"/>
      <x:c r="Z846" s="8"/>
      <x:c r="AA846" s="8"/>
      <x:c r="AB846" s="8"/>
      <x:c r="AC846" s="9"/>
      <x:c r="AD846" s="8"/>
      <x:c r="AE846" s="8"/>
      <x:c r="AF846" s="8"/>
      <x:c r="AG846" s="8"/>
      <x:c r="AH846" s="8"/>
      <x:c r="AI846" s="8"/>
    </x:row>
    <x:row r="847">
      <x:c r="A847" s="8"/>
      <x:c r="B847" s="8"/>
      <x:c r="C847" s="8"/>
      <x:c r="D847" s="8"/>
      <x:c r="E847" s="8"/>
      <x:c r="F847" s="8"/>
      <x:c r="G847" s="8"/>
      <x:c r="H847" s="8"/>
      <x:c r="I847" s="8"/>
      <x:c r="J847" s="8"/>
      <x:c r="K847" s="8"/>
      <x:c r="L847" s="8"/>
      <x:c r="M847" s="8"/>
      <x:c r="N847" s="8"/>
      <x:c r="O847" s="8"/>
      <x:c r="P847" s="8"/>
      <x:c r="Q847" s="8"/>
      <x:c r="R847" s="8"/>
      <x:c r="S847" s="8"/>
      <x:c r="T847" s="8"/>
      <x:c r="U847" s="8"/>
      <x:c r="V847" s="8"/>
      <x:c r="W847" s="8"/>
      <x:c r="X847" s="8"/>
      <x:c r="Y847" s="8"/>
      <x:c r="Z847" s="8"/>
      <x:c r="AA847" s="8"/>
      <x:c r="AB847" s="8"/>
      <x:c r="AC847" s="9"/>
      <x:c r="AD847" s="8"/>
      <x:c r="AE847" s="8"/>
      <x:c r="AF847" s="8"/>
      <x:c r="AG847" s="8"/>
      <x:c r="AH847" s="8"/>
      <x:c r="AI847" s="8"/>
    </x:row>
    <x:row r="848">
      <x:c r="A848" s="8"/>
      <x:c r="B848" s="8"/>
      <x:c r="C848" s="8"/>
      <x:c r="D848" s="8"/>
      <x:c r="E848" s="8"/>
      <x:c r="F848" s="8"/>
      <x:c r="G848" s="8"/>
      <x:c r="H848" s="8"/>
      <x:c r="I848" s="8"/>
      <x:c r="J848" s="8"/>
      <x:c r="K848" s="8"/>
      <x:c r="L848" s="8"/>
      <x:c r="M848" s="8"/>
      <x:c r="N848" s="8"/>
      <x:c r="O848" s="8"/>
      <x:c r="P848" s="8"/>
      <x:c r="Q848" s="8"/>
      <x:c r="R848" s="8"/>
      <x:c r="S848" s="8"/>
      <x:c r="T848" s="8"/>
      <x:c r="U848" s="8"/>
      <x:c r="V848" s="8"/>
      <x:c r="W848" s="8"/>
      <x:c r="X848" s="8"/>
      <x:c r="Y848" s="8"/>
      <x:c r="Z848" s="8"/>
      <x:c r="AA848" s="8"/>
      <x:c r="AB848" s="8"/>
      <x:c r="AC848" s="9"/>
      <x:c r="AD848" s="8"/>
      <x:c r="AE848" s="8"/>
      <x:c r="AF848" s="8"/>
      <x:c r="AG848" s="8"/>
      <x:c r="AH848" s="8"/>
      <x:c r="AI848" s="8"/>
    </x:row>
    <x:row r="849">
      <x:c r="A849" s="8"/>
      <x:c r="B849" s="8"/>
      <x:c r="C849" s="8"/>
      <x:c r="D849" s="8"/>
      <x:c r="E849" s="8"/>
      <x:c r="F849" s="8"/>
      <x:c r="G849" s="8"/>
      <x:c r="H849" s="8"/>
      <x:c r="I849" s="8"/>
      <x:c r="J849" s="8"/>
      <x:c r="K849" s="8"/>
      <x:c r="L849" s="8"/>
      <x:c r="M849" s="8"/>
      <x:c r="N849" s="8"/>
      <x:c r="O849" s="8"/>
      <x:c r="P849" s="8"/>
      <x:c r="Q849" s="8"/>
      <x:c r="R849" s="8"/>
      <x:c r="S849" s="8"/>
      <x:c r="T849" s="8"/>
      <x:c r="U849" s="8"/>
      <x:c r="V849" s="8"/>
      <x:c r="W849" s="8"/>
      <x:c r="X849" s="8"/>
      <x:c r="Y849" s="8"/>
      <x:c r="Z849" s="8"/>
      <x:c r="AA849" s="8"/>
      <x:c r="AB849" s="8"/>
      <x:c r="AC849" s="9"/>
      <x:c r="AD849" s="8"/>
      <x:c r="AE849" s="8"/>
      <x:c r="AF849" s="8"/>
      <x:c r="AG849" s="8"/>
      <x:c r="AH849" s="8"/>
      <x:c r="AI849" s="8"/>
    </x:row>
    <x:row r="850">
      <x:c r="A850" s="8"/>
      <x:c r="B850" s="8"/>
      <x:c r="C850" s="8"/>
      <x:c r="D850" s="8"/>
      <x:c r="E850" s="8"/>
      <x:c r="F850" s="8"/>
      <x:c r="G850" s="8"/>
      <x:c r="H850" s="8"/>
      <x:c r="I850" s="8"/>
      <x:c r="J850" s="8"/>
      <x:c r="K850" s="8"/>
      <x:c r="L850" s="8"/>
      <x:c r="M850" s="8"/>
      <x:c r="N850" s="8"/>
      <x:c r="O850" s="8"/>
      <x:c r="P850" s="8"/>
      <x:c r="Q850" s="8"/>
      <x:c r="R850" s="8"/>
      <x:c r="S850" s="8"/>
      <x:c r="T850" s="8"/>
      <x:c r="U850" s="8"/>
      <x:c r="V850" s="8"/>
      <x:c r="W850" s="8"/>
      <x:c r="X850" s="8"/>
      <x:c r="Y850" s="8"/>
      <x:c r="Z850" s="8"/>
      <x:c r="AA850" s="8"/>
      <x:c r="AB850" s="8"/>
      <x:c r="AC850" s="9"/>
      <x:c r="AD850" s="8"/>
      <x:c r="AE850" s="8"/>
      <x:c r="AF850" s="8"/>
      <x:c r="AG850" s="8"/>
      <x:c r="AH850" s="8"/>
      <x:c r="AI850" s="8"/>
    </x:row>
    <x:row r="851">
      <x:c r="A851" s="8"/>
      <x:c r="B851" s="8"/>
      <x:c r="C851" s="8"/>
      <x:c r="D851" s="8"/>
      <x:c r="E851" s="8"/>
      <x:c r="F851" s="8"/>
      <x:c r="G851" s="8"/>
      <x:c r="H851" s="8"/>
      <x:c r="I851" s="8"/>
      <x:c r="J851" s="8"/>
      <x:c r="K851" s="8"/>
      <x:c r="L851" s="8"/>
      <x:c r="M851" s="8"/>
      <x:c r="N851" s="8"/>
      <x:c r="O851" s="8"/>
      <x:c r="P851" s="8"/>
      <x:c r="Q851" s="8"/>
      <x:c r="R851" s="8"/>
      <x:c r="S851" s="8"/>
      <x:c r="T851" s="8"/>
      <x:c r="U851" s="8"/>
      <x:c r="V851" s="8"/>
      <x:c r="W851" s="8"/>
      <x:c r="X851" s="8"/>
      <x:c r="Y851" s="8"/>
      <x:c r="Z851" s="8"/>
      <x:c r="AA851" s="8"/>
      <x:c r="AB851" s="8"/>
      <x:c r="AC851" s="9"/>
      <x:c r="AD851" s="8"/>
      <x:c r="AE851" s="8"/>
      <x:c r="AF851" s="8"/>
      <x:c r="AG851" s="8"/>
      <x:c r="AH851" s="8"/>
      <x:c r="AI851" s="8"/>
    </x:row>
    <x:row r="852">
      <x:c r="A852" s="8"/>
      <x:c r="B852" s="8"/>
      <x:c r="C852" s="8"/>
      <x:c r="D852" s="8"/>
      <x:c r="E852" s="8"/>
      <x:c r="F852" s="8"/>
      <x:c r="G852" s="8"/>
      <x:c r="H852" s="8"/>
      <x:c r="I852" s="8"/>
      <x:c r="J852" s="8"/>
      <x:c r="K852" s="8"/>
      <x:c r="L852" s="8"/>
      <x:c r="M852" s="8"/>
      <x:c r="N852" s="8"/>
      <x:c r="O852" s="8"/>
      <x:c r="P852" s="8"/>
      <x:c r="Q852" s="8"/>
      <x:c r="R852" s="8"/>
      <x:c r="S852" s="8"/>
      <x:c r="T852" s="8"/>
      <x:c r="U852" s="8"/>
      <x:c r="V852" s="8"/>
      <x:c r="W852" s="8"/>
      <x:c r="X852" s="8"/>
      <x:c r="Y852" s="8"/>
      <x:c r="Z852" s="8"/>
      <x:c r="AA852" s="8"/>
      <x:c r="AB852" s="8"/>
      <x:c r="AC852" s="9"/>
      <x:c r="AD852" s="8"/>
      <x:c r="AE852" s="8"/>
      <x:c r="AF852" s="8"/>
      <x:c r="AG852" s="8"/>
      <x:c r="AH852" s="8"/>
      <x:c r="AI852" s="8"/>
    </x:row>
    <x:row r="853">
      <x:c r="A853" s="8"/>
      <x:c r="B853" s="8"/>
      <x:c r="C853" s="8"/>
      <x:c r="D853" s="8"/>
      <x:c r="E853" s="8"/>
      <x:c r="F853" s="8"/>
      <x:c r="G853" s="8"/>
      <x:c r="H853" s="8"/>
      <x:c r="I853" s="8"/>
      <x:c r="J853" s="8"/>
      <x:c r="K853" s="8"/>
      <x:c r="L853" s="8"/>
      <x:c r="M853" s="8"/>
      <x:c r="N853" s="8"/>
      <x:c r="O853" s="8"/>
      <x:c r="P853" s="8"/>
      <x:c r="Q853" s="8"/>
      <x:c r="R853" s="8"/>
      <x:c r="S853" s="8"/>
      <x:c r="T853" s="8"/>
      <x:c r="U853" s="8"/>
      <x:c r="V853" s="8"/>
      <x:c r="W853" s="8"/>
      <x:c r="X853" s="8"/>
      <x:c r="Y853" s="8"/>
      <x:c r="Z853" s="8"/>
      <x:c r="AA853" s="8"/>
      <x:c r="AB853" s="8"/>
      <x:c r="AC853" s="9"/>
      <x:c r="AD853" s="8"/>
      <x:c r="AE853" s="8"/>
      <x:c r="AF853" s="8"/>
      <x:c r="AG853" s="8"/>
      <x:c r="AH853" s="8"/>
      <x:c r="AI853" s="8"/>
    </x:row>
    <x:row r="854">
      <x:c r="A854" s="8"/>
      <x:c r="B854" s="8"/>
      <x:c r="C854" s="8"/>
      <x:c r="D854" s="8"/>
      <x:c r="E854" s="8"/>
      <x:c r="F854" s="8"/>
      <x:c r="G854" s="8"/>
      <x:c r="H854" s="8"/>
      <x:c r="I854" s="8"/>
      <x:c r="J854" s="8"/>
      <x:c r="K854" s="8"/>
      <x:c r="L854" s="8"/>
      <x:c r="M854" s="8"/>
      <x:c r="N854" s="8"/>
      <x:c r="O854" s="8"/>
      <x:c r="P854" s="8"/>
      <x:c r="Q854" s="8"/>
      <x:c r="R854" s="8"/>
      <x:c r="S854" s="8"/>
      <x:c r="T854" s="8"/>
      <x:c r="U854" s="8"/>
      <x:c r="V854" s="8"/>
      <x:c r="W854" s="8"/>
      <x:c r="X854" s="8"/>
      <x:c r="Y854" s="8"/>
      <x:c r="Z854" s="8"/>
      <x:c r="AA854" s="8"/>
      <x:c r="AB854" s="8"/>
      <x:c r="AC854" s="9"/>
      <x:c r="AD854" s="8"/>
      <x:c r="AE854" s="8"/>
      <x:c r="AF854" s="8"/>
      <x:c r="AG854" s="8"/>
      <x:c r="AH854" s="8"/>
      <x:c r="AI854" s="8"/>
    </x:row>
    <x:row r="855">
      <x:c r="A855" s="8"/>
      <x:c r="B855" s="8"/>
      <x:c r="C855" s="8"/>
      <x:c r="D855" s="8"/>
      <x:c r="E855" s="8"/>
      <x:c r="F855" s="8"/>
      <x:c r="G855" s="8"/>
      <x:c r="H855" s="8"/>
      <x:c r="I855" s="8"/>
      <x:c r="J855" s="8"/>
      <x:c r="K855" s="8"/>
      <x:c r="L855" s="8"/>
      <x:c r="M855" s="8"/>
      <x:c r="N855" s="8"/>
      <x:c r="O855" s="8"/>
      <x:c r="P855" s="8"/>
      <x:c r="Q855" s="8"/>
      <x:c r="R855" s="8"/>
      <x:c r="S855" s="8"/>
      <x:c r="T855" s="8"/>
      <x:c r="U855" s="8"/>
      <x:c r="V855" s="8"/>
      <x:c r="W855" s="8"/>
      <x:c r="X855" s="8"/>
      <x:c r="Y855" s="8"/>
      <x:c r="Z855" s="8"/>
      <x:c r="AA855" s="8"/>
      <x:c r="AB855" s="8"/>
      <x:c r="AC855" s="9"/>
      <x:c r="AD855" s="8"/>
      <x:c r="AE855" s="8"/>
      <x:c r="AF855" s="8"/>
      <x:c r="AG855" s="8"/>
      <x:c r="AH855" s="8"/>
      <x:c r="AI855" s="8"/>
    </x:row>
    <x:row r="856">
      <x:c r="A856" s="8"/>
      <x:c r="B856" s="8"/>
      <x:c r="C856" s="8"/>
      <x:c r="D856" s="8"/>
      <x:c r="E856" s="8"/>
      <x:c r="F856" s="8"/>
      <x:c r="G856" s="8"/>
      <x:c r="H856" s="8"/>
      <x:c r="I856" s="8"/>
      <x:c r="J856" s="8"/>
      <x:c r="K856" s="8"/>
      <x:c r="L856" s="8"/>
      <x:c r="M856" s="8"/>
      <x:c r="N856" s="8"/>
      <x:c r="O856" s="8"/>
      <x:c r="P856" s="8"/>
      <x:c r="Q856" s="8"/>
      <x:c r="R856" s="8"/>
      <x:c r="S856" s="8"/>
      <x:c r="T856" s="8"/>
      <x:c r="U856" s="8"/>
      <x:c r="V856" s="8"/>
      <x:c r="W856" s="8"/>
      <x:c r="X856" s="8"/>
      <x:c r="Y856" s="8"/>
      <x:c r="Z856" s="8"/>
      <x:c r="AA856" s="8"/>
      <x:c r="AB856" s="8"/>
      <x:c r="AC856" s="9"/>
      <x:c r="AD856" s="8"/>
      <x:c r="AE856" s="8"/>
      <x:c r="AF856" s="8"/>
      <x:c r="AG856" s="8"/>
      <x:c r="AH856" s="8"/>
      <x:c r="AI856" s="8"/>
    </x:row>
    <x:row r="857">
      <x:c r="A857" s="8"/>
      <x:c r="B857" s="8"/>
      <x:c r="C857" s="8"/>
      <x:c r="D857" s="8"/>
      <x:c r="E857" s="8"/>
      <x:c r="F857" s="8"/>
      <x:c r="G857" s="8"/>
      <x:c r="H857" s="8"/>
      <x:c r="I857" s="8"/>
      <x:c r="J857" s="8"/>
      <x:c r="K857" s="8"/>
      <x:c r="L857" s="8"/>
      <x:c r="M857" s="8"/>
      <x:c r="N857" s="8"/>
      <x:c r="O857" s="8"/>
      <x:c r="P857" s="8"/>
      <x:c r="Q857" s="8"/>
      <x:c r="R857" s="8"/>
      <x:c r="S857" s="8"/>
      <x:c r="T857" s="8"/>
      <x:c r="U857" s="8"/>
      <x:c r="V857" s="8"/>
      <x:c r="W857" s="8"/>
      <x:c r="X857" s="8"/>
      <x:c r="Y857" s="8"/>
      <x:c r="Z857" s="8"/>
      <x:c r="AA857" s="8"/>
      <x:c r="AB857" s="8"/>
      <x:c r="AC857" s="9"/>
      <x:c r="AD857" s="8"/>
      <x:c r="AE857" s="8"/>
      <x:c r="AF857" s="8"/>
      <x:c r="AG857" s="8"/>
      <x:c r="AH857" s="8"/>
      <x:c r="AI857" s="8"/>
    </x:row>
    <x:row r="858">
      <x:c r="A858" s="8"/>
      <x:c r="B858" s="8"/>
      <x:c r="C858" s="8"/>
      <x:c r="D858" s="8"/>
      <x:c r="E858" s="8"/>
      <x:c r="F858" s="8"/>
      <x:c r="G858" s="8"/>
      <x:c r="H858" s="8"/>
      <x:c r="I858" s="8"/>
      <x:c r="J858" s="8"/>
      <x:c r="K858" s="8"/>
      <x:c r="L858" s="8"/>
      <x:c r="M858" s="8"/>
      <x:c r="N858" s="8"/>
      <x:c r="O858" s="8"/>
      <x:c r="P858" s="8"/>
      <x:c r="Q858" s="8"/>
      <x:c r="R858" s="8"/>
      <x:c r="S858" s="8"/>
      <x:c r="T858" s="8"/>
      <x:c r="U858" s="8"/>
      <x:c r="V858" s="8"/>
      <x:c r="W858" s="8"/>
      <x:c r="X858" s="8"/>
      <x:c r="Y858" s="8"/>
      <x:c r="Z858" s="8"/>
      <x:c r="AA858" s="8"/>
      <x:c r="AB858" s="8"/>
      <x:c r="AC858" s="9"/>
      <x:c r="AD858" s="8"/>
      <x:c r="AE858" s="8"/>
      <x:c r="AF858" s="8"/>
      <x:c r="AG858" s="8"/>
      <x:c r="AH858" s="8"/>
      <x:c r="AI858" s="8"/>
    </x:row>
    <x:row r="859">
      <x:c r="A859" s="8"/>
      <x:c r="B859" s="8"/>
      <x:c r="C859" s="8"/>
      <x:c r="D859" s="8"/>
      <x:c r="E859" s="8"/>
      <x:c r="F859" s="8"/>
      <x:c r="G859" s="8"/>
      <x:c r="H859" s="8"/>
      <x:c r="I859" s="8"/>
      <x:c r="J859" s="8"/>
      <x:c r="K859" s="8"/>
      <x:c r="L859" s="8"/>
      <x:c r="M859" s="8"/>
      <x:c r="N859" s="8"/>
      <x:c r="O859" s="8"/>
      <x:c r="P859" s="8"/>
      <x:c r="Q859" s="8"/>
      <x:c r="R859" s="8"/>
      <x:c r="S859" s="8"/>
      <x:c r="T859" s="8"/>
      <x:c r="U859" s="8"/>
      <x:c r="V859" s="8"/>
      <x:c r="W859" s="8"/>
      <x:c r="X859" s="8"/>
      <x:c r="Y859" s="8"/>
      <x:c r="Z859" s="8"/>
      <x:c r="AA859" s="8"/>
      <x:c r="AB859" s="8"/>
      <x:c r="AC859" s="9"/>
      <x:c r="AD859" s="8"/>
      <x:c r="AE859" s="8"/>
      <x:c r="AF859" s="8"/>
      <x:c r="AG859" s="8"/>
      <x:c r="AH859" s="8"/>
      <x:c r="AI859" s="8"/>
    </x:row>
    <x:row r="860">
      <x:c r="A860" s="8"/>
      <x:c r="B860" s="8"/>
      <x:c r="C860" s="8"/>
      <x:c r="D860" s="8"/>
      <x:c r="E860" s="8"/>
      <x:c r="F860" s="8"/>
      <x:c r="G860" s="8"/>
      <x:c r="H860" s="8"/>
      <x:c r="I860" s="8"/>
      <x:c r="J860" s="8"/>
      <x:c r="K860" s="8"/>
      <x:c r="L860" s="8"/>
      <x:c r="M860" s="8"/>
      <x:c r="N860" s="8"/>
      <x:c r="O860" s="8"/>
      <x:c r="P860" s="8"/>
      <x:c r="Q860" s="8"/>
      <x:c r="R860" s="8"/>
      <x:c r="S860" s="8"/>
      <x:c r="T860" s="8"/>
      <x:c r="U860" s="8"/>
      <x:c r="V860" s="8"/>
      <x:c r="W860" s="8"/>
      <x:c r="X860" s="8"/>
      <x:c r="Y860" s="8"/>
      <x:c r="Z860" s="8"/>
      <x:c r="AA860" s="8"/>
      <x:c r="AB860" s="8"/>
      <x:c r="AC860" s="9"/>
      <x:c r="AD860" s="8"/>
      <x:c r="AE860" s="8"/>
      <x:c r="AF860" s="8"/>
      <x:c r="AG860" s="8"/>
      <x:c r="AH860" s="8"/>
      <x:c r="AI860" s="8"/>
    </x:row>
    <x:row r="861">
      <x:c r="A861" s="8"/>
      <x:c r="B861" s="8"/>
      <x:c r="C861" s="8"/>
      <x:c r="D861" s="8"/>
      <x:c r="E861" s="8"/>
      <x:c r="F861" s="8"/>
      <x:c r="G861" s="8"/>
      <x:c r="H861" s="8"/>
      <x:c r="I861" s="8"/>
      <x:c r="J861" s="8"/>
      <x:c r="K861" s="8"/>
      <x:c r="L861" s="8"/>
      <x:c r="M861" s="8"/>
      <x:c r="N861" s="8"/>
      <x:c r="O861" s="8"/>
      <x:c r="P861" s="8"/>
      <x:c r="Q861" s="8"/>
      <x:c r="R861" s="8"/>
      <x:c r="S861" s="8"/>
      <x:c r="T861" s="8"/>
      <x:c r="U861" s="8"/>
      <x:c r="V861" s="8"/>
      <x:c r="W861" s="8"/>
      <x:c r="X861" s="8"/>
      <x:c r="Y861" s="8"/>
      <x:c r="Z861" s="8"/>
      <x:c r="AA861" s="8"/>
      <x:c r="AB861" s="8"/>
      <x:c r="AC861" s="9"/>
      <x:c r="AD861" s="8"/>
      <x:c r="AE861" s="8"/>
      <x:c r="AF861" s="8"/>
      <x:c r="AG861" s="8"/>
      <x:c r="AH861" s="8"/>
      <x:c r="AI861" s="8"/>
    </x:row>
    <x:row r="862">
      <x:c r="A862" s="8"/>
      <x:c r="B862" s="8"/>
      <x:c r="C862" s="8"/>
      <x:c r="D862" s="8"/>
      <x:c r="E862" s="8"/>
      <x:c r="F862" s="8"/>
      <x:c r="G862" s="8"/>
      <x:c r="H862" s="8"/>
      <x:c r="I862" s="8"/>
      <x:c r="J862" s="8"/>
      <x:c r="K862" s="8"/>
      <x:c r="L862" s="8"/>
      <x:c r="M862" s="8"/>
      <x:c r="N862" s="8"/>
      <x:c r="O862" s="8"/>
      <x:c r="P862" s="8"/>
      <x:c r="Q862" s="8"/>
      <x:c r="R862" s="8"/>
      <x:c r="S862" s="8"/>
      <x:c r="T862" s="8"/>
      <x:c r="U862" s="8"/>
      <x:c r="V862" s="8"/>
      <x:c r="W862" s="8"/>
      <x:c r="X862" s="8"/>
      <x:c r="Y862" s="8"/>
      <x:c r="Z862" s="8"/>
      <x:c r="AA862" s="8"/>
      <x:c r="AB862" s="8"/>
      <x:c r="AC862" s="9"/>
      <x:c r="AD862" s="8"/>
      <x:c r="AE862" s="8"/>
      <x:c r="AF862" s="8"/>
      <x:c r="AG862" s="8"/>
      <x:c r="AH862" s="8"/>
      <x:c r="AI862" s="8"/>
    </x:row>
    <x:row r="863">
      <x:c r="A863" s="8"/>
      <x:c r="B863" s="8"/>
      <x:c r="C863" s="8"/>
      <x:c r="D863" s="8"/>
      <x:c r="E863" s="8"/>
      <x:c r="F863" s="8"/>
      <x:c r="G863" s="8"/>
      <x:c r="H863" s="8"/>
      <x:c r="I863" s="8"/>
      <x:c r="J863" s="8"/>
      <x:c r="K863" s="8"/>
      <x:c r="L863" s="8"/>
      <x:c r="M863" s="8"/>
      <x:c r="N863" s="8"/>
      <x:c r="O863" s="8"/>
      <x:c r="P863" s="8"/>
      <x:c r="Q863" s="8"/>
      <x:c r="R863" s="8"/>
      <x:c r="S863" s="8"/>
      <x:c r="T863" s="8"/>
      <x:c r="U863" s="8"/>
      <x:c r="V863" s="8"/>
      <x:c r="W863" s="8"/>
      <x:c r="X863" s="8"/>
      <x:c r="Y863" s="8"/>
      <x:c r="Z863" s="8"/>
      <x:c r="AA863" s="8"/>
      <x:c r="AB863" s="8"/>
      <x:c r="AC863" s="9"/>
      <x:c r="AD863" s="8"/>
      <x:c r="AE863" s="8"/>
      <x:c r="AF863" s="8"/>
      <x:c r="AG863" s="8"/>
      <x:c r="AH863" s="8"/>
      <x:c r="AI863" s="8"/>
    </x:row>
    <x:row r="864">
      <x:c r="A864" s="8"/>
      <x:c r="B864" s="8"/>
      <x:c r="C864" s="8"/>
      <x:c r="D864" s="8"/>
      <x:c r="E864" s="8"/>
      <x:c r="F864" s="8"/>
      <x:c r="G864" s="8"/>
      <x:c r="H864" s="8"/>
      <x:c r="I864" s="8"/>
      <x:c r="J864" s="8"/>
      <x:c r="K864" s="8"/>
      <x:c r="L864" s="8"/>
      <x:c r="M864" s="8"/>
      <x:c r="N864" s="8"/>
      <x:c r="O864" s="8"/>
      <x:c r="P864" s="8"/>
      <x:c r="Q864" s="8"/>
      <x:c r="R864" s="8"/>
      <x:c r="S864" s="8"/>
      <x:c r="T864" s="8"/>
      <x:c r="U864" s="8"/>
      <x:c r="V864" s="8"/>
      <x:c r="W864" s="8"/>
      <x:c r="X864" s="8"/>
      <x:c r="Y864" s="8"/>
      <x:c r="Z864" s="8"/>
      <x:c r="AA864" s="8"/>
      <x:c r="AB864" s="8"/>
      <x:c r="AC864" s="9"/>
      <x:c r="AD864" s="8"/>
      <x:c r="AE864" s="8"/>
      <x:c r="AF864" s="8"/>
      <x:c r="AG864" s="8"/>
      <x:c r="AH864" s="8"/>
      <x:c r="AI864" s="8"/>
    </x:row>
    <x:row r="865">
      <x:c r="A865" s="8"/>
      <x:c r="B865" s="8"/>
      <x:c r="C865" s="8"/>
      <x:c r="D865" s="8"/>
      <x:c r="E865" s="8"/>
      <x:c r="F865" s="8"/>
      <x:c r="G865" s="8"/>
      <x:c r="H865" s="8"/>
      <x:c r="I865" s="8"/>
      <x:c r="J865" s="8"/>
      <x:c r="K865" s="8"/>
      <x:c r="L865" s="8"/>
      <x:c r="M865" s="8"/>
      <x:c r="N865" s="8"/>
      <x:c r="O865" s="8"/>
      <x:c r="P865" s="8"/>
      <x:c r="Q865" s="8"/>
      <x:c r="R865" s="8"/>
      <x:c r="S865" s="8"/>
      <x:c r="T865" s="8"/>
      <x:c r="U865" s="8"/>
      <x:c r="V865" s="8"/>
      <x:c r="W865" s="8"/>
      <x:c r="X865" s="8"/>
      <x:c r="Y865" s="8"/>
      <x:c r="Z865" s="8"/>
      <x:c r="AA865" s="8"/>
      <x:c r="AB865" s="8"/>
      <x:c r="AC865" s="9"/>
      <x:c r="AD865" s="8"/>
      <x:c r="AE865" s="8"/>
      <x:c r="AF865" s="8"/>
      <x:c r="AG865" s="8"/>
      <x:c r="AH865" s="8"/>
      <x:c r="AI865" s="8"/>
    </x:row>
    <x:row r="866">
      <x:c r="A866" s="8"/>
      <x:c r="B866" s="8"/>
      <x:c r="C866" s="8"/>
      <x:c r="D866" s="8"/>
      <x:c r="E866" s="8"/>
      <x:c r="F866" s="8"/>
      <x:c r="G866" s="8"/>
      <x:c r="H866" s="8"/>
      <x:c r="I866" s="8"/>
      <x:c r="J866" s="8"/>
      <x:c r="K866" s="8"/>
      <x:c r="L866" s="8"/>
      <x:c r="M866" s="8"/>
      <x:c r="N866" s="8"/>
      <x:c r="O866" s="8"/>
      <x:c r="P866" s="8"/>
      <x:c r="Q866" s="8"/>
      <x:c r="R866" s="8"/>
      <x:c r="S866" s="8"/>
      <x:c r="T866" s="8"/>
      <x:c r="U866" s="8"/>
      <x:c r="V866" s="8"/>
      <x:c r="W866" s="8"/>
      <x:c r="X866" s="8"/>
      <x:c r="Y866" s="8"/>
      <x:c r="Z866" s="8"/>
      <x:c r="AA866" s="8"/>
      <x:c r="AB866" s="8"/>
      <x:c r="AC866" s="9"/>
      <x:c r="AD866" s="8"/>
      <x:c r="AE866" s="8"/>
      <x:c r="AF866" s="8"/>
      <x:c r="AG866" s="8"/>
      <x:c r="AH866" s="8"/>
      <x:c r="AI866" s="8"/>
    </x:row>
    <x:row r="867">
      <x:c r="A867" s="8"/>
      <x:c r="B867" s="8"/>
      <x:c r="C867" s="8"/>
      <x:c r="D867" s="8"/>
      <x:c r="E867" s="8"/>
      <x:c r="F867" s="8"/>
      <x:c r="G867" s="8"/>
      <x:c r="H867" s="8"/>
      <x:c r="I867" s="8"/>
      <x:c r="J867" s="8"/>
      <x:c r="K867" s="8"/>
      <x:c r="L867" s="8"/>
      <x:c r="M867" s="8"/>
      <x:c r="N867" s="8"/>
      <x:c r="O867" s="8"/>
      <x:c r="P867" s="8"/>
      <x:c r="Q867" s="8"/>
      <x:c r="R867" s="8"/>
      <x:c r="S867" s="8"/>
      <x:c r="T867" s="8"/>
      <x:c r="U867" s="8"/>
      <x:c r="V867" s="8"/>
      <x:c r="W867" s="8"/>
      <x:c r="X867" s="8"/>
      <x:c r="Y867" s="8"/>
      <x:c r="Z867" s="8"/>
      <x:c r="AA867" s="8"/>
      <x:c r="AB867" s="8"/>
      <x:c r="AC867" s="9"/>
      <x:c r="AD867" s="8"/>
      <x:c r="AE867" s="8"/>
      <x:c r="AF867" s="8"/>
      <x:c r="AG867" s="8"/>
      <x:c r="AH867" s="8"/>
      <x:c r="AI867" s="8"/>
    </x:row>
    <x:row r="868">
      <x:c r="A868" s="8"/>
      <x:c r="B868" s="8"/>
      <x:c r="C868" s="8"/>
      <x:c r="D868" s="8"/>
      <x:c r="E868" s="8"/>
      <x:c r="F868" s="8"/>
      <x:c r="G868" s="8"/>
      <x:c r="H868" s="8"/>
      <x:c r="I868" s="8"/>
      <x:c r="J868" s="8"/>
      <x:c r="K868" s="8"/>
      <x:c r="L868" s="8"/>
      <x:c r="M868" s="8"/>
      <x:c r="N868" s="8"/>
      <x:c r="O868" s="8"/>
      <x:c r="P868" s="8"/>
      <x:c r="Q868" s="8"/>
      <x:c r="R868" s="8"/>
      <x:c r="S868" s="8"/>
      <x:c r="T868" s="8"/>
      <x:c r="U868" s="8"/>
      <x:c r="V868" s="8"/>
      <x:c r="W868" s="8"/>
      <x:c r="X868" s="8"/>
      <x:c r="Y868" s="8"/>
      <x:c r="Z868" s="8"/>
      <x:c r="AA868" s="8"/>
      <x:c r="AB868" s="8"/>
      <x:c r="AC868" s="9"/>
      <x:c r="AD868" s="8"/>
      <x:c r="AE868" s="8"/>
      <x:c r="AF868" s="8"/>
      <x:c r="AG868" s="8"/>
      <x:c r="AH868" s="8"/>
      <x:c r="AI868" s="8"/>
    </x:row>
    <x:row r="869">
      <x:c r="A869" s="8"/>
      <x:c r="B869" s="8"/>
      <x:c r="C869" s="8"/>
      <x:c r="D869" s="8"/>
      <x:c r="E869" s="8"/>
      <x:c r="F869" s="8"/>
      <x:c r="G869" s="8"/>
      <x:c r="H869" s="8"/>
      <x:c r="I869" s="8"/>
      <x:c r="J869" s="8"/>
      <x:c r="K869" s="8"/>
      <x:c r="L869" s="8"/>
      <x:c r="M869" s="8"/>
      <x:c r="N869" s="8"/>
      <x:c r="O869" s="8"/>
      <x:c r="P869" s="8"/>
      <x:c r="Q869" s="8"/>
      <x:c r="R869" s="8"/>
      <x:c r="S869" s="8"/>
      <x:c r="T869" s="8"/>
      <x:c r="U869" s="8"/>
      <x:c r="V869" s="8"/>
      <x:c r="W869" s="8"/>
      <x:c r="X869" s="8"/>
      <x:c r="Y869" s="8"/>
      <x:c r="Z869" s="8"/>
      <x:c r="AA869" s="8"/>
      <x:c r="AB869" s="8"/>
      <x:c r="AC869" s="9"/>
      <x:c r="AD869" s="8"/>
      <x:c r="AE869" s="8"/>
      <x:c r="AF869" s="8"/>
      <x:c r="AG869" s="8"/>
      <x:c r="AH869" s="8"/>
      <x:c r="AI869" s="8"/>
    </x:row>
    <x:row r="870">
      <x:c r="A870" s="8"/>
      <x:c r="B870" s="8"/>
      <x:c r="C870" s="8"/>
      <x:c r="D870" s="8"/>
      <x:c r="E870" s="8"/>
      <x:c r="F870" s="8"/>
      <x:c r="G870" s="8"/>
      <x:c r="H870" s="8"/>
      <x:c r="I870" s="8"/>
      <x:c r="J870" s="8"/>
      <x:c r="K870" s="8"/>
      <x:c r="L870" s="8"/>
      <x:c r="M870" s="8"/>
      <x:c r="N870" s="8"/>
      <x:c r="O870" s="8"/>
      <x:c r="P870" s="8"/>
      <x:c r="Q870" s="8"/>
      <x:c r="R870" s="8"/>
      <x:c r="S870" s="8"/>
      <x:c r="T870" s="8"/>
      <x:c r="U870" s="8"/>
      <x:c r="V870" s="8"/>
      <x:c r="W870" s="8"/>
      <x:c r="X870" s="8"/>
      <x:c r="Y870" s="8"/>
      <x:c r="Z870" s="8"/>
      <x:c r="AA870" s="8"/>
      <x:c r="AB870" s="8"/>
      <x:c r="AC870" s="9"/>
      <x:c r="AD870" s="8"/>
      <x:c r="AE870" s="8"/>
      <x:c r="AF870" s="8"/>
      <x:c r="AG870" s="8"/>
      <x:c r="AH870" s="8"/>
      <x:c r="AI870" s="8"/>
    </x:row>
    <x:row r="871">
      <x:c r="A871" s="8"/>
      <x:c r="B871" s="8"/>
      <x:c r="C871" s="8"/>
      <x:c r="D871" s="8"/>
      <x:c r="E871" s="8"/>
      <x:c r="F871" s="8"/>
      <x:c r="G871" s="8"/>
      <x:c r="H871" s="8"/>
      <x:c r="I871" s="8"/>
      <x:c r="J871" s="8"/>
      <x:c r="K871" s="8"/>
      <x:c r="L871" s="8"/>
      <x:c r="M871" s="8"/>
      <x:c r="N871" s="8"/>
      <x:c r="O871" s="8"/>
      <x:c r="P871" s="8"/>
      <x:c r="Q871" s="8"/>
      <x:c r="R871" s="8"/>
      <x:c r="S871" s="8"/>
      <x:c r="T871" s="8"/>
      <x:c r="U871" s="8"/>
      <x:c r="V871" s="8"/>
      <x:c r="W871" s="8"/>
      <x:c r="X871" s="8"/>
      <x:c r="Y871" s="8"/>
      <x:c r="Z871" s="8"/>
      <x:c r="AA871" s="8"/>
      <x:c r="AB871" s="8"/>
      <x:c r="AC871" s="9"/>
      <x:c r="AD871" s="8"/>
      <x:c r="AE871" s="8"/>
      <x:c r="AF871" s="8"/>
      <x:c r="AG871" s="8"/>
      <x:c r="AH871" s="8"/>
      <x:c r="AI871" s="8"/>
    </x:row>
    <x:row r="872">
      <x:c r="A872" s="8"/>
      <x:c r="B872" s="8"/>
      <x:c r="C872" s="8"/>
      <x:c r="D872" s="8"/>
      <x:c r="E872" s="8"/>
      <x:c r="F872" s="8"/>
      <x:c r="G872" s="8"/>
      <x:c r="H872" s="8"/>
      <x:c r="I872" s="8"/>
      <x:c r="J872" s="8"/>
      <x:c r="K872" s="8"/>
      <x:c r="L872" s="8"/>
      <x:c r="M872" s="8"/>
      <x:c r="N872" s="8"/>
      <x:c r="O872" s="8"/>
      <x:c r="P872" s="8"/>
      <x:c r="Q872" s="8"/>
      <x:c r="R872" s="8"/>
      <x:c r="S872" s="8"/>
      <x:c r="T872" s="8"/>
      <x:c r="U872" s="8"/>
      <x:c r="V872" s="8"/>
      <x:c r="W872" s="8"/>
      <x:c r="X872" s="8"/>
      <x:c r="Y872" s="8"/>
      <x:c r="Z872" s="8"/>
      <x:c r="AA872" s="8"/>
      <x:c r="AB872" s="8"/>
      <x:c r="AC872" s="9"/>
      <x:c r="AD872" s="8"/>
      <x:c r="AE872" s="8"/>
      <x:c r="AF872" s="8"/>
      <x:c r="AG872" s="8"/>
      <x:c r="AH872" s="8"/>
      <x:c r="AI872" s="8"/>
    </x:row>
    <x:row r="873">
      <x:c r="A873" s="8"/>
      <x:c r="B873" s="8"/>
      <x:c r="C873" s="8"/>
      <x:c r="D873" s="8"/>
      <x:c r="E873" s="8"/>
      <x:c r="F873" s="8"/>
      <x:c r="G873" s="8"/>
      <x:c r="H873" s="8"/>
      <x:c r="I873" s="8"/>
      <x:c r="J873" s="8"/>
      <x:c r="K873" s="8"/>
      <x:c r="L873" s="8"/>
      <x:c r="M873" s="8"/>
      <x:c r="N873" s="8"/>
      <x:c r="O873" s="8"/>
      <x:c r="P873" s="8"/>
      <x:c r="Q873" s="8"/>
      <x:c r="R873" s="8"/>
      <x:c r="S873" s="8"/>
      <x:c r="T873" s="8"/>
      <x:c r="U873" s="8"/>
      <x:c r="V873" s="8"/>
      <x:c r="W873" s="8"/>
      <x:c r="X873" s="8"/>
      <x:c r="Y873" s="8"/>
      <x:c r="Z873" s="8"/>
      <x:c r="AA873" s="8"/>
      <x:c r="AB873" s="8"/>
      <x:c r="AC873" s="9"/>
      <x:c r="AD873" s="8"/>
      <x:c r="AE873" s="8"/>
      <x:c r="AF873" s="8"/>
      <x:c r="AG873" s="8"/>
      <x:c r="AH873" s="8"/>
      <x:c r="AI873" s="8"/>
    </x:row>
    <x:row r="874">
      <x:c r="A874" s="8"/>
      <x:c r="B874" s="8"/>
      <x:c r="C874" s="8"/>
      <x:c r="D874" s="8"/>
      <x:c r="E874" s="8"/>
      <x:c r="F874" s="8"/>
      <x:c r="G874" s="8"/>
      <x:c r="H874" s="8"/>
      <x:c r="I874" s="8"/>
      <x:c r="J874" s="8"/>
      <x:c r="K874" s="8"/>
      <x:c r="L874" s="8"/>
      <x:c r="M874" s="8"/>
      <x:c r="N874" s="8"/>
      <x:c r="O874" s="8"/>
      <x:c r="P874" s="8"/>
      <x:c r="Q874" s="8"/>
      <x:c r="R874" s="8"/>
      <x:c r="S874" s="8"/>
      <x:c r="T874" s="8"/>
      <x:c r="U874" s="8"/>
      <x:c r="V874" s="8"/>
      <x:c r="W874" s="8"/>
      <x:c r="X874" s="8"/>
      <x:c r="Y874" s="8"/>
      <x:c r="Z874" s="8"/>
      <x:c r="AA874" s="8"/>
      <x:c r="AB874" s="8"/>
      <x:c r="AC874" s="9"/>
      <x:c r="AD874" s="8"/>
      <x:c r="AE874" s="8"/>
      <x:c r="AF874" s="8"/>
      <x:c r="AG874" s="8"/>
      <x:c r="AH874" s="8"/>
      <x:c r="AI874" s="8"/>
    </x:row>
    <x:row r="875">
      <x:c r="A875" s="8"/>
      <x:c r="B875" s="8"/>
      <x:c r="C875" s="8"/>
      <x:c r="D875" s="8"/>
      <x:c r="E875" s="8"/>
      <x:c r="F875" s="8"/>
      <x:c r="G875" s="8"/>
      <x:c r="H875" s="8"/>
      <x:c r="I875" s="8"/>
      <x:c r="J875" s="8"/>
      <x:c r="K875" s="8"/>
      <x:c r="L875" s="8"/>
      <x:c r="M875" s="8"/>
      <x:c r="N875" s="8"/>
      <x:c r="O875" s="8"/>
      <x:c r="P875" s="8"/>
      <x:c r="Q875" s="8"/>
      <x:c r="R875" s="8"/>
      <x:c r="S875" s="8"/>
      <x:c r="T875" s="8"/>
      <x:c r="U875" s="8"/>
      <x:c r="V875" s="8"/>
      <x:c r="W875" s="8"/>
      <x:c r="X875" s="8"/>
      <x:c r="Y875" s="8"/>
      <x:c r="Z875" s="8"/>
      <x:c r="AA875" s="8"/>
      <x:c r="AB875" s="8"/>
      <x:c r="AC875" s="9"/>
      <x:c r="AD875" s="8"/>
      <x:c r="AE875" s="8"/>
      <x:c r="AF875" s="8"/>
      <x:c r="AG875" s="8"/>
      <x:c r="AH875" s="8"/>
      <x:c r="AI875" s="8"/>
    </x:row>
    <x:row r="876">
      <x:c r="A876" s="8"/>
      <x:c r="B876" s="8"/>
      <x:c r="C876" s="8"/>
      <x:c r="D876" s="8"/>
      <x:c r="E876" s="8"/>
      <x:c r="F876" s="8"/>
      <x:c r="G876" s="8"/>
      <x:c r="H876" s="8"/>
      <x:c r="I876" s="8"/>
      <x:c r="J876" s="8"/>
      <x:c r="K876" s="8"/>
      <x:c r="L876" s="8"/>
      <x:c r="M876" s="8"/>
      <x:c r="N876" s="8"/>
      <x:c r="O876" s="8"/>
      <x:c r="P876" s="8"/>
      <x:c r="Q876" s="8"/>
      <x:c r="R876" s="8"/>
      <x:c r="S876" s="8"/>
      <x:c r="T876" s="8"/>
      <x:c r="U876" s="8"/>
      <x:c r="V876" s="8"/>
      <x:c r="W876" s="8"/>
      <x:c r="X876" s="8"/>
      <x:c r="Y876" s="8"/>
      <x:c r="Z876" s="8"/>
      <x:c r="AA876" s="8"/>
      <x:c r="AB876" s="8"/>
      <x:c r="AC876" s="9"/>
      <x:c r="AD876" s="8"/>
      <x:c r="AE876" s="8"/>
      <x:c r="AF876" s="8"/>
      <x:c r="AG876" s="8"/>
      <x:c r="AH876" s="8"/>
      <x:c r="AI876" s="8"/>
    </x:row>
    <x:row r="877">
      <x:c r="A877" s="8"/>
      <x:c r="B877" s="8"/>
      <x:c r="C877" s="8"/>
      <x:c r="D877" s="8"/>
      <x:c r="E877" s="8"/>
      <x:c r="F877" s="8"/>
      <x:c r="G877" s="8"/>
      <x:c r="H877" s="8"/>
      <x:c r="I877" s="8"/>
      <x:c r="J877" s="8"/>
      <x:c r="K877" s="8"/>
      <x:c r="L877" s="8"/>
      <x:c r="M877" s="8"/>
      <x:c r="N877" s="8"/>
      <x:c r="O877" s="8"/>
      <x:c r="P877" s="8"/>
      <x:c r="Q877" s="8"/>
      <x:c r="R877" s="8"/>
      <x:c r="S877" s="8"/>
      <x:c r="T877" s="8"/>
      <x:c r="U877" s="8"/>
      <x:c r="V877" s="8"/>
      <x:c r="W877" s="8"/>
      <x:c r="X877" s="8"/>
      <x:c r="Y877" s="8"/>
      <x:c r="Z877" s="8"/>
      <x:c r="AA877" s="8"/>
      <x:c r="AB877" s="8"/>
      <x:c r="AC877" s="9"/>
      <x:c r="AD877" s="8"/>
      <x:c r="AE877" s="8"/>
      <x:c r="AF877" s="8"/>
      <x:c r="AG877" s="8"/>
      <x:c r="AH877" s="8"/>
      <x:c r="AI877" s="8"/>
    </x:row>
    <x:row r="878">
      <x:c r="A878" s="8"/>
      <x:c r="B878" s="8"/>
      <x:c r="C878" s="8"/>
      <x:c r="D878" s="8"/>
      <x:c r="E878" s="8"/>
      <x:c r="F878" s="8"/>
      <x:c r="G878" s="8"/>
      <x:c r="H878" s="8"/>
      <x:c r="I878" s="8"/>
      <x:c r="J878" s="8"/>
      <x:c r="K878" s="8"/>
      <x:c r="L878" s="8"/>
      <x:c r="M878" s="8"/>
      <x:c r="N878" s="8"/>
      <x:c r="O878" s="8"/>
      <x:c r="P878" s="8"/>
      <x:c r="Q878" s="8"/>
      <x:c r="R878" s="8"/>
      <x:c r="S878" s="8"/>
      <x:c r="T878" s="8"/>
      <x:c r="U878" s="8"/>
      <x:c r="V878" s="8"/>
      <x:c r="W878" s="8"/>
      <x:c r="X878" s="8"/>
      <x:c r="Y878" s="8"/>
      <x:c r="Z878" s="8"/>
      <x:c r="AA878" s="8"/>
      <x:c r="AB878" s="8"/>
      <x:c r="AC878" s="9"/>
      <x:c r="AD878" s="8"/>
      <x:c r="AE878" s="8"/>
      <x:c r="AF878" s="8"/>
      <x:c r="AG878" s="8"/>
      <x:c r="AH878" s="8"/>
      <x:c r="AI878" s="8"/>
    </x:row>
    <x:row r="879">
      <x:c r="A879" s="8"/>
      <x:c r="B879" s="8"/>
      <x:c r="C879" s="8"/>
      <x:c r="D879" s="8"/>
      <x:c r="E879" s="8"/>
      <x:c r="F879" s="8"/>
      <x:c r="G879" s="8"/>
      <x:c r="H879" s="8"/>
      <x:c r="I879" s="8"/>
      <x:c r="J879" s="8"/>
      <x:c r="K879" s="8"/>
      <x:c r="L879" s="8"/>
      <x:c r="M879" s="8"/>
      <x:c r="N879" s="8"/>
      <x:c r="O879" s="8"/>
      <x:c r="P879" s="8"/>
      <x:c r="Q879" s="8"/>
      <x:c r="R879" s="8"/>
      <x:c r="S879" s="8"/>
      <x:c r="T879" s="8"/>
      <x:c r="U879" s="8"/>
      <x:c r="V879" s="8"/>
      <x:c r="W879" s="8"/>
      <x:c r="X879" s="8"/>
      <x:c r="Y879" s="8"/>
      <x:c r="Z879" s="8"/>
      <x:c r="AA879" s="8"/>
      <x:c r="AB879" s="8"/>
      <x:c r="AC879" s="9"/>
      <x:c r="AD879" s="8"/>
      <x:c r="AE879" s="8"/>
      <x:c r="AF879" s="8"/>
      <x:c r="AG879" s="8"/>
      <x:c r="AH879" s="8"/>
      <x:c r="AI879" s="8"/>
    </x:row>
    <x:row r="880">
      <x:c r="A880" s="8"/>
      <x:c r="B880" s="8"/>
      <x:c r="C880" s="8"/>
      <x:c r="D880" s="8"/>
      <x:c r="E880" s="8"/>
      <x:c r="F880" s="8"/>
      <x:c r="G880" s="8"/>
      <x:c r="H880" s="8"/>
      <x:c r="I880" s="8"/>
      <x:c r="J880" s="8"/>
      <x:c r="K880" s="8"/>
      <x:c r="L880" s="8"/>
      <x:c r="M880" s="8"/>
      <x:c r="N880" s="8"/>
      <x:c r="O880" s="8"/>
      <x:c r="P880" s="8"/>
      <x:c r="Q880" s="8"/>
      <x:c r="R880" s="8"/>
      <x:c r="S880" s="8"/>
      <x:c r="T880" s="8"/>
      <x:c r="U880" s="8"/>
      <x:c r="V880" s="8"/>
      <x:c r="W880" s="8"/>
      <x:c r="X880" s="8"/>
      <x:c r="Y880" s="8"/>
      <x:c r="Z880" s="8"/>
      <x:c r="AA880" s="8"/>
      <x:c r="AB880" s="8"/>
      <x:c r="AC880" s="9"/>
      <x:c r="AD880" s="8"/>
      <x:c r="AE880" s="8"/>
      <x:c r="AF880" s="8"/>
      <x:c r="AG880" s="8"/>
      <x:c r="AH880" s="8"/>
      <x:c r="AI880" s="8"/>
    </x:row>
    <x:row r="881">
      <x:c r="A881" s="8"/>
      <x:c r="B881" s="8"/>
      <x:c r="C881" s="8"/>
      <x:c r="D881" s="8"/>
      <x:c r="E881" s="8"/>
      <x:c r="F881" s="8"/>
      <x:c r="G881" s="8"/>
      <x:c r="H881" s="8"/>
      <x:c r="I881" s="8"/>
      <x:c r="J881" s="8"/>
      <x:c r="K881" s="8"/>
      <x:c r="L881" s="8"/>
      <x:c r="M881" s="8"/>
      <x:c r="N881" s="8"/>
      <x:c r="O881" s="8"/>
      <x:c r="P881" s="8"/>
      <x:c r="Q881" s="8"/>
      <x:c r="R881" s="8"/>
      <x:c r="S881" s="8"/>
      <x:c r="T881" s="8"/>
      <x:c r="U881" s="8"/>
      <x:c r="V881" s="8"/>
      <x:c r="W881" s="8"/>
      <x:c r="X881" s="8"/>
      <x:c r="Y881" s="8"/>
      <x:c r="Z881" s="8"/>
      <x:c r="AA881" s="8"/>
      <x:c r="AB881" s="8"/>
      <x:c r="AC881" s="9"/>
      <x:c r="AD881" s="8"/>
      <x:c r="AE881" s="8"/>
      <x:c r="AF881" s="8"/>
      <x:c r="AG881" s="8"/>
      <x:c r="AH881" s="8"/>
      <x:c r="AI881" s="8"/>
    </x:row>
    <x:row r="882">
      <x:c r="A882" s="8"/>
      <x:c r="B882" s="8"/>
      <x:c r="C882" s="8"/>
      <x:c r="D882" s="8"/>
      <x:c r="E882" s="8"/>
      <x:c r="F882" s="8"/>
      <x:c r="G882" s="8"/>
      <x:c r="H882" s="8"/>
      <x:c r="I882" s="8"/>
      <x:c r="J882" s="8"/>
      <x:c r="K882" s="8"/>
      <x:c r="L882" s="8"/>
      <x:c r="M882" s="8"/>
      <x:c r="N882" s="8"/>
      <x:c r="O882" s="8"/>
      <x:c r="P882" s="8"/>
      <x:c r="Q882" s="8"/>
      <x:c r="R882" s="8"/>
      <x:c r="S882" s="8"/>
      <x:c r="T882" s="8"/>
      <x:c r="U882" s="8"/>
      <x:c r="V882" s="8"/>
      <x:c r="W882" s="8"/>
      <x:c r="X882" s="8"/>
      <x:c r="Y882" s="8"/>
      <x:c r="Z882" s="8"/>
      <x:c r="AA882" s="8"/>
      <x:c r="AB882" s="8"/>
      <x:c r="AC882" s="9"/>
      <x:c r="AD882" s="8"/>
      <x:c r="AE882" s="8"/>
      <x:c r="AF882" s="8"/>
      <x:c r="AG882" s="8"/>
      <x:c r="AH882" s="8"/>
      <x:c r="AI882" s="8"/>
    </x:row>
    <x:row r="883">
      <x:c r="A883" s="8"/>
      <x:c r="B883" s="8"/>
      <x:c r="C883" s="8"/>
      <x:c r="D883" s="8"/>
      <x:c r="E883" s="8"/>
      <x:c r="F883" s="8"/>
      <x:c r="G883" s="8"/>
      <x:c r="H883" s="8"/>
      <x:c r="I883" s="8"/>
      <x:c r="J883" s="8"/>
      <x:c r="K883" s="8"/>
      <x:c r="L883" s="8"/>
      <x:c r="M883" s="8"/>
      <x:c r="N883" s="8"/>
      <x:c r="O883" s="8"/>
      <x:c r="P883" s="8"/>
      <x:c r="Q883" s="8"/>
      <x:c r="R883" s="8"/>
      <x:c r="S883" s="8"/>
      <x:c r="T883" s="8"/>
      <x:c r="U883" s="8"/>
      <x:c r="V883" s="8"/>
      <x:c r="W883" s="8"/>
      <x:c r="X883" s="8"/>
      <x:c r="Y883" s="8"/>
      <x:c r="Z883" s="8"/>
      <x:c r="AA883" s="8"/>
      <x:c r="AB883" s="8"/>
      <x:c r="AC883" s="9"/>
      <x:c r="AD883" s="8"/>
      <x:c r="AE883" s="8"/>
      <x:c r="AF883" s="8"/>
      <x:c r="AG883" s="8"/>
      <x:c r="AH883" s="8"/>
      <x:c r="AI883" s="8"/>
    </x:row>
    <x:row r="884">
      <x:c r="A884" s="8"/>
      <x:c r="B884" s="8"/>
      <x:c r="C884" s="8"/>
      <x:c r="D884" s="8"/>
      <x:c r="E884" s="8"/>
      <x:c r="F884" s="8"/>
      <x:c r="G884" s="8"/>
      <x:c r="H884" s="8"/>
      <x:c r="I884" s="8"/>
      <x:c r="J884" s="8"/>
      <x:c r="K884" s="8"/>
      <x:c r="L884" s="8"/>
      <x:c r="M884" s="8"/>
      <x:c r="N884" s="8"/>
      <x:c r="O884" s="8"/>
      <x:c r="P884" s="8"/>
      <x:c r="Q884" s="8"/>
      <x:c r="R884" s="8"/>
      <x:c r="S884" s="8"/>
      <x:c r="T884" s="8"/>
      <x:c r="U884" s="8"/>
      <x:c r="V884" s="8"/>
      <x:c r="W884" s="8"/>
      <x:c r="X884" s="8"/>
      <x:c r="Y884" s="8"/>
      <x:c r="Z884" s="8"/>
      <x:c r="AA884" s="8"/>
      <x:c r="AB884" s="8"/>
      <x:c r="AC884" s="9"/>
      <x:c r="AD884" s="8"/>
      <x:c r="AE884" s="8"/>
      <x:c r="AF884" s="8"/>
      <x:c r="AG884" s="8"/>
      <x:c r="AH884" s="8"/>
      <x:c r="AI884" s="8"/>
    </x:row>
    <x:row r="885">
      <x:c r="A885" s="8"/>
      <x:c r="B885" s="8"/>
      <x:c r="C885" s="8"/>
      <x:c r="D885" s="8"/>
      <x:c r="E885" s="8"/>
      <x:c r="F885" s="8"/>
      <x:c r="G885" s="8"/>
      <x:c r="H885" s="8"/>
      <x:c r="I885" s="8"/>
      <x:c r="J885" s="8"/>
      <x:c r="K885" s="8"/>
      <x:c r="L885" s="8"/>
      <x:c r="M885" s="8"/>
      <x:c r="N885" s="8"/>
      <x:c r="O885" s="8"/>
      <x:c r="P885" s="8"/>
      <x:c r="Q885" s="8"/>
      <x:c r="R885" s="8"/>
      <x:c r="S885" s="8"/>
      <x:c r="T885" s="8"/>
      <x:c r="U885" s="8"/>
      <x:c r="V885" s="8"/>
      <x:c r="W885" s="8"/>
      <x:c r="X885" s="8"/>
      <x:c r="Y885" s="8"/>
      <x:c r="Z885" s="8"/>
      <x:c r="AA885" s="8"/>
      <x:c r="AB885" s="8"/>
      <x:c r="AC885" s="9"/>
      <x:c r="AD885" s="8"/>
      <x:c r="AE885" s="8"/>
      <x:c r="AF885" s="8"/>
      <x:c r="AG885" s="8"/>
      <x:c r="AH885" s="8"/>
      <x:c r="AI885" s="8"/>
    </x:row>
    <x:row r="886">
      <x:c r="A886" s="8"/>
      <x:c r="B886" s="8"/>
      <x:c r="C886" s="8"/>
      <x:c r="D886" s="8"/>
      <x:c r="E886" s="8"/>
      <x:c r="F886" s="8"/>
      <x:c r="G886" s="8"/>
      <x:c r="H886" s="8"/>
      <x:c r="I886" s="8"/>
      <x:c r="J886" s="8"/>
      <x:c r="K886" s="8"/>
      <x:c r="L886" s="8"/>
      <x:c r="M886" s="8"/>
      <x:c r="N886" s="8"/>
      <x:c r="O886" s="8"/>
      <x:c r="P886" s="8"/>
      <x:c r="Q886" s="8"/>
      <x:c r="R886" s="8"/>
      <x:c r="S886" s="8"/>
      <x:c r="T886" s="8"/>
      <x:c r="U886" s="8"/>
      <x:c r="V886" s="8"/>
      <x:c r="W886" s="8"/>
      <x:c r="X886" s="8"/>
      <x:c r="Y886" s="8"/>
      <x:c r="Z886" s="8"/>
      <x:c r="AA886" s="8"/>
      <x:c r="AB886" s="8"/>
      <x:c r="AC886" s="9"/>
      <x:c r="AD886" s="8"/>
      <x:c r="AE886" s="8"/>
      <x:c r="AF886" s="8"/>
      <x:c r="AG886" s="8"/>
      <x:c r="AH886" s="8"/>
      <x:c r="AI886" s="8"/>
    </x:row>
    <x:row r="887">
      <x:c r="A887" s="8"/>
      <x:c r="B887" s="8"/>
      <x:c r="C887" s="8"/>
      <x:c r="D887" s="8"/>
      <x:c r="E887" s="8"/>
      <x:c r="F887" s="8"/>
      <x:c r="G887" s="8"/>
      <x:c r="H887" s="8"/>
      <x:c r="I887" s="8"/>
      <x:c r="J887" s="8"/>
      <x:c r="K887" s="8"/>
      <x:c r="L887" s="8"/>
      <x:c r="M887" s="8"/>
      <x:c r="N887" s="8"/>
      <x:c r="O887" s="8"/>
      <x:c r="P887" s="8"/>
      <x:c r="Q887" s="8"/>
      <x:c r="R887" s="8"/>
      <x:c r="S887" s="8"/>
      <x:c r="T887" s="8"/>
      <x:c r="U887" s="8"/>
      <x:c r="V887" s="8"/>
      <x:c r="W887" s="8"/>
      <x:c r="X887" s="8"/>
      <x:c r="Y887" s="8"/>
      <x:c r="Z887" s="8"/>
      <x:c r="AA887" s="8"/>
      <x:c r="AB887" s="8"/>
      <x:c r="AC887" s="9"/>
      <x:c r="AD887" s="8"/>
      <x:c r="AE887" s="8"/>
      <x:c r="AF887" s="8"/>
      <x:c r="AG887" s="8"/>
      <x:c r="AH887" s="8"/>
      <x:c r="AI887" s="8"/>
    </x:row>
    <x:row r="888">
      <x:c r="A888" s="8"/>
      <x:c r="B888" s="8"/>
      <x:c r="C888" s="8"/>
      <x:c r="D888" s="8"/>
      <x:c r="E888" s="8"/>
      <x:c r="F888" s="8"/>
      <x:c r="G888" s="8"/>
      <x:c r="H888" s="8"/>
      <x:c r="I888" s="8"/>
      <x:c r="J888" s="8"/>
      <x:c r="K888" s="8"/>
      <x:c r="L888" s="8"/>
      <x:c r="M888" s="8"/>
      <x:c r="N888" s="8"/>
      <x:c r="O888" s="8"/>
      <x:c r="P888" s="8"/>
      <x:c r="Q888" s="8"/>
      <x:c r="R888" s="8"/>
      <x:c r="S888" s="8"/>
      <x:c r="T888" s="8"/>
      <x:c r="U888" s="8"/>
      <x:c r="V888" s="8"/>
      <x:c r="W888" s="8"/>
      <x:c r="X888" s="8"/>
      <x:c r="Y888" s="8"/>
      <x:c r="Z888" s="8"/>
      <x:c r="AA888" s="8"/>
      <x:c r="AB888" s="8"/>
      <x:c r="AC888" s="9"/>
      <x:c r="AD888" s="8"/>
      <x:c r="AE888" s="8"/>
      <x:c r="AF888" s="8"/>
      <x:c r="AG888" s="8"/>
      <x:c r="AH888" s="8"/>
      <x:c r="AI888" s="8"/>
    </x:row>
    <x:row r="889">
      <x:c r="A889" s="8"/>
      <x:c r="B889" s="8"/>
      <x:c r="C889" s="8"/>
      <x:c r="D889" s="8"/>
      <x:c r="E889" s="8"/>
      <x:c r="F889" s="8"/>
      <x:c r="G889" s="8"/>
      <x:c r="H889" s="8"/>
      <x:c r="I889" s="8"/>
      <x:c r="J889" s="8"/>
      <x:c r="K889" s="8"/>
      <x:c r="L889" s="8"/>
      <x:c r="M889" s="8"/>
      <x:c r="N889" s="8"/>
      <x:c r="O889" s="8"/>
      <x:c r="P889" s="8"/>
      <x:c r="Q889" s="8"/>
      <x:c r="R889" s="8"/>
      <x:c r="S889" s="8"/>
      <x:c r="T889" s="8"/>
      <x:c r="U889" s="8"/>
      <x:c r="V889" s="8"/>
      <x:c r="W889" s="8"/>
      <x:c r="X889" s="8"/>
      <x:c r="Y889" s="8"/>
      <x:c r="Z889" s="8"/>
      <x:c r="AA889" s="8"/>
      <x:c r="AB889" s="8"/>
      <x:c r="AC889" s="9"/>
      <x:c r="AD889" s="8"/>
      <x:c r="AE889" s="8"/>
      <x:c r="AF889" s="8"/>
      <x:c r="AG889" s="8"/>
      <x:c r="AH889" s="8"/>
      <x:c r="AI889" s="8"/>
    </x:row>
    <x:row r="890">
      <x:c r="A890" s="8"/>
      <x:c r="B890" s="8"/>
      <x:c r="C890" s="8"/>
      <x:c r="D890" s="8"/>
      <x:c r="E890" s="8"/>
      <x:c r="F890" s="8"/>
      <x:c r="G890" s="8"/>
      <x:c r="H890" s="8"/>
      <x:c r="I890" s="8"/>
      <x:c r="J890" s="8"/>
      <x:c r="K890" s="8"/>
      <x:c r="L890" s="8"/>
      <x:c r="M890" s="8"/>
      <x:c r="N890" s="8"/>
      <x:c r="O890" s="8"/>
      <x:c r="P890" s="8"/>
      <x:c r="Q890" s="8"/>
      <x:c r="R890" s="8"/>
      <x:c r="S890" s="8"/>
      <x:c r="T890" s="8"/>
      <x:c r="U890" s="8"/>
      <x:c r="V890" s="8"/>
      <x:c r="W890" s="8"/>
      <x:c r="X890" s="8"/>
      <x:c r="Y890" s="8"/>
      <x:c r="Z890" s="8"/>
      <x:c r="AA890" s="8"/>
      <x:c r="AB890" s="8"/>
      <x:c r="AC890" s="9"/>
      <x:c r="AD890" s="8"/>
      <x:c r="AE890" s="8"/>
      <x:c r="AF890" s="8"/>
      <x:c r="AG890" s="8"/>
      <x:c r="AH890" s="8"/>
      <x:c r="AI890" s="8"/>
    </x:row>
    <x:row r="891">
      <x:c r="A891" s="8"/>
      <x:c r="B891" s="8"/>
      <x:c r="C891" s="8"/>
      <x:c r="D891" s="8"/>
      <x:c r="E891" s="8"/>
      <x:c r="F891" s="8"/>
      <x:c r="G891" s="8"/>
      <x:c r="H891" s="8"/>
      <x:c r="I891" s="8"/>
      <x:c r="J891" s="8"/>
      <x:c r="K891" s="8"/>
      <x:c r="L891" s="8"/>
      <x:c r="M891" s="8"/>
      <x:c r="N891" s="8"/>
      <x:c r="O891" s="8"/>
      <x:c r="P891" s="8"/>
      <x:c r="Q891" s="8"/>
      <x:c r="R891" s="8"/>
      <x:c r="S891" s="8"/>
      <x:c r="T891" s="8"/>
      <x:c r="U891" s="8"/>
      <x:c r="V891" s="8"/>
      <x:c r="W891" s="8"/>
      <x:c r="X891" s="8"/>
      <x:c r="Y891" s="8"/>
      <x:c r="Z891" s="8"/>
      <x:c r="AA891" s="8"/>
      <x:c r="AB891" s="8"/>
      <x:c r="AC891" s="9"/>
      <x:c r="AD891" s="8"/>
      <x:c r="AE891" s="8"/>
      <x:c r="AF891" s="8"/>
      <x:c r="AG891" s="8"/>
      <x:c r="AH891" s="8"/>
      <x:c r="AI891" s="8"/>
    </x:row>
    <x:row r="892">
      <x:c r="A892" s="8"/>
      <x:c r="B892" s="8"/>
      <x:c r="C892" s="8"/>
      <x:c r="D892" s="8"/>
      <x:c r="E892" s="8"/>
      <x:c r="F892" s="8"/>
      <x:c r="G892" s="8"/>
      <x:c r="H892" s="8"/>
      <x:c r="I892" s="8"/>
      <x:c r="J892" s="8"/>
      <x:c r="K892" s="8"/>
      <x:c r="L892" s="8"/>
      <x:c r="M892" s="8"/>
      <x:c r="N892" s="8"/>
      <x:c r="O892" s="8"/>
      <x:c r="P892" s="8"/>
      <x:c r="Q892" s="8"/>
      <x:c r="R892" s="8"/>
      <x:c r="S892" s="8"/>
      <x:c r="T892" s="8"/>
      <x:c r="U892" s="8"/>
      <x:c r="V892" s="8"/>
      <x:c r="W892" s="8"/>
      <x:c r="X892" s="8"/>
      <x:c r="Y892" s="8"/>
      <x:c r="Z892" s="8"/>
      <x:c r="AA892" s="8"/>
      <x:c r="AB892" s="8"/>
      <x:c r="AC892" s="9"/>
      <x:c r="AD892" s="8"/>
      <x:c r="AE892" s="8"/>
      <x:c r="AF892" s="8"/>
      <x:c r="AG892" s="8"/>
      <x:c r="AH892" s="8"/>
      <x:c r="AI892" s="8"/>
    </x:row>
    <x:row r="893">
      <x:c r="A893" s="8"/>
      <x:c r="B893" s="8"/>
      <x:c r="C893" s="8"/>
      <x:c r="D893" s="8"/>
      <x:c r="E893" s="8"/>
      <x:c r="F893" s="8"/>
      <x:c r="G893" s="8"/>
      <x:c r="H893" s="8"/>
      <x:c r="I893" s="8"/>
      <x:c r="J893" s="8"/>
      <x:c r="K893" s="8"/>
      <x:c r="L893" s="8"/>
      <x:c r="M893" s="8"/>
      <x:c r="N893" s="8"/>
      <x:c r="O893" s="8"/>
      <x:c r="P893" s="8"/>
      <x:c r="Q893" s="8"/>
      <x:c r="R893" s="8"/>
      <x:c r="S893" s="8"/>
      <x:c r="T893" s="8"/>
      <x:c r="U893" s="8"/>
      <x:c r="V893" s="8"/>
      <x:c r="W893" s="8"/>
      <x:c r="X893" s="8"/>
      <x:c r="Y893" s="8"/>
      <x:c r="Z893" s="8"/>
      <x:c r="AA893" s="8"/>
      <x:c r="AB893" s="8"/>
      <x:c r="AC893" s="9"/>
      <x:c r="AD893" s="8"/>
      <x:c r="AE893" s="8"/>
      <x:c r="AF893" s="8"/>
      <x:c r="AG893" s="8"/>
      <x:c r="AH893" s="8"/>
      <x:c r="AI893" s="8"/>
    </x:row>
    <x:row r="894">
      <x:c r="A894" s="8"/>
      <x:c r="B894" s="8"/>
      <x:c r="C894" s="8"/>
      <x:c r="D894" s="8"/>
      <x:c r="E894" s="8"/>
      <x:c r="F894" s="8"/>
      <x:c r="G894" s="8"/>
      <x:c r="H894" s="8"/>
      <x:c r="I894" s="8"/>
      <x:c r="J894" s="8"/>
      <x:c r="K894" s="8"/>
      <x:c r="L894" s="8"/>
      <x:c r="M894" s="8"/>
      <x:c r="N894" s="8"/>
      <x:c r="O894" s="8"/>
      <x:c r="P894" s="8"/>
      <x:c r="Q894" s="8"/>
      <x:c r="R894" s="8"/>
      <x:c r="S894" s="8"/>
      <x:c r="T894" s="8"/>
      <x:c r="U894" s="8"/>
      <x:c r="V894" s="8"/>
      <x:c r="W894" s="8"/>
      <x:c r="X894" s="8"/>
      <x:c r="Y894" s="8"/>
      <x:c r="Z894" s="8"/>
      <x:c r="AA894" s="8"/>
      <x:c r="AB894" s="8"/>
      <x:c r="AC894" s="9"/>
      <x:c r="AD894" s="8"/>
      <x:c r="AE894" s="8"/>
      <x:c r="AF894" s="8"/>
      <x:c r="AG894" s="8"/>
      <x:c r="AH894" s="8"/>
      <x:c r="AI894" s="8"/>
    </x:row>
    <x:row r="895">
      <x:c r="A895" s="8"/>
      <x:c r="B895" s="8"/>
      <x:c r="C895" s="8"/>
      <x:c r="D895" s="8"/>
      <x:c r="E895" s="8"/>
      <x:c r="F895" s="8"/>
      <x:c r="G895" s="8"/>
      <x:c r="H895" s="8"/>
      <x:c r="I895" s="8"/>
      <x:c r="J895" s="8"/>
      <x:c r="K895" s="8"/>
      <x:c r="L895" s="8"/>
      <x:c r="M895" s="8"/>
      <x:c r="N895" s="8"/>
      <x:c r="O895" s="8"/>
      <x:c r="P895" s="8"/>
      <x:c r="Q895" s="8"/>
      <x:c r="R895" s="8"/>
      <x:c r="S895" s="8"/>
      <x:c r="T895" s="8"/>
      <x:c r="U895" s="8"/>
      <x:c r="V895" s="8"/>
      <x:c r="W895" s="8"/>
      <x:c r="X895" s="8"/>
      <x:c r="Y895" s="8"/>
      <x:c r="Z895" s="8"/>
      <x:c r="AA895" s="8"/>
      <x:c r="AB895" s="8"/>
      <x:c r="AC895" s="9"/>
      <x:c r="AD895" s="8"/>
      <x:c r="AE895" s="8"/>
      <x:c r="AF895" s="8"/>
      <x:c r="AG895" s="8"/>
      <x:c r="AH895" s="8"/>
      <x:c r="AI895" s="8"/>
    </x:row>
    <x:row r="896">
      <x:c r="A896" s="8"/>
      <x:c r="B896" s="8"/>
      <x:c r="C896" s="8"/>
      <x:c r="D896" s="8"/>
      <x:c r="E896" s="8"/>
      <x:c r="F896" s="8"/>
      <x:c r="G896" s="8"/>
      <x:c r="H896" s="8"/>
      <x:c r="I896" s="8"/>
      <x:c r="J896" s="8"/>
      <x:c r="K896" s="8"/>
      <x:c r="L896" s="8"/>
      <x:c r="M896" s="8"/>
      <x:c r="N896" s="8"/>
      <x:c r="O896" s="8"/>
      <x:c r="P896" s="8"/>
      <x:c r="Q896" s="8"/>
      <x:c r="R896" s="8"/>
      <x:c r="S896" s="8"/>
      <x:c r="T896" s="8"/>
      <x:c r="U896" s="8"/>
      <x:c r="V896" s="8"/>
      <x:c r="W896" s="8"/>
      <x:c r="X896" s="8"/>
      <x:c r="Y896" s="8"/>
      <x:c r="Z896" s="8"/>
      <x:c r="AA896" s="8"/>
      <x:c r="AB896" s="8"/>
      <x:c r="AC896" s="9"/>
      <x:c r="AD896" s="8"/>
      <x:c r="AE896" s="8"/>
      <x:c r="AF896" s="8"/>
      <x:c r="AG896" s="8"/>
      <x:c r="AH896" s="8"/>
      <x:c r="AI896" s="8"/>
    </x:row>
    <x:row r="897">
      <x:c r="A897" s="8"/>
      <x:c r="B897" s="8"/>
      <x:c r="C897" s="8"/>
      <x:c r="D897" s="8"/>
      <x:c r="E897" s="8"/>
      <x:c r="F897" s="8"/>
      <x:c r="G897" s="8"/>
      <x:c r="H897" s="8"/>
      <x:c r="I897" s="8"/>
      <x:c r="J897" s="8"/>
      <x:c r="K897" s="8"/>
      <x:c r="L897" s="8"/>
      <x:c r="M897" s="8"/>
      <x:c r="N897" s="8"/>
      <x:c r="O897" s="8"/>
      <x:c r="P897" s="8"/>
      <x:c r="Q897" s="8"/>
      <x:c r="R897" s="8"/>
      <x:c r="S897" s="8"/>
      <x:c r="T897" s="8"/>
      <x:c r="U897" s="8"/>
      <x:c r="V897" s="8"/>
      <x:c r="W897" s="8"/>
      <x:c r="X897" s="8"/>
      <x:c r="Y897" s="8"/>
      <x:c r="Z897" s="8"/>
      <x:c r="AA897" s="8"/>
      <x:c r="AB897" s="8"/>
      <x:c r="AC897" s="9"/>
      <x:c r="AD897" s="8"/>
      <x:c r="AE897" s="8"/>
      <x:c r="AF897" s="8"/>
      <x:c r="AG897" s="8"/>
      <x:c r="AH897" s="8"/>
      <x:c r="AI897" s="8"/>
    </x:row>
    <x:row r="898">
      <x:c r="A898" s="8"/>
      <x:c r="B898" s="8"/>
      <x:c r="C898" s="8"/>
      <x:c r="D898" s="8"/>
      <x:c r="E898" s="8"/>
      <x:c r="F898" s="8"/>
      <x:c r="G898" s="8"/>
      <x:c r="H898" s="8"/>
      <x:c r="I898" s="8"/>
      <x:c r="J898" s="8"/>
      <x:c r="K898" s="8"/>
      <x:c r="L898" s="8"/>
      <x:c r="M898" s="8"/>
      <x:c r="N898" s="8"/>
      <x:c r="O898" s="8"/>
      <x:c r="P898" s="8"/>
      <x:c r="Q898" s="8"/>
      <x:c r="R898" s="8"/>
      <x:c r="S898" s="8"/>
      <x:c r="T898" s="8"/>
      <x:c r="U898" s="8"/>
      <x:c r="V898" s="8"/>
      <x:c r="W898" s="8"/>
      <x:c r="X898" s="8"/>
      <x:c r="Y898" s="8"/>
      <x:c r="Z898" s="8"/>
      <x:c r="AA898" s="8"/>
      <x:c r="AB898" s="8"/>
      <x:c r="AC898" s="9"/>
      <x:c r="AD898" s="8"/>
      <x:c r="AE898" s="8"/>
      <x:c r="AF898" s="8"/>
      <x:c r="AG898" s="8"/>
      <x:c r="AH898" s="8"/>
      <x:c r="AI898" s="8"/>
    </x:row>
    <x:row r="899">
      <x:c r="A899" s="8"/>
      <x:c r="B899" s="8"/>
      <x:c r="C899" s="8"/>
      <x:c r="D899" s="8"/>
      <x:c r="E899" s="8"/>
      <x:c r="F899" s="8"/>
      <x:c r="G899" s="8"/>
      <x:c r="H899" s="8"/>
      <x:c r="I899" s="8"/>
      <x:c r="J899" s="8"/>
      <x:c r="K899" s="8"/>
      <x:c r="L899" s="8"/>
      <x:c r="M899" s="8"/>
      <x:c r="N899" s="8"/>
      <x:c r="O899" s="8"/>
      <x:c r="P899" s="8"/>
      <x:c r="Q899" s="8"/>
      <x:c r="R899" s="8"/>
      <x:c r="S899" s="8"/>
      <x:c r="T899" s="8"/>
      <x:c r="U899" s="8"/>
      <x:c r="V899" s="8"/>
      <x:c r="W899" s="8"/>
      <x:c r="X899" s="8"/>
      <x:c r="Y899" s="8"/>
      <x:c r="Z899" s="8"/>
      <x:c r="AA899" s="8"/>
      <x:c r="AB899" s="8"/>
      <x:c r="AC899" s="9"/>
      <x:c r="AD899" s="8"/>
      <x:c r="AE899" s="8"/>
      <x:c r="AF899" s="8"/>
      <x:c r="AG899" s="8"/>
      <x:c r="AH899" s="8"/>
      <x:c r="AI899" s="8"/>
    </x:row>
    <x:row r="900">
      <x:c r="A900" s="8"/>
      <x:c r="B900" s="8"/>
      <x:c r="C900" s="8"/>
      <x:c r="D900" s="8"/>
      <x:c r="E900" s="8"/>
      <x:c r="F900" s="8"/>
      <x:c r="G900" s="8"/>
      <x:c r="H900" s="8"/>
      <x:c r="I900" s="8"/>
      <x:c r="J900" s="8"/>
      <x:c r="K900" s="8"/>
      <x:c r="L900" s="8"/>
      <x:c r="M900" s="8"/>
      <x:c r="N900" s="8"/>
      <x:c r="O900" s="8"/>
      <x:c r="P900" s="8"/>
      <x:c r="Q900" s="8"/>
      <x:c r="R900" s="8"/>
      <x:c r="S900" s="8"/>
      <x:c r="T900" s="8"/>
      <x:c r="U900" s="8"/>
      <x:c r="V900" s="8"/>
      <x:c r="W900" s="8"/>
      <x:c r="X900" s="8"/>
      <x:c r="Y900" s="8"/>
      <x:c r="Z900" s="8"/>
      <x:c r="AA900" s="8"/>
      <x:c r="AB900" s="8"/>
      <x:c r="AC900" s="9"/>
      <x:c r="AD900" s="8"/>
      <x:c r="AE900" s="8"/>
      <x:c r="AF900" s="8"/>
      <x:c r="AG900" s="8"/>
      <x:c r="AH900" s="8"/>
      <x:c r="AI900" s="8"/>
    </x:row>
    <x:row r="901">
      <x:c r="A901" s="8"/>
      <x:c r="B901" s="8"/>
      <x:c r="C901" s="8"/>
      <x:c r="D901" s="8"/>
      <x:c r="E901" s="8"/>
      <x:c r="F901" s="8"/>
      <x:c r="G901" s="8"/>
      <x:c r="H901" s="8"/>
      <x:c r="I901" s="8"/>
      <x:c r="J901" s="8"/>
      <x:c r="K901" s="8"/>
      <x:c r="L901" s="8"/>
      <x:c r="M901" s="8"/>
      <x:c r="N901" s="8"/>
      <x:c r="O901" s="8"/>
      <x:c r="P901" s="8"/>
      <x:c r="Q901" s="8"/>
      <x:c r="R901" s="8"/>
      <x:c r="S901" s="8"/>
      <x:c r="T901" s="8"/>
      <x:c r="U901" s="8"/>
      <x:c r="V901" s="8"/>
      <x:c r="W901" s="8"/>
      <x:c r="X901" s="8"/>
      <x:c r="Y901" s="8"/>
      <x:c r="Z901" s="8"/>
      <x:c r="AA901" s="8"/>
      <x:c r="AB901" s="8"/>
      <x:c r="AC901" s="9"/>
      <x:c r="AD901" s="8"/>
      <x:c r="AE901" s="8"/>
      <x:c r="AF901" s="8"/>
      <x:c r="AG901" s="8"/>
      <x:c r="AH901" s="8"/>
      <x:c r="AI901" s="8"/>
    </x:row>
    <x:row r="902">
      <x:c r="A902" s="8"/>
      <x:c r="B902" s="8"/>
      <x:c r="C902" s="8"/>
      <x:c r="D902" s="8"/>
      <x:c r="E902" s="8"/>
      <x:c r="F902" s="8"/>
      <x:c r="G902" s="8"/>
      <x:c r="H902" s="8"/>
      <x:c r="I902" s="8"/>
      <x:c r="J902" s="8"/>
      <x:c r="K902" s="8"/>
      <x:c r="L902" s="8"/>
      <x:c r="M902" s="8"/>
      <x:c r="N902" s="8"/>
      <x:c r="O902" s="8"/>
      <x:c r="P902" s="8"/>
      <x:c r="Q902" s="8"/>
      <x:c r="R902" s="8"/>
      <x:c r="S902" s="8"/>
      <x:c r="T902" s="8"/>
      <x:c r="U902" s="8"/>
      <x:c r="V902" s="8"/>
      <x:c r="W902" s="8"/>
      <x:c r="X902" s="8"/>
      <x:c r="Y902" s="8"/>
      <x:c r="Z902" s="8"/>
      <x:c r="AA902" s="8"/>
      <x:c r="AB902" s="8"/>
      <x:c r="AC902" s="9"/>
      <x:c r="AD902" s="8"/>
      <x:c r="AE902" s="8"/>
      <x:c r="AF902" s="8"/>
      <x:c r="AG902" s="8"/>
      <x:c r="AH902" s="8"/>
      <x:c r="AI902" s="8"/>
    </x:row>
    <x:row r="903">
      <x:c r="A903" s="8"/>
      <x:c r="B903" s="8"/>
      <x:c r="C903" s="8"/>
      <x:c r="D903" s="8"/>
      <x:c r="E903" s="8"/>
      <x:c r="F903" s="8"/>
      <x:c r="G903" s="8"/>
      <x:c r="H903" s="8"/>
      <x:c r="I903" s="8"/>
      <x:c r="J903" s="8"/>
      <x:c r="K903" s="8"/>
      <x:c r="L903" s="8"/>
      <x:c r="M903" s="8"/>
      <x:c r="N903" s="8"/>
      <x:c r="O903" s="8"/>
      <x:c r="P903" s="8"/>
      <x:c r="Q903" s="8"/>
      <x:c r="R903" s="8"/>
      <x:c r="S903" s="8"/>
      <x:c r="T903" s="8"/>
      <x:c r="U903" s="8"/>
      <x:c r="V903" s="8"/>
      <x:c r="W903" s="8"/>
      <x:c r="X903" s="8"/>
      <x:c r="Y903" s="8"/>
      <x:c r="Z903" s="8"/>
      <x:c r="AA903" s="8"/>
      <x:c r="AB903" s="8"/>
      <x:c r="AC903" s="9"/>
      <x:c r="AD903" s="8"/>
      <x:c r="AE903" s="8"/>
      <x:c r="AF903" s="8"/>
      <x:c r="AG903" s="8"/>
      <x:c r="AH903" s="8"/>
      <x:c r="AI903" s="8"/>
    </x:row>
    <x:row r="904">
      <x:c r="A904" s="8"/>
      <x:c r="B904" s="8"/>
      <x:c r="C904" s="8"/>
      <x:c r="D904" s="8"/>
      <x:c r="E904" s="8"/>
      <x:c r="F904" s="8"/>
      <x:c r="G904" s="8"/>
      <x:c r="H904" s="8"/>
      <x:c r="I904" s="8"/>
      <x:c r="J904" s="8"/>
      <x:c r="K904" s="8"/>
      <x:c r="L904" s="8"/>
      <x:c r="M904" s="8"/>
      <x:c r="N904" s="8"/>
      <x:c r="O904" s="8"/>
      <x:c r="P904" s="8"/>
      <x:c r="Q904" s="8"/>
      <x:c r="R904" s="8"/>
      <x:c r="S904" s="8"/>
      <x:c r="T904" s="8"/>
      <x:c r="U904" s="8"/>
      <x:c r="V904" s="8"/>
      <x:c r="W904" s="8"/>
      <x:c r="X904" s="8"/>
      <x:c r="Y904" s="8"/>
      <x:c r="Z904" s="8"/>
      <x:c r="AA904" s="8"/>
      <x:c r="AB904" s="8"/>
      <x:c r="AC904" s="9"/>
      <x:c r="AD904" s="8"/>
      <x:c r="AE904" s="8"/>
      <x:c r="AF904" s="8"/>
      <x:c r="AG904" s="8"/>
      <x:c r="AH904" s="8"/>
      <x:c r="AI904" s="8"/>
    </x:row>
    <x:row r="905">
      <x:c r="A905" s="8"/>
      <x:c r="B905" s="8"/>
      <x:c r="C905" s="8"/>
      <x:c r="D905" s="8"/>
      <x:c r="E905" s="8"/>
      <x:c r="F905" s="8"/>
      <x:c r="G905" s="8"/>
      <x:c r="H905" s="8"/>
      <x:c r="I905" s="8"/>
      <x:c r="J905" s="8"/>
      <x:c r="K905" s="8"/>
      <x:c r="L905" s="8"/>
      <x:c r="M905" s="8"/>
      <x:c r="N905" s="8"/>
      <x:c r="O905" s="8"/>
      <x:c r="P905" s="8"/>
      <x:c r="Q905" s="8"/>
      <x:c r="R905" s="8"/>
      <x:c r="S905" s="8"/>
      <x:c r="T905" s="8"/>
      <x:c r="U905" s="8"/>
      <x:c r="V905" s="8"/>
      <x:c r="W905" s="8"/>
      <x:c r="X905" s="8"/>
      <x:c r="Y905" s="8"/>
      <x:c r="Z905" s="8"/>
      <x:c r="AA905" s="8"/>
      <x:c r="AB905" s="8"/>
      <x:c r="AC905" s="9"/>
      <x:c r="AD905" s="8"/>
      <x:c r="AE905" s="8"/>
      <x:c r="AF905" s="8"/>
      <x:c r="AG905" s="8"/>
      <x:c r="AH905" s="8"/>
      <x:c r="AI905" s="8"/>
    </x:row>
    <x:row r="906">
      <x:c r="A906" s="8"/>
      <x:c r="B906" s="8"/>
      <x:c r="C906" s="8"/>
      <x:c r="D906" s="8"/>
      <x:c r="E906" s="8"/>
      <x:c r="F906" s="8"/>
      <x:c r="G906" s="8"/>
      <x:c r="H906" s="8"/>
      <x:c r="I906" s="8"/>
      <x:c r="J906" s="8"/>
      <x:c r="K906" s="8"/>
      <x:c r="L906" s="8"/>
      <x:c r="M906" s="8"/>
      <x:c r="N906" s="8"/>
      <x:c r="O906" s="8"/>
      <x:c r="P906" s="8"/>
      <x:c r="Q906" s="8"/>
      <x:c r="R906" s="8"/>
      <x:c r="S906" s="8"/>
      <x:c r="T906" s="8"/>
      <x:c r="U906" s="8"/>
      <x:c r="V906" s="8"/>
      <x:c r="W906" s="8"/>
      <x:c r="X906" s="8"/>
      <x:c r="Y906" s="8"/>
      <x:c r="Z906" s="8"/>
      <x:c r="AA906" s="8"/>
      <x:c r="AB906" s="8"/>
      <x:c r="AC906" s="9"/>
      <x:c r="AD906" s="8"/>
      <x:c r="AE906" s="8"/>
      <x:c r="AF906" s="8"/>
      <x:c r="AG906" s="8"/>
      <x:c r="AH906" s="8"/>
      <x:c r="AI906" s="8"/>
    </x:row>
    <x:row r="907">
      <x:c r="A907" s="8"/>
      <x:c r="B907" s="8"/>
      <x:c r="C907" s="8"/>
      <x:c r="D907" s="8"/>
      <x:c r="E907" s="8"/>
      <x:c r="F907" s="8"/>
      <x:c r="G907" s="8"/>
      <x:c r="H907" s="8"/>
      <x:c r="I907" s="8"/>
      <x:c r="J907" s="8"/>
      <x:c r="K907" s="8"/>
      <x:c r="L907" s="8"/>
      <x:c r="M907" s="8"/>
      <x:c r="N907" s="8"/>
      <x:c r="O907" s="8"/>
      <x:c r="P907" s="8"/>
      <x:c r="Q907" s="8"/>
      <x:c r="R907" s="8"/>
      <x:c r="S907" s="8"/>
      <x:c r="T907" s="8"/>
      <x:c r="U907" s="8"/>
      <x:c r="V907" s="8"/>
      <x:c r="W907" s="8"/>
      <x:c r="X907" s="8"/>
      <x:c r="Y907" s="8"/>
      <x:c r="Z907" s="8"/>
      <x:c r="AA907" s="8"/>
      <x:c r="AB907" s="8"/>
      <x:c r="AC907" s="9"/>
      <x:c r="AD907" s="8"/>
      <x:c r="AE907" s="8"/>
      <x:c r="AF907" s="8"/>
      <x:c r="AG907" s="8"/>
      <x:c r="AH907" s="8"/>
      <x:c r="AI907" s="8"/>
    </x:row>
    <x:row r="908">
      <x:c r="A908" s="8"/>
      <x:c r="B908" s="8"/>
      <x:c r="C908" s="8"/>
      <x:c r="D908" s="8"/>
      <x:c r="E908" s="8"/>
      <x:c r="F908" s="8"/>
      <x:c r="G908" s="8"/>
      <x:c r="H908" s="8"/>
      <x:c r="I908" s="8"/>
      <x:c r="J908" s="8"/>
      <x:c r="K908" s="8"/>
      <x:c r="L908" s="8"/>
      <x:c r="M908" s="8"/>
      <x:c r="N908" s="8"/>
      <x:c r="O908" s="8"/>
      <x:c r="P908" s="8"/>
      <x:c r="Q908" s="8"/>
      <x:c r="R908" s="8"/>
      <x:c r="S908" s="8"/>
      <x:c r="T908" s="8"/>
      <x:c r="U908" s="8"/>
      <x:c r="V908" s="8"/>
      <x:c r="W908" s="8"/>
      <x:c r="X908" s="8"/>
      <x:c r="Y908" s="8"/>
      <x:c r="Z908" s="8"/>
      <x:c r="AA908" s="8"/>
      <x:c r="AB908" s="8"/>
      <x:c r="AC908" s="9"/>
      <x:c r="AD908" s="8"/>
      <x:c r="AE908" s="8"/>
      <x:c r="AF908" s="8"/>
      <x:c r="AG908" s="8"/>
      <x:c r="AH908" s="8"/>
      <x:c r="AI908" s="8"/>
    </x:row>
    <x:row r="909">
      <x:c r="A909" s="8"/>
      <x:c r="B909" s="8"/>
      <x:c r="C909" s="8"/>
      <x:c r="D909" s="8"/>
      <x:c r="E909" s="8"/>
      <x:c r="F909" s="8"/>
      <x:c r="G909" s="8"/>
      <x:c r="H909" s="8"/>
      <x:c r="I909" s="8"/>
      <x:c r="J909" s="8"/>
      <x:c r="K909" s="8"/>
      <x:c r="L909" s="8"/>
      <x:c r="M909" s="8"/>
      <x:c r="N909" s="8"/>
      <x:c r="O909" s="8"/>
      <x:c r="P909" s="8"/>
      <x:c r="Q909" s="8"/>
      <x:c r="R909" s="8"/>
      <x:c r="S909" s="8"/>
      <x:c r="T909" s="8"/>
      <x:c r="U909" s="8"/>
      <x:c r="V909" s="8"/>
      <x:c r="W909" s="8"/>
      <x:c r="X909" s="8"/>
      <x:c r="Y909" s="8"/>
      <x:c r="Z909" s="8"/>
      <x:c r="AA909" s="8"/>
      <x:c r="AB909" s="8"/>
      <x:c r="AC909" s="9"/>
      <x:c r="AD909" s="8"/>
      <x:c r="AE909" s="8"/>
      <x:c r="AF909" s="8"/>
      <x:c r="AG909" s="8"/>
      <x:c r="AH909" s="8"/>
      <x:c r="AI909" s="8"/>
    </x:row>
    <x:row r="910">
      <x:c r="A910" s="8"/>
      <x:c r="B910" s="8"/>
      <x:c r="C910" s="8"/>
      <x:c r="D910" s="8"/>
      <x:c r="E910" s="8"/>
      <x:c r="F910" s="8"/>
      <x:c r="G910" s="8"/>
      <x:c r="H910" s="8"/>
      <x:c r="I910" s="8"/>
      <x:c r="J910" s="8"/>
      <x:c r="K910" s="8"/>
      <x:c r="L910" s="8"/>
      <x:c r="M910" s="8"/>
      <x:c r="N910" s="8"/>
      <x:c r="O910" s="8"/>
      <x:c r="P910" s="8"/>
      <x:c r="Q910" s="8"/>
      <x:c r="R910" s="8"/>
      <x:c r="S910" s="8"/>
      <x:c r="T910" s="8"/>
      <x:c r="U910" s="8"/>
      <x:c r="V910" s="8"/>
      <x:c r="W910" s="8"/>
      <x:c r="X910" s="8"/>
      <x:c r="Y910" s="8"/>
      <x:c r="Z910" s="8"/>
      <x:c r="AA910" s="8"/>
      <x:c r="AB910" s="8"/>
      <x:c r="AC910" s="9"/>
      <x:c r="AD910" s="8"/>
      <x:c r="AE910" s="8"/>
      <x:c r="AF910" s="8"/>
      <x:c r="AG910" s="8"/>
      <x:c r="AH910" s="8"/>
      <x:c r="AI910" s="8"/>
    </x:row>
    <x:row r="911">
      <x:c r="A911" s="8"/>
      <x:c r="B911" s="8"/>
      <x:c r="C911" s="8"/>
      <x:c r="D911" s="8"/>
      <x:c r="E911" s="8"/>
      <x:c r="F911" s="8"/>
      <x:c r="G911" s="8"/>
      <x:c r="H911" s="8"/>
      <x:c r="I911" s="8"/>
      <x:c r="J911" s="8"/>
      <x:c r="K911" s="8"/>
      <x:c r="L911" s="8"/>
      <x:c r="M911" s="8"/>
      <x:c r="N911" s="8"/>
      <x:c r="O911" s="8"/>
      <x:c r="P911" s="8"/>
      <x:c r="Q911" s="8"/>
      <x:c r="R911" s="8"/>
      <x:c r="S911" s="8"/>
      <x:c r="T911" s="8"/>
      <x:c r="U911" s="8"/>
      <x:c r="V911" s="8"/>
      <x:c r="W911" s="8"/>
      <x:c r="X911" s="8"/>
      <x:c r="Y911" s="8"/>
      <x:c r="Z911" s="8"/>
      <x:c r="AA911" s="8"/>
      <x:c r="AB911" s="8"/>
      <x:c r="AC911" s="9"/>
      <x:c r="AD911" s="8"/>
      <x:c r="AE911" s="8"/>
      <x:c r="AF911" s="8"/>
      <x:c r="AG911" s="8"/>
      <x:c r="AH911" s="8"/>
      <x:c r="AI911" s="8"/>
    </x:row>
    <x:row r="912">
      <x:c r="A912" s="8"/>
      <x:c r="B912" s="8"/>
      <x:c r="C912" s="8"/>
      <x:c r="D912" s="8"/>
      <x:c r="E912" s="8"/>
      <x:c r="F912" s="8"/>
      <x:c r="G912" s="8"/>
      <x:c r="H912" s="8"/>
      <x:c r="I912" s="8"/>
      <x:c r="J912" s="8"/>
      <x:c r="K912" s="8"/>
      <x:c r="L912" s="8"/>
      <x:c r="M912" s="8"/>
      <x:c r="N912" s="8"/>
      <x:c r="O912" s="8"/>
      <x:c r="P912" s="8"/>
      <x:c r="Q912" s="8"/>
      <x:c r="R912" s="8"/>
      <x:c r="S912" s="8"/>
      <x:c r="T912" s="8"/>
      <x:c r="U912" s="8"/>
      <x:c r="V912" s="8"/>
      <x:c r="W912" s="8"/>
      <x:c r="X912" s="8"/>
      <x:c r="Y912" s="8"/>
      <x:c r="Z912" s="8"/>
      <x:c r="AA912" s="8"/>
      <x:c r="AB912" s="8"/>
      <x:c r="AC912" s="9"/>
      <x:c r="AD912" s="8"/>
      <x:c r="AE912" s="8"/>
      <x:c r="AF912" s="8"/>
      <x:c r="AG912" s="8"/>
      <x:c r="AH912" s="8"/>
      <x:c r="AI912" s="8"/>
    </x:row>
    <x:row r="913">
      <x:c r="A913" s="8"/>
      <x:c r="B913" s="8"/>
      <x:c r="C913" s="8"/>
      <x:c r="D913" s="8"/>
      <x:c r="E913" s="8"/>
      <x:c r="F913" s="8"/>
      <x:c r="G913" s="8"/>
      <x:c r="H913" s="8"/>
      <x:c r="I913" s="8"/>
      <x:c r="J913" s="8"/>
      <x:c r="K913" s="8"/>
      <x:c r="L913" s="8"/>
      <x:c r="M913" s="8"/>
      <x:c r="N913" s="8"/>
      <x:c r="O913" s="8"/>
      <x:c r="P913" s="8"/>
      <x:c r="Q913" s="8"/>
      <x:c r="R913" s="8"/>
      <x:c r="S913" s="8"/>
      <x:c r="T913" s="8"/>
      <x:c r="U913" s="8"/>
      <x:c r="V913" s="8"/>
      <x:c r="W913" s="8"/>
      <x:c r="X913" s="8"/>
      <x:c r="Y913" s="8"/>
      <x:c r="Z913" s="8"/>
      <x:c r="AA913" s="8"/>
      <x:c r="AB913" s="8"/>
      <x:c r="AC913" s="9"/>
      <x:c r="AD913" s="8"/>
      <x:c r="AE913" s="8"/>
      <x:c r="AF913" s="8"/>
      <x:c r="AG913" s="8"/>
      <x:c r="AH913" s="8"/>
      <x:c r="AI913" s="8"/>
    </x:row>
    <x:row r="914">
      <x:c r="A914" s="8"/>
      <x:c r="B914" s="8"/>
      <x:c r="C914" s="8"/>
      <x:c r="D914" s="8"/>
      <x:c r="E914" s="8"/>
      <x:c r="F914" s="8"/>
      <x:c r="G914" s="8"/>
      <x:c r="H914" s="8"/>
      <x:c r="I914" s="8"/>
      <x:c r="J914" s="8"/>
      <x:c r="K914" s="8"/>
      <x:c r="L914" s="8"/>
      <x:c r="M914" s="8"/>
      <x:c r="N914" s="8"/>
      <x:c r="O914" s="8"/>
      <x:c r="P914" s="8"/>
      <x:c r="Q914" s="8"/>
      <x:c r="R914" s="8"/>
      <x:c r="S914" s="8"/>
      <x:c r="T914" s="8"/>
      <x:c r="U914" s="8"/>
      <x:c r="V914" s="8"/>
      <x:c r="W914" s="8"/>
      <x:c r="X914" s="8"/>
      <x:c r="Y914" s="8"/>
      <x:c r="Z914" s="8"/>
      <x:c r="AA914" s="8"/>
      <x:c r="AB914" s="8"/>
      <x:c r="AC914" s="9"/>
      <x:c r="AD914" s="8"/>
      <x:c r="AE914" s="8"/>
      <x:c r="AF914" s="8"/>
      <x:c r="AG914" s="8"/>
      <x:c r="AH914" s="8"/>
      <x:c r="AI914" s="8"/>
    </x:row>
    <x:row r="915">
      <x:c r="A915" s="8"/>
      <x:c r="B915" s="8"/>
      <x:c r="C915" s="8"/>
      <x:c r="D915" s="8"/>
      <x:c r="E915" s="8"/>
      <x:c r="F915" s="8"/>
      <x:c r="G915" s="8"/>
      <x:c r="H915" s="8"/>
      <x:c r="I915" s="8"/>
      <x:c r="J915" s="8"/>
      <x:c r="K915" s="8"/>
      <x:c r="L915" s="8"/>
      <x:c r="M915" s="8"/>
      <x:c r="N915" s="8"/>
      <x:c r="O915" s="8"/>
      <x:c r="P915" s="8"/>
      <x:c r="Q915" s="8"/>
      <x:c r="R915" s="8"/>
      <x:c r="S915" s="8"/>
      <x:c r="T915" s="8"/>
      <x:c r="U915" s="8"/>
      <x:c r="V915" s="8"/>
      <x:c r="W915" s="8"/>
      <x:c r="X915" s="8"/>
      <x:c r="Y915" s="8"/>
      <x:c r="Z915" s="8"/>
      <x:c r="AA915" s="8"/>
      <x:c r="AB915" s="8"/>
      <x:c r="AC915" s="9"/>
      <x:c r="AD915" s="8"/>
      <x:c r="AE915" s="8"/>
      <x:c r="AF915" s="8"/>
      <x:c r="AG915" s="8"/>
      <x:c r="AH915" s="8"/>
      <x:c r="AI915" s="8"/>
    </x:row>
    <x:row r="916">
      <x:c r="A916" s="8"/>
      <x:c r="B916" s="8"/>
      <x:c r="C916" s="8"/>
      <x:c r="D916" s="8"/>
      <x:c r="E916" s="8"/>
      <x:c r="F916" s="8"/>
      <x:c r="G916" s="8"/>
      <x:c r="H916" s="8"/>
      <x:c r="I916" s="8"/>
      <x:c r="J916" s="8"/>
      <x:c r="K916" s="8"/>
      <x:c r="L916" s="8"/>
      <x:c r="M916" s="8"/>
      <x:c r="N916" s="8"/>
      <x:c r="O916" s="8"/>
      <x:c r="P916" s="8"/>
      <x:c r="Q916" s="8"/>
      <x:c r="R916" s="8"/>
      <x:c r="S916" s="8"/>
      <x:c r="T916" s="8"/>
      <x:c r="U916" s="8"/>
      <x:c r="V916" s="8"/>
      <x:c r="W916" s="8"/>
      <x:c r="X916" s="8"/>
      <x:c r="Y916" s="8"/>
      <x:c r="Z916" s="8"/>
      <x:c r="AA916" s="8"/>
      <x:c r="AB916" s="8"/>
      <x:c r="AC916" s="9"/>
      <x:c r="AD916" s="8"/>
      <x:c r="AE916" s="8"/>
      <x:c r="AF916" s="8"/>
      <x:c r="AG916" s="8"/>
      <x:c r="AH916" s="8"/>
      <x:c r="AI916" s="8"/>
    </x:row>
    <x:row r="917">
      <x:c r="A917" s="8"/>
      <x:c r="B917" s="8"/>
      <x:c r="C917" s="8"/>
      <x:c r="D917" s="8"/>
      <x:c r="E917" s="8"/>
      <x:c r="F917" s="8"/>
      <x:c r="G917" s="8"/>
      <x:c r="H917" s="8"/>
      <x:c r="I917" s="8"/>
      <x:c r="J917" s="8"/>
      <x:c r="K917" s="8"/>
      <x:c r="L917" s="8"/>
      <x:c r="M917" s="8"/>
      <x:c r="N917" s="8"/>
      <x:c r="O917" s="8"/>
      <x:c r="P917" s="8"/>
      <x:c r="Q917" s="8"/>
      <x:c r="R917" s="8"/>
      <x:c r="S917" s="8"/>
      <x:c r="T917" s="8"/>
      <x:c r="U917" s="8"/>
      <x:c r="V917" s="8"/>
      <x:c r="W917" s="8"/>
      <x:c r="X917" s="8"/>
      <x:c r="Y917" s="8"/>
      <x:c r="Z917" s="8"/>
      <x:c r="AA917" s="8"/>
      <x:c r="AB917" s="8"/>
      <x:c r="AC917" s="9"/>
      <x:c r="AD917" s="8"/>
      <x:c r="AE917" s="8"/>
      <x:c r="AF917" s="8"/>
      <x:c r="AG917" s="8"/>
      <x:c r="AH917" s="8"/>
      <x:c r="AI917" s="8"/>
    </x:row>
    <x:row r="918">
      <x:c r="A918" s="8"/>
      <x:c r="B918" s="8"/>
      <x:c r="C918" s="8"/>
      <x:c r="D918" s="8"/>
      <x:c r="E918" s="8"/>
      <x:c r="F918" s="8"/>
      <x:c r="G918" s="8"/>
      <x:c r="H918" s="8"/>
      <x:c r="I918" s="8"/>
      <x:c r="J918" s="8"/>
      <x:c r="K918" s="8"/>
      <x:c r="L918" s="8"/>
      <x:c r="M918" s="8"/>
      <x:c r="N918" s="8"/>
      <x:c r="O918" s="8"/>
      <x:c r="P918" s="8"/>
      <x:c r="Q918" s="8"/>
      <x:c r="R918" s="8"/>
      <x:c r="S918" s="8"/>
      <x:c r="T918" s="8"/>
      <x:c r="U918" s="8"/>
      <x:c r="V918" s="8"/>
      <x:c r="W918" s="8"/>
      <x:c r="X918" s="8"/>
      <x:c r="Y918" s="8"/>
      <x:c r="Z918" s="8"/>
      <x:c r="AA918" s="8"/>
      <x:c r="AB918" s="8"/>
      <x:c r="AC918" s="9"/>
      <x:c r="AD918" s="8"/>
      <x:c r="AE918" s="8"/>
      <x:c r="AF918" s="8"/>
      <x:c r="AG918" s="8"/>
      <x:c r="AH918" s="8"/>
      <x:c r="AI918" s="8"/>
    </x:row>
    <x:row r="919">
      <x:c r="A919" s="8"/>
      <x:c r="B919" s="8"/>
      <x:c r="C919" s="8"/>
      <x:c r="D919" s="8"/>
      <x:c r="E919" s="8"/>
      <x:c r="F919" s="8"/>
      <x:c r="G919" s="8"/>
      <x:c r="H919" s="8"/>
      <x:c r="I919" s="8"/>
      <x:c r="J919" s="8"/>
      <x:c r="K919" s="8"/>
      <x:c r="L919" s="8"/>
      <x:c r="M919" s="8"/>
      <x:c r="N919" s="8"/>
      <x:c r="O919" s="8"/>
      <x:c r="P919" s="8"/>
      <x:c r="Q919" s="8"/>
      <x:c r="R919" s="8"/>
      <x:c r="S919" s="8"/>
      <x:c r="T919" s="8"/>
      <x:c r="U919" s="8"/>
      <x:c r="V919" s="8"/>
      <x:c r="W919" s="8"/>
      <x:c r="X919" s="8"/>
      <x:c r="Y919" s="8"/>
      <x:c r="Z919" s="8"/>
      <x:c r="AA919" s="8"/>
      <x:c r="AB919" s="8"/>
      <x:c r="AC919" s="9"/>
      <x:c r="AD919" s="8"/>
      <x:c r="AE919" s="8"/>
      <x:c r="AF919" s="8"/>
      <x:c r="AG919" s="8"/>
      <x:c r="AH919" s="8"/>
      <x:c r="AI919" s="8"/>
    </x:row>
    <x:row r="920">
      <x:c r="A920" s="8"/>
      <x:c r="B920" s="8"/>
      <x:c r="C920" s="8"/>
      <x:c r="D920" s="8"/>
      <x:c r="E920" s="8"/>
      <x:c r="F920" s="8"/>
      <x:c r="G920" s="8"/>
      <x:c r="H920" s="8"/>
      <x:c r="I920" s="8"/>
      <x:c r="J920" s="8"/>
      <x:c r="K920" s="8"/>
      <x:c r="L920" s="8"/>
      <x:c r="M920" s="8"/>
      <x:c r="N920" s="8"/>
      <x:c r="O920" s="8"/>
      <x:c r="P920" s="8"/>
      <x:c r="Q920" s="8"/>
      <x:c r="R920" s="8"/>
      <x:c r="S920" s="8"/>
      <x:c r="T920" s="8"/>
      <x:c r="U920" s="8"/>
      <x:c r="V920" s="8"/>
      <x:c r="W920" s="8"/>
      <x:c r="X920" s="8"/>
      <x:c r="Y920" s="8"/>
      <x:c r="Z920" s="8"/>
      <x:c r="AA920" s="8"/>
      <x:c r="AB920" s="8"/>
      <x:c r="AC920" s="9"/>
      <x:c r="AD920" s="8"/>
      <x:c r="AE920" s="8"/>
      <x:c r="AF920" s="8"/>
      <x:c r="AG920" s="8"/>
      <x:c r="AH920" s="8"/>
      <x:c r="AI920" s="8"/>
    </x:row>
    <x:row r="921">
      <x:c r="A921" s="8"/>
      <x:c r="B921" s="8"/>
      <x:c r="C921" s="8"/>
      <x:c r="D921" s="8"/>
      <x:c r="E921" s="8"/>
      <x:c r="F921" s="8"/>
      <x:c r="G921" s="8"/>
      <x:c r="H921" s="8"/>
      <x:c r="I921" s="8"/>
      <x:c r="J921" s="8"/>
      <x:c r="K921" s="8"/>
      <x:c r="L921" s="8"/>
      <x:c r="M921" s="8"/>
      <x:c r="N921" s="8"/>
      <x:c r="O921" s="8"/>
      <x:c r="P921" s="8"/>
      <x:c r="Q921" s="8"/>
      <x:c r="R921" s="8"/>
      <x:c r="S921" s="8"/>
      <x:c r="T921" s="8"/>
      <x:c r="U921" s="8"/>
      <x:c r="V921" s="8"/>
      <x:c r="W921" s="8"/>
      <x:c r="X921" s="8"/>
      <x:c r="Y921" s="8"/>
      <x:c r="Z921" s="8"/>
      <x:c r="AA921" s="8"/>
      <x:c r="AB921" s="8"/>
      <x:c r="AC921" s="9"/>
      <x:c r="AD921" s="8"/>
      <x:c r="AE921" s="8"/>
      <x:c r="AF921" s="8"/>
      <x:c r="AG921" s="8"/>
      <x:c r="AH921" s="8"/>
      <x:c r="AI921" s="8"/>
    </x:row>
    <x:row r="922">
      <x:c r="A922" s="8"/>
      <x:c r="B922" s="8"/>
      <x:c r="C922" s="8"/>
      <x:c r="D922" s="8"/>
      <x:c r="E922" s="8"/>
      <x:c r="F922" s="8"/>
      <x:c r="G922" s="8"/>
      <x:c r="H922" s="8"/>
      <x:c r="I922" s="8"/>
      <x:c r="J922" s="8"/>
      <x:c r="K922" s="8"/>
      <x:c r="L922" s="8"/>
      <x:c r="M922" s="8"/>
      <x:c r="N922" s="8"/>
      <x:c r="O922" s="8"/>
      <x:c r="P922" s="8"/>
      <x:c r="Q922" s="8"/>
      <x:c r="R922" s="8"/>
      <x:c r="S922" s="8"/>
      <x:c r="T922" s="8"/>
      <x:c r="U922" s="8"/>
      <x:c r="V922" s="8"/>
      <x:c r="W922" s="8"/>
      <x:c r="X922" s="8"/>
      <x:c r="Y922" s="8"/>
      <x:c r="Z922" s="8"/>
      <x:c r="AA922" s="8"/>
      <x:c r="AB922" s="8"/>
      <x:c r="AC922" s="9"/>
      <x:c r="AD922" s="8"/>
      <x:c r="AE922" s="8"/>
      <x:c r="AF922" s="8"/>
      <x:c r="AG922" s="8"/>
      <x:c r="AH922" s="8"/>
      <x:c r="AI922" s="8"/>
    </x:row>
    <x:row r="923">
      <x:c r="A923" s="8"/>
      <x:c r="B923" s="8"/>
      <x:c r="C923" s="8"/>
      <x:c r="D923" s="8"/>
      <x:c r="E923" s="8"/>
      <x:c r="F923" s="8"/>
      <x:c r="G923" s="8"/>
      <x:c r="H923" s="8"/>
      <x:c r="I923" s="8"/>
      <x:c r="J923" s="8"/>
      <x:c r="K923" s="8"/>
      <x:c r="L923" s="8"/>
      <x:c r="M923" s="8"/>
      <x:c r="N923" s="8"/>
      <x:c r="O923" s="8"/>
      <x:c r="P923" s="8"/>
      <x:c r="Q923" s="8"/>
      <x:c r="R923" s="8"/>
      <x:c r="S923" s="8"/>
      <x:c r="T923" s="8"/>
      <x:c r="U923" s="8"/>
      <x:c r="V923" s="8"/>
      <x:c r="W923" s="8"/>
      <x:c r="X923" s="8"/>
      <x:c r="Y923" s="8"/>
      <x:c r="Z923" s="8"/>
      <x:c r="AA923" s="8"/>
      <x:c r="AB923" s="8"/>
      <x:c r="AC923" s="9"/>
      <x:c r="AD923" s="8"/>
      <x:c r="AE923" s="8"/>
      <x:c r="AF923" s="8"/>
      <x:c r="AG923" s="8"/>
      <x:c r="AH923" s="8"/>
      <x:c r="AI923" s="8"/>
    </x:row>
    <x:row r="924">
      <x:c r="A924" s="8"/>
      <x:c r="B924" s="8"/>
      <x:c r="C924" s="8"/>
      <x:c r="D924" s="8"/>
      <x:c r="E924" s="8"/>
      <x:c r="F924" s="8"/>
      <x:c r="G924" s="8"/>
      <x:c r="H924" s="8"/>
      <x:c r="I924" s="8"/>
      <x:c r="J924" s="8"/>
      <x:c r="K924" s="8"/>
      <x:c r="L924" s="8"/>
      <x:c r="M924" s="8"/>
      <x:c r="N924" s="8"/>
      <x:c r="O924" s="8"/>
      <x:c r="P924" s="8"/>
      <x:c r="Q924" s="8"/>
      <x:c r="R924" s="8"/>
      <x:c r="S924" s="8"/>
      <x:c r="T924" s="8"/>
      <x:c r="U924" s="8"/>
      <x:c r="V924" s="8"/>
      <x:c r="W924" s="8"/>
      <x:c r="X924" s="8"/>
      <x:c r="Y924" s="8"/>
      <x:c r="Z924" s="8"/>
      <x:c r="AA924" s="8"/>
      <x:c r="AB924" s="8"/>
      <x:c r="AC924" s="9"/>
      <x:c r="AD924" s="8"/>
      <x:c r="AE924" s="8"/>
      <x:c r="AF924" s="8"/>
      <x:c r="AG924" s="8"/>
      <x:c r="AH924" s="8"/>
      <x:c r="AI924" s="8"/>
    </x:row>
    <x:row r="925">
      <x:c r="A925" s="8"/>
      <x:c r="B925" s="8"/>
      <x:c r="C925" s="8"/>
      <x:c r="D925" s="8"/>
      <x:c r="E925" s="8"/>
      <x:c r="F925" s="8"/>
      <x:c r="G925" s="8"/>
      <x:c r="H925" s="8"/>
      <x:c r="I925" s="8"/>
      <x:c r="J925" s="8"/>
      <x:c r="K925" s="8"/>
      <x:c r="L925" s="8"/>
      <x:c r="M925" s="8"/>
      <x:c r="N925" s="8"/>
      <x:c r="O925" s="8"/>
      <x:c r="P925" s="8"/>
      <x:c r="Q925" s="8"/>
      <x:c r="R925" s="8"/>
      <x:c r="S925" s="8"/>
      <x:c r="T925" s="8"/>
      <x:c r="U925" s="8"/>
      <x:c r="V925" s="8"/>
      <x:c r="W925" s="8"/>
      <x:c r="X925" s="8"/>
      <x:c r="Y925" s="8"/>
      <x:c r="Z925" s="8"/>
      <x:c r="AA925" s="8"/>
      <x:c r="AB925" s="8"/>
      <x:c r="AC925" s="9"/>
      <x:c r="AD925" s="8"/>
      <x:c r="AE925" s="8"/>
      <x:c r="AF925" s="8"/>
      <x:c r="AG925" s="8"/>
      <x:c r="AH925" s="8"/>
      <x:c r="AI925" s="8"/>
    </x:row>
    <x:row r="926">
      <x:c r="A926" s="8"/>
      <x:c r="B926" s="8"/>
      <x:c r="C926" s="8"/>
      <x:c r="D926" s="8"/>
      <x:c r="E926" s="8"/>
      <x:c r="F926" s="8"/>
      <x:c r="G926" s="8"/>
      <x:c r="H926" s="8"/>
      <x:c r="I926" s="8"/>
      <x:c r="J926" s="8"/>
      <x:c r="K926" s="8"/>
      <x:c r="L926" s="8"/>
      <x:c r="M926" s="8"/>
      <x:c r="N926" s="8"/>
      <x:c r="O926" s="8"/>
      <x:c r="P926" s="8"/>
      <x:c r="Q926" s="8"/>
      <x:c r="R926" s="8"/>
      <x:c r="S926" s="8"/>
      <x:c r="T926" s="8"/>
      <x:c r="U926" s="8"/>
      <x:c r="V926" s="8"/>
      <x:c r="W926" s="8"/>
      <x:c r="X926" s="8"/>
      <x:c r="Y926" s="8"/>
      <x:c r="Z926" s="8"/>
      <x:c r="AA926" s="8"/>
      <x:c r="AB926" s="8"/>
      <x:c r="AC926" s="9"/>
      <x:c r="AD926" s="8"/>
      <x:c r="AE926" s="8"/>
      <x:c r="AF926" s="8"/>
      <x:c r="AG926" s="8"/>
      <x:c r="AH926" s="8"/>
      <x:c r="AI926" s="8"/>
    </x:row>
    <x:row r="927">
      <x:c r="A927" s="8"/>
      <x:c r="B927" s="8"/>
      <x:c r="C927" s="8"/>
      <x:c r="D927" s="8"/>
      <x:c r="E927" s="8"/>
      <x:c r="F927" s="8"/>
      <x:c r="G927" s="8"/>
      <x:c r="H927" s="8"/>
      <x:c r="I927" s="8"/>
      <x:c r="J927" s="8"/>
      <x:c r="K927" s="8"/>
      <x:c r="L927" s="8"/>
      <x:c r="M927" s="8"/>
      <x:c r="N927" s="8"/>
      <x:c r="O927" s="8"/>
      <x:c r="P927" s="8"/>
      <x:c r="Q927" s="8"/>
      <x:c r="R927" s="8"/>
      <x:c r="S927" s="8"/>
      <x:c r="T927" s="8"/>
      <x:c r="U927" s="8"/>
      <x:c r="V927" s="8"/>
      <x:c r="W927" s="8"/>
      <x:c r="X927" s="8"/>
      <x:c r="Y927" s="8"/>
      <x:c r="Z927" s="8"/>
      <x:c r="AA927" s="8"/>
      <x:c r="AB927" s="8"/>
      <x:c r="AC927" s="9"/>
      <x:c r="AD927" s="8"/>
      <x:c r="AE927" s="8"/>
      <x:c r="AF927" s="8"/>
      <x:c r="AG927" s="8"/>
      <x:c r="AH927" s="8"/>
      <x:c r="AI927" s="8"/>
    </x:row>
    <x:row r="928">
      <x:c r="A928" s="8"/>
      <x:c r="B928" s="8"/>
      <x:c r="C928" s="8"/>
      <x:c r="D928" s="8"/>
      <x:c r="E928" s="8"/>
      <x:c r="F928" s="8"/>
      <x:c r="G928" s="8"/>
      <x:c r="H928" s="8"/>
      <x:c r="I928" s="8"/>
      <x:c r="J928" s="8"/>
      <x:c r="K928" s="8"/>
      <x:c r="L928" s="8"/>
      <x:c r="M928" s="8"/>
      <x:c r="N928" s="8"/>
      <x:c r="O928" s="8"/>
      <x:c r="P928" s="8"/>
      <x:c r="Q928" s="8"/>
      <x:c r="R928" s="8"/>
      <x:c r="S928" s="8"/>
      <x:c r="T928" s="8"/>
      <x:c r="U928" s="8"/>
      <x:c r="V928" s="8"/>
      <x:c r="W928" s="8"/>
      <x:c r="X928" s="8"/>
      <x:c r="Y928" s="8"/>
      <x:c r="Z928" s="8"/>
      <x:c r="AA928" s="8"/>
      <x:c r="AB928" s="8"/>
      <x:c r="AC928" s="9"/>
      <x:c r="AD928" s="8"/>
      <x:c r="AE928" s="8"/>
      <x:c r="AF928" s="8"/>
      <x:c r="AG928" s="8"/>
      <x:c r="AH928" s="8"/>
      <x:c r="AI928" s="8"/>
    </x:row>
    <x:row r="929">
      <x:c r="A929" s="8"/>
      <x:c r="B929" s="8"/>
      <x:c r="C929" s="8"/>
      <x:c r="D929" s="8"/>
      <x:c r="E929" s="8"/>
      <x:c r="F929" s="8"/>
      <x:c r="G929" s="8"/>
      <x:c r="H929" s="8"/>
      <x:c r="I929" s="8"/>
      <x:c r="J929" s="8"/>
      <x:c r="K929" s="8"/>
      <x:c r="L929" s="8"/>
      <x:c r="M929" s="8"/>
      <x:c r="N929" s="8"/>
      <x:c r="O929" s="8"/>
      <x:c r="P929" s="8"/>
      <x:c r="Q929" s="8"/>
      <x:c r="R929" s="8"/>
      <x:c r="S929" s="8"/>
      <x:c r="T929" s="8"/>
      <x:c r="U929" s="8"/>
      <x:c r="V929" s="8"/>
      <x:c r="W929" s="8"/>
      <x:c r="X929" s="8"/>
      <x:c r="Y929" s="8"/>
      <x:c r="Z929" s="8"/>
      <x:c r="AA929" s="8"/>
      <x:c r="AB929" s="8"/>
      <x:c r="AC929" s="9"/>
      <x:c r="AD929" s="8"/>
      <x:c r="AE929" s="8"/>
      <x:c r="AF929" s="8"/>
      <x:c r="AG929" s="8"/>
      <x:c r="AH929" s="8"/>
      <x:c r="AI929" s="8"/>
    </x:row>
    <x:row r="930">
      <x:c r="A930" s="8"/>
      <x:c r="B930" s="8"/>
      <x:c r="C930" s="8"/>
      <x:c r="D930" s="8"/>
      <x:c r="E930" s="8"/>
      <x:c r="F930" s="8"/>
      <x:c r="G930" s="8"/>
      <x:c r="H930" s="8"/>
      <x:c r="I930" s="8"/>
      <x:c r="J930" s="8"/>
      <x:c r="K930" s="8"/>
      <x:c r="L930" s="8"/>
      <x:c r="M930" s="8"/>
      <x:c r="N930" s="8"/>
      <x:c r="O930" s="8"/>
      <x:c r="P930" s="8"/>
      <x:c r="Q930" s="8"/>
      <x:c r="R930" s="8"/>
      <x:c r="S930" s="8"/>
      <x:c r="T930" s="8"/>
      <x:c r="U930" s="8"/>
      <x:c r="V930" s="8"/>
      <x:c r="W930" s="8"/>
      <x:c r="X930" s="8"/>
      <x:c r="Y930" s="8"/>
      <x:c r="Z930" s="8"/>
      <x:c r="AA930" s="8"/>
      <x:c r="AB930" s="8"/>
      <x:c r="AC930" s="9"/>
      <x:c r="AD930" s="8"/>
      <x:c r="AE930" s="8"/>
      <x:c r="AF930" s="8"/>
      <x:c r="AG930" s="8"/>
      <x:c r="AH930" s="8"/>
      <x:c r="AI930" s="8"/>
    </x:row>
    <x:row r="931">
      <x:c r="A931" s="8"/>
      <x:c r="B931" s="8"/>
      <x:c r="C931" s="8"/>
      <x:c r="D931" s="8"/>
      <x:c r="E931" s="8"/>
      <x:c r="F931" s="8"/>
      <x:c r="G931" s="8"/>
      <x:c r="H931" s="8"/>
      <x:c r="I931" s="8"/>
      <x:c r="J931" s="8"/>
      <x:c r="K931" s="8"/>
      <x:c r="L931" s="8"/>
      <x:c r="M931" s="8"/>
      <x:c r="N931" s="8"/>
      <x:c r="O931" s="8"/>
      <x:c r="P931" s="8"/>
      <x:c r="Q931" s="8"/>
      <x:c r="R931" s="8"/>
      <x:c r="S931" s="8"/>
      <x:c r="T931" s="8"/>
      <x:c r="U931" s="8"/>
      <x:c r="V931" s="8"/>
      <x:c r="W931" s="8"/>
      <x:c r="X931" s="8"/>
      <x:c r="Y931" s="8"/>
      <x:c r="Z931" s="8"/>
      <x:c r="AA931" s="8"/>
      <x:c r="AB931" s="8"/>
      <x:c r="AC931" s="9"/>
      <x:c r="AD931" s="8"/>
      <x:c r="AE931" s="8"/>
      <x:c r="AF931" s="8"/>
      <x:c r="AG931" s="8"/>
      <x:c r="AH931" s="8"/>
      <x:c r="AI931" s="8"/>
    </x:row>
    <x:row r="932">
      <x:c r="A932" s="8"/>
      <x:c r="B932" s="8"/>
      <x:c r="C932" s="8"/>
      <x:c r="D932" s="8"/>
      <x:c r="E932" s="8"/>
      <x:c r="F932" s="8"/>
      <x:c r="G932" s="8"/>
      <x:c r="H932" s="8"/>
      <x:c r="I932" s="8"/>
      <x:c r="J932" s="8"/>
      <x:c r="K932" s="8"/>
      <x:c r="L932" s="8"/>
      <x:c r="M932" s="8"/>
      <x:c r="N932" s="8"/>
      <x:c r="O932" s="8"/>
      <x:c r="P932" s="8"/>
      <x:c r="Q932" s="8"/>
      <x:c r="R932" s="8"/>
      <x:c r="S932" s="8"/>
      <x:c r="T932" s="8"/>
      <x:c r="U932" s="8"/>
      <x:c r="V932" s="8"/>
      <x:c r="W932" s="8"/>
      <x:c r="X932" s="8"/>
      <x:c r="Y932" s="8"/>
      <x:c r="Z932" s="8"/>
      <x:c r="AA932" s="8"/>
      <x:c r="AB932" s="8"/>
      <x:c r="AC932" s="9"/>
      <x:c r="AD932" s="8"/>
      <x:c r="AE932" s="8"/>
      <x:c r="AF932" s="8"/>
      <x:c r="AG932" s="8"/>
      <x:c r="AH932" s="8"/>
      <x:c r="AI932" s="8"/>
    </x:row>
    <x:row r="933">
      <x:c r="A933" s="8"/>
      <x:c r="B933" s="8"/>
      <x:c r="C933" s="8"/>
      <x:c r="D933" s="8"/>
      <x:c r="E933" s="8"/>
      <x:c r="F933" s="8"/>
      <x:c r="G933" s="8"/>
      <x:c r="H933" s="8"/>
      <x:c r="I933" s="8"/>
      <x:c r="J933" s="8"/>
      <x:c r="K933" s="8"/>
      <x:c r="L933" s="8"/>
      <x:c r="M933" s="8"/>
      <x:c r="N933" s="8"/>
      <x:c r="O933" s="8"/>
      <x:c r="P933" s="8"/>
      <x:c r="Q933" s="8"/>
      <x:c r="R933" s="8"/>
      <x:c r="S933" s="8"/>
      <x:c r="T933" s="8"/>
      <x:c r="U933" s="8"/>
      <x:c r="V933" s="8"/>
      <x:c r="W933" s="8"/>
      <x:c r="X933" s="8"/>
      <x:c r="Y933" s="8"/>
      <x:c r="Z933" s="8"/>
      <x:c r="AA933" s="8"/>
      <x:c r="AB933" s="8"/>
      <x:c r="AC933" s="9"/>
      <x:c r="AD933" s="8"/>
      <x:c r="AE933" s="8"/>
      <x:c r="AF933" s="8"/>
      <x:c r="AG933" s="8"/>
      <x:c r="AH933" s="8"/>
      <x:c r="AI933" s="8"/>
    </x:row>
    <x:row r="934">
      <x:c r="A934" s="8"/>
      <x:c r="B934" s="8"/>
      <x:c r="C934" s="8"/>
      <x:c r="D934" s="8"/>
      <x:c r="E934" s="8"/>
      <x:c r="F934" s="8"/>
      <x:c r="G934" s="8"/>
      <x:c r="H934" s="8"/>
      <x:c r="I934" s="8"/>
      <x:c r="J934" s="8"/>
      <x:c r="K934" s="8"/>
      <x:c r="L934" s="8"/>
      <x:c r="M934" s="8"/>
      <x:c r="N934" s="8"/>
      <x:c r="O934" s="8"/>
      <x:c r="P934" s="8"/>
      <x:c r="Q934" s="8"/>
      <x:c r="R934" s="8"/>
      <x:c r="S934" s="8"/>
      <x:c r="T934" s="8"/>
      <x:c r="U934" s="8"/>
      <x:c r="V934" s="8"/>
      <x:c r="W934" s="8"/>
      <x:c r="X934" s="8"/>
      <x:c r="Y934" s="8"/>
      <x:c r="Z934" s="8"/>
      <x:c r="AA934" s="8"/>
      <x:c r="AB934" s="8"/>
      <x:c r="AC934" s="9"/>
      <x:c r="AD934" s="8"/>
      <x:c r="AE934" s="8"/>
      <x:c r="AF934" s="8"/>
      <x:c r="AG934" s="8"/>
      <x:c r="AH934" s="8"/>
      <x:c r="AI934" s="8"/>
    </x:row>
    <x:row r="935">
      <x:c r="A935" s="8"/>
      <x:c r="B935" s="8"/>
      <x:c r="C935" s="8"/>
      <x:c r="D935" s="8"/>
      <x:c r="E935" s="8"/>
      <x:c r="F935" s="8"/>
      <x:c r="G935" s="8"/>
      <x:c r="H935" s="8"/>
      <x:c r="I935" s="8"/>
      <x:c r="J935" s="8"/>
      <x:c r="K935" s="8"/>
      <x:c r="L935" s="8"/>
      <x:c r="M935" s="8"/>
      <x:c r="N935" s="8"/>
      <x:c r="O935" s="8"/>
      <x:c r="P935" s="8"/>
      <x:c r="Q935" s="8"/>
      <x:c r="R935" s="8"/>
      <x:c r="S935" s="8"/>
      <x:c r="T935" s="8"/>
      <x:c r="U935" s="8"/>
      <x:c r="V935" s="8"/>
      <x:c r="W935" s="8"/>
      <x:c r="X935" s="8"/>
      <x:c r="Y935" s="8"/>
      <x:c r="Z935" s="8"/>
      <x:c r="AA935" s="8"/>
      <x:c r="AB935" s="8"/>
      <x:c r="AC935" s="9"/>
      <x:c r="AD935" s="8"/>
      <x:c r="AE935" s="8"/>
      <x:c r="AF935" s="8"/>
      <x:c r="AG935" s="8"/>
      <x:c r="AH935" s="8"/>
      <x:c r="AI935" s="8"/>
    </x:row>
    <x:row r="936">
      <x:c r="A936" s="8"/>
      <x:c r="B936" s="8"/>
      <x:c r="C936" s="8"/>
      <x:c r="D936" s="8"/>
      <x:c r="E936" s="8"/>
      <x:c r="F936" s="8"/>
      <x:c r="G936" s="8"/>
      <x:c r="H936" s="8"/>
      <x:c r="I936" s="8"/>
      <x:c r="J936" s="8"/>
      <x:c r="K936" s="8"/>
      <x:c r="L936" s="8"/>
      <x:c r="M936" s="8"/>
      <x:c r="N936" s="8"/>
      <x:c r="O936" s="8"/>
      <x:c r="P936" s="8"/>
      <x:c r="Q936" s="8"/>
      <x:c r="R936" s="8"/>
      <x:c r="S936" s="8"/>
      <x:c r="T936" s="8"/>
      <x:c r="U936" s="8"/>
      <x:c r="V936" s="8"/>
      <x:c r="W936" s="8"/>
      <x:c r="X936" s="8"/>
      <x:c r="Y936" s="8"/>
      <x:c r="Z936" s="8"/>
      <x:c r="AA936" s="8"/>
      <x:c r="AB936" s="8"/>
      <x:c r="AC936" s="9"/>
      <x:c r="AD936" s="8"/>
      <x:c r="AE936" s="8"/>
      <x:c r="AF936" s="8"/>
      <x:c r="AG936" s="8"/>
      <x:c r="AH936" s="8"/>
      <x:c r="AI936" s="8"/>
    </x:row>
    <x:row r="937">
      <x:c r="A937" s="8"/>
      <x:c r="B937" s="8"/>
      <x:c r="C937" s="8"/>
      <x:c r="D937" s="8"/>
      <x:c r="E937" s="8"/>
      <x:c r="F937" s="8"/>
      <x:c r="G937" s="8"/>
      <x:c r="H937" s="8"/>
      <x:c r="I937" s="8"/>
      <x:c r="J937" s="8"/>
      <x:c r="K937" s="8"/>
      <x:c r="L937" s="8"/>
      <x:c r="M937" s="8"/>
      <x:c r="N937" s="8"/>
      <x:c r="O937" s="8"/>
      <x:c r="P937" s="8"/>
      <x:c r="Q937" s="8"/>
      <x:c r="R937" s="8"/>
      <x:c r="S937" s="8"/>
      <x:c r="T937" s="8"/>
      <x:c r="U937" s="8"/>
      <x:c r="V937" s="8"/>
      <x:c r="W937" s="8"/>
      <x:c r="X937" s="8"/>
      <x:c r="Y937" s="8"/>
      <x:c r="Z937" s="8"/>
      <x:c r="AA937" s="8"/>
      <x:c r="AB937" s="8"/>
      <x:c r="AC937" s="9"/>
      <x:c r="AD937" s="8"/>
      <x:c r="AE937" s="8"/>
      <x:c r="AF937" s="8"/>
      <x:c r="AG937" s="8"/>
      <x:c r="AH937" s="8"/>
      <x:c r="AI937" s="8"/>
    </x:row>
    <x:row r="938">
      <x:c r="A938" s="8"/>
      <x:c r="B938" s="8"/>
      <x:c r="C938" s="8"/>
      <x:c r="D938" s="8"/>
      <x:c r="E938" s="8"/>
      <x:c r="F938" s="8"/>
      <x:c r="G938" s="8"/>
      <x:c r="H938" s="8"/>
      <x:c r="I938" s="8"/>
      <x:c r="J938" s="8"/>
      <x:c r="K938" s="8"/>
      <x:c r="L938" s="8"/>
      <x:c r="M938" s="8"/>
      <x:c r="N938" s="8"/>
      <x:c r="O938" s="8"/>
      <x:c r="P938" s="8"/>
      <x:c r="Q938" s="8"/>
      <x:c r="R938" s="8"/>
      <x:c r="S938" s="8"/>
      <x:c r="T938" s="8"/>
      <x:c r="U938" s="8"/>
      <x:c r="V938" s="8"/>
      <x:c r="W938" s="8"/>
      <x:c r="X938" s="8"/>
      <x:c r="Y938" s="8"/>
      <x:c r="Z938" s="8"/>
      <x:c r="AA938" s="8"/>
      <x:c r="AB938" s="8"/>
      <x:c r="AC938" s="9"/>
      <x:c r="AD938" s="8"/>
      <x:c r="AE938" s="8"/>
      <x:c r="AF938" s="8"/>
      <x:c r="AG938" s="8"/>
      <x:c r="AH938" s="8"/>
      <x:c r="AI938" s="8"/>
    </x:row>
    <x:row r="939">
      <x:c r="A939" s="8"/>
      <x:c r="B939" s="8"/>
      <x:c r="C939" s="8"/>
      <x:c r="D939" s="8"/>
      <x:c r="E939" s="8"/>
      <x:c r="F939" s="8"/>
      <x:c r="G939" s="8"/>
      <x:c r="H939" s="8"/>
      <x:c r="I939" s="8"/>
      <x:c r="J939" s="8"/>
      <x:c r="K939" s="8"/>
      <x:c r="L939" s="8"/>
      <x:c r="M939" s="8"/>
      <x:c r="N939" s="8"/>
      <x:c r="O939" s="8"/>
      <x:c r="P939" s="8"/>
      <x:c r="Q939" s="8"/>
      <x:c r="R939" s="8"/>
      <x:c r="S939" s="8"/>
      <x:c r="T939" s="8"/>
      <x:c r="U939" s="8"/>
      <x:c r="V939" s="8"/>
      <x:c r="W939" s="8"/>
      <x:c r="X939" s="8"/>
      <x:c r="Y939" s="8"/>
      <x:c r="Z939" s="8"/>
      <x:c r="AA939" s="8"/>
      <x:c r="AB939" s="8"/>
      <x:c r="AC939" s="9"/>
      <x:c r="AD939" s="8"/>
      <x:c r="AE939" s="8"/>
      <x:c r="AF939" s="8"/>
      <x:c r="AG939" s="8"/>
      <x:c r="AH939" s="8"/>
      <x:c r="AI939" s="8"/>
    </x:row>
    <x:row r="940">
      <x:c r="A940" s="8"/>
      <x:c r="B940" s="8"/>
      <x:c r="C940" s="8"/>
      <x:c r="D940" s="8"/>
      <x:c r="E940" s="8"/>
      <x:c r="F940" s="8"/>
      <x:c r="G940" s="8"/>
      <x:c r="H940" s="8"/>
      <x:c r="I940" s="8"/>
      <x:c r="J940" s="8"/>
      <x:c r="K940" s="8"/>
      <x:c r="L940" s="8"/>
      <x:c r="M940" s="8"/>
      <x:c r="N940" s="8"/>
      <x:c r="O940" s="8"/>
      <x:c r="P940" s="8"/>
      <x:c r="Q940" s="8"/>
      <x:c r="R940" s="8"/>
      <x:c r="S940" s="8"/>
      <x:c r="T940" s="8"/>
      <x:c r="U940" s="8"/>
      <x:c r="V940" s="8"/>
      <x:c r="W940" s="8"/>
      <x:c r="X940" s="8"/>
      <x:c r="Y940" s="8"/>
      <x:c r="Z940" s="8"/>
      <x:c r="AA940" s="8"/>
      <x:c r="AB940" s="8"/>
      <x:c r="AC940" s="9"/>
      <x:c r="AD940" s="8"/>
      <x:c r="AE940" s="8"/>
      <x:c r="AF940" s="8"/>
      <x:c r="AG940" s="8"/>
      <x:c r="AH940" s="8"/>
      <x:c r="AI940" s="8"/>
    </x:row>
    <x:row r="941">
      <x:c r="A941" s="8"/>
      <x:c r="B941" s="8"/>
      <x:c r="C941" s="8"/>
      <x:c r="D941" s="8"/>
      <x:c r="E941" s="8"/>
      <x:c r="F941" s="8"/>
      <x:c r="G941" s="8"/>
      <x:c r="H941" s="8"/>
      <x:c r="I941" s="8"/>
      <x:c r="J941" s="8"/>
      <x:c r="K941" s="8"/>
      <x:c r="L941" s="8"/>
      <x:c r="M941" s="8"/>
      <x:c r="N941" s="8"/>
      <x:c r="O941" s="8"/>
      <x:c r="P941" s="8"/>
      <x:c r="Q941" s="8"/>
      <x:c r="R941" s="8"/>
      <x:c r="S941" s="8"/>
      <x:c r="T941" s="8"/>
      <x:c r="U941" s="8"/>
      <x:c r="V941" s="8"/>
      <x:c r="W941" s="8"/>
      <x:c r="X941" s="8"/>
      <x:c r="Y941" s="8"/>
      <x:c r="Z941" s="8"/>
      <x:c r="AA941" s="8"/>
      <x:c r="AB941" s="8"/>
      <x:c r="AC941" s="9"/>
      <x:c r="AD941" s="8"/>
      <x:c r="AE941" s="8"/>
      <x:c r="AF941" s="8"/>
      <x:c r="AG941" s="8"/>
      <x:c r="AH941" s="8"/>
      <x:c r="AI941" s="8"/>
    </x:row>
    <x:row r="942">
      <x:c r="A942" s="8"/>
      <x:c r="B942" s="8"/>
      <x:c r="C942" s="8"/>
      <x:c r="D942" s="8"/>
      <x:c r="E942" s="8"/>
      <x:c r="F942" s="8"/>
      <x:c r="G942" s="8"/>
      <x:c r="H942" s="8"/>
      <x:c r="I942" s="8"/>
      <x:c r="J942" s="8"/>
      <x:c r="K942" s="8"/>
      <x:c r="L942" s="8"/>
      <x:c r="M942" s="8"/>
      <x:c r="N942" s="8"/>
      <x:c r="O942" s="8"/>
      <x:c r="P942" s="8"/>
      <x:c r="Q942" s="8"/>
      <x:c r="R942" s="8"/>
      <x:c r="S942" s="8"/>
      <x:c r="T942" s="8"/>
      <x:c r="U942" s="8"/>
      <x:c r="V942" s="8"/>
      <x:c r="W942" s="8"/>
      <x:c r="X942" s="8"/>
      <x:c r="Y942" s="8"/>
      <x:c r="Z942" s="8"/>
      <x:c r="AA942" s="8"/>
      <x:c r="AB942" s="8"/>
      <x:c r="AC942" s="9"/>
      <x:c r="AD942" s="8"/>
      <x:c r="AE942" s="8"/>
      <x:c r="AF942" s="8"/>
      <x:c r="AG942" s="8"/>
      <x:c r="AH942" s="8"/>
      <x:c r="AI942" s="8"/>
    </x:row>
    <x:row r="943">
      <x:c r="A943" s="8"/>
      <x:c r="B943" s="8"/>
      <x:c r="C943" s="8"/>
      <x:c r="D943" s="8"/>
      <x:c r="E943" s="8"/>
      <x:c r="F943" s="8"/>
      <x:c r="G943" s="8"/>
      <x:c r="H943" s="8"/>
      <x:c r="I943" s="8"/>
      <x:c r="J943" s="8"/>
      <x:c r="K943" s="8"/>
      <x:c r="L943" s="8"/>
      <x:c r="M943" s="8"/>
      <x:c r="N943" s="8"/>
      <x:c r="O943" s="8"/>
      <x:c r="P943" s="8"/>
      <x:c r="Q943" s="8"/>
      <x:c r="R943" s="8"/>
      <x:c r="S943" s="8"/>
      <x:c r="T943" s="8"/>
      <x:c r="U943" s="8"/>
      <x:c r="V943" s="8"/>
      <x:c r="W943" s="8"/>
      <x:c r="X943" s="8"/>
      <x:c r="Y943" s="8"/>
      <x:c r="Z943" s="8"/>
      <x:c r="AA943" s="8"/>
      <x:c r="AB943" s="8"/>
      <x:c r="AC943" s="9"/>
      <x:c r="AD943" s="8"/>
      <x:c r="AE943" s="8"/>
      <x:c r="AF943" s="8"/>
      <x:c r="AG943" s="8"/>
      <x:c r="AH943" s="8"/>
      <x:c r="AI943" s="8"/>
    </x:row>
    <x:row r="944">
      <x:c r="A944" s="8"/>
      <x:c r="B944" s="8"/>
      <x:c r="C944" s="8"/>
      <x:c r="D944" s="8"/>
      <x:c r="E944" s="8"/>
      <x:c r="F944" s="8"/>
      <x:c r="G944" s="8"/>
      <x:c r="H944" s="8"/>
      <x:c r="I944" s="8"/>
      <x:c r="J944" s="8"/>
      <x:c r="K944" s="8"/>
      <x:c r="L944" s="8"/>
      <x:c r="M944" s="8"/>
      <x:c r="N944" s="8"/>
      <x:c r="O944" s="8"/>
      <x:c r="P944" s="8"/>
      <x:c r="Q944" s="8"/>
      <x:c r="R944" s="8"/>
      <x:c r="S944" s="8"/>
      <x:c r="T944" s="8"/>
      <x:c r="U944" s="8"/>
      <x:c r="V944" s="8"/>
      <x:c r="W944" s="8"/>
      <x:c r="X944" s="8"/>
      <x:c r="Y944" s="8"/>
      <x:c r="Z944" s="8"/>
      <x:c r="AA944" s="8"/>
      <x:c r="AB944" s="8"/>
      <x:c r="AC944" s="9"/>
      <x:c r="AD944" s="8"/>
      <x:c r="AE944" s="8"/>
      <x:c r="AF944" s="8"/>
      <x:c r="AG944" s="8"/>
      <x:c r="AH944" s="8"/>
      <x:c r="AI944" s="8"/>
    </x:row>
    <x:row r="945">
      <x:c r="A945" s="8"/>
      <x:c r="B945" s="8"/>
      <x:c r="C945" s="8"/>
      <x:c r="D945" s="8"/>
      <x:c r="E945" s="8"/>
      <x:c r="F945" s="8"/>
      <x:c r="G945" s="8"/>
      <x:c r="H945" s="8"/>
      <x:c r="I945" s="8"/>
      <x:c r="J945" s="8"/>
      <x:c r="K945" s="8"/>
      <x:c r="L945" s="8"/>
      <x:c r="M945" s="8"/>
      <x:c r="N945" s="8"/>
      <x:c r="O945" s="8"/>
      <x:c r="P945" s="8"/>
      <x:c r="Q945" s="8"/>
      <x:c r="R945" s="8"/>
      <x:c r="S945" s="8"/>
      <x:c r="T945" s="8"/>
      <x:c r="U945" s="8"/>
      <x:c r="V945" s="8"/>
      <x:c r="W945" s="8"/>
      <x:c r="X945" s="8"/>
      <x:c r="Y945" s="8"/>
      <x:c r="Z945" s="8"/>
      <x:c r="AA945" s="8"/>
      <x:c r="AB945" s="8"/>
      <x:c r="AC945" s="9"/>
      <x:c r="AD945" s="8"/>
      <x:c r="AE945" s="8"/>
      <x:c r="AF945" s="8"/>
      <x:c r="AG945" s="8"/>
      <x:c r="AH945" s="8"/>
      <x:c r="AI945" s="8"/>
    </x:row>
    <x:row r="946">
      <x:c r="A946" s="8"/>
      <x:c r="B946" s="8"/>
      <x:c r="C946" s="8"/>
      <x:c r="D946" s="8"/>
      <x:c r="E946" s="8"/>
      <x:c r="F946" s="8"/>
      <x:c r="G946" s="8"/>
      <x:c r="H946" s="8"/>
      <x:c r="I946" s="8"/>
      <x:c r="J946" s="8"/>
      <x:c r="K946" s="8"/>
      <x:c r="L946" s="8"/>
      <x:c r="M946" s="8"/>
      <x:c r="N946" s="8"/>
      <x:c r="O946" s="8"/>
      <x:c r="P946" s="8"/>
      <x:c r="Q946" s="8"/>
      <x:c r="R946" s="8"/>
      <x:c r="S946" s="8"/>
      <x:c r="T946" s="8"/>
      <x:c r="U946" s="8"/>
      <x:c r="V946" s="8"/>
      <x:c r="W946" s="8"/>
      <x:c r="X946" s="8"/>
      <x:c r="Y946" s="8"/>
      <x:c r="Z946" s="8"/>
      <x:c r="AA946" s="8"/>
      <x:c r="AB946" s="8"/>
      <x:c r="AC946" s="9"/>
      <x:c r="AD946" s="8"/>
      <x:c r="AE946" s="8"/>
      <x:c r="AF946" s="8"/>
      <x:c r="AG946" s="8"/>
      <x:c r="AH946" s="8"/>
      <x:c r="AI946" s="8"/>
    </x:row>
    <x:row r="947">
      <x:c r="A947" s="8"/>
      <x:c r="B947" s="8"/>
      <x:c r="C947" s="8"/>
      <x:c r="D947" s="8"/>
      <x:c r="E947" s="8"/>
      <x:c r="F947" s="8"/>
      <x:c r="G947" s="8"/>
      <x:c r="H947" s="8"/>
      <x:c r="I947" s="8"/>
      <x:c r="J947" s="8"/>
      <x:c r="K947" s="8"/>
      <x:c r="L947" s="8"/>
      <x:c r="M947" s="8"/>
      <x:c r="N947" s="8"/>
      <x:c r="O947" s="8"/>
      <x:c r="P947" s="8"/>
      <x:c r="Q947" s="8"/>
      <x:c r="R947" s="8"/>
      <x:c r="S947" s="8"/>
      <x:c r="T947" s="8"/>
      <x:c r="U947" s="8"/>
      <x:c r="V947" s="8"/>
      <x:c r="W947" s="8"/>
      <x:c r="X947" s="8"/>
      <x:c r="Y947" s="8"/>
      <x:c r="Z947" s="8"/>
      <x:c r="AA947" s="8"/>
      <x:c r="AB947" s="8"/>
      <x:c r="AC947" s="9"/>
      <x:c r="AD947" s="8"/>
      <x:c r="AE947" s="8"/>
      <x:c r="AF947" s="8"/>
      <x:c r="AG947" s="8"/>
      <x:c r="AH947" s="8"/>
      <x:c r="AI947" s="8"/>
    </x:row>
    <x:row r="948">
      <x:c r="A948" s="8"/>
      <x:c r="B948" s="8"/>
      <x:c r="C948" s="8"/>
      <x:c r="D948" s="8"/>
      <x:c r="E948" s="8"/>
      <x:c r="F948" s="8"/>
      <x:c r="G948" s="8"/>
      <x:c r="H948" s="8"/>
      <x:c r="I948" s="8"/>
      <x:c r="J948" s="8"/>
      <x:c r="K948" s="8"/>
      <x:c r="L948" s="8"/>
      <x:c r="M948" s="8"/>
      <x:c r="N948" s="8"/>
      <x:c r="O948" s="8"/>
      <x:c r="P948" s="8"/>
      <x:c r="Q948" s="8"/>
      <x:c r="R948" s="8"/>
      <x:c r="S948" s="8"/>
      <x:c r="T948" s="8"/>
      <x:c r="U948" s="8"/>
      <x:c r="V948" s="8"/>
      <x:c r="W948" s="8"/>
      <x:c r="X948" s="8"/>
      <x:c r="Y948" s="8"/>
      <x:c r="Z948" s="8"/>
      <x:c r="AA948" s="8"/>
      <x:c r="AB948" s="8"/>
      <x:c r="AC948" s="9"/>
      <x:c r="AD948" s="8"/>
      <x:c r="AE948" s="8"/>
      <x:c r="AF948" s="8"/>
      <x:c r="AG948" s="8"/>
      <x:c r="AH948" s="8"/>
      <x:c r="AI948" s="8"/>
    </x:row>
    <x:row r="949">
      <x:c r="A949" s="8"/>
      <x:c r="B949" s="8"/>
      <x:c r="C949" s="8"/>
      <x:c r="D949" s="8"/>
      <x:c r="E949" s="8"/>
      <x:c r="F949" s="8"/>
      <x:c r="G949" s="8"/>
      <x:c r="H949" s="8"/>
      <x:c r="I949" s="8"/>
      <x:c r="J949" s="8"/>
      <x:c r="K949" s="8"/>
      <x:c r="L949" s="8"/>
      <x:c r="M949" s="8"/>
      <x:c r="N949" s="8"/>
      <x:c r="O949" s="8"/>
      <x:c r="P949" s="8"/>
      <x:c r="Q949" s="8"/>
      <x:c r="R949" s="8"/>
      <x:c r="S949" s="8"/>
      <x:c r="T949" s="8"/>
      <x:c r="U949" s="8"/>
      <x:c r="V949" s="8"/>
      <x:c r="W949" s="8"/>
      <x:c r="X949" s="8"/>
      <x:c r="Y949" s="8"/>
      <x:c r="Z949" s="8"/>
      <x:c r="AA949" s="8"/>
      <x:c r="AB949" s="8"/>
      <x:c r="AC949" s="9"/>
      <x:c r="AD949" s="8"/>
      <x:c r="AE949" s="8"/>
      <x:c r="AF949" s="8"/>
      <x:c r="AG949" s="8"/>
      <x:c r="AH949" s="8"/>
      <x:c r="AI949" s="8"/>
    </x:row>
    <x:row r="950">
      <x:c r="A950" s="8"/>
      <x:c r="B950" s="8"/>
      <x:c r="C950" s="8"/>
      <x:c r="D950" s="8"/>
      <x:c r="E950" s="8"/>
      <x:c r="F950" s="8"/>
      <x:c r="G950" s="8"/>
      <x:c r="H950" s="8"/>
      <x:c r="I950" s="8"/>
      <x:c r="J950" s="8"/>
      <x:c r="K950" s="8"/>
      <x:c r="L950" s="8"/>
      <x:c r="M950" s="8"/>
      <x:c r="N950" s="8"/>
      <x:c r="O950" s="8"/>
      <x:c r="P950" s="8"/>
      <x:c r="Q950" s="8"/>
      <x:c r="R950" s="8"/>
      <x:c r="S950" s="8"/>
      <x:c r="T950" s="8"/>
      <x:c r="U950" s="8"/>
      <x:c r="V950" s="8"/>
      <x:c r="W950" s="8"/>
      <x:c r="X950" s="8"/>
      <x:c r="Y950" s="8"/>
      <x:c r="Z950" s="8"/>
      <x:c r="AA950" s="8"/>
      <x:c r="AB950" s="8"/>
      <x:c r="AC950" s="9"/>
      <x:c r="AD950" s="8"/>
      <x:c r="AE950" s="8"/>
      <x:c r="AF950" s="8"/>
      <x:c r="AG950" s="8"/>
      <x:c r="AH950" s="8"/>
      <x:c r="AI950" s="8"/>
    </x:row>
    <x:row r="951">
      <x:c r="A951" s="8"/>
      <x:c r="B951" s="8"/>
      <x:c r="C951" s="8"/>
      <x:c r="D951" s="8"/>
      <x:c r="E951" s="8"/>
      <x:c r="F951" s="8"/>
      <x:c r="G951" s="8"/>
      <x:c r="H951" s="8"/>
      <x:c r="I951" s="8"/>
      <x:c r="J951" s="8"/>
      <x:c r="K951" s="8"/>
      <x:c r="L951" s="8"/>
      <x:c r="M951" s="8"/>
      <x:c r="N951" s="8"/>
      <x:c r="O951" s="8"/>
      <x:c r="P951" s="8"/>
      <x:c r="Q951" s="8"/>
      <x:c r="R951" s="8"/>
      <x:c r="S951" s="8"/>
      <x:c r="T951" s="8"/>
      <x:c r="U951" s="8"/>
      <x:c r="V951" s="8"/>
      <x:c r="W951" s="8"/>
      <x:c r="X951" s="8"/>
      <x:c r="Y951" s="8"/>
      <x:c r="Z951" s="8"/>
      <x:c r="AA951" s="8"/>
      <x:c r="AB951" s="8"/>
      <x:c r="AC951" s="9"/>
      <x:c r="AD951" s="8"/>
      <x:c r="AE951" s="8"/>
      <x:c r="AF951" s="8"/>
      <x:c r="AG951" s="8"/>
      <x:c r="AH951" s="8"/>
      <x:c r="AI951" s="8"/>
    </x:row>
    <x:row r="952">
      <x:c r="A952" s="8"/>
      <x:c r="B952" s="8"/>
      <x:c r="C952" s="8"/>
      <x:c r="D952" s="8"/>
      <x:c r="E952" s="8"/>
      <x:c r="F952" s="8"/>
      <x:c r="G952" s="8"/>
      <x:c r="H952" s="8"/>
      <x:c r="I952" s="8"/>
      <x:c r="J952" s="8"/>
      <x:c r="K952" s="8"/>
      <x:c r="L952" s="8"/>
      <x:c r="M952" s="8"/>
      <x:c r="N952" s="8"/>
      <x:c r="O952" s="8"/>
      <x:c r="P952" s="8"/>
      <x:c r="Q952" s="8"/>
      <x:c r="R952" s="8"/>
      <x:c r="S952" s="8"/>
      <x:c r="T952" s="8"/>
      <x:c r="U952" s="8"/>
      <x:c r="V952" s="8"/>
      <x:c r="W952" s="8"/>
      <x:c r="X952" s="8"/>
      <x:c r="Y952" s="8"/>
      <x:c r="Z952" s="8"/>
      <x:c r="AA952" s="8"/>
      <x:c r="AB952" s="8"/>
      <x:c r="AC952" s="9"/>
      <x:c r="AD952" s="8"/>
      <x:c r="AE952" s="8"/>
      <x:c r="AF952" s="8"/>
      <x:c r="AG952" s="8"/>
      <x:c r="AH952" s="8"/>
      <x:c r="AI952" s="8"/>
    </x:row>
    <x:row r="953">
      <x:c r="A953" s="8"/>
      <x:c r="B953" s="8"/>
      <x:c r="C953" s="8"/>
      <x:c r="D953" s="8"/>
      <x:c r="E953" s="8"/>
      <x:c r="F953" s="8"/>
      <x:c r="G953" s="8"/>
      <x:c r="H953" s="8"/>
      <x:c r="I953" s="8"/>
      <x:c r="J953" s="8"/>
      <x:c r="K953" s="8"/>
      <x:c r="L953" s="8"/>
      <x:c r="M953" s="8"/>
      <x:c r="N953" s="8"/>
      <x:c r="O953" s="8"/>
      <x:c r="P953" s="8"/>
      <x:c r="Q953" s="8"/>
      <x:c r="R953" s="8"/>
      <x:c r="S953" s="8"/>
      <x:c r="T953" s="8"/>
      <x:c r="U953" s="8"/>
      <x:c r="V953" s="8"/>
      <x:c r="W953" s="8"/>
      <x:c r="X953" s="8"/>
      <x:c r="Y953" s="8"/>
      <x:c r="Z953" s="8"/>
      <x:c r="AA953" s="8"/>
      <x:c r="AB953" s="8"/>
      <x:c r="AC953" s="9"/>
      <x:c r="AD953" s="8"/>
      <x:c r="AE953" s="8"/>
      <x:c r="AF953" s="8"/>
      <x:c r="AG953" s="8"/>
      <x:c r="AH953" s="8"/>
      <x:c r="AI953" s="8"/>
    </x:row>
    <x:row r="954">
      <x:c r="A954" s="8"/>
      <x:c r="B954" s="8"/>
      <x:c r="C954" s="8"/>
      <x:c r="D954" s="8"/>
      <x:c r="E954" s="8"/>
      <x:c r="F954" s="8"/>
      <x:c r="G954" s="8"/>
      <x:c r="H954" s="8"/>
      <x:c r="I954" s="8"/>
      <x:c r="J954" s="8"/>
      <x:c r="K954" s="8"/>
      <x:c r="L954" s="8"/>
      <x:c r="M954" s="8"/>
      <x:c r="N954" s="8"/>
      <x:c r="O954" s="8"/>
      <x:c r="P954" s="8"/>
      <x:c r="Q954" s="8"/>
      <x:c r="R954" s="8"/>
      <x:c r="S954" s="8"/>
      <x:c r="T954" s="8"/>
      <x:c r="U954" s="8"/>
      <x:c r="V954" s="8"/>
      <x:c r="W954" s="8"/>
      <x:c r="X954" s="8"/>
      <x:c r="Y954" s="8"/>
      <x:c r="Z954" s="8"/>
      <x:c r="AA954" s="8"/>
      <x:c r="AB954" s="8"/>
      <x:c r="AC954" s="9"/>
      <x:c r="AD954" s="8"/>
      <x:c r="AE954" s="8"/>
      <x:c r="AF954" s="8"/>
      <x:c r="AG954" s="8"/>
      <x:c r="AH954" s="8"/>
      <x:c r="AI954" s="8"/>
    </x:row>
    <x:row r="955">
      <x:c r="A955" s="8"/>
      <x:c r="B955" s="8"/>
      <x:c r="C955" s="8"/>
      <x:c r="D955" s="8"/>
      <x:c r="E955" s="8"/>
      <x:c r="F955" s="8"/>
      <x:c r="G955" s="8"/>
      <x:c r="H955" s="8"/>
      <x:c r="I955" s="8"/>
      <x:c r="J955" s="8"/>
      <x:c r="K955" s="8"/>
      <x:c r="L955" s="8"/>
      <x:c r="M955" s="8"/>
      <x:c r="N955" s="8"/>
      <x:c r="O955" s="8"/>
      <x:c r="P955" s="8"/>
      <x:c r="Q955" s="8"/>
      <x:c r="R955" s="8"/>
      <x:c r="S955" s="8"/>
      <x:c r="T955" s="8"/>
      <x:c r="U955" s="8"/>
      <x:c r="V955" s="8"/>
      <x:c r="W955" s="8"/>
      <x:c r="X955" s="8"/>
      <x:c r="Y955" s="8"/>
      <x:c r="Z955" s="8"/>
      <x:c r="AA955" s="8"/>
      <x:c r="AB955" s="8"/>
      <x:c r="AC955" s="9"/>
      <x:c r="AD955" s="8"/>
      <x:c r="AE955" s="8"/>
      <x:c r="AF955" s="8"/>
      <x:c r="AG955" s="8"/>
      <x:c r="AH955" s="8"/>
      <x:c r="AI955" s="8"/>
    </x:row>
    <x:row r="956">
      <x:c r="A956" s="8"/>
      <x:c r="B956" s="8"/>
      <x:c r="C956" s="8"/>
      <x:c r="D956" s="8"/>
      <x:c r="E956" s="8"/>
      <x:c r="F956" s="8"/>
      <x:c r="G956" s="8"/>
      <x:c r="H956" s="8"/>
      <x:c r="I956" s="8"/>
      <x:c r="J956" s="8"/>
      <x:c r="K956" s="8"/>
      <x:c r="L956" s="8"/>
      <x:c r="M956" s="8"/>
      <x:c r="N956" s="8"/>
      <x:c r="O956" s="8"/>
      <x:c r="P956" s="8"/>
      <x:c r="Q956" s="8"/>
      <x:c r="R956" s="8"/>
      <x:c r="S956" s="8"/>
      <x:c r="T956" s="8"/>
      <x:c r="U956" s="8"/>
      <x:c r="V956" s="8"/>
      <x:c r="W956" s="8"/>
      <x:c r="X956" s="8"/>
      <x:c r="Y956" s="8"/>
      <x:c r="Z956" s="8"/>
      <x:c r="AA956" s="8"/>
      <x:c r="AB956" s="8"/>
      <x:c r="AC956" s="9"/>
      <x:c r="AD956" s="8"/>
      <x:c r="AE956" s="8"/>
      <x:c r="AF956" s="8"/>
      <x:c r="AG956" s="8"/>
      <x:c r="AH956" s="8"/>
      <x:c r="AI956" s="8"/>
    </x:row>
    <x:row r="957">
      <x:c r="A957" s="8"/>
      <x:c r="B957" s="8"/>
      <x:c r="C957" s="8"/>
      <x:c r="D957" s="8"/>
      <x:c r="E957" s="8"/>
      <x:c r="F957" s="8"/>
      <x:c r="G957" s="8"/>
      <x:c r="H957" s="8"/>
      <x:c r="I957" s="8"/>
      <x:c r="J957" s="8"/>
      <x:c r="K957" s="8"/>
      <x:c r="L957" s="8"/>
      <x:c r="M957" s="8"/>
      <x:c r="N957" s="8"/>
      <x:c r="O957" s="8"/>
      <x:c r="P957" s="8"/>
      <x:c r="Q957" s="8"/>
      <x:c r="R957" s="8"/>
      <x:c r="S957" s="8"/>
      <x:c r="T957" s="8"/>
      <x:c r="U957" s="8"/>
      <x:c r="V957" s="8"/>
      <x:c r="W957" s="8"/>
      <x:c r="X957" s="8"/>
      <x:c r="Y957" s="8"/>
      <x:c r="Z957" s="8"/>
      <x:c r="AA957" s="8"/>
      <x:c r="AB957" s="8"/>
      <x:c r="AC957" s="9"/>
      <x:c r="AD957" s="8"/>
      <x:c r="AE957" s="8"/>
      <x:c r="AF957" s="8"/>
      <x:c r="AG957" s="8"/>
      <x:c r="AH957" s="8"/>
      <x:c r="AI957" s="8"/>
    </x:row>
    <x:row r="958">
      <x:c r="A958" s="8"/>
      <x:c r="B958" s="8"/>
      <x:c r="C958" s="8"/>
      <x:c r="D958" s="8"/>
      <x:c r="E958" s="8"/>
      <x:c r="F958" s="8"/>
      <x:c r="G958" s="8"/>
      <x:c r="H958" s="8"/>
      <x:c r="I958" s="8"/>
      <x:c r="J958" s="8"/>
      <x:c r="K958" s="8"/>
      <x:c r="L958" s="8"/>
      <x:c r="M958" s="8"/>
      <x:c r="N958" s="8"/>
      <x:c r="O958" s="8"/>
      <x:c r="P958" s="8"/>
      <x:c r="Q958" s="8"/>
      <x:c r="R958" s="8"/>
      <x:c r="S958" s="8"/>
      <x:c r="T958" s="8"/>
      <x:c r="U958" s="8"/>
      <x:c r="V958" s="8"/>
      <x:c r="W958" s="8"/>
      <x:c r="X958" s="8"/>
      <x:c r="Y958" s="8"/>
      <x:c r="Z958" s="8"/>
      <x:c r="AA958" s="8"/>
      <x:c r="AB958" s="8"/>
      <x:c r="AC958" s="9"/>
      <x:c r="AD958" s="8"/>
      <x:c r="AE958" s="8"/>
      <x:c r="AF958" s="8"/>
      <x:c r="AG958" s="8"/>
      <x:c r="AH958" s="8"/>
      <x:c r="AI958" s="8"/>
    </x:row>
    <x:row r="959">
      <x:c r="A959" s="8"/>
      <x:c r="B959" s="8"/>
      <x:c r="C959" s="8"/>
      <x:c r="D959" s="8"/>
      <x:c r="E959" s="8"/>
      <x:c r="F959" s="8"/>
      <x:c r="G959" s="8"/>
      <x:c r="H959" s="8"/>
      <x:c r="I959" s="8"/>
      <x:c r="J959" s="8"/>
      <x:c r="K959" s="8"/>
      <x:c r="L959" s="8"/>
      <x:c r="M959" s="8"/>
      <x:c r="N959" s="8"/>
      <x:c r="O959" s="8"/>
      <x:c r="P959" s="8"/>
      <x:c r="Q959" s="8"/>
      <x:c r="R959" s="8"/>
      <x:c r="S959" s="8"/>
      <x:c r="T959" s="8"/>
      <x:c r="U959" s="8"/>
      <x:c r="V959" s="8"/>
      <x:c r="W959" s="8"/>
      <x:c r="X959" s="8"/>
      <x:c r="Y959" s="8"/>
      <x:c r="Z959" s="8"/>
      <x:c r="AA959" s="8"/>
      <x:c r="AB959" s="8"/>
      <x:c r="AC959" s="9"/>
      <x:c r="AD959" s="8"/>
      <x:c r="AE959" s="8"/>
      <x:c r="AF959" s="8"/>
      <x:c r="AG959" s="8"/>
      <x:c r="AH959" s="8"/>
      <x:c r="AI959" s="8"/>
    </x:row>
    <x:row r="960">
      <x:c r="A960" s="8"/>
      <x:c r="B960" s="8"/>
      <x:c r="C960" s="8"/>
      <x:c r="D960" s="8"/>
      <x:c r="E960" s="8"/>
      <x:c r="F960" s="8"/>
      <x:c r="G960" s="8"/>
      <x:c r="H960" s="8"/>
      <x:c r="I960" s="8"/>
      <x:c r="J960" s="8"/>
      <x:c r="K960" s="8"/>
      <x:c r="L960" s="8"/>
      <x:c r="M960" s="8"/>
      <x:c r="N960" s="8"/>
      <x:c r="O960" s="8"/>
      <x:c r="P960" s="8"/>
      <x:c r="Q960" s="8"/>
      <x:c r="R960" s="8"/>
      <x:c r="S960" s="8"/>
      <x:c r="T960" s="8"/>
      <x:c r="U960" s="8"/>
      <x:c r="V960" s="8"/>
      <x:c r="W960" s="8"/>
      <x:c r="X960" s="8"/>
      <x:c r="Y960" s="8"/>
      <x:c r="Z960" s="8"/>
      <x:c r="AA960" s="8"/>
      <x:c r="AB960" s="8"/>
      <x:c r="AC960" s="9"/>
      <x:c r="AD960" s="8"/>
      <x:c r="AE960" s="8"/>
      <x:c r="AF960" s="8"/>
      <x:c r="AG960" s="8"/>
      <x:c r="AH960" s="8"/>
      <x:c r="AI960" s="8"/>
    </x:row>
    <x:row r="961">
      <x:c r="A961" s="8"/>
      <x:c r="B961" s="8"/>
      <x:c r="C961" s="8"/>
      <x:c r="D961" s="8"/>
      <x:c r="E961" s="8"/>
      <x:c r="F961" s="8"/>
      <x:c r="G961" s="8"/>
      <x:c r="H961" s="8"/>
      <x:c r="I961" s="8"/>
      <x:c r="J961" s="8"/>
      <x:c r="K961" s="8"/>
      <x:c r="L961" s="8"/>
      <x:c r="M961" s="8"/>
      <x:c r="N961" s="8"/>
      <x:c r="O961" s="8"/>
      <x:c r="P961" s="8"/>
      <x:c r="Q961" s="8"/>
      <x:c r="R961" s="8"/>
      <x:c r="S961" s="8"/>
      <x:c r="T961" s="8"/>
      <x:c r="U961" s="8"/>
      <x:c r="V961" s="8"/>
      <x:c r="W961" s="8"/>
      <x:c r="X961" s="8"/>
      <x:c r="Y961" s="8"/>
      <x:c r="Z961" s="8"/>
      <x:c r="AA961" s="8"/>
      <x:c r="AB961" s="8"/>
      <x:c r="AC961" s="9"/>
      <x:c r="AD961" s="8"/>
      <x:c r="AE961" s="8"/>
      <x:c r="AF961" s="8"/>
      <x:c r="AG961" s="8"/>
      <x:c r="AH961" s="8"/>
      <x:c r="AI961" s="8"/>
    </x:row>
    <x:row r="962">
      <x:c r="A962" s="8"/>
      <x:c r="B962" s="8"/>
      <x:c r="C962" s="8"/>
      <x:c r="D962" s="8"/>
      <x:c r="E962" s="8"/>
      <x:c r="F962" s="8"/>
      <x:c r="G962" s="8"/>
      <x:c r="H962" s="8"/>
      <x:c r="I962" s="8"/>
      <x:c r="J962" s="8"/>
      <x:c r="K962" s="8"/>
      <x:c r="L962" s="8"/>
      <x:c r="M962" s="8"/>
      <x:c r="N962" s="8"/>
      <x:c r="O962" s="8"/>
      <x:c r="P962" s="8"/>
      <x:c r="Q962" s="8"/>
      <x:c r="R962" s="8"/>
      <x:c r="S962" s="8"/>
      <x:c r="T962" s="8"/>
      <x:c r="U962" s="8"/>
      <x:c r="V962" s="8"/>
      <x:c r="W962" s="8"/>
      <x:c r="X962" s="8"/>
      <x:c r="Y962" s="8"/>
      <x:c r="Z962" s="8"/>
      <x:c r="AA962" s="8"/>
      <x:c r="AB962" s="8"/>
      <x:c r="AC962" s="9"/>
      <x:c r="AD962" s="8"/>
      <x:c r="AE962" s="8"/>
      <x:c r="AF962" s="8"/>
      <x:c r="AG962" s="8"/>
      <x:c r="AH962" s="8"/>
      <x:c r="AI962" s="8"/>
    </x:row>
    <x:row r="963">
      <x:c r="A963" s="8"/>
      <x:c r="B963" s="8"/>
      <x:c r="C963" s="8"/>
      <x:c r="D963" s="8"/>
      <x:c r="E963" s="8"/>
      <x:c r="F963" s="8"/>
      <x:c r="G963" s="8"/>
      <x:c r="H963" s="8"/>
      <x:c r="I963" s="8"/>
      <x:c r="J963" s="8"/>
      <x:c r="K963" s="8"/>
      <x:c r="L963" s="8"/>
      <x:c r="M963" s="8"/>
      <x:c r="N963" s="8"/>
      <x:c r="O963" s="8"/>
      <x:c r="P963" s="8"/>
      <x:c r="Q963" s="8"/>
      <x:c r="R963" s="8"/>
      <x:c r="S963" s="8"/>
      <x:c r="T963" s="8"/>
      <x:c r="U963" s="8"/>
      <x:c r="V963" s="8"/>
      <x:c r="W963" s="8"/>
      <x:c r="X963" s="8"/>
      <x:c r="Y963" s="8"/>
      <x:c r="Z963" s="8"/>
      <x:c r="AA963" s="8"/>
      <x:c r="AB963" s="8"/>
      <x:c r="AC963" s="9"/>
      <x:c r="AD963" s="8"/>
      <x:c r="AE963" s="8"/>
      <x:c r="AF963" s="8"/>
      <x:c r="AG963" s="8"/>
      <x:c r="AH963" s="8"/>
      <x:c r="AI963" s="8"/>
    </x:row>
    <x:row r="964">
      <x:c r="A964" s="8"/>
      <x:c r="B964" s="8"/>
      <x:c r="C964" s="8"/>
      <x:c r="D964" s="8"/>
      <x:c r="E964" s="8"/>
      <x:c r="F964" s="8"/>
      <x:c r="G964" s="8"/>
      <x:c r="H964" s="8"/>
      <x:c r="I964" s="8"/>
      <x:c r="J964" s="8"/>
      <x:c r="K964" s="8"/>
      <x:c r="L964" s="8"/>
      <x:c r="M964" s="8"/>
      <x:c r="N964" s="8"/>
      <x:c r="O964" s="8"/>
      <x:c r="P964" s="8"/>
      <x:c r="Q964" s="8"/>
      <x:c r="R964" s="8"/>
      <x:c r="S964" s="8"/>
      <x:c r="T964" s="8"/>
      <x:c r="U964" s="8"/>
      <x:c r="V964" s="8"/>
      <x:c r="W964" s="8"/>
      <x:c r="X964" s="8"/>
      <x:c r="Y964" s="8"/>
      <x:c r="Z964" s="8"/>
      <x:c r="AA964" s="8"/>
      <x:c r="AB964" s="8"/>
      <x:c r="AC964" s="9"/>
      <x:c r="AD964" s="8"/>
      <x:c r="AE964" s="8"/>
      <x:c r="AF964" s="8"/>
      <x:c r="AG964" s="8"/>
      <x:c r="AH964" s="8"/>
      <x:c r="AI964" s="8"/>
    </x:row>
    <x:row r="965">
      <x:c r="A965" s="8"/>
      <x:c r="B965" s="8"/>
      <x:c r="C965" s="8"/>
      <x:c r="D965" s="8"/>
      <x:c r="E965" s="8"/>
      <x:c r="F965" s="8"/>
      <x:c r="G965" s="8"/>
      <x:c r="H965" s="8"/>
      <x:c r="I965" s="8"/>
      <x:c r="J965" s="8"/>
      <x:c r="K965" s="8"/>
      <x:c r="L965" s="8"/>
      <x:c r="M965" s="8"/>
      <x:c r="N965" s="8"/>
      <x:c r="O965" s="8"/>
      <x:c r="P965" s="8"/>
      <x:c r="Q965" s="8"/>
      <x:c r="R965" s="8"/>
      <x:c r="S965" s="8"/>
      <x:c r="T965" s="8"/>
      <x:c r="U965" s="8"/>
      <x:c r="V965" s="8"/>
      <x:c r="W965" s="8"/>
      <x:c r="X965" s="8"/>
      <x:c r="Y965" s="8"/>
      <x:c r="Z965" s="8"/>
      <x:c r="AA965" s="8"/>
      <x:c r="AB965" s="8"/>
      <x:c r="AC965" s="9"/>
      <x:c r="AD965" s="8"/>
      <x:c r="AE965" s="8"/>
      <x:c r="AF965" s="8"/>
      <x:c r="AG965" s="8"/>
      <x:c r="AH965" s="8"/>
      <x:c r="AI965" s="8"/>
    </x:row>
    <x:row r="966">
      <x:c r="A966" s="8"/>
      <x:c r="B966" s="8"/>
      <x:c r="C966" s="8"/>
      <x:c r="D966" s="8"/>
      <x:c r="E966" s="8"/>
      <x:c r="F966" s="8"/>
      <x:c r="G966" s="8"/>
      <x:c r="H966" s="8"/>
      <x:c r="I966" s="8"/>
      <x:c r="J966" s="8"/>
      <x:c r="K966" s="8"/>
      <x:c r="L966" s="8"/>
      <x:c r="M966" s="8"/>
      <x:c r="N966" s="8"/>
      <x:c r="O966" s="8"/>
      <x:c r="P966" s="8"/>
      <x:c r="Q966" s="8"/>
      <x:c r="R966" s="8"/>
      <x:c r="S966" s="8"/>
      <x:c r="T966" s="8"/>
      <x:c r="U966" s="8"/>
      <x:c r="V966" s="8"/>
      <x:c r="W966" s="8"/>
      <x:c r="X966" s="8"/>
      <x:c r="Y966" s="8"/>
      <x:c r="Z966" s="8"/>
      <x:c r="AA966" s="8"/>
      <x:c r="AB966" s="8"/>
      <x:c r="AC966" s="9"/>
      <x:c r="AD966" s="8"/>
      <x:c r="AE966" s="8"/>
      <x:c r="AF966" s="8"/>
      <x:c r="AG966" s="8"/>
      <x:c r="AH966" s="8"/>
      <x:c r="AI966" s="8"/>
    </x:row>
    <x:row r="967">
      <x:c r="A967" s="8"/>
      <x:c r="B967" s="8"/>
      <x:c r="C967" s="8"/>
      <x:c r="D967" s="8"/>
      <x:c r="E967" s="8"/>
      <x:c r="F967" s="8"/>
      <x:c r="G967" s="8"/>
      <x:c r="H967" s="8"/>
      <x:c r="I967" s="8"/>
      <x:c r="J967" s="8"/>
      <x:c r="K967" s="8"/>
      <x:c r="L967" s="8"/>
      <x:c r="M967" s="8"/>
      <x:c r="N967" s="8"/>
      <x:c r="O967" s="8"/>
      <x:c r="P967" s="8"/>
      <x:c r="Q967" s="8"/>
      <x:c r="R967" s="8"/>
      <x:c r="S967" s="8"/>
      <x:c r="T967" s="8"/>
      <x:c r="U967" s="8"/>
      <x:c r="V967" s="8"/>
      <x:c r="W967" s="8"/>
      <x:c r="X967" s="8"/>
      <x:c r="Y967" s="8"/>
      <x:c r="Z967" s="8"/>
      <x:c r="AA967" s="8"/>
      <x:c r="AB967" s="8"/>
      <x:c r="AC967" s="9"/>
      <x:c r="AD967" s="8"/>
      <x:c r="AE967" s="8"/>
      <x:c r="AF967" s="8"/>
      <x:c r="AG967" s="8"/>
      <x:c r="AH967" s="8"/>
      <x:c r="AI967" s="8"/>
    </x:row>
    <x:row r="968">
      <x:c r="A968" s="8"/>
      <x:c r="B968" s="8"/>
      <x:c r="C968" s="8"/>
      <x:c r="D968" s="8"/>
      <x:c r="E968" s="8"/>
      <x:c r="F968" s="8"/>
      <x:c r="G968" s="8"/>
      <x:c r="H968" s="8"/>
      <x:c r="I968" s="8"/>
      <x:c r="J968" s="8"/>
      <x:c r="K968" s="8"/>
      <x:c r="L968" s="8"/>
      <x:c r="M968" s="8"/>
      <x:c r="N968" s="8"/>
      <x:c r="O968" s="8"/>
      <x:c r="P968" s="8"/>
      <x:c r="Q968" s="8"/>
      <x:c r="R968" s="8"/>
      <x:c r="S968" s="8"/>
      <x:c r="T968" s="8"/>
      <x:c r="U968" s="8"/>
      <x:c r="V968" s="8"/>
      <x:c r="W968" s="8"/>
      <x:c r="X968" s="8"/>
      <x:c r="Y968" s="8"/>
      <x:c r="Z968" s="8"/>
      <x:c r="AA968" s="8"/>
      <x:c r="AB968" s="8"/>
      <x:c r="AC968" s="9"/>
      <x:c r="AD968" s="8"/>
      <x:c r="AE968" s="8"/>
      <x:c r="AF968" s="8"/>
      <x:c r="AG968" s="8"/>
      <x:c r="AH968" s="8"/>
      <x:c r="AI968" s="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  <x:c r="M969"/>
      <x:c r="N969"/>
      <x:c r="O969"/>
      <x:c r="P969"/>
      <x:c r="Q969"/>
      <x:c r="R969"/>
      <x:c r="S969"/>
      <x:c r="T969"/>
      <x:c r="U969"/>
      <x:c r="V969"/>
      <x:c r="W969"/>
      <x:c r="X969"/>
      <x:c r="Y969"/>
      <x:c r="Z969"/>
      <x:c r="AA969"/>
      <x:c r="AB969"/>
      <x:c r="AC969"/>
      <x:c r="AD969"/>
      <x:c r="AE969"/>
      <x:c r="AF969"/>
      <x:c r="AG969"/>
      <x:c r="AH969"/>
      <x:c r="AI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  <x:c r="M970"/>
      <x:c r="N970"/>
      <x:c r="O970"/>
      <x:c r="P970"/>
      <x:c r="Q970"/>
      <x:c r="R970"/>
      <x:c r="S970"/>
      <x:c r="T970"/>
      <x:c r="U970"/>
      <x:c r="V970"/>
      <x:c r="W970"/>
      <x:c r="X970"/>
      <x:c r="Y970"/>
      <x:c r="Z970"/>
      <x:c r="AA970"/>
      <x:c r="AB970"/>
      <x:c r="AC970"/>
      <x:c r="AD970"/>
      <x:c r="AE970"/>
      <x:c r="AF970"/>
      <x:c r="AG970"/>
      <x:c r="AH970"/>
      <x:c r="AI970"/>
    </x:row>
    <x:row r="971" ht="17.25">
      <x:c r="A971" s="27"/>
      <x:c r="B971" s="27"/>
      <x:c r="C971" s="27"/>
      <x:c r="D971" s="27"/>
      <x:c r="E971" s="27"/>
      <x:c r="F971" s="27"/>
      <x:c r="G971" s="27"/>
      <x:c r="H971" s="27"/>
      <x:c r="I971" s="27"/>
      <x:c r="J971" s="27"/>
      <x:c r="K971" s="27"/>
      <x:c r="L971" s="27"/>
      <x:c r="M971" s="27"/>
      <x:c r="N971" s="27"/>
      <x:c r="O971" s="27"/>
      <x:c r="P971" s="27"/>
      <x:c r="Q971" s="27"/>
      <x:c r="R971" s="27"/>
      <x:c r="S971" s="27"/>
      <x:c r="T971" s="27"/>
      <x:c r="U971" s="27"/>
      <x:c r="V971" s="27"/>
      <x:c r="W971" s="27"/>
      <x:c r="X971" s="27"/>
      <x:c r="Y971" s="27"/>
      <x:c r="Z971" s="27"/>
      <x:c r="AA971" s="27"/>
      <x:c r="AB971"/>
      <x:c r="AC971"/>
      <x:c r="AD971"/>
      <x:c r="AE971"/>
      <x:c r="AF971"/>
      <x:c r="AG971"/>
      <x:c r="AH971"/>
      <x:c r="AI971"/>
    </x:row>
    <x:row r="972">
      <x:c r="A972" s="10"/>
      <x:c r="B972" s="10"/>
      <x:c r="C972" s="10"/>
      <x:c r="D972" s="10"/>
      <x:c r="E972" s="10"/>
      <x:c r="F972" s="10"/>
      <x:c r="G972" s="10"/>
      <x:c r="H972" s="10"/>
      <x:c r="I972" s="10"/>
      <x:c r="J972" s="10"/>
      <x:c r="K972" s="10"/>
      <x:c r="L972" s="10"/>
      <x:c r="M972" s="10"/>
      <x:c r="N972" s="10"/>
      <x:c r="O972" s="10"/>
      <x:c r="P972" s="10"/>
      <x:c r="Q972" s="10"/>
      <x:c r="R972" s="10"/>
      <x:c r="S972" s="10"/>
      <x:c r="T972" s="10"/>
      <x:c r="U972" s="10"/>
      <x:c r="V972" s="10"/>
      <x:c r="W972" s="10"/>
      <x:c r="X972" s="10"/>
      <x:c r="Y972" s="10"/>
      <x:c r="Z972" s="10"/>
      <x:c r="AA972" s="10"/>
      <x:c r="AB972"/>
      <x:c r="AC972"/>
      <x:c r="AD972"/>
      <x:c r="AE972"/>
      <x:c r="AF972"/>
      <x:c r="AG972"/>
      <x:c r="AH972"/>
      <x:c r="AI972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/>
      <x:c r="AC973"/>
      <x:c r="AD973"/>
      <x:c r="AE973"/>
      <x:c r="AF973"/>
      <x:c r="AG973"/>
      <x:c r="AH973"/>
      <x:c r="AI973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/>
      <x:c r="AC974"/>
      <x:c r="AD974"/>
      <x:c r="AE974"/>
      <x:c r="AF974"/>
      <x:c r="AG974"/>
      <x:c r="AH974"/>
      <x:c r="AI974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/>
      <x:c r="AC975"/>
      <x:c r="AD975"/>
      <x:c r="AE975"/>
      <x:c r="AF975"/>
      <x:c r="AG975"/>
      <x:c r="AH975"/>
      <x:c r="AI975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/>
      <x:c r="AC976"/>
      <x:c r="AD976"/>
      <x:c r="AE976"/>
      <x:c r="AF976"/>
      <x:c r="AG976"/>
      <x:c r="AH976"/>
      <x:c r="AI976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/>
      <x:c r="AC977"/>
      <x:c r="AD977"/>
      <x:c r="AE977"/>
      <x:c r="AF977"/>
      <x:c r="AG977"/>
      <x:c r="AH977"/>
      <x:c r="AI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  <x:c r="M978"/>
      <x:c r="N978"/>
      <x:c r="O978"/>
      <x:c r="P978"/>
      <x:c r="Q978"/>
      <x:c r="R978"/>
      <x:c r="S978"/>
      <x:c r="T978"/>
      <x:c r="U978"/>
      <x:c r="V978"/>
      <x:c r="W978"/>
      <x:c r="X978"/>
      <x:c r="Y978"/>
      <x:c r="Z978"/>
      <x:c r="AA978"/>
      <x:c r="AB978"/>
      <x:c r="AC978"/>
      <x:c r="AD978"/>
      <x:c r="AE978"/>
      <x:c r="AF978"/>
      <x:c r="AG978"/>
      <x:c r="AH978"/>
      <x:c r="AI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  <x:c r="M979"/>
      <x:c r="N979"/>
      <x:c r="O979"/>
      <x:c r="P979"/>
      <x:c r="Q979"/>
      <x:c r="R979"/>
      <x:c r="S979"/>
      <x:c r="T979"/>
      <x:c r="U979"/>
      <x:c r="V979"/>
      <x:c r="W979"/>
      <x:c r="X979"/>
      <x:c r="Y979"/>
      <x:c r="Z979"/>
      <x:c r="AA979"/>
      <x:c r="AB979"/>
      <x:c r="AC979"/>
      <x:c r="AD979"/>
      <x:c r="AE979"/>
      <x:c r="AF979"/>
      <x:c r="AG979"/>
      <x:c r="AH979"/>
      <x:c r="AI979"/>
    </x:row>
    <x:row r="980" ht="17.25">
      <x:c r="A980" s="27"/>
      <x:c r="B980" s="27"/>
      <x:c r="C980" s="27"/>
      <x:c r="D980" s="27"/>
      <x:c r="E980"/>
      <x:c r="F980"/>
      <x:c r="G980"/>
      <x:c r="H980"/>
      <x:c r="I980"/>
      <x:c r="J980"/>
      <x:c r="K980"/>
      <x:c r="L980"/>
      <x:c r="M980"/>
      <x:c r="N980"/>
      <x:c r="O980"/>
      <x:c r="P980"/>
      <x:c r="Q980"/>
      <x:c r="R980"/>
      <x:c r="S980"/>
      <x:c r="T980"/>
      <x:c r="U980"/>
      <x:c r="V980"/>
      <x:c r="W980"/>
      <x:c r="X980"/>
      <x:c r="Y980"/>
      <x:c r="Z980"/>
      <x:c r="AA980"/>
      <x:c r="AB980"/>
      <x:c r="AC980"/>
      <x:c r="AD980"/>
      <x:c r="AE980"/>
      <x:c r="AF980"/>
      <x:c r="AG980"/>
      <x:c r="AH980"/>
      <x:c r="AI980"/>
    </x:row>
    <x:row r="981">
      <x:c r="A981" s="10"/>
      <x:c r="B981" s="10"/>
      <x:c r="C981" s="10"/>
      <x:c r="D981" s="10"/>
      <x:c r="E981"/>
      <x:c r="F981"/>
      <x:c r="G981"/>
      <x:c r="H981"/>
      <x:c r="I981"/>
      <x:c r="J981"/>
      <x:c r="K981"/>
      <x:c r="L981"/>
      <x:c r="M981"/>
      <x:c r="N981"/>
      <x:c r="O981"/>
      <x:c r="P981"/>
      <x:c r="Q981"/>
      <x:c r="R981"/>
      <x:c r="S981"/>
      <x:c r="T981"/>
      <x:c r="U981"/>
      <x:c r="V981"/>
      <x:c r="W981"/>
      <x:c r="X981"/>
      <x:c r="Y981"/>
      <x:c r="Z981"/>
      <x:c r="AA981"/>
      <x:c r="AB981"/>
      <x:c r="AC981"/>
      <x:c r="AD981"/>
      <x:c r="AE981"/>
      <x:c r="AF981"/>
      <x:c r="AG981"/>
      <x:c r="AH981"/>
      <x:c r="AI981"/>
    </x:row>
    <x:row r="982">
      <x:c r="A982" s="1"/>
      <x:c r="B982" s="1"/>
      <x:c r="C982" s="1"/>
      <x:c r="D982" s="1"/>
      <x:c r="E982"/>
      <x:c r="F982"/>
      <x:c r="G982"/>
      <x:c r="H982"/>
      <x:c r="I982"/>
      <x:c r="J982"/>
      <x:c r="K982"/>
      <x:c r="L982"/>
      <x:c r="M982"/>
      <x:c r="N982"/>
      <x:c r="O982"/>
      <x:c r="P982"/>
      <x:c r="Q982"/>
      <x:c r="R982"/>
      <x:c r="S982"/>
      <x:c r="T982"/>
      <x:c r="U982"/>
      <x:c r="V982"/>
      <x:c r="W982"/>
      <x:c r="X982"/>
      <x:c r="Y982"/>
      <x:c r="Z982"/>
      <x:c r="AA982"/>
      <x:c r="AB982"/>
      <x:c r="AC982"/>
      <x:c r="AD982"/>
      <x:c r="AE982"/>
      <x:c r="AF982"/>
      <x:c r="AG982"/>
      <x:c r="AH982"/>
      <x:c r="AI982"/>
    </x:row>
    <x:row r="983">
      <x:c r="A983" s="1"/>
      <x:c r="B983" s="1"/>
      <x:c r="C983" s="1"/>
      <x:c r="D983" s="1"/>
      <x:c r="E983"/>
      <x:c r="F983"/>
      <x:c r="G983"/>
      <x:c r="H983"/>
      <x:c r="I983"/>
      <x:c r="J983"/>
      <x:c r="K983"/>
      <x:c r="L983"/>
      <x:c r="M983"/>
      <x:c r="N983"/>
      <x:c r="O983"/>
      <x:c r="P983"/>
      <x:c r="Q983"/>
      <x:c r="R983"/>
      <x:c r="S983"/>
      <x:c r="T983"/>
      <x:c r="U983"/>
      <x:c r="V983"/>
      <x:c r="W983"/>
      <x:c r="X983"/>
      <x:c r="Y983"/>
      <x:c r="Z983"/>
      <x:c r="AA983"/>
      <x:c r="AB983"/>
      <x:c r="AC983"/>
      <x:c r="AD983"/>
      <x:c r="AE983"/>
      <x:c r="AF983"/>
      <x:c r="AG983"/>
      <x:c r="AH983"/>
      <x:c r="AI983"/>
    </x:row>
    <x:row r="984">
      <x:c r="A984" s="1"/>
      <x:c r="B984" s="1"/>
      <x:c r="C984" s="1"/>
      <x:c r="D984" s="1"/>
      <x:c r="E984"/>
      <x:c r="F984"/>
      <x:c r="G984"/>
      <x:c r="H984"/>
      <x:c r="I984"/>
      <x:c r="J984"/>
      <x:c r="K984"/>
      <x:c r="L984"/>
      <x:c r="M984"/>
      <x:c r="N984"/>
      <x:c r="O984"/>
      <x:c r="P984"/>
      <x:c r="Q984"/>
      <x:c r="R984"/>
      <x:c r="S984"/>
      <x:c r="T984"/>
      <x:c r="U984"/>
      <x:c r="V984"/>
      <x:c r="W984"/>
      <x:c r="X984"/>
      <x:c r="Y984"/>
      <x:c r="Z984"/>
      <x:c r="AA984"/>
      <x:c r="AB984"/>
      <x:c r="AC984"/>
      <x:c r="AD984"/>
      <x:c r="AE984"/>
      <x:c r="AF984"/>
      <x:c r="AG984"/>
      <x:c r="AH984"/>
      <x:c r="AI984"/>
    </x:row>
    <x:row r="985">
      <x:c r="A985" s="1"/>
      <x:c r="B985" s="1"/>
      <x:c r="C985" s="1"/>
      <x:c r="D985" s="1"/>
      <x:c r="E985"/>
      <x:c r="F985"/>
      <x:c r="G985"/>
      <x:c r="H985"/>
      <x:c r="I985"/>
      <x:c r="J985"/>
      <x:c r="K985"/>
      <x:c r="L985"/>
      <x:c r="M985"/>
      <x:c r="N985"/>
      <x:c r="O985"/>
      <x:c r="P985"/>
      <x:c r="Q985"/>
      <x:c r="R985"/>
      <x:c r="S985"/>
      <x:c r="T985"/>
      <x:c r="U985"/>
      <x:c r="V985"/>
      <x:c r="W985"/>
      <x:c r="X985"/>
      <x:c r="Y985"/>
      <x:c r="Z985"/>
      <x:c r="AA985"/>
      <x:c r="AB985"/>
      <x:c r="AC985"/>
      <x:c r="AD985"/>
      <x:c r="AE985"/>
      <x:c r="AF985"/>
      <x:c r="AG985"/>
      <x:c r="AH985"/>
      <x:c r="AI985"/>
    </x:row>
    <x:row r="986">
      <x:c r="A986" s="1"/>
      <x:c r="B986" s="1"/>
      <x:c r="C986" s="1"/>
      <x:c r="D986" s="1"/>
      <x:c r="E986"/>
      <x:c r="F986"/>
      <x:c r="G986"/>
      <x:c r="H986"/>
      <x:c r="I986"/>
      <x:c r="J986"/>
      <x:c r="K986"/>
      <x:c r="L986"/>
      <x:c r="M986"/>
      <x:c r="N986"/>
      <x:c r="O986"/>
      <x:c r="P986"/>
      <x:c r="Q986"/>
      <x:c r="R986"/>
      <x:c r="S986"/>
      <x:c r="T986"/>
      <x:c r="U986"/>
      <x:c r="V986"/>
      <x:c r="W986"/>
      <x:c r="X986"/>
      <x:c r="Y986"/>
      <x:c r="Z986"/>
      <x:c r="AA986"/>
      <x:c r="AB986"/>
      <x:c r="AC986"/>
      <x:c r="AD986"/>
      <x:c r="AE986"/>
      <x:c r="AF986"/>
      <x:c r="AG986"/>
      <x:c r="AH986"/>
      <x:c r="AI986"/>
    </x:row>
    <x:row r="987">
      <x:c r="A987" s="1"/>
      <x:c r="B987" s="1"/>
      <x:c r="C987" s="1"/>
      <x:c r="D987" s="1"/>
      <x:c r="E987"/>
      <x:c r="F987"/>
      <x:c r="G987"/>
      <x:c r="H987"/>
      <x:c r="I987"/>
      <x:c r="J987"/>
      <x:c r="K987"/>
      <x:c r="L987"/>
      <x:c r="M987"/>
      <x:c r="N987"/>
      <x:c r="O987"/>
      <x:c r="P987"/>
      <x:c r="Q987"/>
      <x:c r="R987"/>
      <x:c r="S987"/>
      <x:c r="T987"/>
      <x:c r="U987"/>
      <x:c r="V987"/>
      <x:c r="W987"/>
      <x:c r="X987"/>
      <x:c r="Y987"/>
      <x:c r="Z987"/>
      <x:c r="AA987"/>
      <x:c r="AB987"/>
      <x:c r="AC987"/>
      <x:c r="AD987"/>
      <x:c r="AE987"/>
      <x:c r="AF987"/>
      <x:c r="AG987"/>
      <x:c r="AH987"/>
      <x:c r="AI987"/>
    </x:row>
    <x:row r="988">
      <x:c r="A988" s="1"/>
      <x:c r="B988" s="1"/>
      <x:c r="C988" s="1"/>
      <x:c r="D988" s="1"/>
      <x:c r="E988"/>
      <x:c r="F988"/>
      <x:c r="G988"/>
      <x:c r="H988"/>
      <x:c r="I988"/>
      <x:c r="J988"/>
      <x:c r="K988"/>
      <x:c r="L988"/>
      <x:c r="M988"/>
      <x:c r="N988"/>
      <x:c r="O988"/>
      <x:c r="P988"/>
      <x:c r="Q988"/>
      <x:c r="R988"/>
      <x:c r="S988"/>
      <x:c r="T988"/>
      <x:c r="U988"/>
      <x:c r="V988"/>
      <x:c r="W988"/>
      <x:c r="X988"/>
      <x:c r="Y988"/>
      <x:c r="Z988"/>
      <x:c r="AA988"/>
      <x:c r="AB988"/>
      <x:c r="AC988"/>
      <x:c r="AD988"/>
      <x:c r="AE988"/>
      <x:c r="AF988"/>
      <x:c r="AG988"/>
      <x:c r="AH988"/>
      <x:c r="AI988"/>
    </x:row>
    <x:row r="989">
      <x:c r="A989" s="1"/>
      <x:c r="B989" s="1"/>
      <x:c r="C989" s="1"/>
      <x:c r="D989" s="1"/>
      <x:c r="E989"/>
      <x:c r="F989"/>
      <x:c r="G989"/>
      <x:c r="H989"/>
      <x:c r="I989"/>
      <x:c r="J989"/>
      <x:c r="K989"/>
      <x:c r="L989"/>
      <x:c r="M989"/>
      <x:c r="N989"/>
      <x:c r="O989"/>
      <x:c r="P989"/>
      <x:c r="Q989"/>
      <x:c r="R989"/>
      <x:c r="S989"/>
      <x:c r="T989"/>
      <x:c r="U989"/>
      <x:c r="V989"/>
      <x:c r="W989"/>
      <x:c r="X989"/>
      <x:c r="Y989"/>
      <x:c r="Z989"/>
      <x:c r="AA989"/>
      <x:c r="AB989"/>
      <x:c r="AC989"/>
      <x:c r="AD989"/>
      <x:c r="AE989"/>
      <x:c r="AF989"/>
      <x:c r="AG989"/>
      <x:c r="AH989"/>
      <x:c r="AI989"/>
    </x:row>
    <x:row r="990">
      <x:c r="A990" s="1"/>
      <x:c r="B990" s="1"/>
      <x:c r="C990" s="1"/>
      <x:c r="D990" s="1"/>
      <x:c r="E990"/>
      <x:c r="F990"/>
      <x:c r="G990"/>
      <x:c r="H990"/>
      <x:c r="I990"/>
      <x:c r="J990"/>
      <x:c r="K990"/>
      <x:c r="L990"/>
      <x:c r="M990"/>
      <x:c r="N990"/>
      <x:c r="O990"/>
      <x:c r="P990"/>
      <x:c r="Q990"/>
      <x:c r="R990"/>
      <x:c r="S990"/>
      <x:c r="T990"/>
      <x:c r="U990"/>
      <x:c r="V990"/>
      <x:c r="W990"/>
      <x:c r="X990"/>
      <x:c r="Y990"/>
      <x:c r="Z990"/>
      <x:c r="AA990"/>
      <x:c r="AB990"/>
      <x:c r="AC990"/>
      <x:c r="AD990"/>
      <x:c r="AE990"/>
      <x:c r="AF990"/>
      <x:c r="AG990"/>
      <x:c r="AH990"/>
      <x:c r="AI990"/>
    </x:row>
    <x:row r="991">
      <x:c r="A991" s="1"/>
      <x:c r="B991" s="1"/>
      <x:c r="C991" s="1"/>
      <x:c r="D991" s="1"/>
      <x:c r="E991"/>
      <x:c r="F991"/>
      <x:c r="G991"/>
      <x:c r="H991"/>
      <x:c r="I991"/>
      <x:c r="J991"/>
      <x:c r="K991"/>
      <x:c r="L991"/>
      <x:c r="M991"/>
      <x:c r="N991"/>
      <x:c r="O991"/>
      <x:c r="P991"/>
      <x:c r="Q991"/>
      <x:c r="R991"/>
      <x:c r="S991"/>
      <x:c r="T991"/>
      <x:c r="U991"/>
      <x:c r="V991"/>
      <x:c r="W991"/>
      <x:c r="X991"/>
      <x:c r="Y991"/>
      <x:c r="Z991"/>
      <x:c r="AA991"/>
      <x:c r="AB991"/>
      <x:c r="AC991"/>
      <x:c r="AD991"/>
      <x:c r="AE991"/>
      <x:c r="AF991"/>
      <x:c r="AG991"/>
      <x:c r="AH991"/>
      <x:c r="AI991"/>
    </x:row>
    <x:row r="992">
      <x:c r="A992" s="1"/>
      <x:c r="B992" s="1"/>
      <x:c r="C992" s="1"/>
      <x:c r="D992" s="1"/>
      <x:c r="E992"/>
      <x:c r="F992"/>
      <x:c r="G992"/>
      <x:c r="H992"/>
      <x:c r="I992"/>
      <x:c r="J992"/>
      <x:c r="K992"/>
      <x:c r="L992"/>
      <x:c r="M992"/>
      <x:c r="N992"/>
      <x:c r="O992"/>
      <x:c r="P992"/>
      <x:c r="Q992"/>
      <x:c r="R992"/>
      <x:c r="S992"/>
      <x:c r="T992"/>
      <x:c r="U992"/>
      <x:c r="V992"/>
      <x:c r="W992"/>
      <x:c r="X992"/>
      <x:c r="Y992"/>
      <x:c r="Z992"/>
      <x:c r="AA992"/>
      <x:c r="AB992"/>
      <x:c r="AC992"/>
      <x:c r="AD992"/>
      <x:c r="AE992"/>
      <x:c r="AF992"/>
      <x:c r="AG992"/>
      <x:c r="AH992"/>
      <x:c r="AI992"/>
    </x:row>
    <x:row r="993">
      <x:c r="A993" s="1"/>
      <x:c r="B993" s="1"/>
      <x:c r="C993" s="1"/>
      <x:c r="D993" s="1"/>
      <x:c r="E993"/>
      <x:c r="F993"/>
      <x:c r="G993"/>
      <x:c r="H993"/>
      <x:c r="I993"/>
      <x:c r="J993"/>
      <x:c r="K993"/>
      <x:c r="L993"/>
      <x:c r="M993"/>
      <x:c r="N993"/>
      <x:c r="O993"/>
      <x:c r="P993"/>
      <x:c r="Q993"/>
      <x:c r="R993"/>
      <x:c r="S993"/>
      <x:c r="T993"/>
      <x:c r="U993"/>
      <x:c r="V993"/>
      <x:c r="W993"/>
      <x:c r="X993"/>
      <x:c r="Y993"/>
      <x:c r="Z993"/>
      <x:c r="AA993"/>
      <x:c r="AB993"/>
      <x:c r="AC993"/>
      <x:c r="AD993"/>
      <x:c r="AE993"/>
      <x:c r="AF993"/>
      <x:c r="AG993"/>
      <x:c r="AH993"/>
      <x:c r="AI993"/>
    </x:row>
    <x:row r="994">
      <x:c r="A994" s="1"/>
      <x:c r="B994" s="1"/>
      <x:c r="C994" s="1"/>
      <x:c r="D994" s="1"/>
      <x:c r="E994"/>
      <x:c r="F994"/>
      <x:c r="G994"/>
      <x:c r="H994"/>
      <x:c r="I994"/>
      <x:c r="J994"/>
      <x:c r="K994"/>
      <x:c r="L994"/>
      <x:c r="M994"/>
      <x:c r="N994"/>
      <x:c r="O994"/>
      <x:c r="P994"/>
      <x:c r="Q994"/>
      <x:c r="R994"/>
      <x:c r="S994"/>
      <x:c r="T994"/>
      <x:c r="U994"/>
      <x:c r="V994"/>
      <x:c r="W994"/>
      <x:c r="X994"/>
      <x:c r="Y994"/>
      <x:c r="Z994"/>
      <x:c r="AA994"/>
      <x:c r="AB994"/>
      <x:c r="AC994"/>
      <x:c r="AD994"/>
      <x:c r="AE994"/>
      <x:c r="AF994"/>
      <x:c r="AG994"/>
      <x:c r="AH994"/>
      <x:c r="AI994"/>
    </x:row>
    <x:row r="995">
      <x:c r="A995" s="1"/>
      <x:c r="B995" s="1"/>
      <x:c r="C995" s="1"/>
      <x:c r="D995" s="1"/>
      <x:c r="E995"/>
      <x:c r="F995"/>
      <x:c r="G995"/>
      <x:c r="H995"/>
      <x:c r="I995"/>
      <x:c r="J995"/>
      <x:c r="K995"/>
      <x:c r="L995"/>
      <x:c r="M995"/>
      <x:c r="N995"/>
      <x:c r="O995"/>
      <x:c r="P995"/>
      <x:c r="Q995"/>
      <x:c r="R995"/>
      <x:c r="S995"/>
      <x:c r="T995"/>
      <x:c r="U995"/>
      <x:c r="V995"/>
      <x:c r="W995"/>
      <x:c r="X995"/>
      <x:c r="Y995"/>
      <x:c r="Z995"/>
      <x:c r="AA995"/>
      <x:c r="AB995"/>
      <x:c r="AC995"/>
      <x:c r="AD995"/>
      <x:c r="AE995"/>
      <x:c r="AF995"/>
      <x:c r="AG995"/>
      <x:c r="AH995"/>
      <x:c r="AI995"/>
    </x:row>
    <x:row r="996">
      <x:c r="A996" s="1"/>
      <x:c r="B996" s="1"/>
      <x:c r="C996" s="1"/>
      <x:c r="D996" s="1"/>
      <x:c r="E996"/>
      <x:c r="F996"/>
      <x:c r="G996"/>
      <x:c r="H996"/>
      <x:c r="I996"/>
      <x:c r="J996"/>
      <x:c r="K996"/>
      <x:c r="L996"/>
      <x:c r="M996"/>
      <x:c r="N996"/>
      <x:c r="O996"/>
      <x:c r="P996"/>
      <x:c r="Q996"/>
      <x:c r="R996"/>
      <x:c r="S996"/>
      <x:c r="T996"/>
      <x:c r="U996"/>
      <x:c r="V996"/>
      <x:c r="W996"/>
      <x:c r="X996"/>
      <x:c r="Y996"/>
      <x:c r="Z996"/>
      <x:c r="AA996"/>
      <x:c r="AB996"/>
      <x:c r="AC996"/>
      <x:c r="AD996"/>
      <x:c r="AE996"/>
      <x:c r="AF996"/>
      <x:c r="AG996"/>
      <x:c r="AH996"/>
      <x:c r="AI996"/>
    </x:row>
    <x:row r="997">
      <x:c r="A997" s="1"/>
      <x:c r="B997" s="1"/>
      <x:c r="C997" s="1"/>
      <x:c r="D997" s="1"/>
      <x:c r="E997"/>
      <x:c r="F997"/>
      <x:c r="G997"/>
      <x:c r="H997"/>
      <x:c r="I997"/>
      <x:c r="J997"/>
      <x:c r="K997"/>
      <x:c r="L997"/>
      <x:c r="M997"/>
      <x:c r="N997"/>
      <x:c r="O997"/>
      <x:c r="P997"/>
      <x:c r="Q997"/>
      <x:c r="R997"/>
      <x:c r="S997"/>
      <x:c r="T997"/>
      <x:c r="U997"/>
      <x:c r="V997"/>
      <x:c r="W997"/>
      <x:c r="X997"/>
      <x:c r="Y997"/>
      <x:c r="Z997"/>
      <x:c r="AA997"/>
      <x:c r="AB997"/>
      <x:c r="AC997"/>
      <x:c r="AD997"/>
      <x:c r="AE997"/>
      <x:c r="AF997"/>
      <x:c r="AG997"/>
      <x:c r="AH997"/>
      <x:c r="AI997"/>
    </x:row>
    <x:row r="998">
      <x:c r="A998" s="1"/>
      <x:c r="B998" s="1"/>
      <x:c r="C998" s="1"/>
      <x:c r="D998" s="1"/>
      <x:c r="E998"/>
      <x:c r="F998"/>
      <x:c r="G998"/>
      <x:c r="H998"/>
      <x:c r="I998"/>
      <x:c r="J998"/>
      <x:c r="K998"/>
      <x:c r="L998"/>
      <x:c r="M998"/>
      <x:c r="N998"/>
      <x:c r="O998"/>
      <x:c r="P998"/>
      <x:c r="Q998"/>
      <x:c r="R998"/>
      <x:c r="S998"/>
      <x:c r="T998"/>
      <x:c r="U998"/>
      <x:c r="V998"/>
      <x:c r="W998"/>
      <x:c r="X998"/>
      <x:c r="Y998"/>
      <x:c r="Z998"/>
      <x:c r="AA998"/>
      <x:c r="AB998"/>
      <x:c r="AC998"/>
      <x:c r="AD998"/>
      <x:c r="AE998"/>
      <x:c r="AF998"/>
      <x:c r="AG998"/>
      <x:c r="AH998"/>
      <x:c r="AI998"/>
    </x:row>
  </x:sheetData>
  <x:mergeCells>
    <x:mergeCell ref="A971:AA971"/>
    <x:mergeCell ref="A980:D980"/>
    <x:mergeCell ref="A1:AI1"/>
  </x:mergeCells>
  <x:hyperlinks>
    <x:hyperlink xmlns:r="http://schemas.openxmlformats.org/officeDocument/2006/relationships" ref="V312" r:id="R1f3bf15c57314a5f"/>
  </x:hyperlink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5"/>
  <x:cols>
    <x:col min="1" max="1" width="39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</x:cols>
  <x:sheetData>
    <x:row r="1" ht="28" customHeight="1">
      <x:c r="A1" s="64" t="str">
        <x:v>Language Support: product UI localization | verified 2026-09-16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  <x:c r="M1" s="64"/>
      <x:c r="N1" s="64"/>
      <x:c r="O1" s="64"/>
      <x:c r="P1" s="64"/>
      <x:c r="Q1" s="64"/>
      <x:c r="R1" s="64"/>
      <x:c r="S1" s="64"/>
      <x:c r="T1" s="64"/>
      <x:c r="U1" s="64"/>
      <x:c r="V1" s="64"/>
      <x:c r="W1" s="64"/>
      <x:c r="X1" s="64"/>
      <x:c r="Y1" s="64"/>
      <x:c r="Z1" s="64"/>
      <x:c r="AA1" s="64"/>
      <x:c r="AB1" s="64"/>
      <x:c r="AC1" s="64"/>
      <x:c r="AD1" s="64"/>
      <x:c r="AE1" s="64"/>
      <x:c r="AF1" s="64"/>
    </x:row>
    <x:row r="2" ht="34" customHeight="1">
      <x:c r="A2" s="69" t="str">
        <x:v>Language</x:v>
      </x:c>
      <x:c r="B2" s="69" t="str">
        <x:v>Discord</x:v>
      </x:c>
      <x:c r="C2" s="69" t="str">
        <x:v>Armada</x:v>
      </x:c>
      <x:c r="D2" s="69" t="str">
        <x:v>DCTS</x:v>
      </x:c>
      <x:c r="E2" s="69" t="str">
        <x:v>Echon</x:v>
      </x:c>
      <x:c r="F2" s="69" t="str">
        <x:v>Fenrid</x:v>
      </x:c>
      <x:c r="G2" s="69" t="str">
        <x:v>Fluxer</x:v>
      </x:c>
      <x:c r="H2" s="69" t="str">
        <x:v>GameVox</x:v>
      </x:c>
      <x:c r="I2" s="69" t="str">
        <x:v>Harmony</x:v>
      </x:c>
      <x:c r="J2" s="69" t="str">
        <x:v>Hollow</x:v>
      </x:c>
      <x:c r="K2" s="69" t="str">
        <x:v>Kaede Chat</x:v>
      </x:c>
      <x:c r="L2" s="69" t="str">
        <x:v>Kloak</x:v>
      </x:c>
      <x:c r="M2" s="69" t="str">
        <x:v>Loqa</x:v>
      </x:c>
      <x:c r="N2" s="69" t="str">
        <x:v>Matrix</x:v>
      </x:c>
      <x:c r="O2" s="69" t="str">
        <x:v>Mattermost</x:v>
      </x:c>
      <x:c r="P2" s="69" t="str">
        <x:v>Mezon</x:v>
      </x:c>
      <x:c r="Q2" s="69" t="str">
        <x:v>Mumble</x:v>
      </x:c>
      <x:c r="R2" s="69" t="str">
        <x:v>Nerimity</x:v>
      </x:c>
      <x:c r="S2" s="69" t="str">
        <x:v>Osmium</x:v>
      </x:c>
      <x:c r="T2" s="69" t="str">
        <x:v>pqp.gg</x:v>
      </x:c>
      <x:c r="U2" s="69" t="str">
        <x:v>Rift</x:v>
      </x:c>
      <x:c r="V2" s="69" t="str">
        <x:v>Rocket.Chat</x:v>
      </x:c>
      <x:c r="W2" s="69" t="str">
        <x:v>Roomy</x:v>
      </x:c>
      <x:c r="X2" s="69" t="str">
        <x:v>Root</x:v>
      </x:c>
      <x:c r="Y2" s="69" t="str">
        <x:v>Spacebar</x:v>
      </x:c>
      <x:c r="Z2" s="69" t="str">
        <x:v>Stoat</x:v>
      </x:c>
      <x:c r="AA2" s="69" t="str">
        <x:v>TeamSpeak</x:v>
      </x:c>
      <x:c r="AB2" s="69" t="str">
        <x:v>Valour</x:v>
      </x:c>
      <x:c r="AC2" s="69" t="str">
        <x:v>Venta</x:v>
      </x:c>
      <x:c r="AD2" s="69" t="str">
        <x:v>Weered</x:v>
      </x:c>
      <x:c r="AE2" s="69" t="str">
        <x:v>Yapper</x:v>
      </x:c>
      <x:c r="AF2" s="69" t="str">
        <x:v>Zulip</x:v>
      </x:c>
    </x:row>
    <x:row r="3" ht="28" customHeight="1">
      <x:c r="A3" s="73" t="str">
        <x:f>IF(Master!B759="","",Master!B759)</x:f>
        <x:v>English / English / English</x:v>
      </x:c>
      <x:c r="B3" s="77" t="str">
        <x:f>IF(Master!C759="","",Master!C759)</x:f>
        <x:v>Yes</x:v>
      </x:c>
      <x:c r="C3" s="77" t="str">
        <x:f>IF(Master!D759="","",Master!D759)</x:f>
        <x:v>Yes</x:v>
      </x:c>
      <x:c r="D3" s="77" t="str">
        <x:f>IF(Master!E759="","",Master!E759)</x:f>
        <x:v>Yes</x:v>
      </x:c>
      <x:c r="E3" s="77" t="str">
        <x:f>IF(Master!F759="","",Master!F759)</x:f>
        <x:v>Yes</x:v>
      </x:c>
      <x:c r="F3" s="77" t="str">
        <x:f>IF(Master!G759="","",Master!G759)</x:f>
        <x:v>Yes</x:v>
      </x:c>
      <x:c r="G3" s="77" t="str">
        <x:f>IF(Master!H759="","",Master!H759)</x:f>
        <x:v>Yes</x:v>
      </x:c>
      <x:c r="H3" s="77" t="str">
        <x:f>IF(Master!I759="","",Master!I759)</x:f>
        <x:v>Yes</x:v>
      </x:c>
      <x:c r="I3" s="77" t="str">
        <x:f>IF(Master!J759="","",Master!J759)</x:f>
        <x:v>Yes</x:v>
      </x:c>
      <x:c r="J3" s="77" t="str">
        <x:f>IF(Master!K759="","",Master!K759)</x:f>
        <x:v>Yes</x:v>
      </x:c>
      <x:c r="K3" s="77" t="str">
        <x:f>IF(Master!L759="","",Master!L759)</x:f>
        <x:v>Yes</x:v>
      </x:c>
      <x:c r="L3" s="77" t="str">
        <x:f>IF(Master!M759="","",Master!M759)</x:f>
        <x:v>Yes</x:v>
      </x:c>
      <x:c r="M3" s="77" t="str">
        <x:f>IF(Master!N759="","",Master!N759)</x:f>
        <x:v>Yes</x:v>
      </x:c>
      <x:c r="N3" s="77" t="str">
        <x:f>IF(Master!O759="","",Master!O759)</x:f>
        <x:v>Yes</x:v>
      </x:c>
      <x:c r="O3" s="77" t="str">
        <x:f>IF(Master!P759="","",Master!P759)</x:f>
        <x:v>Yes</x:v>
      </x:c>
      <x:c r="P3" s="77" t="str">
        <x:f>IF(Master!Q759="","",Master!Q759)</x:f>
        <x:v>Yes</x:v>
      </x:c>
      <x:c r="Q3" s="77" t="str">
        <x:f>IF(Master!R759="","",Master!R759)</x:f>
        <x:v>Yes</x:v>
      </x:c>
      <x:c r="R3" s="77" t="str">
        <x:f>IF(Master!S759="","",Master!S759)</x:f>
        <x:v>Yes</x:v>
      </x:c>
      <x:c r="S3" s="77" t="str">
        <x:f>IF(Master!T759="","",Master!T759)</x:f>
        <x:v>Yes</x:v>
      </x:c>
      <x:c r="T3" s="77" t="str">
        <x:f>IF(Master!U759="","",Master!U759)</x:f>
        <x:v>Yes</x:v>
      </x:c>
      <x:c r="U3" s="77" t="str">
        <x:f>IF(Master!V759="","",Master!V759)</x:f>
        <x:v>Yes</x:v>
      </x:c>
      <x:c r="V3" s="77" t="str">
        <x:f>IF(Master!W759="","",Master!W759)</x:f>
        <x:v>Yes</x:v>
      </x:c>
      <x:c r="W3" s="77" t="str">
        <x:f>IF(Master!X759="","",Master!X759)</x:f>
        <x:v>Yes</x:v>
      </x:c>
      <x:c r="X3" s="77" t="str">
        <x:f>IF(Master!Y759="","",Master!Y759)</x:f>
        <x:v>Yes</x:v>
      </x:c>
      <x:c r="Y3" s="77" t="str">
        <x:f>IF(Master!Z759="","",Master!Z759)</x:f>
        <x:v>Yes</x:v>
      </x:c>
      <x:c r="Z3" s="77" t="str">
        <x:f>IF(Master!AA759="","",Master!AA759)</x:f>
        <x:v>Yes</x:v>
      </x:c>
      <x:c r="AA3" s="77" t="str">
        <x:f>IF(Master!AB759="","",Master!AB759)</x:f>
        <x:v>Yes</x:v>
      </x:c>
      <x:c r="AB3" s="77" t="str">
        <x:f>IF(Master!AC759="","",Master!AC759)</x:f>
        <x:v>Yes</x:v>
      </x:c>
      <x:c r="AC3" s="77" t="str">
        <x:f>IF(Master!AD759="","",Master!AD759)</x:f>
        <x:v>Yes</x:v>
      </x:c>
      <x:c r="AD3" s="77" t="str">
        <x:f>IF(Master!AE759="","",Master!AE759)</x:f>
        <x:v>Yes</x:v>
      </x:c>
      <x:c r="AE3" s="77" t="str">
        <x:f>IF(Master!AF759="","",Master!AF759)</x:f>
        <x:v>Yes</x:v>
      </x:c>
      <x:c r="AF3" s="77" t="str">
        <x:f>IF(Master!AG759="","",Master!AG759)</x:f>
        <x:v>Yes</x:v>
      </x:c>
    </x:row>
    <x:row r="4" ht="28" customHeight="1">
      <x:c r="A4" s="73" t="str">
        <x:f>IF(Master!B760="","",Master!B760)</x:f>
        <x:v>Chinese (Simplified) / Zhongwen (Jianti) / 中文（简体）</x:v>
      </x:c>
      <x:c r="B4" s="77" t="str">
        <x:f>IF(Master!C760="","",Master!C760)</x:f>
        <x:v>Yes</x:v>
      </x:c>
      <x:c r="C4" s="77" t="str">
        <x:f>IF(Master!D760="","",Master!D760)</x:f>
        <x:v>No</x:v>
      </x:c>
      <x:c r="D4" s="77" t="str">
        <x:f>IF(Master!E760="","",Master!E760)</x:f>
        <x:v>No</x:v>
      </x:c>
      <x:c r="E4" s="77" t="str">
        <x:f>IF(Master!F760="","",Master!F760)</x:f>
        <x:v>No</x:v>
      </x:c>
      <x:c r="F4" s="77" t="str">
        <x:f>IF(Master!G760="","",Master!G760)</x:f>
        <x:v>No</x:v>
      </x:c>
      <x:c r="G4" s="77" t="str">
        <x:f>IF(Master!H760="","",Master!H760)</x:f>
        <x:v>Yes</x:v>
      </x:c>
      <x:c r="H4" s="77" t="str">
        <x:f>IF(Master!I760="","",Master!I760)</x:f>
        <x:v>No</x:v>
      </x:c>
      <x:c r="I4" s="77" t="str">
        <x:f>IF(Master!J760="","",Master!J760)</x:f>
        <x:v>No</x:v>
      </x:c>
      <x:c r="J4" s="77" t="str">
        <x:f>IF(Master!K760="","",Master!K760)</x:f>
        <x:v>No</x:v>
      </x:c>
      <x:c r="K4" s="77" t="str">
        <x:f>IF(Master!L760="","",Master!L760)</x:f>
        <x:v>No</x:v>
      </x:c>
      <x:c r="L4" s="77" t="str">
        <x:f>IF(Master!M760="","",Master!M760)</x:f>
        <x:v>No</x:v>
      </x:c>
      <x:c r="M4" s="77" t="str">
        <x:f>IF(Master!N760="","",Master!N760)</x:f>
        <x:v>No</x:v>
      </x:c>
      <x:c r="N4" s="77" t="str">
        <x:f>IF(Master!O760="","",Master!O760)</x:f>
        <x:v>Active translation</x:v>
      </x:c>
      <x:c r="O4" s="77" t="str">
        <x:f>IF(Master!P760="","",Master!P760)</x:f>
        <x:v>Yes</x:v>
      </x:c>
      <x:c r="P4" s="77" t="str">
        <x:f>IF(Master!Q760="","",Master!Q760)</x:f>
        <x:v>No</x:v>
      </x:c>
      <x:c r="Q4" s="77" t="str">
        <x:f>IF(Master!R760="","",Master!R760)</x:f>
        <x:v>No</x:v>
      </x:c>
      <x:c r="R4" s="77" t="str">
        <x:f>IF(Master!S760="","",Master!S760)</x:f>
        <x:v>No</x:v>
      </x:c>
      <x:c r="S4" s="77" t="str">
        <x:f>IF(Master!T760="","",Master!T760)</x:f>
        <x:v>No</x:v>
      </x:c>
      <x:c r="T4" s="77" t="str">
        <x:f>IF(Master!U760="","",Master!U760)</x:f>
        <x:v>No</x:v>
      </x:c>
      <x:c r="U4" s="77" t="str">
        <x:f>IF(Master!V760="","",Master!V760)</x:f>
        <x:v>No</x:v>
      </x:c>
      <x:c r="V4" s="77" t="str">
        <x:f>IF(Master!W760="","",Master!W760)</x:f>
        <x:v>Yes</x:v>
      </x:c>
      <x:c r="W4" s="77" t="str">
        <x:f>IF(Master!X760="","",Master!X760)</x:f>
        <x:v>No</x:v>
      </x:c>
      <x:c r="X4" s="77" t="str">
        <x:f>IF(Master!Y760="","",Master!Y760)</x:f>
        <x:v>No</x:v>
      </x:c>
      <x:c r="Y4" s="77" t="str">
        <x:f>IF(Master!Z760="","",Master!Z760)</x:f>
        <x:v>No</x:v>
      </x:c>
      <x:c r="Z4" s="77" t="str">
        <x:f>IF(Master!AA760="","",Master!AA760)</x:f>
        <x:v>No</x:v>
      </x:c>
      <x:c r="AA4" s="77" t="str">
        <x:f>IF(Master!AB760="","",Master!AB760)</x:f>
        <x:v>No</x:v>
      </x:c>
      <x:c r="AB4" s="77" t="str">
        <x:f>IF(Master!AC760="","",Master!AC760)</x:f>
        <x:v>No</x:v>
      </x:c>
      <x:c r="AC4" s="77" t="str">
        <x:f>IF(Master!AD760="","",Master!AD760)</x:f>
        <x:v>No</x:v>
      </x:c>
      <x:c r="AD4" s="77" t="str">
        <x:f>IF(Master!AE760="","",Master!AE760)</x:f>
        <x:v>No</x:v>
      </x:c>
      <x:c r="AE4" s="77" t="str">
        <x:f>IF(Master!AF760="","",Master!AF760)</x:f>
        <x:v>No</x:v>
      </x:c>
      <x:c r="AF4" s="77" t="str">
        <x:f>IF(Master!AG760="","",Master!AG760)</x:f>
        <x:v>Active translation</x:v>
      </x:c>
    </x:row>
    <x:row r="5" ht="28" customHeight="1">
      <x:c r="A5" s="73" t="str">
        <x:f>IF(Master!B761="","",Master!B761)</x:f>
        <x:v>Chinese (Traditional) / Zhongwen (Fanti) / 中文（繁體）</x:v>
      </x:c>
      <x:c r="B5" s="77" t="str">
        <x:f>IF(Master!C761="","",Master!C761)</x:f>
        <x:v>Yes</x:v>
      </x:c>
      <x:c r="C5" s="77" t="str">
        <x:f>IF(Master!D761="","",Master!D761)</x:f>
        <x:v>No</x:v>
      </x:c>
      <x:c r="D5" s="77" t="str">
        <x:f>IF(Master!E761="","",Master!E761)</x:f>
        <x:v>No</x:v>
      </x:c>
      <x:c r="E5" s="77" t="str">
        <x:f>IF(Master!F761="","",Master!F761)</x:f>
        <x:v>No</x:v>
      </x:c>
      <x:c r="F5" s="77" t="str">
        <x:f>IF(Master!G761="","",Master!G761)</x:f>
        <x:v>No</x:v>
      </x:c>
      <x:c r="G5" s="77" t="str">
        <x:f>IF(Master!H761="","",Master!H761)</x:f>
        <x:v>Yes</x:v>
      </x:c>
      <x:c r="H5" s="77" t="str">
        <x:f>IF(Master!I761="","",Master!I761)</x:f>
        <x:v>No</x:v>
      </x:c>
      <x:c r="I5" s="77" t="str">
        <x:f>IF(Master!J761="","",Master!J761)</x:f>
        <x:v>No</x:v>
      </x:c>
      <x:c r="J5" s="77" t="str">
        <x:f>IF(Master!K761="","",Master!K761)</x:f>
        <x:v>No</x:v>
      </x:c>
      <x:c r="K5" s="77" t="str">
        <x:f>IF(Master!L761="","",Master!L761)</x:f>
        <x:v>No</x:v>
      </x:c>
      <x:c r="L5" s="77" t="str">
        <x:f>IF(Master!M761="","",Master!M761)</x:f>
        <x:v>No</x:v>
      </x:c>
      <x:c r="M5" s="77" t="str">
        <x:f>IF(Master!N761="","",Master!N761)</x:f>
        <x:v>No</x:v>
      </x:c>
      <x:c r="N5" s="77" t="str">
        <x:f>IF(Master!O761="","",Master!O761)</x:f>
        <x:v>No</x:v>
      </x:c>
      <x:c r="O5" s="77" t="str">
        <x:f>IF(Master!P761="","",Master!P761)</x:f>
        <x:v>Yes</x:v>
      </x:c>
      <x:c r="P5" s="77" t="str">
        <x:f>IF(Master!Q761="","",Master!Q761)</x:f>
        <x:v>No</x:v>
      </x:c>
      <x:c r="Q5" s="77" t="str">
        <x:f>IF(Master!R761="","",Master!R761)</x:f>
        <x:v>No</x:v>
      </x:c>
      <x:c r="R5" s="77" t="str">
        <x:f>IF(Master!S761="","",Master!S761)</x:f>
        <x:v>No</x:v>
      </x:c>
      <x:c r="S5" s="77" t="str">
        <x:f>IF(Master!T761="","",Master!T761)</x:f>
        <x:v>No</x:v>
      </x:c>
      <x:c r="T5" s="77" t="str">
        <x:f>IF(Master!U761="","",Master!U761)</x:f>
        <x:v>No</x:v>
      </x:c>
      <x:c r="U5" s="77" t="str">
        <x:f>IF(Master!V761="","",Master!V761)</x:f>
        <x:v>No</x:v>
      </x:c>
      <x:c r="V5" s="77" t="str">
        <x:f>IF(Master!W761="","",Master!W761)</x:f>
        <x:v>Yes</x:v>
      </x:c>
      <x:c r="W5" s="77" t="str">
        <x:f>IF(Master!X761="","",Master!X761)</x:f>
        <x:v>No</x:v>
      </x:c>
      <x:c r="X5" s="77" t="str">
        <x:f>IF(Master!Y761="","",Master!Y761)</x:f>
        <x:v>No</x:v>
      </x:c>
      <x:c r="Y5" s="77" t="str">
        <x:f>IF(Master!Z761="","",Master!Z761)</x:f>
        <x:v>No</x:v>
      </x:c>
      <x:c r="Z5" s="77" t="str">
        <x:f>IF(Master!AA761="","",Master!AA761)</x:f>
        <x:v>No</x:v>
      </x:c>
      <x:c r="AA5" s="77" t="str">
        <x:f>IF(Master!AB761="","",Master!AB761)</x:f>
        <x:v>No</x:v>
      </x:c>
      <x:c r="AB5" s="77" t="str">
        <x:f>IF(Master!AC761="","",Master!AC761)</x:f>
        <x:v>No</x:v>
      </x:c>
      <x:c r="AC5" s="77" t="str">
        <x:f>IF(Master!AD761="","",Master!AD761)</x:f>
        <x:v>No</x:v>
      </x:c>
      <x:c r="AD5" s="77" t="str">
        <x:f>IF(Master!AE761="","",Master!AE761)</x:f>
        <x:v>No</x:v>
      </x:c>
      <x:c r="AE5" s="77" t="str">
        <x:f>IF(Master!AF761="","",Master!AF761)</x:f>
        <x:v>No</x:v>
      </x:c>
      <x:c r="AF5" s="77" t="str">
        <x:f>IF(Master!AG761="","",Master!AG761)</x:f>
        <x:v>No</x:v>
      </x:c>
    </x:row>
    <x:row r="6" ht="28" customHeight="1">
      <x:c r="A6" s="73" t="str">
        <x:f>IF(Master!B762="","",Master!B762)</x:f>
        <x:v>Spanish / Español / Español</x:v>
      </x:c>
      <x:c r="B6" s="77" t="str">
        <x:f>IF(Master!C762="","",Master!C762)</x:f>
        <x:v>Yes</x:v>
      </x:c>
      <x:c r="C6" s="77" t="str">
        <x:f>IF(Master!D762="","",Master!D762)</x:f>
        <x:v>No</x:v>
      </x:c>
      <x:c r="D6" s="77" t="str">
        <x:f>IF(Master!E762="","",Master!E762)</x:f>
        <x:v>No</x:v>
      </x:c>
      <x:c r="E6" s="77" t="str">
        <x:f>IF(Master!F762="","",Master!F762)</x:f>
        <x:v>No</x:v>
      </x:c>
      <x:c r="F6" s="77" t="str">
        <x:f>IF(Master!G762="","",Master!G762)</x:f>
        <x:v>No</x:v>
      </x:c>
      <x:c r="G6" s="77" t="str">
        <x:f>IF(Master!H762="","",Master!H762)</x:f>
        <x:v>Yes</x:v>
      </x:c>
      <x:c r="H6" s="77" t="str">
        <x:f>IF(Master!I762="","",Master!I762)</x:f>
        <x:v>No</x:v>
      </x:c>
      <x:c r="I6" s="77" t="str">
        <x:f>IF(Master!J762="","",Master!J762)</x:f>
        <x:v>No</x:v>
      </x:c>
      <x:c r="J6" s="77" t="str">
        <x:f>IF(Master!K762="","",Master!K762)</x:f>
        <x:v>No</x:v>
      </x:c>
      <x:c r="K6" s="77" t="str">
        <x:f>IF(Master!L762="","",Master!L762)</x:f>
        <x:v>No</x:v>
      </x:c>
      <x:c r="L6" s="77" t="str">
        <x:f>IF(Master!M762="","",Master!M762)</x:f>
        <x:v>No</x:v>
      </x:c>
      <x:c r="M6" s="77" t="str">
        <x:f>IF(Master!N762="","",Master!N762)</x:f>
        <x:v>No</x:v>
      </x:c>
      <x:c r="N6" s="77" t="str">
        <x:f>IF(Master!O762="","",Master!O762)</x:f>
        <x:v>Active translation</x:v>
      </x:c>
      <x:c r="O6" s="77" t="str">
        <x:f>IF(Master!P762="","",Master!P762)</x:f>
        <x:v>Yes</x:v>
      </x:c>
      <x:c r="P6" s="77" t="str">
        <x:f>IF(Master!Q762="","",Master!Q762)</x:f>
        <x:v>No</x:v>
      </x:c>
      <x:c r="Q6" s="77" t="str">
        <x:f>IF(Master!R762="","",Master!R762)</x:f>
        <x:v>Yes</x:v>
      </x:c>
      <x:c r="R6" s="77" t="str">
        <x:f>IF(Master!S762="","",Master!S762)</x:f>
        <x:v>No</x:v>
      </x:c>
      <x:c r="S6" s="77" t="str">
        <x:f>IF(Master!T762="","",Master!T762)</x:f>
        <x:v>No</x:v>
      </x:c>
      <x:c r="T6" s="77" t="str">
        <x:f>IF(Master!U762="","",Master!U762)</x:f>
        <x:v>No</x:v>
      </x:c>
      <x:c r="U6" s="77" t="str">
        <x:f>IF(Master!V762="","",Master!V762)</x:f>
        <x:v>No</x:v>
      </x:c>
      <x:c r="V6" s="77" t="str">
        <x:f>IF(Master!W762="","",Master!W762)</x:f>
        <x:v>Yes</x:v>
      </x:c>
      <x:c r="W6" s="77" t="str">
        <x:f>IF(Master!X762="","",Master!X762)</x:f>
        <x:v>No</x:v>
      </x:c>
      <x:c r="X6" s="77" t="str">
        <x:f>IF(Master!Y762="","",Master!Y762)</x:f>
        <x:v>No</x:v>
      </x:c>
      <x:c r="Y6" s="77" t="str">
        <x:f>IF(Master!Z762="","",Master!Z762)</x:f>
        <x:v>No</x:v>
      </x:c>
      <x:c r="Z6" s="77" t="str">
        <x:f>IF(Master!AA762="","",Master!AA762)</x:f>
        <x:v>No</x:v>
      </x:c>
      <x:c r="AA6" s="77" t="str">
        <x:f>IF(Master!AB762="","",Master!AB762)</x:f>
        <x:v>No</x:v>
      </x:c>
      <x:c r="AB6" s="77" t="str">
        <x:f>IF(Master!AC762="","",Master!AC762)</x:f>
        <x:v>No</x:v>
      </x:c>
      <x:c r="AC6" s="77" t="str">
        <x:f>IF(Master!AD762="","",Master!AD762)</x:f>
        <x:v>No</x:v>
      </x:c>
      <x:c r="AD6" s="77" t="str">
        <x:f>IF(Master!AE762="","",Master!AE762)</x:f>
        <x:v>No</x:v>
      </x:c>
      <x:c r="AE6" s="77" t="str">
        <x:f>IF(Master!AF762="","",Master!AF762)</x:f>
        <x:v>No</x:v>
      </x:c>
      <x:c r="AF6" s="77" t="str">
        <x:f>IF(Master!AG762="","",Master!AG762)</x:f>
        <x:v>Active translation</x:v>
      </x:c>
    </x:row>
    <x:row r="7" ht="28" customHeight="1">
      <x:c r="A7" s="73" t="str">
        <x:f>IF(Master!B763="","",Master!B763)</x:f>
        <x:v>Hindi / Hindi / हिन्दी</x:v>
      </x:c>
      <x:c r="B7" s="77" t="str">
        <x:f>IF(Master!C763="","",Master!C763)</x:f>
        <x:v>Yes</x:v>
      </x:c>
      <x:c r="C7" s="77" t="str">
        <x:f>IF(Master!D763="","",Master!D763)</x:f>
        <x:v>No</x:v>
      </x:c>
      <x:c r="D7" s="77" t="str">
        <x:f>IF(Master!E763="","",Master!E763)</x:f>
        <x:v>No</x:v>
      </x:c>
      <x:c r="E7" s="77" t="str">
        <x:f>IF(Master!F763="","",Master!F763)</x:f>
        <x:v>No</x:v>
      </x:c>
      <x:c r="F7" s="77" t="str">
        <x:f>IF(Master!G763="","",Master!G763)</x:f>
        <x:v>No</x:v>
      </x:c>
      <x:c r="G7" s="77" t="str">
        <x:f>IF(Master!H763="","",Master!H763)</x:f>
        <x:v>Yes</x:v>
      </x:c>
      <x:c r="H7" s="77" t="str">
        <x:f>IF(Master!I763="","",Master!I763)</x:f>
        <x:v>No</x:v>
      </x:c>
      <x:c r="I7" s="77" t="str">
        <x:f>IF(Master!J763="","",Master!J763)</x:f>
        <x:v>No</x:v>
      </x:c>
      <x:c r="J7" s="77" t="str">
        <x:f>IF(Master!K763="","",Master!K763)</x:f>
        <x:v>No</x:v>
      </x:c>
      <x:c r="K7" s="77" t="str">
        <x:f>IF(Master!L763="","",Master!L763)</x:f>
        <x:v>No</x:v>
      </x:c>
      <x:c r="L7" s="77" t="str">
        <x:f>IF(Master!M763="","",Master!M763)</x:f>
        <x:v>No</x:v>
      </x:c>
      <x:c r="M7" s="77" t="str">
        <x:f>IF(Master!N763="","",Master!N763)</x:f>
        <x:v>No</x:v>
      </x:c>
      <x:c r="N7" s="77" t="str">
        <x:f>IF(Master!O763="","",Master!O763)</x:f>
        <x:v>No</x:v>
      </x:c>
      <x:c r="O7" s="77" t="str">
        <x:f>IF(Master!P763="","",Master!P763)</x:f>
        <x:v>No</x:v>
      </x:c>
      <x:c r="P7" s="77" t="str">
        <x:f>IF(Master!Q763="","",Master!Q763)</x:f>
        <x:v>No</x:v>
      </x:c>
      <x:c r="Q7" s="77" t="str">
        <x:f>IF(Master!R763="","",Master!R763)</x:f>
        <x:v>No</x:v>
      </x:c>
      <x:c r="R7" s="77" t="str">
        <x:f>IF(Master!S763="","",Master!S763)</x:f>
        <x:v>No</x:v>
      </x:c>
      <x:c r="S7" s="77" t="str">
        <x:f>IF(Master!T763="","",Master!T763)</x:f>
        <x:v>No</x:v>
      </x:c>
      <x:c r="T7" s="77" t="str">
        <x:f>IF(Master!U763="","",Master!U763)</x:f>
        <x:v>No</x:v>
      </x:c>
      <x:c r="U7" s="77" t="str">
        <x:f>IF(Master!V763="","",Master!V763)</x:f>
        <x:v>No</x:v>
      </x:c>
      <x:c r="V7" s="77" t="str">
        <x:f>IF(Master!W763="","",Master!W763)</x:f>
        <x:v>Yes</x:v>
      </x:c>
      <x:c r="W7" s="77" t="str">
        <x:f>IF(Master!X763="","",Master!X763)</x:f>
        <x:v>No</x:v>
      </x:c>
      <x:c r="X7" s="77" t="str">
        <x:f>IF(Master!Y763="","",Master!Y763)</x:f>
        <x:v>No</x:v>
      </x:c>
      <x:c r="Y7" s="77" t="str">
        <x:f>IF(Master!Z763="","",Master!Z763)</x:f>
        <x:v>No</x:v>
      </x:c>
      <x:c r="Z7" s="77" t="str">
        <x:f>IF(Master!AA763="","",Master!AA763)</x:f>
        <x:v>No</x:v>
      </x:c>
      <x:c r="AA7" s="77" t="str">
        <x:f>IF(Master!AB763="","",Master!AB763)</x:f>
        <x:v>No</x:v>
      </x:c>
      <x:c r="AB7" s="77" t="str">
        <x:f>IF(Master!AC763="","",Master!AC763)</x:f>
        <x:v>No</x:v>
      </x:c>
      <x:c r="AC7" s="77" t="str">
        <x:f>IF(Master!AD763="","",Master!AD763)</x:f>
        <x:v>No</x:v>
      </x:c>
      <x:c r="AD7" s="77" t="str">
        <x:f>IF(Master!AE763="","",Master!AE763)</x:f>
        <x:v>No</x:v>
      </x:c>
      <x:c r="AE7" s="77" t="str">
        <x:f>IF(Master!AF763="","",Master!AF763)</x:f>
        <x:v>No</x:v>
      </x:c>
      <x:c r="AF7" s="77" t="str">
        <x:f>IF(Master!AG763="","",Master!AG763)</x:f>
        <x:v>Active translation</x:v>
      </x:c>
    </x:row>
    <x:row r="8" ht="28" customHeight="1">
      <x:c r="A8" s="73" t="str">
        <x:f>IF(Master!B764="","",Master!B764)</x:f>
        <x:v>Arabic / al-Arabiyyah / العربية</x:v>
      </x:c>
      <x:c r="B8" s="77" t="str">
        <x:f>IF(Master!C764="","",Master!C764)</x:f>
        <x:v>No</x:v>
      </x:c>
      <x:c r="C8" s="77" t="str">
        <x:f>IF(Master!D764="","",Master!D764)</x:f>
        <x:v>No</x:v>
      </x:c>
      <x:c r="D8" s="77" t="str">
        <x:f>IF(Master!E764="","",Master!E764)</x:f>
        <x:v>No</x:v>
      </x:c>
      <x:c r="E8" s="77" t="str">
        <x:f>IF(Master!F764="","",Master!F764)</x:f>
        <x:v>No</x:v>
      </x:c>
      <x:c r="F8" s="77" t="str">
        <x:f>IF(Master!G764="","",Master!G764)</x:f>
        <x:v>No</x:v>
      </x:c>
      <x:c r="G8" s="77" t="str">
        <x:f>IF(Master!H764="","",Master!H764)</x:f>
        <x:v>Yes</x:v>
      </x:c>
      <x:c r="H8" s="77" t="str">
        <x:f>IF(Master!I764="","",Master!I764)</x:f>
        <x:v>No</x:v>
      </x:c>
      <x:c r="I8" s="77" t="str">
        <x:f>IF(Master!J764="","",Master!J764)</x:f>
        <x:v>No</x:v>
      </x:c>
      <x:c r="J8" s="77" t="str">
        <x:f>IF(Master!K764="","",Master!K764)</x:f>
        <x:v>No</x:v>
      </x:c>
      <x:c r="K8" s="77" t="str">
        <x:f>IF(Master!L764="","",Master!L764)</x:f>
        <x:v>No</x:v>
      </x:c>
      <x:c r="L8" s="77" t="str">
        <x:f>IF(Master!M764="","",Master!M764)</x:f>
        <x:v>No</x:v>
      </x:c>
      <x:c r="M8" s="77" t="str">
        <x:f>IF(Master!N764="","",Master!N764)</x:f>
        <x:v>No</x:v>
      </x:c>
      <x:c r="N8" s="77" t="str">
        <x:f>IF(Master!O764="","",Master!O764)</x:f>
        <x:v>Active translation</x:v>
      </x:c>
      <x:c r="O8" s="77" t="str">
        <x:f>IF(Master!P764="","",Master!P764)</x:f>
        <x:v>No</x:v>
      </x:c>
      <x:c r="P8" s="77" t="str">
        <x:f>IF(Master!Q764="","",Master!Q764)</x:f>
        <x:v>No</x:v>
      </x:c>
      <x:c r="Q8" s="77" t="str">
        <x:f>IF(Master!R764="","",Master!R764)</x:f>
        <x:v>No</x:v>
      </x:c>
      <x:c r="R8" s="77" t="str">
        <x:f>IF(Master!S764="","",Master!S764)</x:f>
        <x:v>No</x:v>
      </x:c>
      <x:c r="S8" s="77" t="str">
        <x:f>IF(Master!T764="","",Master!T764)</x:f>
        <x:v>No</x:v>
      </x:c>
      <x:c r="T8" s="77" t="str">
        <x:f>IF(Master!U764="","",Master!U764)</x:f>
        <x:v>No</x:v>
      </x:c>
      <x:c r="U8" s="77" t="str">
        <x:f>IF(Master!V764="","",Master!V764)</x:f>
        <x:v>No</x:v>
      </x:c>
      <x:c r="V8" s="77" t="str">
        <x:f>IF(Master!W764="","",Master!W764)</x:f>
        <x:v>Yes</x:v>
      </x:c>
      <x:c r="W8" s="77" t="str">
        <x:f>IF(Master!X764="","",Master!X764)</x:f>
        <x:v>No</x:v>
      </x:c>
      <x:c r="X8" s="77" t="str">
        <x:f>IF(Master!Y764="","",Master!Y764)</x:f>
        <x:v>No</x:v>
      </x:c>
      <x:c r="Y8" s="77" t="str">
        <x:f>IF(Master!Z764="","",Master!Z764)</x:f>
        <x:v>No</x:v>
      </x:c>
      <x:c r="Z8" s="77" t="str">
        <x:f>IF(Master!AA764="","",Master!AA764)</x:f>
        <x:v>No</x:v>
      </x:c>
      <x:c r="AA8" s="77" t="str">
        <x:f>IF(Master!AB764="","",Master!AB764)</x:f>
        <x:v>No</x:v>
      </x:c>
      <x:c r="AB8" s="77" t="str">
        <x:f>IF(Master!AC764="","",Master!AC764)</x:f>
        <x:v>No</x:v>
      </x:c>
      <x:c r="AC8" s="77" t="str">
        <x:f>IF(Master!AD764="","",Master!AD764)</x:f>
        <x:v>No</x:v>
      </x:c>
      <x:c r="AD8" s="77" t="str">
        <x:f>IF(Master!AE764="","",Master!AE764)</x:f>
        <x:v>No</x:v>
      </x:c>
      <x:c r="AE8" s="77" t="str">
        <x:f>IF(Master!AF764="","",Master!AF764)</x:f>
        <x:v>No</x:v>
      </x:c>
      <x:c r="AF8" s="77" t="str">
        <x:f>IF(Master!AG764="","",Master!AG764)</x:f>
        <x:v>No</x:v>
      </x:c>
    </x:row>
    <x:row r="9" ht="28" customHeight="1">
      <x:c r="A9" s="73" t="str">
        <x:f>IF(Master!B765="","",Master!B765)</x:f>
        <x:v>Bengali / Bangla / বাংলা</x:v>
      </x:c>
      <x:c r="B9" s="77" t="str">
        <x:f>IF(Master!C765="","",Master!C765)</x:f>
        <x:v>No</x:v>
      </x:c>
      <x:c r="C9" s="77" t="str">
        <x:f>IF(Master!D765="","",Master!D765)</x:f>
        <x:v>No</x:v>
      </x:c>
      <x:c r="D9" s="77" t="str">
        <x:f>IF(Master!E765="","",Master!E765)</x:f>
        <x:v>No</x:v>
      </x:c>
      <x:c r="E9" s="77" t="str">
        <x:f>IF(Master!F765="","",Master!F765)</x:f>
        <x:v>No</x:v>
      </x:c>
      <x:c r="F9" s="77" t="str">
        <x:f>IF(Master!G765="","",Master!G765)</x:f>
        <x:v>No</x:v>
      </x:c>
      <x:c r="G9" s="77" t="str">
        <x:f>IF(Master!H765="","",Master!H765)</x:f>
        <x:v>No</x:v>
      </x:c>
      <x:c r="H9" s="77" t="str">
        <x:f>IF(Master!I765="","",Master!I765)</x:f>
        <x:v>No</x:v>
      </x:c>
      <x:c r="I9" s="77" t="str">
        <x:f>IF(Master!J765="","",Master!J765)</x:f>
        <x:v>No</x:v>
      </x:c>
      <x:c r="J9" s="77" t="str">
        <x:f>IF(Master!K765="","",Master!K765)</x:f>
        <x:v>No</x:v>
      </x:c>
      <x:c r="K9" s="77" t="str">
        <x:f>IF(Master!L765="","",Master!L765)</x:f>
        <x:v>No</x:v>
      </x:c>
      <x:c r="L9" s="77" t="str">
        <x:f>IF(Master!M765="","",Master!M765)</x:f>
        <x:v>No</x:v>
      </x:c>
      <x:c r="M9" s="77" t="str">
        <x:f>IF(Master!N765="","",Master!N765)</x:f>
        <x:v>No</x:v>
      </x:c>
      <x:c r="N9" s="77" t="str">
        <x:f>IF(Master!O765="","",Master!O765)</x:f>
        <x:v>Active translation</x:v>
      </x:c>
      <x:c r="O9" s="77" t="str">
        <x:f>IF(Master!P765="","",Master!P765)</x:f>
        <x:v>No</x:v>
      </x:c>
      <x:c r="P9" s="77" t="str">
        <x:f>IF(Master!Q765="","",Master!Q765)</x:f>
        <x:v>No</x:v>
      </x:c>
      <x:c r="Q9" s="77" t="str">
        <x:f>IF(Master!R765="","",Master!R765)</x:f>
        <x:v>No</x:v>
      </x:c>
      <x:c r="R9" s="77" t="str">
        <x:f>IF(Master!S765="","",Master!S765)</x:f>
        <x:v>No</x:v>
      </x:c>
      <x:c r="S9" s="77" t="str">
        <x:f>IF(Master!T765="","",Master!T765)</x:f>
        <x:v>No</x:v>
      </x:c>
      <x:c r="T9" s="77" t="str">
        <x:f>IF(Master!U765="","",Master!U765)</x:f>
        <x:v>No</x:v>
      </x:c>
      <x:c r="U9" s="77" t="str">
        <x:f>IF(Master!V765="","",Master!V765)</x:f>
        <x:v>No</x:v>
      </x:c>
      <x:c r="V9" s="77" t="str">
        <x:f>IF(Master!W765="","",Master!W765)</x:f>
        <x:v>Yes</x:v>
      </x:c>
      <x:c r="W9" s="77" t="str">
        <x:f>IF(Master!X765="","",Master!X765)</x:f>
        <x:v>No</x:v>
      </x:c>
      <x:c r="X9" s="77" t="str">
        <x:f>IF(Master!Y765="","",Master!Y765)</x:f>
        <x:v>No</x:v>
      </x:c>
      <x:c r="Y9" s="77" t="str">
        <x:f>IF(Master!Z765="","",Master!Z765)</x:f>
        <x:v>No</x:v>
      </x:c>
      <x:c r="Z9" s="77" t="str">
        <x:f>IF(Master!AA765="","",Master!AA765)</x:f>
        <x:v>No</x:v>
      </x:c>
      <x:c r="AA9" s="77" t="str">
        <x:f>IF(Master!AB765="","",Master!AB765)</x:f>
        <x:v>No</x:v>
      </x:c>
      <x:c r="AB9" s="77" t="str">
        <x:f>IF(Master!AC765="","",Master!AC765)</x:f>
        <x:v>No</x:v>
      </x:c>
      <x:c r="AC9" s="77" t="str">
        <x:f>IF(Master!AD765="","",Master!AD765)</x:f>
        <x:v>No</x:v>
      </x:c>
      <x:c r="AD9" s="77" t="str">
        <x:f>IF(Master!AE765="","",Master!AE765)</x:f>
        <x:v>No</x:v>
      </x:c>
      <x:c r="AE9" s="77" t="str">
        <x:f>IF(Master!AF765="","",Master!AF765)</x:f>
        <x:v>No</x:v>
      </x:c>
      <x:c r="AF9" s="77" t="str">
        <x:f>IF(Master!AG765="","",Master!AG765)</x:f>
        <x:v>No</x:v>
      </x:c>
    </x:row>
    <x:row r="10" ht="28" customHeight="1">
      <x:c r="A10" s="73" t="str">
        <x:f>IF(Master!B766="","",Master!B766)</x:f>
        <x:v>Portuguese (Brazil) / Português (Brasil) / Português (Brasil)</x:v>
      </x:c>
      <x:c r="B10" s="77" t="str">
        <x:f>IF(Master!C766="","",Master!C766)</x:f>
        <x:v>Yes</x:v>
      </x:c>
      <x:c r="C10" s="77" t="str">
        <x:f>IF(Master!D766="","",Master!D766)</x:f>
        <x:v>No</x:v>
      </x:c>
      <x:c r="D10" s="77" t="str">
        <x:f>IF(Master!E766="","",Master!E766)</x:f>
        <x:v>No</x:v>
      </x:c>
      <x:c r="E10" s="77" t="str">
        <x:f>IF(Master!F766="","",Master!F766)</x:f>
        <x:v>No</x:v>
      </x:c>
      <x:c r="F10" s="77" t="str">
        <x:f>IF(Master!G766="","",Master!G766)</x:f>
        <x:v>No</x:v>
      </x:c>
      <x:c r="G10" s="77" t="str">
        <x:f>IF(Master!H766="","",Master!H766)</x:f>
        <x:v>Yes</x:v>
      </x:c>
      <x:c r="H10" s="77" t="str">
        <x:f>IF(Master!I766="","",Master!I766)</x:f>
        <x:v>No</x:v>
      </x:c>
      <x:c r="I10" s="77" t="str">
        <x:f>IF(Master!J766="","",Master!J766)</x:f>
        <x:v>No</x:v>
      </x:c>
      <x:c r="J10" s="77" t="str">
        <x:f>IF(Master!K766="","",Master!K766)</x:f>
        <x:v>No</x:v>
      </x:c>
      <x:c r="K10" s="77" t="str">
        <x:f>IF(Master!L766="","",Master!L766)</x:f>
        <x:v>No</x:v>
      </x:c>
      <x:c r="L10" s="77" t="str">
        <x:f>IF(Master!M766="","",Master!M766)</x:f>
        <x:v>No</x:v>
      </x:c>
      <x:c r="M10" s="77" t="str">
        <x:f>IF(Master!N766="","",Master!N766)</x:f>
        <x:v>No</x:v>
      </x:c>
      <x:c r="N10" s="77" t="str">
        <x:f>IF(Master!O766="","",Master!O766)</x:f>
        <x:v>Active translation</x:v>
      </x:c>
      <x:c r="O10" s="77" t="str">
        <x:f>IF(Master!P766="","",Master!P766)</x:f>
        <x:v>Yes</x:v>
      </x:c>
      <x:c r="P10" s="77" t="str">
        <x:f>IF(Master!Q766="","",Master!Q766)</x:f>
        <x:v>No</x:v>
      </x:c>
      <x:c r="Q10" s="77" t="str">
        <x:f>IF(Master!R766="","",Master!R766)</x:f>
        <x:v>Yes</x:v>
      </x:c>
      <x:c r="R10" s="77" t="str">
        <x:f>IF(Master!S766="","",Master!S766)</x:f>
        <x:v>No</x:v>
      </x:c>
      <x:c r="S10" s="77" t="str">
        <x:f>IF(Master!T766="","",Master!T766)</x:f>
        <x:v>No</x:v>
      </x:c>
      <x:c r="T10" s="77" t="str">
        <x:f>IF(Master!U766="","",Master!U766)</x:f>
        <x:v>Yes</x:v>
      </x:c>
      <x:c r="U10" s="77" t="str">
        <x:f>IF(Master!V766="","",Master!V766)</x:f>
        <x:v>No</x:v>
      </x:c>
      <x:c r="V10" s="77" t="str">
        <x:f>IF(Master!W766="","",Master!W766)</x:f>
        <x:v>Yes</x:v>
      </x:c>
      <x:c r="W10" s="77" t="str">
        <x:f>IF(Master!X766="","",Master!X766)</x:f>
        <x:v>No</x:v>
      </x:c>
      <x:c r="X10" s="77" t="str">
        <x:f>IF(Master!Y766="","",Master!Y766)</x:f>
        <x:v>No</x:v>
      </x:c>
      <x:c r="Y10" s="77" t="str">
        <x:f>IF(Master!Z766="","",Master!Z766)</x:f>
        <x:v>No</x:v>
      </x:c>
      <x:c r="Z10" s="77" t="str">
        <x:f>IF(Master!AA766="","",Master!AA766)</x:f>
        <x:v>No</x:v>
      </x:c>
      <x:c r="AA10" s="77" t="str">
        <x:f>IF(Master!AB766="","",Master!AB766)</x:f>
        <x:v>No</x:v>
      </x:c>
      <x:c r="AB10" s="77" t="str">
        <x:f>IF(Master!AC766="","",Master!AC766)</x:f>
        <x:v>No</x:v>
      </x:c>
      <x:c r="AC10" s="77" t="str">
        <x:f>IF(Master!AD766="","",Master!AD766)</x:f>
        <x:v>No</x:v>
      </x:c>
      <x:c r="AD10" s="77" t="str">
        <x:f>IF(Master!AE766="","",Master!AE766)</x:f>
        <x:v>No</x:v>
      </x:c>
      <x:c r="AE10" s="77" t="str">
        <x:f>IF(Master!AF766="","",Master!AF766)</x:f>
        <x:v>No</x:v>
      </x:c>
      <x:c r="AF10" s="77" t="str">
        <x:f>IF(Master!AG766="","",Master!AG766)</x:f>
        <x:v>No</x:v>
      </x:c>
    </x:row>
    <x:row r="11" ht="28" customHeight="1">
      <x:c r="A11" s="73" t="str">
        <x:f>IF(Master!B767="","",Master!B767)</x:f>
        <x:v>Russian / Russkiy / Русский</x:v>
      </x:c>
      <x:c r="B11" s="77" t="str">
        <x:f>IF(Master!C767="","",Master!C767)</x:f>
        <x:v>Yes</x:v>
      </x:c>
      <x:c r="C11" s="77" t="str">
        <x:f>IF(Master!D767="","",Master!D767)</x:f>
        <x:v>No</x:v>
      </x:c>
      <x:c r="D11" s="77" t="str">
        <x:f>IF(Master!E767="","",Master!E767)</x:f>
        <x:v>No</x:v>
      </x:c>
      <x:c r="E11" s="77" t="str">
        <x:f>IF(Master!F767="","",Master!F767)</x:f>
        <x:v>No</x:v>
      </x:c>
      <x:c r="F11" s="77" t="str">
        <x:f>IF(Master!G767="","",Master!G767)</x:f>
        <x:v>No</x:v>
      </x:c>
      <x:c r="G11" s="77" t="str">
        <x:f>IF(Master!H767="","",Master!H767)</x:f>
        <x:v>Yes</x:v>
      </x:c>
      <x:c r="H11" s="77" t="str">
        <x:f>IF(Master!I767="","",Master!I767)</x:f>
        <x:v>No</x:v>
      </x:c>
      <x:c r="I11" s="77" t="str">
        <x:f>IF(Master!J767="","",Master!J767)</x:f>
        <x:v>No</x:v>
      </x:c>
      <x:c r="J11" s="77" t="str">
        <x:f>IF(Master!K767="","",Master!K767)</x:f>
        <x:v>No</x:v>
      </x:c>
      <x:c r="K11" s="77" t="str">
        <x:f>IF(Master!L767="","",Master!L767)</x:f>
        <x:v>No</x:v>
      </x:c>
      <x:c r="L11" s="77" t="str">
        <x:f>IF(Master!M767="","",Master!M767)</x:f>
        <x:v>No</x:v>
      </x:c>
      <x:c r="M11" s="77" t="str">
        <x:f>IF(Master!N767="","",Master!N767)</x:f>
        <x:v>No</x:v>
      </x:c>
      <x:c r="N11" s="77" t="str">
        <x:f>IF(Master!O767="","",Master!O767)</x:f>
        <x:v>Active translation</x:v>
      </x:c>
      <x:c r="O11" s="77" t="str">
        <x:f>IF(Master!P767="","",Master!P767)</x:f>
        <x:v>Yes</x:v>
      </x:c>
      <x:c r="P11" s="77" t="str">
        <x:f>IF(Master!Q767="","",Master!Q767)</x:f>
        <x:v>No</x:v>
      </x:c>
      <x:c r="Q11" s="77" t="str">
        <x:f>IF(Master!R767="","",Master!R767)</x:f>
        <x:v>No</x:v>
      </x:c>
      <x:c r="R11" s="77" t="str">
        <x:f>IF(Master!S767="","",Master!S767)</x:f>
        <x:v>No</x:v>
      </x:c>
      <x:c r="S11" s="77" t="str">
        <x:f>IF(Master!T767="","",Master!T767)</x:f>
        <x:v>No</x:v>
      </x:c>
      <x:c r="T11" s="77" t="str">
        <x:f>IF(Master!U767="","",Master!U767)</x:f>
        <x:v>No</x:v>
      </x:c>
      <x:c r="U11" s="77" t="str">
        <x:f>IF(Master!V767="","",Master!V767)</x:f>
        <x:v>No</x:v>
      </x:c>
      <x:c r="V11" s="77" t="str">
        <x:f>IF(Master!W767="","",Master!W767)</x:f>
        <x:v>Yes</x:v>
      </x:c>
      <x:c r="W11" s="77" t="str">
        <x:f>IF(Master!X767="","",Master!X767)</x:f>
        <x:v>No</x:v>
      </x:c>
      <x:c r="X11" s="77" t="str">
        <x:f>IF(Master!Y767="","",Master!Y767)</x:f>
        <x:v>No</x:v>
      </x:c>
      <x:c r="Y11" s="77" t="str">
        <x:f>IF(Master!Z767="","",Master!Z767)</x:f>
        <x:v>No</x:v>
      </x:c>
      <x:c r="Z11" s="77" t="str">
        <x:f>IF(Master!AA767="","",Master!AA767)</x:f>
        <x:v>No</x:v>
      </x:c>
      <x:c r="AA11" s="77" t="str">
        <x:f>IF(Master!AB767="","",Master!AB767)</x:f>
        <x:v>No</x:v>
      </x:c>
      <x:c r="AB11" s="77" t="str">
        <x:f>IF(Master!AC767="","",Master!AC767)</x:f>
        <x:v>No</x:v>
      </x:c>
      <x:c r="AC11" s="77" t="str">
        <x:f>IF(Master!AD767="","",Master!AD767)</x:f>
        <x:v>No</x:v>
      </x:c>
      <x:c r="AD11" s="77" t="str">
        <x:f>IF(Master!AE767="","",Master!AE767)</x:f>
        <x:v>No</x:v>
      </x:c>
      <x:c r="AE11" s="77" t="str">
        <x:f>IF(Master!AF767="","",Master!AF767)</x:f>
        <x:v>No</x:v>
      </x:c>
      <x:c r="AF11" s="77" t="str">
        <x:f>IF(Master!AG767="","",Master!AG767)</x:f>
        <x:v>Active translation</x:v>
      </x:c>
    </x:row>
    <x:row r="12" ht="28" customHeight="1">
      <x:c r="A12" s="73" t="str">
        <x:f>IF(Master!B768="","",Master!B768)</x:f>
        <x:v>Japanese / Nihongo / 日本語</x:v>
      </x:c>
      <x:c r="B12" s="77" t="str">
        <x:f>IF(Master!C768="","",Master!C768)</x:f>
        <x:v>Yes</x:v>
      </x:c>
      <x:c r="C12" s="77" t="str">
        <x:f>IF(Master!D768="","",Master!D768)</x:f>
        <x:v>No</x:v>
      </x:c>
      <x:c r="D12" s="77" t="str">
        <x:f>IF(Master!E768="","",Master!E768)</x:f>
        <x:v>No</x:v>
      </x:c>
      <x:c r="E12" s="77" t="str">
        <x:f>IF(Master!F768="","",Master!F768)</x:f>
        <x:v>No</x:v>
      </x:c>
      <x:c r="F12" s="77" t="str">
        <x:f>IF(Master!G768="","",Master!G768)</x:f>
        <x:v>No</x:v>
      </x:c>
      <x:c r="G12" s="77" t="str">
        <x:f>IF(Master!H768="","",Master!H768)</x:f>
        <x:v>Yes</x:v>
      </x:c>
      <x:c r="H12" s="77" t="str">
        <x:f>IF(Master!I768="","",Master!I768)</x:f>
        <x:v>No</x:v>
      </x:c>
      <x:c r="I12" s="77" t="str">
        <x:f>IF(Master!J768="","",Master!J768)</x:f>
        <x:v>No</x:v>
      </x:c>
      <x:c r="J12" s="77" t="str">
        <x:f>IF(Master!K768="","",Master!K768)</x:f>
        <x:v>No</x:v>
      </x:c>
      <x:c r="K12" s="77" t="str">
        <x:f>IF(Master!L768="","",Master!L768)</x:f>
        <x:v>No</x:v>
      </x:c>
      <x:c r="L12" s="77" t="str">
        <x:f>IF(Master!M768="","",Master!M768)</x:f>
        <x:v>No</x:v>
      </x:c>
      <x:c r="M12" s="77" t="str">
        <x:f>IF(Master!N768="","",Master!N768)</x:f>
        <x:v>No</x:v>
      </x:c>
      <x:c r="N12" s="77" t="str">
        <x:f>IF(Master!O768="","",Master!O768)</x:f>
        <x:v>Active translation</x:v>
      </x:c>
      <x:c r="O12" s="77" t="str">
        <x:f>IF(Master!P768="","",Master!P768)</x:f>
        <x:v>Yes</x:v>
      </x:c>
      <x:c r="P12" s="77" t="str">
        <x:f>IF(Master!Q768="","",Master!Q768)</x:f>
        <x:v>No</x:v>
      </x:c>
      <x:c r="Q12" s="77" t="str">
        <x:f>IF(Master!R768="","",Master!R768)</x:f>
        <x:v>No</x:v>
      </x:c>
      <x:c r="R12" s="77" t="str">
        <x:f>IF(Master!S768="","",Master!S768)</x:f>
        <x:v>No</x:v>
      </x:c>
      <x:c r="S12" s="77" t="str">
        <x:f>IF(Master!T768="","",Master!T768)</x:f>
        <x:v>No</x:v>
      </x:c>
      <x:c r="T12" s="77" t="str">
        <x:f>IF(Master!U768="","",Master!U768)</x:f>
        <x:v>No</x:v>
      </x:c>
      <x:c r="U12" s="77" t="str">
        <x:f>IF(Master!V768="","",Master!V768)</x:f>
        <x:v>No</x:v>
      </x:c>
      <x:c r="V12" s="77" t="str">
        <x:f>IF(Master!W768="","",Master!W768)</x:f>
        <x:v>Yes</x:v>
      </x:c>
      <x:c r="W12" s="77" t="str">
        <x:f>IF(Master!X768="","",Master!X768)</x:f>
        <x:v>No</x:v>
      </x:c>
      <x:c r="X12" s="77" t="str">
        <x:f>IF(Master!Y768="","",Master!Y768)</x:f>
        <x:v>No</x:v>
      </x:c>
      <x:c r="Y12" s="77" t="str">
        <x:f>IF(Master!Z768="","",Master!Z768)</x:f>
        <x:v>No</x:v>
      </x:c>
      <x:c r="Z12" s="77" t="str">
        <x:f>IF(Master!AA768="","",Master!AA768)</x:f>
        <x:v>No</x:v>
      </x:c>
      <x:c r="AA12" s="77" t="str">
        <x:f>IF(Master!AB768="","",Master!AB768)</x:f>
        <x:v>No</x:v>
      </x:c>
      <x:c r="AB12" s="77" t="str">
        <x:f>IF(Master!AC768="","",Master!AC768)</x:f>
        <x:v>No</x:v>
      </x:c>
      <x:c r="AC12" s="77" t="str">
        <x:f>IF(Master!AD768="","",Master!AD768)</x:f>
        <x:v>No</x:v>
      </x:c>
      <x:c r="AD12" s="77" t="str">
        <x:f>IF(Master!AE768="","",Master!AE768)</x:f>
        <x:v>No</x:v>
      </x:c>
      <x:c r="AE12" s="77" t="str">
        <x:f>IF(Master!AF768="","",Master!AF768)</x:f>
        <x:v>No</x:v>
      </x:c>
      <x:c r="AF12" s="77" t="str">
        <x:f>IF(Master!AG768="","",Master!AG768)</x:f>
        <x:v>Active translation</x:v>
      </x:c>
    </x:row>
    <x:row r="13" ht="28" customHeight="1">
      <x:c r="A13" s="73" t="str">
        <x:f>IF(Master!B769="","",Master!B769)</x:f>
        <x:v>German / Deutsch / Deutsch</x:v>
      </x:c>
      <x:c r="B13" s="77" t="str">
        <x:f>IF(Master!C769="","",Master!C769)</x:f>
        <x:v>Yes</x:v>
      </x:c>
      <x:c r="C13" s="77" t="str">
        <x:f>IF(Master!D769="","",Master!D769)</x:f>
        <x:v>No</x:v>
      </x:c>
      <x:c r="D13" s="77" t="str">
        <x:f>IF(Master!E769="","",Master!E769)</x:f>
        <x:v>No</x:v>
      </x:c>
      <x:c r="E13" s="77" t="str">
        <x:f>IF(Master!F769="","",Master!F769)</x:f>
        <x:v>No</x:v>
      </x:c>
      <x:c r="F13" s="77" t="str">
        <x:f>IF(Master!G769="","",Master!G769)</x:f>
        <x:v>No</x:v>
      </x:c>
      <x:c r="G13" s="77" t="str">
        <x:f>IF(Master!H769="","",Master!H769)</x:f>
        <x:v>Yes</x:v>
      </x:c>
      <x:c r="H13" s="77" t="str">
        <x:f>IF(Master!I769="","",Master!I769)</x:f>
        <x:v>No</x:v>
      </x:c>
      <x:c r="I13" s="77" t="str">
        <x:f>IF(Master!J769="","",Master!J769)</x:f>
        <x:v>No</x:v>
      </x:c>
      <x:c r="J13" s="77" t="str">
        <x:f>IF(Master!K769="","",Master!K769)</x:f>
        <x:v>No</x:v>
      </x:c>
      <x:c r="K13" s="77" t="str">
        <x:f>IF(Master!L769="","",Master!L769)</x:f>
        <x:v>No</x:v>
      </x:c>
      <x:c r="L13" s="77" t="str">
        <x:f>IF(Master!M769="","",Master!M769)</x:f>
        <x:v>No</x:v>
      </x:c>
      <x:c r="M13" s="77" t="str">
        <x:f>IF(Master!N769="","",Master!N769)</x:f>
        <x:v>No</x:v>
      </x:c>
      <x:c r="N13" s="77" t="str">
        <x:f>IF(Master!O769="","",Master!O769)</x:f>
        <x:v>Active translation</x:v>
      </x:c>
      <x:c r="O13" s="77" t="str">
        <x:f>IF(Master!P769="","",Master!P769)</x:f>
        <x:v>Yes</x:v>
      </x:c>
      <x:c r="P13" s="77" t="str">
        <x:f>IF(Master!Q769="","",Master!Q769)</x:f>
        <x:v>No</x:v>
      </x:c>
      <x:c r="Q13" s="77" t="str">
        <x:f>IF(Master!R769="","",Master!R769)</x:f>
        <x:v>Yes</x:v>
      </x:c>
      <x:c r="R13" s="77" t="str">
        <x:f>IF(Master!S769="","",Master!S769)</x:f>
        <x:v>No</x:v>
      </x:c>
      <x:c r="S13" s="77" t="str">
        <x:f>IF(Master!T769="","",Master!T769)</x:f>
        <x:v>No</x:v>
      </x:c>
      <x:c r="T13" s="77" t="str">
        <x:f>IF(Master!U769="","",Master!U769)</x:f>
        <x:v>No</x:v>
      </x:c>
      <x:c r="U13" s="77" t="str">
        <x:f>IF(Master!V769="","",Master!V769)</x:f>
        <x:v>No</x:v>
      </x:c>
      <x:c r="V13" s="77" t="str">
        <x:f>IF(Master!W769="","",Master!W769)</x:f>
        <x:v>Yes</x:v>
      </x:c>
      <x:c r="W13" s="77" t="str">
        <x:f>IF(Master!X769="","",Master!X769)</x:f>
        <x:v>No</x:v>
      </x:c>
      <x:c r="X13" s="77" t="str">
        <x:f>IF(Master!Y769="","",Master!Y769)</x:f>
        <x:v>No</x:v>
      </x:c>
      <x:c r="Y13" s="77" t="str">
        <x:f>IF(Master!Z769="","",Master!Z769)</x:f>
        <x:v>No</x:v>
      </x:c>
      <x:c r="Z13" s="77" t="str">
        <x:f>IF(Master!AA769="","",Master!AA769)</x:f>
        <x:v>No</x:v>
      </x:c>
      <x:c r="AA13" s="77" t="str">
        <x:f>IF(Master!AB769="","",Master!AB769)</x:f>
        <x:v>No</x:v>
      </x:c>
      <x:c r="AB13" s="77" t="str">
        <x:f>IF(Master!AC769="","",Master!AC769)</x:f>
        <x:v>No</x:v>
      </x:c>
      <x:c r="AC13" s="77" t="str">
        <x:f>IF(Master!AD769="","",Master!AD769)</x:f>
        <x:v>No</x:v>
      </x:c>
      <x:c r="AD13" s="77" t="str">
        <x:f>IF(Master!AE769="","",Master!AE769)</x:f>
        <x:v>No</x:v>
      </x:c>
      <x:c r="AE13" s="77" t="str">
        <x:f>IF(Master!AF769="","",Master!AF769)</x:f>
        <x:v>No</x:v>
      </x:c>
      <x:c r="AF13" s="77" t="str">
        <x:f>IF(Master!AG769="","",Master!AG769)</x:f>
        <x:v>Active translation</x:v>
      </x:c>
    </x:row>
    <x:row r="14" ht="28" customHeight="1">
      <x:c r="A14" s="73" t="str">
        <x:f>IF(Master!B770="","",Master!B770)</x:f>
        <x:v>French / Français / Français</x:v>
      </x:c>
      <x:c r="B14" s="77" t="str">
        <x:f>IF(Master!C770="","",Master!C770)</x:f>
        <x:v>Yes</x:v>
      </x:c>
      <x:c r="C14" s="77" t="str">
        <x:f>IF(Master!D770="","",Master!D770)</x:f>
        <x:v>No</x:v>
      </x:c>
      <x:c r="D14" s="77" t="str">
        <x:f>IF(Master!E770="","",Master!E770)</x:f>
        <x:v>No</x:v>
      </x:c>
      <x:c r="E14" s="77" t="str">
        <x:f>IF(Master!F770="","",Master!F770)</x:f>
        <x:v>No</x:v>
      </x:c>
      <x:c r="F14" s="77" t="str">
        <x:f>IF(Master!G770="","",Master!G770)</x:f>
        <x:v>No</x:v>
      </x:c>
      <x:c r="G14" s="77" t="str">
        <x:f>IF(Master!H770="","",Master!H770)</x:f>
        <x:v>Yes</x:v>
      </x:c>
      <x:c r="H14" s="77" t="str">
        <x:f>IF(Master!I770="","",Master!I770)</x:f>
        <x:v>No</x:v>
      </x:c>
      <x:c r="I14" s="77" t="str">
        <x:f>IF(Master!J770="","",Master!J770)</x:f>
        <x:v>No</x:v>
      </x:c>
      <x:c r="J14" s="77" t="str">
        <x:f>IF(Master!K770="","",Master!K770)</x:f>
        <x:v>No</x:v>
      </x:c>
      <x:c r="K14" s="77" t="str">
        <x:f>IF(Master!L770="","",Master!L770)</x:f>
        <x:v>No</x:v>
      </x:c>
      <x:c r="L14" s="77" t="str">
        <x:f>IF(Master!M770="","",Master!M770)</x:f>
        <x:v>No</x:v>
      </x:c>
      <x:c r="M14" s="77" t="str">
        <x:f>IF(Master!N770="","",Master!N770)</x:f>
        <x:v>No</x:v>
      </x:c>
      <x:c r="N14" s="77" t="str">
        <x:f>IF(Master!O770="","",Master!O770)</x:f>
        <x:v>Active translation</x:v>
      </x:c>
      <x:c r="O14" s="77" t="str">
        <x:f>IF(Master!P770="","",Master!P770)</x:f>
        <x:v>Yes</x:v>
      </x:c>
      <x:c r="P14" s="77" t="str">
        <x:f>IF(Master!Q770="","",Master!Q770)</x:f>
        <x:v>No</x:v>
      </x:c>
      <x:c r="Q14" s="77" t="str">
        <x:f>IF(Master!R770="","",Master!R770)</x:f>
        <x:v>Yes</x:v>
      </x:c>
      <x:c r="R14" s="77" t="str">
        <x:f>IF(Master!S770="","",Master!S770)</x:f>
        <x:v>No</x:v>
      </x:c>
      <x:c r="S14" s="77" t="str">
        <x:f>IF(Master!T770="","",Master!T770)</x:f>
        <x:v>No</x:v>
      </x:c>
      <x:c r="T14" s="77" t="str">
        <x:f>IF(Master!U770="","",Master!U770)</x:f>
        <x:v>No</x:v>
      </x:c>
      <x:c r="U14" s="77" t="str">
        <x:f>IF(Master!V770="","",Master!V770)</x:f>
        <x:v>No</x:v>
      </x:c>
      <x:c r="V14" s="77" t="str">
        <x:f>IF(Master!W770="","",Master!W770)</x:f>
        <x:v>Yes</x:v>
      </x:c>
      <x:c r="W14" s="77" t="str">
        <x:f>IF(Master!X770="","",Master!X770)</x:f>
        <x:v>No</x:v>
      </x:c>
      <x:c r="X14" s="77" t="str">
        <x:f>IF(Master!Y770="","",Master!Y770)</x:f>
        <x:v>No</x:v>
      </x:c>
      <x:c r="Y14" s="77" t="str">
        <x:f>IF(Master!Z770="","",Master!Z770)</x:f>
        <x:v>No</x:v>
      </x:c>
      <x:c r="Z14" s="77" t="str">
        <x:f>IF(Master!AA770="","",Master!AA770)</x:f>
        <x:v>No</x:v>
      </x:c>
      <x:c r="AA14" s="77" t="str">
        <x:f>IF(Master!AB770="","",Master!AB770)</x:f>
        <x:v>No</x:v>
      </x:c>
      <x:c r="AB14" s="77" t="str">
        <x:f>IF(Master!AC770="","",Master!AC770)</x:f>
        <x:v>No</x:v>
      </x:c>
      <x:c r="AC14" s="77" t="str">
        <x:f>IF(Master!AD770="","",Master!AD770)</x:f>
        <x:v>No</x:v>
      </x:c>
      <x:c r="AD14" s="77" t="str">
        <x:f>IF(Master!AE770="","",Master!AE770)</x:f>
        <x:v>No</x:v>
      </x:c>
      <x:c r="AE14" s="77" t="str">
        <x:f>IF(Master!AF770="","",Master!AF770)</x:f>
        <x:v>No</x:v>
      </x:c>
      <x:c r="AF14" s="77" t="str">
        <x:f>IF(Master!AG770="","",Master!AG770)</x:f>
        <x:v>Active translation</x:v>
      </x:c>
    </x:row>
    <x:row r="15" ht="28" customHeight="1">
      <x:c r="A15" s="73" t="str">
        <x:f>IF(Master!B771="","",Master!B771)</x:f>
        <x:v>Korean / Hangugeo / 한국어</x:v>
      </x:c>
      <x:c r="B15" s="77" t="str">
        <x:f>IF(Master!C771="","",Master!C771)</x:f>
        <x:v>Yes</x:v>
      </x:c>
      <x:c r="C15" s="77" t="str">
        <x:f>IF(Master!D771="","",Master!D771)</x:f>
        <x:v>No</x:v>
      </x:c>
      <x:c r="D15" s="77" t="str">
        <x:f>IF(Master!E771="","",Master!E771)</x:f>
        <x:v>No</x:v>
      </x:c>
      <x:c r="E15" s="77" t="str">
        <x:f>IF(Master!F771="","",Master!F771)</x:f>
        <x:v>No</x:v>
      </x:c>
      <x:c r="F15" s="77" t="str">
        <x:f>IF(Master!G771="","",Master!G771)</x:f>
        <x:v>No</x:v>
      </x:c>
      <x:c r="G15" s="77" t="str">
        <x:f>IF(Master!H771="","",Master!H771)</x:f>
        <x:v>Yes</x:v>
      </x:c>
      <x:c r="H15" s="77" t="str">
        <x:f>IF(Master!I771="","",Master!I771)</x:f>
        <x:v>No</x:v>
      </x:c>
      <x:c r="I15" s="77" t="str">
        <x:f>IF(Master!J771="","",Master!J771)</x:f>
        <x:v>No</x:v>
      </x:c>
      <x:c r="J15" s="77" t="str">
        <x:f>IF(Master!K771="","",Master!K771)</x:f>
        <x:v>No</x:v>
      </x:c>
      <x:c r="K15" s="77" t="str">
        <x:f>IF(Master!L771="","",Master!L771)</x:f>
        <x:v>No</x:v>
      </x:c>
      <x:c r="L15" s="77" t="str">
        <x:f>IF(Master!M771="","",Master!M771)</x:f>
        <x:v>No</x:v>
      </x:c>
      <x:c r="M15" s="77" t="str">
        <x:f>IF(Master!N771="","",Master!N771)</x:f>
        <x:v>No</x:v>
      </x:c>
      <x:c r="N15" s="77" t="str">
        <x:f>IF(Master!O771="","",Master!O771)</x:f>
        <x:v>Active translation</x:v>
      </x:c>
      <x:c r="O15" s="77" t="str">
        <x:f>IF(Master!P771="","",Master!P771)</x:f>
        <x:v>Yes</x:v>
      </x:c>
      <x:c r="P15" s="77" t="str">
        <x:f>IF(Master!Q771="","",Master!Q771)</x:f>
        <x:v>No</x:v>
      </x:c>
      <x:c r="Q15" s="77" t="str">
        <x:f>IF(Master!R771="","",Master!R771)</x:f>
        <x:v>No</x:v>
      </x:c>
      <x:c r="R15" s="77" t="str">
        <x:f>IF(Master!S771="","",Master!S771)</x:f>
        <x:v>No</x:v>
      </x:c>
      <x:c r="S15" s="77" t="str">
        <x:f>IF(Master!T771="","",Master!T771)</x:f>
        <x:v>No</x:v>
      </x:c>
      <x:c r="T15" s="77" t="str">
        <x:f>IF(Master!U771="","",Master!U771)</x:f>
        <x:v>No</x:v>
      </x:c>
      <x:c r="U15" s="77" t="str">
        <x:f>IF(Master!V771="","",Master!V771)</x:f>
        <x:v>No</x:v>
      </x:c>
      <x:c r="V15" s="77" t="str">
        <x:f>IF(Master!W771="","",Master!W771)</x:f>
        <x:v>Yes</x:v>
      </x:c>
      <x:c r="W15" s="77" t="str">
        <x:f>IF(Master!X771="","",Master!X771)</x:f>
        <x:v>No</x:v>
      </x:c>
      <x:c r="X15" s="77" t="str">
        <x:f>IF(Master!Y771="","",Master!Y771)</x:f>
        <x:v>No</x:v>
      </x:c>
      <x:c r="Y15" s="77" t="str">
        <x:f>IF(Master!Z771="","",Master!Z771)</x:f>
        <x:v>No</x:v>
      </x:c>
      <x:c r="Z15" s="77" t="str">
        <x:f>IF(Master!AA771="","",Master!AA771)</x:f>
        <x:v>No</x:v>
      </x:c>
      <x:c r="AA15" s="77" t="str">
        <x:f>IF(Master!AB771="","",Master!AB771)</x:f>
        <x:v>No</x:v>
      </x:c>
      <x:c r="AB15" s="77" t="str">
        <x:f>IF(Master!AC771="","",Master!AC771)</x:f>
        <x:v>No</x:v>
      </x:c>
      <x:c r="AC15" s="77" t="str">
        <x:f>IF(Master!AD771="","",Master!AD771)</x:f>
        <x:v>No</x:v>
      </x:c>
      <x:c r="AD15" s="77" t="str">
        <x:f>IF(Master!AE771="","",Master!AE771)</x:f>
        <x:v>No</x:v>
      </x:c>
      <x:c r="AE15" s="77" t="str">
        <x:f>IF(Master!AF771="","",Master!AF771)</x:f>
        <x:v>No</x:v>
      </x:c>
      <x:c r="AF15" s="77" t="str">
        <x:f>IF(Master!AG771="","",Master!AG771)</x:f>
        <x:v>No</x:v>
      </x:c>
    </x:row>
    <x:row r="16" ht="28" customHeight="1">
      <x:c r="A16" s="73" t="str">
        <x:f>IF(Master!B772="","",Master!B772)</x:f>
        <x:v>Indonesian / Bahasa Indonesia / Bahasa Indonesia</x:v>
      </x:c>
      <x:c r="B16" s="77" t="str">
        <x:f>IF(Master!C772="","",Master!C772)</x:f>
        <x:v>Yes</x:v>
      </x:c>
      <x:c r="C16" s="77" t="str">
        <x:f>IF(Master!D772="","",Master!D772)</x:f>
        <x:v>No</x:v>
      </x:c>
      <x:c r="D16" s="77" t="str">
        <x:f>IF(Master!E772="","",Master!E772)</x:f>
        <x:v>No</x:v>
      </x:c>
      <x:c r="E16" s="77" t="str">
        <x:f>IF(Master!F772="","",Master!F772)</x:f>
        <x:v>No</x:v>
      </x:c>
      <x:c r="F16" s="77" t="str">
        <x:f>IF(Master!G772="","",Master!G772)</x:f>
        <x:v>No</x:v>
      </x:c>
      <x:c r="G16" s="77" t="str">
        <x:f>IF(Master!H772="","",Master!H772)</x:f>
        <x:v>Yes</x:v>
      </x:c>
      <x:c r="H16" s="77" t="str">
        <x:f>IF(Master!I772="","",Master!I772)</x:f>
        <x:v>No</x:v>
      </x:c>
      <x:c r="I16" s="77" t="str">
        <x:f>IF(Master!J772="","",Master!J772)</x:f>
        <x:v>No</x:v>
      </x:c>
      <x:c r="J16" s="77" t="str">
        <x:f>IF(Master!K772="","",Master!K772)</x:f>
        <x:v>No</x:v>
      </x:c>
      <x:c r="K16" s="77" t="str">
        <x:f>IF(Master!L772="","",Master!L772)</x:f>
        <x:v>No</x:v>
      </x:c>
      <x:c r="L16" s="77" t="str">
        <x:f>IF(Master!M772="","",Master!M772)</x:f>
        <x:v>No</x:v>
      </x:c>
      <x:c r="M16" s="77" t="str">
        <x:f>IF(Master!N772="","",Master!N772)</x:f>
        <x:v>No</x:v>
      </x:c>
      <x:c r="N16" s="77" t="str">
        <x:f>IF(Master!O772="","",Master!O772)</x:f>
        <x:v>Active translation</x:v>
      </x:c>
      <x:c r="O16" s="77" t="str">
        <x:f>IF(Master!P772="","",Master!P772)</x:f>
        <x:v>No</x:v>
      </x:c>
      <x:c r="P16" s="77" t="str">
        <x:f>IF(Master!Q772="","",Master!Q772)</x:f>
        <x:v>No</x:v>
      </x:c>
      <x:c r="Q16" s="77" t="str">
        <x:f>IF(Master!R772="","",Master!R772)</x:f>
        <x:v>No</x:v>
      </x:c>
      <x:c r="R16" s="77" t="str">
        <x:f>IF(Master!S772="","",Master!S772)</x:f>
        <x:v>No</x:v>
      </x:c>
      <x:c r="S16" s="77" t="str">
        <x:f>IF(Master!T772="","",Master!T772)</x:f>
        <x:v>No</x:v>
      </x:c>
      <x:c r="T16" s="77" t="str">
        <x:f>IF(Master!U772="","",Master!U772)</x:f>
        <x:v>No</x:v>
      </x:c>
      <x:c r="U16" s="77" t="str">
        <x:f>IF(Master!V772="","",Master!V772)</x:f>
        <x:v>No</x:v>
      </x:c>
      <x:c r="V16" s="77" t="str">
        <x:f>IF(Master!W772="","",Master!W772)</x:f>
        <x:v>Yes</x:v>
      </x:c>
      <x:c r="W16" s="77" t="str">
        <x:f>IF(Master!X772="","",Master!X772)</x:f>
        <x:v>No</x:v>
      </x:c>
      <x:c r="X16" s="77" t="str">
        <x:f>IF(Master!Y772="","",Master!Y772)</x:f>
        <x:v>No</x:v>
      </x:c>
      <x:c r="Y16" s="77" t="str">
        <x:f>IF(Master!Z772="","",Master!Z772)</x:f>
        <x:v>No</x:v>
      </x:c>
      <x:c r="Z16" s="77" t="str">
        <x:f>IF(Master!AA772="","",Master!AA772)</x:f>
        <x:v>No</x:v>
      </x:c>
      <x:c r="AA16" s="77" t="str">
        <x:f>IF(Master!AB772="","",Master!AB772)</x:f>
        <x:v>No</x:v>
      </x:c>
      <x:c r="AB16" s="77" t="str">
        <x:f>IF(Master!AC772="","",Master!AC772)</x:f>
        <x:v>No</x:v>
      </x:c>
      <x:c r="AC16" s="77" t="str">
        <x:f>IF(Master!AD772="","",Master!AD772)</x:f>
        <x:v>No</x:v>
      </x:c>
      <x:c r="AD16" s="77" t="str">
        <x:f>IF(Master!AE772="","",Master!AE772)</x:f>
        <x:v>No</x:v>
      </x:c>
      <x:c r="AE16" s="77" t="str">
        <x:f>IF(Master!AF772="","",Master!AF772)</x:f>
        <x:v>No</x:v>
      </x:c>
      <x:c r="AF16" s="77" t="str">
        <x:f>IF(Master!AG772="","",Master!AG772)</x:f>
        <x:v>No</x:v>
      </x:c>
    </x:row>
    <x:row r="17" ht="28" customHeight="1">
      <x:c r="A17" s="73" t="str">
        <x:f>IF(Master!B773="","",Master!B773)</x:f>
        <x:v>Turkish / Türkçe / Türkçe</x:v>
      </x:c>
      <x:c r="B17" s="77" t="str">
        <x:f>IF(Master!C773="","",Master!C773)</x:f>
        <x:v>Yes</x:v>
      </x:c>
      <x:c r="C17" s="77" t="str">
        <x:f>IF(Master!D773="","",Master!D773)</x:f>
        <x:v>No</x:v>
      </x:c>
      <x:c r="D17" s="77" t="str">
        <x:f>IF(Master!E773="","",Master!E773)</x:f>
        <x:v>No</x:v>
      </x:c>
      <x:c r="E17" s="77" t="str">
        <x:f>IF(Master!F773="","",Master!F773)</x:f>
        <x:v>No</x:v>
      </x:c>
      <x:c r="F17" s="77" t="str">
        <x:f>IF(Master!G773="","",Master!G773)</x:f>
        <x:v>No</x:v>
      </x:c>
      <x:c r="G17" s="77" t="str">
        <x:f>IF(Master!H773="","",Master!H773)</x:f>
        <x:v>Yes</x:v>
      </x:c>
      <x:c r="H17" s="77" t="str">
        <x:f>IF(Master!I773="","",Master!I773)</x:f>
        <x:v>No</x:v>
      </x:c>
      <x:c r="I17" s="77" t="str">
        <x:f>IF(Master!J773="","",Master!J773)</x:f>
        <x:v>No</x:v>
      </x:c>
      <x:c r="J17" s="77" t="str">
        <x:f>IF(Master!K773="","",Master!K773)</x:f>
        <x:v>No</x:v>
      </x:c>
      <x:c r="K17" s="77" t="str">
        <x:f>IF(Master!L773="","",Master!L773)</x:f>
        <x:v>No</x:v>
      </x:c>
      <x:c r="L17" s="77" t="str">
        <x:f>IF(Master!M773="","",Master!M773)</x:f>
        <x:v>No</x:v>
      </x:c>
      <x:c r="M17" s="77" t="str">
        <x:f>IF(Master!N773="","",Master!N773)</x:f>
        <x:v>No</x:v>
      </x:c>
      <x:c r="N17" s="77" t="str">
        <x:f>IF(Master!O773="","",Master!O773)</x:f>
        <x:v>Active translation</x:v>
      </x:c>
      <x:c r="O17" s="77" t="str">
        <x:f>IF(Master!P773="","",Master!P773)</x:f>
        <x:v>Yes</x:v>
      </x:c>
      <x:c r="P17" s="77" t="str">
        <x:f>IF(Master!Q773="","",Master!Q773)</x:f>
        <x:v>No</x:v>
      </x:c>
      <x:c r="Q17" s="77" t="str">
        <x:f>IF(Master!R773="","",Master!R773)</x:f>
        <x:v>No</x:v>
      </x:c>
      <x:c r="R17" s="77" t="str">
        <x:f>IF(Master!S773="","",Master!S773)</x:f>
        <x:v>No</x:v>
      </x:c>
      <x:c r="S17" s="77" t="str">
        <x:f>IF(Master!T773="","",Master!T773)</x:f>
        <x:v>No</x:v>
      </x:c>
      <x:c r="T17" s="77" t="str">
        <x:f>IF(Master!U773="","",Master!U773)</x:f>
        <x:v>No</x:v>
      </x:c>
      <x:c r="U17" s="77" t="str">
        <x:f>IF(Master!V773="","",Master!V773)</x:f>
        <x:v>No</x:v>
      </x:c>
      <x:c r="V17" s="77" t="str">
        <x:f>IF(Master!W773="","",Master!W773)</x:f>
        <x:v>Yes</x:v>
      </x:c>
      <x:c r="W17" s="77" t="str">
        <x:f>IF(Master!X773="","",Master!X773)</x:f>
        <x:v>No</x:v>
      </x:c>
      <x:c r="X17" s="77" t="str">
        <x:f>IF(Master!Y773="","",Master!Y773)</x:f>
        <x:v>No</x:v>
      </x:c>
      <x:c r="Y17" s="77" t="str">
        <x:f>IF(Master!Z773="","",Master!Z773)</x:f>
        <x:v>No</x:v>
      </x:c>
      <x:c r="Z17" s="77" t="str">
        <x:f>IF(Master!AA773="","",Master!AA773)</x:f>
        <x:v>No</x:v>
      </x:c>
      <x:c r="AA17" s="77" t="str">
        <x:f>IF(Master!AB773="","",Master!AB773)</x:f>
        <x:v>No</x:v>
      </x:c>
      <x:c r="AB17" s="77" t="str">
        <x:f>IF(Master!AC773="","",Master!AC773)</x:f>
        <x:v>No</x:v>
      </x:c>
      <x:c r="AC17" s="77" t="str">
        <x:f>IF(Master!AD773="","",Master!AD773)</x:f>
        <x:v>No</x:v>
      </x:c>
      <x:c r="AD17" s="77" t="str">
        <x:f>IF(Master!AE773="","",Master!AE773)</x:f>
        <x:v>No</x:v>
      </x:c>
      <x:c r="AE17" s="77" t="str">
        <x:f>IF(Master!AF773="","",Master!AF773)</x:f>
        <x:v>No</x:v>
      </x:c>
      <x:c r="AF17" s="77" t="str">
        <x:f>IF(Master!AG773="","",Master!AG773)</x:f>
        <x:v>No</x:v>
      </x:c>
    </x:row>
    <x:row r="18" ht="28" customHeight="1">
      <x:c r="A18" s="73" t="str">
        <x:f>IF(Master!B774="","",Master!B774)</x:f>
        <x:v>Vietnamese / Tiếng Việt / Tiếng Việt</x:v>
      </x:c>
      <x:c r="B18" s="77" t="str">
        <x:f>IF(Master!C774="","",Master!C774)</x:f>
        <x:v>Yes</x:v>
      </x:c>
      <x:c r="C18" s="77" t="str">
        <x:f>IF(Master!D774="","",Master!D774)</x:f>
        <x:v>No</x:v>
      </x:c>
      <x:c r="D18" s="77" t="str">
        <x:f>IF(Master!E774="","",Master!E774)</x:f>
        <x:v>No</x:v>
      </x:c>
      <x:c r="E18" s="77" t="str">
        <x:f>IF(Master!F774="","",Master!F774)</x:f>
        <x:v>No</x:v>
      </x:c>
      <x:c r="F18" s="77" t="str">
        <x:f>IF(Master!G774="","",Master!G774)</x:f>
        <x:v>No</x:v>
      </x:c>
      <x:c r="G18" s="77" t="str">
        <x:f>IF(Master!H774="","",Master!H774)</x:f>
        <x:v>Yes</x:v>
      </x:c>
      <x:c r="H18" s="77" t="str">
        <x:f>IF(Master!I774="","",Master!I774)</x:f>
        <x:v>No</x:v>
      </x:c>
      <x:c r="I18" s="77" t="str">
        <x:f>IF(Master!J774="","",Master!J774)</x:f>
        <x:v>No</x:v>
      </x:c>
      <x:c r="J18" s="77" t="str">
        <x:f>IF(Master!K774="","",Master!K774)</x:f>
        <x:v>No</x:v>
      </x:c>
      <x:c r="K18" s="77" t="str">
        <x:f>IF(Master!L774="","",Master!L774)</x:f>
        <x:v>No</x:v>
      </x:c>
      <x:c r="L18" s="77" t="str">
        <x:f>IF(Master!M774="","",Master!M774)</x:f>
        <x:v>No</x:v>
      </x:c>
      <x:c r="M18" s="77" t="str">
        <x:f>IF(Master!N774="","",Master!N774)</x:f>
        <x:v>No</x:v>
      </x:c>
      <x:c r="N18" s="77" t="str">
        <x:f>IF(Master!O774="","",Master!O774)</x:f>
        <x:v>Active translation</x:v>
      </x:c>
      <x:c r="O18" s="77" t="str">
        <x:f>IF(Master!P774="","",Master!P774)</x:f>
        <x:v>Yes</x:v>
      </x:c>
      <x:c r="P18" s="77" t="str">
        <x:f>IF(Master!Q774="","",Master!Q774)</x:f>
        <x:v>Yes</x:v>
      </x:c>
      <x:c r="Q18" s="77" t="str">
        <x:f>IF(Master!R774="","",Master!R774)</x:f>
        <x:v>No</x:v>
      </x:c>
      <x:c r="R18" s="77" t="str">
        <x:f>IF(Master!S774="","",Master!S774)</x:f>
        <x:v>No</x:v>
      </x:c>
      <x:c r="S18" s="77" t="str">
        <x:f>IF(Master!T774="","",Master!T774)</x:f>
        <x:v>No</x:v>
      </x:c>
      <x:c r="T18" s="77" t="str">
        <x:f>IF(Master!U774="","",Master!U774)</x:f>
        <x:v>No</x:v>
      </x:c>
      <x:c r="U18" s="77" t="str">
        <x:f>IF(Master!V774="","",Master!V774)</x:f>
        <x:v>No</x:v>
      </x:c>
      <x:c r="V18" s="77" t="str">
        <x:f>IF(Master!W774="","",Master!W774)</x:f>
        <x:v>Yes</x:v>
      </x:c>
      <x:c r="W18" s="77" t="str">
        <x:f>IF(Master!X774="","",Master!X774)</x:f>
        <x:v>No</x:v>
      </x:c>
      <x:c r="X18" s="77" t="str">
        <x:f>IF(Master!Y774="","",Master!Y774)</x:f>
        <x:v>No</x:v>
      </x:c>
      <x:c r="Y18" s="77" t="str">
        <x:f>IF(Master!Z774="","",Master!Z774)</x:f>
        <x:v>No</x:v>
      </x:c>
      <x:c r="Z18" s="77" t="str">
        <x:f>IF(Master!AA774="","",Master!AA774)</x:f>
        <x:v>No</x:v>
      </x:c>
      <x:c r="AA18" s="77" t="str">
        <x:f>IF(Master!AB774="","",Master!AB774)</x:f>
        <x:v>No</x:v>
      </x:c>
      <x:c r="AB18" s="77" t="str">
        <x:f>IF(Master!AC774="","",Master!AC774)</x:f>
        <x:v>No</x:v>
      </x:c>
      <x:c r="AC18" s="77" t="str">
        <x:f>IF(Master!AD774="","",Master!AD774)</x:f>
        <x:v>No</x:v>
      </x:c>
      <x:c r="AD18" s="77" t="str">
        <x:f>IF(Master!AE774="","",Master!AE774)</x:f>
        <x:v>No</x:v>
      </x:c>
      <x:c r="AE18" s="77" t="str">
        <x:f>IF(Master!AF774="","",Master!AF774)</x:f>
        <x:v>No</x:v>
      </x:c>
      <x:c r="AF18" s="77" t="str">
        <x:f>IF(Master!AG774="","",Master!AG774)</x:f>
        <x:v>No</x:v>
      </x:c>
    </x:row>
    <x:row r="19" ht="28" customHeight="1">
      <x:c r="A19" s="73" t="str">
        <x:f>IF(Master!B775="","",Master!B775)</x:f>
        <x:v>Italian / Italiano / Italiano</x:v>
      </x:c>
      <x:c r="B19" s="77" t="str">
        <x:f>IF(Master!C775="","",Master!C775)</x:f>
        <x:v>Yes</x:v>
      </x:c>
      <x:c r="C19" s="77" t="str">
        <x:f>IF(Master!D775="","",Master!D775)</x:f>
        <x:v>No</x:v>
      </x:c>
      <x:c r="D19" s="77" t="str">
        <x:f>IF(Master!E775="","",Master!E775)</x:f>
        <x:v>No</x:v>
      </x:c>
      <x:c r="E19" s="77" t="str">
        <x:f>IF(Master!F775="","",Master!F775)</x:f>
        <x:v>No</x:v>
      </x:c>
      <x:c r="F19" s="77" t="str">
        <x:f>IF(Master!G775="","",Master!G775)</x:f>
        <x:v>No</x:v>
      </x:c>
      <x:c r="G19" s="77" t="str">
        <x:f>IF(Master!H775="","",Master!H775)</x:f>
        <x:v>Yes</x:v>
      </x:c>
      <x:c r="H19" s="77" t="str">
        <x:f>IF(Master!I775="","",Master!I775)</x:f>
        <x:v>No</x:v>
      </x:c>
      <x:c r="I19" s="77" t="str">
        <x:f>IF(Master!J775="","",Master!J775)</x:f>
        <x:v>No</x:v>
      </x:c>
      <x:c r="J19" s="77" t="str">
        <x:f>IF(Master!K775="","",Master!K775)</x:f>
        <x:v>No</x:v>
      </x:c>
      <x:c r="K19" s="77" t="str">
        <x:f>IF(Master!L775="","",Master!L775)</x:f>
        <x:v>No</x:v>
      </x:c>
      <x:c r="L19" s="77" t="str">
        <x:f>IF(Master!M775="","",Master!M775)</x:f>
        <x:v>No</x:v>
      </x:c>
      <x:c r="M19" s="77" t="str">
        <x:f>IF(Master!N775="","",Master!N775)</x:f>
        <x:v>No</x:v>
      </x:c>
      <x:c r="N19" s="77" t="str">
        <x:f>IF(Master!O775="","",Master!O775)</x:f>
        <x:v>Active translation</x:v>
      </x:c>
      <x:c r="O19" s="77" t="str">
        <x:f>IF(Master!P775="","",Master!P775)</x:f>
        <x:v>Yes</x:v>
      </x:c>
      <x:c r="P19" s="77" t="str">
        <x:f>IF(Master!Q775="","",Master!Q775)</x:f>
        <x:v>No</x:v>
      </x:c>
      <x:c r="Q19" s="77" t="str">
        <x:f>IF(Master!R775="","",Master!R775)</x:f>
        <x:v>Yes</x:v>
      </x:c>
      <x:c r="R19" s="77" t="str">
        <x:f>IF(Master!S775="","",Master!S775)</x:f>
        <x:v>No</x:v>
      </x:c>
      <x:c r="S19" s="77" t="str">
        <x:f>IF(Master!T775="","",Master!T775)</x:f>
        <x:v>No</x:v>
      </x:c>
      <x:c r="T19" s="77" t="str">
        <x:f>IF(Master!U775="","",Master!U775)</x:f>
        <x:v>No</x:v>
      </x:c>
      <x:c r="U19" s="77" t="str">
        <x:f>IF(Master!V775="","",Master!V775)</x:f>
        <x:v>No</x:v>
      </x:c>
      <x:c r="V19" s="77" t="str">
        <x:f>IF(Master!W775="","",Master!W775)</x:f>
        <x:v>Yes</x:v>
      </x:c>
      <x:c r="W19" s="77" t="str">
        <x:f>IF(Master!X775="","",Master!X775)</x:f>
        <x:v>No</x:v>
      </x:c>
      <x:c r="X19" s="77" t="str">
        <x:f>IF(Master!Y775="","",Master!Y775)</x:f>
        <x:v>No</x:v>
      </x:c>
      <x:c r="Y19" s="77" t="str">
        <x:f>IF(Master!Z775="","",Master!Z775)</x:f>
        <x:v>No</x:v>
      </x:c>
      <x:c r="Z19" s="77" t="str">
        <x:f>IF(Master!AA775="","",Master!AA775)</x:f>
        <x:v>No</x:v>
      </x:c>
      <x:c r="AA19" s="77" t="str">
        <x:f>IF(Master!AB775="","",Master!AB775)</x:f>
        <x:v>No</x:v>
      </x:c>
      <x:c r="AB19" s="77" t="str">
        <x:f>IF(Master!AC775="","",Master!AC775)</x:f>
        <x:v>No</x:v>
      </x:c>
      <x:c r="AC19" s="77" t="str">
        <x:f>IF(Master!AD775="","",Master!AD775)</x:f>
        <x:v>No</x:v>
      </x:c>
      <x:c r="AD19" s="77" t="str">
        <x:f>IF(Master!AE775="","",Master!AE775)</x:f>
        <x:v>No</x:v>
      </x:c>
      <x:c r="AE19" s="77" t="str">
        <x:f>IF(Master!AF775="","",Master!AF775)</x:f>
        <x:v>No</x:v>
      </x:c>
      <x:c r="AF19" s="77" t="str">
        <x:f>IF(Master!AG775="","",Master!AG775)</x:f>
        <x:v>No</x:v>
      </x:c>
    </x:row>
    <x:row r="20" ht="28" customHeight="1">
      <x:c r="A20" s="73" t="str">
        <x:f>IF(Master!B776="","",Master!B776)</x:f>
        <x:v>Persian / Farsi / فارسی</x:v>
      </x:c>
      <x:c r="B20" s="77" t="str">
        <x:f>IF(Master!C776="","",Master!C776)</x:f>
        <x:v>No</x:v>
      </x:c>
      <x:c r="C20" s="77" t="str">
        <x:f>IF(Master!D776="","",Master!D776)</x:f>
        <x:v>No</x:v>
      </x:c>
      <x:c r="D20" s="77" t="str">
        <x:f>IF(Master!E776="","",Master!E776)</x:f>
        <x:v>No</x:v>
      </x:c>
      <x:c r="E20" s="77" t="str">
        <x:f>IF(Master!F776="","",Master!F776)</x:f>
        <x:v>No</x:v>
      </x:c>
      <x:c r="F20" s="77" t="str">
        <x:f>IF(Master!G776="","",Master!G776)</x:f>
        <x:v>No</x:v>
      </x:c>
      <x:c r="G20" s="77" t="str">
        <x:f>IF(Master!H776="","",Master!H776)</x:f>
        <x:v>No</x:v>
      </x:c>
      <x:c r="H20" s="77" t="str">
        <x:f>IF(Master!I776="","",Master!I776)</x:f>
        <x:v>No</x:v>
      </x:c>
      <x:c r="I20" s="77" t="str">
        <x:f>IF(Master!J776="","",Master!J776)</x:f>
        <x:v>No</x:v>
      </x:c>
      <x:c r="J20" s="77" t="str">
        <x:f>IF(Master!K776="","",Master!K776)</x:f>
        <x:v>No</x:v>
      </x:c>
      <x:c r="K20" s="77" t="str">
        <x:f>IF(Master!L776="","",Master!L776)</x:f>
        <x:v>No</x:v>
      </x:c>
      <x:c r="L20" s="77" t="str">
        <x:f>IF(Master!M776="","",Master!M776)</x:f>
        <x:v>No</x:v>
      </x:c>
      <x:c r="M20" s="77" t="str">
        <x:f>IF(Master!N776="","",Master!N776)</x:f>
        <x:v>No</x:v>
      </x:c>
      <x:c r="N20" s="77" t="str">
        <x:f>IF(Master!O776="","",Master!O776)</x:f>
        <x:v>No</x:v>
      </x:c>
      <x:c r="O20" s="77" t="str">
        <x:f>IF(Master!P776="","",Master!P776)</x:f>
        <x:v>Yes</x:v>
      </x:c>
      <x:c r="P20" s="77" t="str">
        <x:f>IF(Master!Q776="","",Master!Q776)</x:f>
        <x:v>No</x:v>
      </x:c>
      <x:c r="Q20" s="77" t="str">
        <x:f>IF(Master!R776="","",Master!R776)</x:f>
        <x:v>No</x:v>
      </x:c>
      <x:c r="R20" s="77" t="str">
        <x:f>IF(Master!S776="","",Master!S776)</x:f>
        <x:v>No</x:v>
      </x:c>
      <x:c r="S20" s="77" t="str">
        <x:f>IF(Master!T776="","",Master!T776)</x:f>
        <x:v>No</x:v>
      </x:c>
      <x:c r="T20" s="77" t="str">
        <x:f>IF(Master!U776="","",Master!U776)</x:f>
        <x:v>No</x:v>
      </x:c>
      <x:c r="U20" s="77" t="str">
        <x:f>IF(Master!V776="","",Master!V776)</x:f>
        <x:v>No</x:v>
      </x:c>
      <x:c r="V20" s="77" t="str">
        <x:f>IF(Master!W776="","",Master!W776)</x:f>
        <x:v>Yes</x:v>
      </x:c>
      <x:c r="W20" s="77" t="str">
        <x:f>IF(Master!X776="","",Master!X776)</x:f>
        <x:v>No</x:v>
      </x:c>
      <x:c r="X20" s="77" t="str">
        <x:f>IF(Master!Y776="","",Master!Y776)</x:f>
        <x:v>No</x:v>
      </x:c>
      <x:c r="Y20" s="77" t="str">
        <x:f>IF(Master!Z776="","",Master!Z776)</x:f>
        <x:v>No</x:v>
      </x:c>
      <x:c r="Z20" s="77" t="str">
        <x:f>IF(Master!AA776="","",Master!AA776)</x:f>
        <x:v>No</x:v>
      </x:c>
      <x:c r="AA20" s="77" t="str">
        <x:f>IF(Master!AB776="","",Master!AB776)</x:f>
        <x:v>No</x:v>
      </x:c>
      <x:c r="AB20" s="77" t="str">
        <x:f>IF(Master!AC776="","",Master!AC776)</x:f>
        <x:v>No</x:v>
      </x:c>
      <x:c r="AC20" s="77" t="str">
        <x:f>IF(Master!AD776="","",Master!AD776)</x:f>
        <x:v>No</x:v>
      </x:c>
      <x:c r="AD20" s="77" t="str">
        <x:f>IF(Master!AE776="","",Master!AE776)</x:f>
        <x:v>No</x:v>
      </x:c>
      <x:c r="AE20" s="77" t="str">
        <x:f>IF(Master!AF776="","",Master!AF776)</x:f>
        <x:v>No</x:v>
      </x:c>
      <x:c r="AF20" s="77" t="str">
        <x:f>IF(Master!AG776="","",Master!AG776)</x:f>
        <x:v>No</x:v>
      </x:c>
    </x:row>
    <x:row r="21" ht="28" customHeight="1">
      <x:c r="A21" s="73" t="str">
        <x:f>IF(Master!B777="","",Master!B777)</x:f>
        <x:v>Polish / Polski / Polski</x:v>
      </x:c>
      <x:c r="B21" s="77" t="str">
        <x:f>IF(Master!C777="","",Master!C777)</x:f>
        <x:v>Yes</x:v>
      </x:c>
      <x:c r="C21" s="77" t="str">
        <x:f>IF(Master!D777="","",Master!D777)</x:f>
        <x:v>No</x:v>
      </x:c>
      <x:c r="D21" s="77" t="str">
        <x:f>IF(Master!E777="","",Master!E777)</x:f>
        <x:v>No</x:v>
      </x:c>
      <x:c r="E21" s="77" t="str">
        <x:f>IF(Master!F777="","",Master!F777)</x:f>
        <x:v>No</x:v>
      </x:c>
      <x:c r="F21" s="77" t="str">
        <x:f>IF(Master!G777="","",Master!G777)</x:f>
        <x:v>No</x:v>
      </x:c>
      <x:c r="G21" s="77" t="str">
        <x:f>IF(Master!H777="","",Master!H777)</x:f>
        <x:v>Yes</x:v>
      </x:c>
      <x:c r="H21" s="77" t="str">
        <x:f>IF(Master!I777="","",Master!I777)</x:f>
        <x:v>No</x:v>
      </x:c>
      <x:c r="I21" s="77" t="str">
        <x:f>IF(Master!J777="","",Master!J777)</x:f>
        <x:v>No</x:v>
      </x:c>
      <x:c r="J21" s="77" t="str">
        <x:f>IF(Master!K777="","",Master!K777)</x:f>
        <x:v>No</x:v>
      </x:c>
      <x:c r="K21" s="77" t="str">
        <x:f>IF(Master!L777="","",Master!L777)</x:f>
        <x:v>No</x:v>
      </x:c>
      <x:c r="L21" s="77" t="str">
        <x:f>IF(Master!M777="","",Master!M777)</x:f>
        <x:v>No</x:v>
      </x:c>
      <x:c r="M21" s="77" t="str">
        <x:f>IF(Master!N777="","",Master!N777)</x:f>
        <x:v>No</x:v>
      </x:c>
      <x:c r="N21" s="77" t="str">
        <x:f>IF(Master!O777="","",Master!O777)</x:f>
        <x:v>Active translation</x:v>
      </x:c>
      <x:c r="O21" s="77" t="str">
        <x:f>IF(Master!P777="","",Master!P777)</x:f>
        <x:v>Yes</x:v>
      </x:c>
      <x:c r="P21" s="77" t="str">
        <x:f>IF(Master!Q777="","",Master!Q777)</x:f>
        <x:v>No</x:v>
      </x:c>
      <x:c r="Q21" s="77" t="str">
        <x:f>IF(Master!R777="","",Master!R777)</x:f>
        <x:v>No</x:v>
      </x:c>
      <x:c r="R21" s="77" t="str">
        <x:f>IF(Master!S777="","",Master!S777)</x:f>
        <x:v>No</x:v>
      </x:c>
      <x:c r="S21" s="77" t="str">
        <x:f>IF(Master!T777="","",Master!T777)</x:f>
        <x:v>No</x:v>
      </x:c>
      <x:c r="T21" s="77" t="str">
        <x:f>IF(Master!U777="","",Master!U777)</x:f>
        <x:v>No</x:v>
      </x:c>
      <x:c r="U21" s="77" t="str">
        <x:f>IF(Master!V777="","",Master!V777)</x:f>
        <x:v>No</x:v>
      </x:c>
      <x:c r="V21" s="77" t="str">
        <x:f>IF(Master!W777="","",Master!W777)</x:f>
        <x:v>Yes</x:v>
      </x:c>
      <x:c r="W21" s="77" t="str">
        <x:f>IF(Master!X777="","",Master!X777)</x:f>
        <x:v>No</x:v>
      </x:c>
      <x:c r="X21" s="77" t="str">
        <x:f>IF(Master!Y777="","",Master!Y777)</x:f>
        <x:v>No</x:v>
      </x:c>
      <x:c r="Y21" s="77" t="str">
        <x:f>IF(Master!Z777="","",Master!Z777)</x:f>
        <x:v>No</x:v>
      </x:c>
      <x:c r="Z21" s="77" t="str">
        <x:f>IF(Master!AA777="","",Master!AA777)</x:f>
        <x:v>No</x:v>
      </x:c>
      <x:c r="AA21" s="77" t="str">
        <x:f>IF(Master!AB777="","",Master!AB777)</x:f>
        <x:v>No</x:v>
      </x:c>
      <x:c r="AB21" s="77" t="str">
        <x:f>IF(Master!AC777="","",Master!AC777)</x:f>
        <x:v>No</x:v>
      </x:c>
      <x:c r="AC21" s="77" t="str">
        <x:f>IF(Master!AD777="","",Master!AD777)</x:f>
        <x:v>No</x:v>
      </x:c>
      <x:c r="AD21" s="77" t="str">
        <x:f>IF(Master!AE777="","",Master!AE777)</x:f>
        <x:v>No</x:v>
      </x:c>
      <x:c r="AE21" s="77" t="str">
        <x:f>IF(Master!AF777="","",Master!AF777)</x:f>
        <x:v>No</x:v>
      </x:c>
      <x:c r="AF21" s="77" t="str">
        <x:f>IF(Master!AG777="","",Master!AG777)</x:f>
        <x:v>No</x:v>
      </x:c>
    </x:row>
    <x:row r="22" ht="28" customHeight="1">
      <x:c r="A22" s="73" t="str">
        <x:f>IF(Master!B778="","",Master!B778)</x:f>
        <x:v>Ukrainian / Ukrainska / Українська</x:v>
      </x:c>
      <x:c r="B22" s="77" t="str">
        <x:f>IF(Master!C778="","",Master!C778)</x:f>
        <x:v>Yes</x:v>
      </x:c>
      <x:c r="C22" s="77" t="str">
        <x:f>IF(Master!D778="","",Master!D778)</x:f>
        <x:v>No</x:v>
      </x:c>
      <x:c r="D22" s="77" t="str">
        <x:f>IF(Master!E778="","",Master!E778)</x:f>
        <x:v>No</x:v>
      </x:c>
      <x:c r="E22" s="77" t="str">
        <x:f>IF(Master!F778="","",Master!F778)</x:f>
        <x:v>No</x:v>
      </x:c>
      <x:c r="F22" s="77" t="str">
        <x:f>IF(Master!G778="","",Master!G778)</x:f>
        <x:v>No</x:v>
      </x:c>
      <x:c r="G22" s="77" t="str">
        <x:f>IF(Master!H778="","",Master!H778)</x:f>
        <x:v>Yes</x:v>
      </x:c>
      <x:c r="H22" s="77" t="str">
        <x:f>IF(Master!I778="","",Master!I778)</x:f>
        <x:v>No</x:v>
      </x:c>
      <x:c r="I22" s="77" t="str">
        <x:f>IF(Master!J778="","",Master!J778)</x:f>
        <x:v>No</x:v>
      </x:c>
      <x:c r="J22" s="77" t="str">
        <x:f>IF(Master!K778="","",Master!K778)</x:f>
        <x:v>No</x:v>
      </x:c>
      <x:c r="K22" s="77" t="str">
        <x:f>IF(Master!L778="","",Master!L778)</x:f>
        <x:v>No</x:v>
      </x:c>
      <x:c r="L22" s="77" t="str">
        <x:f>IF(Master!M778="","",Master!M778)</x:f>
        <x:v>No</x:v>
      </x:c>
      <x:c r="M22" s="77" t="str">
        <x:f>IF(Master!N778="","",Master!N778)</x:f>
        <x:v>No</x:v>
      </x:c>
      <x:c r="N22" s="77" t="str">
        <x:f>IF(Master!O778="","",Master!O778)</x:f>
        <x:v>Active translation</x:v>
      </x:c>
      <x:c r="O22" s="77" t="str">
        <x:f>IF(Master!P778="","",Master!P778)</x:f>
        <x:v>Yes</x:v>
      </x:c>
      <x:c r="P22" s="77" t="str">
        <x:f>IF(Master!Q778="","",Master!Q778)</x:f>
        <x:v>No</x:v>
      </x:c>
      <x:c r="Q22" s="77" t="str">
        <x:f>IF(Master!R778="","",Master!R778)</x:f>
        <x:v>No</x:v>
      </x:c>
      <x:c r="R22" s="77" t="str">
        <x:f>IF(Master!S778="","",Master!S778)</x:f>
        <x:v>No</x:v>
      </x:c>
      <x:c r="S22" s="77" t="str">
        <x:f>IF(Master!T778="","",Master!T778)</x:f>
        <x:v>No</x:v>
      </x:c>
      <x:c r="T22" s="77" t="str">
        <x:f>IF(Master!U778="","",Master!U778)</x:f>
        <x:v>No</x:v>
      </x:c>
      <x:c r="U22" s="77" t="str">
        <x:f>IF(Master!V778="","",Master!V778)</x:f>
        <x:v>No</x:v>
      </x:c>
      <x:c r="V22" s="77" t="str">
        <x:f>IF(Master!W778="","",Master!W778)</x:f>
        <x:v>Yes</x:v>
      </x:c>
      <x:c r="W22" s="77" t="str">
        <x:f>IF(Master!X778="","",Master!X778)</x:f>
        <x:v>No</x:v>
      </x:c>
      <x:c r="X22" s="77" t="str">
        <x:f>IF(Master!Y778="","",Master!Y778)</x:f>
        <x:v>No</x:v>
      </x:c>
      <x:c r="Y22" s="77" t="str">
        <x:f>IF(Master!Z778="","",Master!Z778)</x:f>
        <x:v>No</x:v>
      </x:c>
      <x:c r="Z22" s="77" t="str">
        <x:f>IF(Master!AA778="","",Master!AA778)</x:f>
        <x:v>No</x:v>
      </x:c>
      <x:c r="AA22" s="77" t="str">
        <x:f>IF(Master!AB778="","",Master!AB778)</x:f>
        <x:v>No</x:v>
      </x:c>
      <x:c r="AB22" s="77" t="str">
        <x:f>IF(Master!AC778="","",Master!AC778)</x:f>
        <x:v>No</x:v>
      </x:c>
      <x:c r="AC22" s="77" t="str">
        <x:f>IF(Master!AD778="","",Master!AD778)</x:f>
        <x:v>No</x:v>
      </x:c>
      <x:c r="AD22" s="77" t="str">
        <x:f>IF(Master!AE778="","",Master!AE778)</x:f>
        <x:v>No</x:v>
      </x:c>
      <x:c r="AE22" s="77" t="str">
        <x:f>IF(Master!AF778="","",Master!AF778)</x:f>
        <x:v>No</x:v>
      </x:c>
      <x:c r="AF22" s="77" t="str">
        <x:f>IF(Master!AG778="","",Master!AG778)</x:f>
        <x:v>No</x:v>
      </x:c>
    </x:row>
    <x:row r="23" ht="28" customHeight="1">
      <x:c r="A23" s="73" t="str">
        <x:f>IF(Master!B779="","",Master!B779)</x:f>
        <x:v>Dutch / Nederlands / Nederlands</x:v>
      </x:c>
      <x:c r="B23" s="77" t="str">
        <x:f>IF(Master!C779="","",Master!C779)</x:f>
        <x:v>Yes</x:v>
      </x:c>
      <x:c r="C23" s="77" t="str">
        <x:f>IF(Master!D779="","",Master!D779)</x:f>
        <x:v>No</x:v>
      </x:c>
      <x:c r="D23" s="77" t="str">
        <x:f>IF(Master!E779="","",Master!E779)</x:f>
        <x:v>No</x:v>
      </x:c>
      <x:c r="E23" s="77" t="str">
        <x:f>IF(Master!F779="","",Master!F779)</x:f>
        <x:v>No</x:v>
      </x:c>
      <x:c r="F23" s="77" t="str">
        <x:f>IF(Master!G779="","",Master!G779)</x:f>
        <x:v>No</x:v>
      </x:c>
      <x:c r="G23" s="77" t="str">
        <x:f>IF(Master!H779="","",Master!H779)</x:f>
        <x:v>Yes</x:v>
      </x:c>
      <x:c r="H23" s="77" t="str">
        <x:f>IF(Master!I779="","",Master!I779)</x:f>
        <x:v>No</x:v>
      </x:c>
      <x:c r="I23" s="77" t="str">
        <x:f>IF(Master!J779="","",Master!J779)</x:f>
        <x:v>No</x:v>
      </x:c>
      <x:c r="J23" s="77" t="str">
        <x:f>IF(Master!K779="","",Master!K779)</x:f>
        <x:v>No</x:v>
      </x:c>
      <x:c r="K23" s="77" t="str">
        <x:f>IF(Master!L779="","",Master!L779)</x:f>
        <x:v>No</x:v>
      </x:c>
      <x:c r="L23" s="77" t="str">
        <x:f>IF(Master!M779="","",Master!M779)</x:f>
        <x:v>No</x:v>
      </x:c>
      <x:c r="M23" s="77" t="str">
        <x:f>IF(Master!N779="","",Master!N779)</x:f>
        <x:v>No</x:v>
      </x:c>
      <x:c r="N23" s="77" t="str">
        <x:f>IF(Master!O779="","",Master!O779)</x:f>
        <x:v>Active translation</x:v>
      </x:c>
      <x:c r="O23" s="77" t="str">
        <x:f>IF(Master!P779="","",Master!P779)</x:f>
        <x:v>Yes</x:v>
      </x:c>
      <x:c r="P23" s="77" t="str">
        <x:f>IF(Master!Q779="","",Master!Q779)</x:f>
        <x:v>No</x:v>
      </x:c>
      <x:c r="Q23" s="77" t="str">
        <x:f>IF(Master!R779="","",Master!R779)</x:f>
        <x:v>No</x:v>
      </x:c>
      <x:c r="R23" s="77" t="str">
        <x:f>IF(Master!S779="","",Master!S779)</x:f>
        <x:v>No</x:v>
      </x:c>
      <x:c r="S23" s="77" t="str">
        <x:f>IF(Master!T779="","",Master!T779)</x:f>
        <x:v>No</x:v>
      </x:c>
      <x:c r="T23" s="77" t="str">
        <x:f>IF(Master!U779="","",Master!U779)</x:f>
        <x:v>No</x:v>
      </x:c>
      <x:c r="U23" s="77" t="str">
        <x:f>IF(Master!V779="","",Master!V779)</x:f>
        <x:v>No</x:v>
      </x:c>
      <x:c r="V23" s="77" t="str">
        <x:f>IF(Master!W779="","",Master!W779)</x:f>
        <x:v>Yes</x:v>
      </x:c>
      <x:c r="W23" s="77" t="str">
        <x:f>IF(Master!X779="","",Master!X779)</x:f>
        <x:v>No</x:v>
      </x:c>
      <x:c r="X23" s="77" t="str">
        <x:f>IF(Master!Y779="","",Master!Y779)</x:f>
        <x:v>No</x:v>
      </x:c>
      <x:c r="Y23" s="77" t="str">
        <x:f>IF(Master!Z779="","",Master!Z779)</x:f>
        <x:v>No</x:v>
      </x:c>
      <x:c r="Z23" s="77" t="str">
        <x:f>IF(Master!AA779="","",Master!AA779)</x:f>
        <x:v>No</x:v>
      </x:c>
      <x:c r="AA23" s="77" t="str">
        <x:f>IF(Master!AB779="","",Master!AB779)</x:f>
        <x:v>No</x:v>
      </x:c>
      <x:c r="AB23" s="77" t="str">
        <x:f>IF(Master!AC779="","",Master!AC779)</x:f>
        <x:v>No</x:v>
      </x:c>
      <x:c r="AC23" s="77" t="str">
        <x:f>IF(Master!AD779="","",Master!AD779)</x:f>
        <x:v>No</x:v>
      </x:c>
      <x:c r="AD23" s="77" t="str">
        <x:f>IF(Master!AE779="","",Master!AE779)</x:f>
        <x:v>No</x:v>
      </x:c>
      <x:c r="AE23" s="77" t="str">
        <x:f>IF(Master!AF779="","",Master!AF779)</x:f>
        <x:v>No</x:v>
      </x:c>
      <x:c r="AF23" s="77" t="str">
        <x:f>IF(Master!AG779="","",Master!AG779)</x:f>
        <x:v>No</x:v>
      </x:c>
    </x:row>
    <x:row r="24" ht="28" customHeight="1">
      <x:c r="A24" s="73" t="str">
        <x:f>IF(Master!B780="","",Master!B780)</x:f>
        <x:v>Thai / Phasa Thai / ภาษาไทย</x:v>
      </x:c>
      <x:c r="B24" s="77" t="str">
        <x:f>IF(Master!C780="","",Master!C780)</x:f>
        <x:v>Yes</x:v>
      </x:c>
      <x:c r="C24" s="77" t="str">
        <x:f>IF(Master!D780="","",Master!D780)</x:f>
        <x:v>No</x:v>
      </x:c>
      <x:c r="D24" s="77" t="str">
        <x:f>IF(Master!E780="","",Master!E780)</x:f>
        <x:v>No</x:v>
      </x:c>
      <x:c r="E24" s="77" t="str">
        <x:f>IF(Master!F780="","",Master!F780)</x:f>
        <x:v>No</x:v>
      </x:c>
      <x:c r="F24" s="77" t="str">
        <x:f>IF(Master!G780="","",Master!G780)</x:f>
        <x:v>No</x:v>
      </x:c>
      <x:c r="G24" s="77" t="str">
        <x:f>IF(Master!H780="","",Master!H780)</x:f>
        <x:v>Yes</x:v>
      </x:c>
      <x:c r="H24" s="77" t="str">
        <x:f>IF(Master!I780="","",Master!I780)</x:f>
        <x:v>No</x:v>
      </x:c>
      <x:c r="I24" s="77" t="str">
        <x:f>IF(Master!J780="","",Master!J780)</x:f>
        <x:v>No</x:v>
      </x:c>
      <x:c r="J24" s="77" t="str">
        <x:f>IF(Master!K780="","",Master!K780)</x:f>
        <x:v>No</x:v>
      </x:c>
      <x:c r="K24" s="77" t="str">
        <x:f>IF(Master!L780="","",Master!L780)</x:f>
        <x:v>No</x:v>
      </x:c>
      <x:c r="L24" s="77" t="str">
        <x:f>IF(Master!M780="","",Master!M780)</x:f>
        <x:v>No</x:v>
      </x:c>
      <x:c r="M24" s="77" t="str">
        <x:f>IF(Master!N780="","",Master!N780)</x:f>
        <x:v>No</x:v>
      </x:c>
      <x:c r="N24" s="77" t="str">
        <x:f>IF(Master!O780="","",Master!O780)</x:f>
        <x:v>Active translation</x:v>
      </x:c>
      <x:c r="O24" s="77" t="str">
        <x:f>IF(Master!P780="","",Master!P780)</x:f>
        <x:v>No</x:v>
      </x:c>
      <x:c r="P24" s="77" t="str">
        <x:f>IF(Master!Q780="","",Master!Q780)</x:f>
        <x:v>No</x:v>
      </x:c>
      <x:c r="Q24" s="77" t="str">
        <x:f>IF(Master!R780="","",Master!R780)</x:f>
        <x:v>No</x:v>
      </x:c>
      <x:c r="R24" s="77" t="str">
        <x:f>IF(Master!S780="","",Master!S780)</x:f>
        <x:v>No</x:v>
      </x:c>
      <x:c r="S24" s="77" t="str">
        <x:f>IF(Master!T780="","",Master!T780)</x:f>
        <x:v>No</x:v>
      </x:c>
      <x:c r="T24" s="77" t="str">
        <x:f>IF(Master!U780="","",Master!U780)</x:f>
        <x:v>No</x:v>
      </x:c>
      <x:c r="U24" s="77" t="str">
        <x:f>IF(Master!V780="","",Master!V780)</x:f>
        <x:v>No</x:v>
      </x:c>
      <x:c r="V24" s="77" t="str">
        <x:f>IF(Master!W780="","",Master!W780)</x:f>
        <x:v>Yes</x:v>
      </x:c>
      <x:c r="W24" s="77" t="str">
        <x:f>IF(Master!X780="","",Master!X780)</x:f>
        <x:v>No</x:v>
      </x:c>
      <x:c r="X24" s="77" t="str">
        <x:f>IF(Master!Y780="","",Master!Y780)</x:f>
        <x:v>No</x:v>
      </x:c>
      <x:c r="Y24" s="77" t="str">
        <x:f>IF(Master!Z780="","",Master!Z780)</x:f>
        <x:v>No</x:v>
      </x:c>
      <x:c r="Z24" s="77" t="str">
        <x:f>IF(Master!AA780="","",Master!AA780)</x:f>
        <x:v>No</x:v>
      </x:c>
      <x:c r="AA24" s="77" t="str">
        <x:f>IF(Master!AB780="","",Master!AB780)</x:f>
        <x:v>No</x:v>
      </x:c>
      <x:c r="AB24" s="77" t="str">
        <x:f>IF(Master!AC780="","",Master!AC780)</x:f>
        <x:v>No</x:v>
      </x:c>
      <x:c r="AC24" s="77" t="str">
        <x:f>IF(Master!AD780="","",Master!AD780)</x:f>
        <x:v>No</x:v>
      </x:c>
      <x:c r="AD24" s="77" t="str">
        <x:f>IF(Master!AE780="","",Master!AE780)</x:f>
        <x:v>No</x:v>
      </x:c>
      <x:c r="AE24" s="77" t="str">
        <x:f>IF(Master!AF780="","",Master!AF780)</x:f>
        <x:v>No</x:v>
      </x:c>
      <x:c r="AF24" s="77" t="str">
        <x:f>IF(Master!AG780="","",Master!AG780)</x:f>
        <x:v>No</x:v>
      </x:c>
    </x:row>
    <x:row r="25" ht="28" customHeight="1">
      <x:c r="A25" s="73" t="str">
        <x:f>IF(Master!B781="","",Master!B781)</x:f>
        <x:v>Swedish / Svenska / Svenska</x:v>
      </x:c>
      <x:c r="B25" s="77" t="str">
        <x:f>IF(Master!C781="","",Master!C781)</x:f>
        <x:v>Yes</x:v>
      </x:c>
      <x:c r="C25" s="77" t="str">
        <x:f>IF(Master!D781="","",Master!D781)</x:f>
        <x:v>No</x:v>
      </x:c>
      <x:c r="D25" s="77" t="str">
        <x:f>IF(Master!E781="","",Master!E781)</x:f>
        <x:v>No</x:v>
      </x:c>
      <x:c r="E25" s="77" t="str">
        <x:f>IF(Master!F781="","",Master!F781)</x:f>
        <x:v>No</x:v>
      </x:c>
      <x:c r="F25" s="77" t="str">
        <x:f>IF(Master!G781="","",Master!G781)</x:f>
        <x:v>No</x:v>
      </x:c>
      <x:c r="G25" s="77" t="str">
        <x:f>IF(Master!H781="","",Master!H781)</x:f>
        <x:v>Yes</x:v>
      </x:c>
      <x:c r="H25" s="77" t="str">
        <x:f>IF(Master!I781="","",Master!I781)</x:f>
        <x:v>No</x:v>
      </x:c>
      <x:c r="I25" s="77" t="str">
        <x:f>IF(Master!J781="","",Master!J781)</x:f>
        <x:v>No</x:v>
      </x:c>
      <x:c r="J25" s="77" t="str">
        <x:f>IF(Master!K781="","",Master!K781)</x:f>
        <x:v>No</x:v>
      </x:c>
      <x:c r="K25" s="77" t="str">
        <x:f>IF(Master!L781="","",Master!L781)</x:f>
        <x:v>No</x:v>
      </x:c>
      <x:c r="L25" s="77" t="str">
        <x:f>IF(Master!M781="","",Master!M781)</x:f>
        <x:v>No</x:v>
      </x:c>
      <x:c r="M25" s="77" t="str">
        <x:f>IF(Master!N781="","",Master!N781)</x:f>
        <x:v>No</x:v>
      </x:c>
      <x:c r="N25" s="77" t="str">
        <x:f>IF(Master!O781="","",Master!O781)</x:f>
        <x:v>Active translation</x:v>
      </x:c>
      <x:c r="O25" s="77" t="str">
        <x:f>IF(Master!P781="","",Master!P781)</x:f>
        <x:v>Yes</x:v>
      </x:c>
      <x:c r="P25" s="77" t="str">
        <x:f>IF(Master!Q781="","",Master!Q781)</x:f>
        <x:v>No</x:v>
      </x:c>
      <x:c r="Q25" s="77" t="str">
        <x:f>IF(Master!R781="","",Master!R781)</x:f>
        <x:v>No</x:v>
      </x:c>
      <x:c r="R25" s="77" t="str">
        <x:f>IF(Master!S781="","",Master!S781)</x:f>
        <x:v>No</x:v>
      </x:c>
      <x:c r="S25" s="77" t="str">
        <x:f>IF(Master!T781="","",Master!T781)</x:f>
        <x:v>No</x:v>
      </x:c>
      <x:c r="T25" s="77" t="str">
        <x:f>IF(Master!U781="","",Master!U781)</x:f>
        <x:v>No</x:v>
      </x:c>
      <x:c r="U25" s="77" t="str">
        <x:f>IF(Master!V781="","",Master!V781)</x:f>
        <x:v>No</x:v>
      </x:c>
      <x:c r="V25" s="77" t="str">
        <x:f>IF(Master!W781="","",Master!W781)</x:f>
        <x:v>Yes</x:v>
      </x:c>
      <x:c r="W25" s="77" t="str">
        <x:f>IF(Master!X781="","",Master!X781)</x:f>
        <x:v>No</x:v>
      </x:c>
      <x:c r="X25" s="77" t="str">
        <x:f>IF(Master!Y781="","",Master!Y781)</x:f>
        <x:v>No</x:v>
      </x:c>
      <x:c r="Y25" s="77" t="str">
        <x:f>IF(Master!Z781="","",Master!Z781)</x:f>
        <x:v>No</x:v>
      </x:c>
      <x:c r="Z25" s="77" t="str">
        <x:f>IF(Master!AA781="","",Master!AA781)</x:f>
        <x:v>No</x:v>
      </x:c>
      <x:c r="AA25" s="77" t="str">
        <x:f>IF(Master!AB781="","",Master!AB781)</x:f>
        <x:v>No</x:v>
      </x:c>
      <x:c r="AB25" s="77" t="str">
        <x:f>IF(Master!AC781="","",Master!AC781)</x:f>
        <x:v>No</x:v>
      </x:c>
      <x:c r="AC25" s="77" t="str">
        <x:f>IF(Master!AD781="","",Master!AD781)</x:f>
        <x:v>No</x:v>
      </x:c>
      <x:c r="AD25" s="77" t="str">
        <x:f>IF(Master!AE781="","",Master!AE781)</x:f>
        <x:v>No</x:v>
      </x:c>
      <x:c r="AE25" s="77" t="str">
        <x:f>IF(Master!AF781="","",Master!AF781)</x:f>
        <x:v>No</x:v>
      </x:c>
      <x:c r="AF25" s="77" t="str">
        <x:f>IF(Master!AG781="","",Master!AG781)</x:f>
        <x:v>No</x:v>
      </x:c>
    </x:row>
    <x:row r="26" ht="28" customHeight="1">
      <x:c r="A26" s="73" t="str">
        <x:f>IF(Master!B782="","",Master!B782)</x:f>
        <x:v>Czech / Čeština / Čeština</x:v>
      </x:c>
      <x:c r="B26" s="77" t="str">
        <x:f>IF(Master!C782="","",Master!C782)</x:f>
        <x:v>Yes</x:v>
      </x:c>
      <x:c r="C26" s="77" t="str">
        <x:f>IF(Master!D782="","",Master!D782)</x:f>
        <x:v>No</x:v>
      </x:c>
      <x:c r="D26" s="77" t="str">
        <x:f>IF(Master!E782="","",Master!E782)</x:f>
        <x:v>No</x:v>
      </x:c>
      <x:c r="E26" s="77" t="str">
        <x:f>IF(Master!F782="","",Master!F782)</x:f>
        <x:v>No</x:v>
      </x:c>
      <x:c r="F26" s="77" t="str">
        <x:f>IF(Master!G782="","",Master!G782)</x:f>
        <x:v>No</x:v>
      </x:c>
      <x:c r="G26" s="77" t="str">
        <x:f>IF(Master!H782="","",Master!H782)</x:f>
        <x:v>Yes</x:v>
      </x:c>
      <x:c r="H26" s="77" t="str">
        <x:f>IF(Master!I782="","",Master!I782)</x:f>
        <x:v>No</x:v>
      </x:c>
      <x:c r="I26" s="77" t="str">
        <x:f>IF(Master!J782="","",Master!J782)</x:f>
        <x:v>No</x:v>
      </x:c>
      <x:c r="J26" s="77" t="str">
        <x:f>IF(Master!K782="","",Master!K782)</x:f>
        <x:v>No</x:v>
      </x:c>
      <x:c r="K26" s="77" t="str">
        <x:f>IF(Master!L782="","",Master!L782)</x:f>
        <x:v>No</x:v>
      </x:c>
      <x:c r="L26" s="77" t="str">
        <x:f>IF(Master!M782="","",Master!M782)</x:f>
        <x:v>No</x:v>
      </x:c>
      <x:c r="M26" s="77" t="str">
        <x:f>IF(Master!N782="","",Master!N782)</x:f>
        <x:v>No</x:v>
      </x:c>
      <x:c r="N26" s="77" t="str">
        <x:f>IF(Master!O782="","",Master!O782)</x:f>
        <x:v>Yes</x:v>
      </x:c>
      <x:c r="O26" s="77" t="str">
        <x:f>IF(Master!P782="","",Master!P782)</x:f>
        <x:v>No</x:v>
      </x:c>
      <x:c r="P26" s="77" t="str">
        <x:f>IF(Master!Q782="","",Master!Q782)</x:f>
        <x:v>No</x:v>
      </x:c>
      <x:c r="Q26" s="77" t="str">
        <x:f>IF(Master!R782="","",Master!R782)</x:f>
        <x:v>No</x:v>
      </x:c>
      <x:c r="R26" s="77" t="str">
        <x:f>IF(Master!S782="","",Master!S782)</x:f>
        <x:v>No</x:v>
      </x:c>
      <x:c r="S26" s="77" t="str">
        <x:f>IF(Master!T782="","",Master!T782)</x:f>
        <x:v>No</x:v>
      </x:c>
      <x:c r="T26" s="77" t="str">
        <x:f>IF(Master!U782="","",Master!U782)</x:f>
        <x:v>No</x:v>
      </x:c>
      <x:c r="U26" s="77" t="str">
        <x:f>IF(Master!V782="","",Master!V782)</x:f>
        <x:v>No</x:v>
      </x:c>
      <x:c r="V26" s="77" t="str">
        <x:f>IF(Master!W782="","",Master!W782)</x:f>
        <x:v>Yes</x:v>
      </x:c>
      <x:c r="W26" s="77" t="str">
        <x:f>IF(Master!X782="","",Master!X782)</x:f>
        <x:v>No</x:v>
      </x:c>
      <x:c r="X26" s="77" t="str">
        <x:f>IF(Master!Y782="","",Master!Y782)</x:f>
        <x:v>No</x:v>
      </x:c>
      <x:c r="Y26" s="77" t="str">
        <x:f>IF(Master!Z782="","",Master!Z782)</x:f>
        <x:v>No</x:v>
      </x:c>
      <x:c r="Z26" s="77" t="str">
        <x:f>IF(Master!AA782="","",Master!AA782)</x:f>
        <x:v>No</x:v>
      </x:c>
      <x:c r="AA26" s="77" t="str">
        <x:f>IF(Master!AB782="","",Master!AB782)</x:f>
        <x:v>No</x:v>
      </x:c>
      <x:c r="AB26" s="77" t="str">
        <x:f>IF(Master!AC782="","",Master!AC782)</x:f>
        <x:v>No</x:v>
      </x:c>
      <x:c r="AC26" s="77" t="str">
        <x:f>IF(Master!AD782="","",Master!AD782)</x:f>
        <x:v>No</x:v>
      </x:c>
      <x:c r="AD26" s="77" t="str">
        <x:f>IF(Master!AE782="","",Master!AE782)</x:f>
        <x:v>No</x:v>
      </x:c>
      <x:c r="AE26" s="77" t="str">
        <x:f>IF(Master!AF782="","",Master!AF782)</x:f>
        <x:v>No</x:v>
      </x:c>
      <x:c r="AF26" s="77" t="str">
        <x:f>IF(Master!AG782="","",Master!AG782)</x:f>
        <x:v>No</x:v>
      </x:c>
    </x:row>
    <x:row r="27" ht="28" customHeight="1">
      <x:c r="A27" s="73" t="str">
        <x:f>IF(Master!B783="","",Master!B783)</x:f>
        <x:v>Romanian / Română / Română</x:v>
      </x:c>
      <x:c r="B27" s="77" t="str">
        <x:f>IF(Master!C783="","",Master!C783)</x:f>
        <x:v>Yes</x:v>
      </x:c>
      <x:c r="C27" s="77" t="str">
        <x:f>IF(Master!D783="","",Master!D783)</x:f>
        <x:v>No</x:v>
      </x:c>
      <x:c r="D27" s="77" t="str">
        <x:f>IF(Master!E783="","",Master!E783)</x:f>
        <x:v>No</x:v>
      </x:c>
      <x:c r="E27" s="77" t="str">
        <x:f>IF(Master!F783="","",Master!F783)</x:f>
        <x:v>No</x:v>
      </x:c>
      <x:c r="F27" s="77" t="str">
        <x:f>IF(Master!G783="","",Master!G783)</x:f>
        <x:v>No</x:v>
      </x:c>
      <x:c r="G27" s="77" t="str">
        <x:f>IF(Master!H783="","",Master!H783)</x:f>
        <x:v>Yes</x:v>
      </x:c>
      <x:c r="H27" s="77" t="str">
        <x:f>IF(Master!I783="","",Master!I783)</x:f>
        <x:v>No</x:v>
      </x:c>
      <x:c r="I27" s="77" t="str">
        <x:f>IF(Master!J783="","",Master!J783)</x:f>
        <x:v>No</x:v>
      </x:c>
      <x:c r="J27" s="77" t="str">
        <x:f>IF(Master!K783="","",Master!K783)</x:f>
        <x:v>No</x:v>
      </x:c>
      <x:c r="K27" s="77" t="str">
        <x:f>IF(Master!L783="","",Master!L783)</x:f>
        <x:v>No</x:v>
      </x:c>
      <x:c r="L27" s="77" t="str">
        <x:f>IF(Master!M783="","",Master!M783)</x:f>
        <x:v>No</x:v>
      </x:c>
      <x:c r="M27" s="77" t="str">
        <x:f>IF(Master!N783="","",Master!N783)</x:f>
        <x:v>No</x:v>
      </x:c>
      <x:c r="N27" s="77" t="str">
        <x:f>IF(Master!O783="","",Master!O783)</x:f>
        <x:v>Active translation</x:v>
      </x:c>
      <x:c r="O27" s="77" t="str">
        <x:f>IF(Master!P783="","",Master!P783)</x:f>
        <x:v>Yes</x:v>
      </x:c>
      <x:c r="P27" s="77" t="str">
        <x:f>IF(Master!Q783="","",Master!Q783)</x:f>
        <x:v>No</x:v>
      </x:c>
      <x:c r="Q27" s="77" t="str">
        <x:f>IF(Master!R783="","",Master!R783)</x:f>
        <x:v>No</x:v>
      </x:c>
      <x:c r="R27" s="77" t="str">
        <x:f>IF(Master!S783="","",Master!S783)</x:f>
        <x:v>No</x:v>
      </x:c>
      <x:c r="S27" s="77" t="str">
        <x:f>IF(Master!T783="","",Master!T783)</x:f>
        <x:v>No</x:v>
      </x:c>
      <x:c r="T27" s="77" t="str">
        <x:f>IF(Master!U783="","",Master!U783)</x:f>
        <x:v>No</x:v>
      </x:c>
      <x:c r="U27" s="77" t="str">
        <x:f>IF(Master!V783="","",Master!V783)</x:f>
        <x:v>No</x:v>
      </x:c>
      <x:c r="V27" s="77" t="str">
        <x:f>IF(Master!W783="","",Master!W783)</x:f>
        <x:v>Yes</x:v>
      </x:c>
      <x:c r="W27" s="77" t="str">
        <x:f>IF(Master!X783="","",Master!X783)</x:f>
        <x:v>No</x:v>
      </x:c>
      <x:c r="X27" s="77" t="str">
        <x:f>IF(Master!Y783="","",Master!Y783)</x:f>
        <x:v>No</x:v>
      </x:c>
      <x:c r="Y27" s="77" t="str">
        <x:f>IF(Master!Z783="","",Master!Z783)</x:f>
        <x:v>No</x:v>
      </x:c>
      <x:c r="Z27" s="77" t="str">
        <x:f>IF(Master!AA783="","",Master!AA783)</x:f>
        <x:v>No</x:v>
      </x:c>
      <x:c r="AA27" s="77" t="str">
        <x:f>IF(Master!AB783="","",Master!AB783)</x:f>
        <x:v>No</x:v>
      </x:c>
      <x:c r="AB27" s="77" t="str">
        <x:f>IF(Master!AC783="","",Master!AC783)</x:f>
        <x:v>No</x:v>
      </x:c>
      <x:c r="AC27" s="77" t="str">
        <x:f>IF(Master!AD783="","",Master!AD783)</x:f>
        <x:v>No</x:v>
      </x:c>
      <x:c r="AD27" s="77" t="str">
        <x:f>IF(Master!AE783="","",Master!AE783)</x:f>
        <x:v>No</x:v>
      </x:c>
      <x:c r="AE27" s="77" t="str">
        <x:f>IF(Master!AF783="","",Master!AF783)</x:f>
        <x:v>No</x:v>
      </x:c>
      <x:c r="AF27" s="77" t="str">
        <x:f>IF(Master!AG783="","",Master!AG783)</x:f>
        <x:v>No</x:v>
      </x:c>
    </x:row>
    <x:row r="28" ht="28" customHeight="1">
      <x:c r="A28" s="73" t="str">
        <x:f>IF(Master!B784="","",Master!B784)</x:f>
        <x:v>Hungarian / Magyar / Magyar</x:v>
      </x:c>
      <x:c r="B28" s="77" t="str">
        <x:f>IF(Master!C784="","",Master!C784)</x:f>
        <x:v>Yes</x:v>
      </x:c>
      <x:c r="C28" s="77" t="str">
        <x:f>IF(Master!D784="","",Master!D784)</x:f>
        <x:v>No</x:v>
      </x:c>
      <x:c r="D28" s="77" t="str">
        <x:f>IF(Master!E784="","",Master!E784)</x:f>
        <x:v>No</x:v>
      </x:c>
      <x:c r="E28" s="77" t="str">
        <x:f>IF(Master!F784="","",Master!F784)</x:f>
        <x:v>No</x:v>
      </x:c>
      <x:c r="F28" s="77" t="str">
        <x:f>IF(Master!G784="","",Master!G784)</x:f>
        <x:v>No</x:v>
      </x:c>
      <x:c r="G28" s="77" t="str">
        <x:f>IF(Master!H784="","",Master!H784)</x:f>
        <x:v>Yes</x:v>
      </x:c>
      <x:c r="H28" s="77" t="str">
        <x:f>IF(Master!I784="","",Master!I784)</x:f>
        <x:v>No</x:v>
      </x:c>
      <x:c r="I28" s="77" t="str">
        <x:f>IF(Master!J784="","",Master!J784)</x:f>
        <x:v>No</x:v>
      </x:c>
      <x:c r="J28" s="77" t="str">
        <x:f>IF(Master!K784="","",Master!K784)</x:f>
        <x:v>No</x:v>
      </x:c>
      <x:c r="K28" s="77" t="str">
        <x:f>IF(Master!L784="","",Master!L784)</x:f>
        <x:v>No</x:v>
      </x:c>
      <x:c r="L28" s="77" t="str">
        <x:f>IF(Master!M784="","",Master!M784)</x:f>
        <x:v>No</x:v>
      </x:c>
      <x:c r="M28" s="77" t="str">
        <x:f>IF(Master!N784="","",Master!N784)</x:f>
        <x:v>No</x:v>
      </x:c>
      <x:c r="N28" s="77" t="str">
        <x:f>IF(Master!O784="","",Master!O784)</x:f>
        <x:v>Active translation</x:v>
      </x:c>
      <x:c r="O28" s="77" t="str">
        <x:f>IF(Master!P784="","",Master!P784)</x:f>
        <x:v>Yes</x:v>
      </x:c>
      <x:c r="P28" s="77" t="str">
        <x:f>IF(Master!Q784="","",Master!Q784)</x:f>
        <x:v>No</x:v>
      </x:c>
      <x:c r="Q28" s="77" t="str">
        <x:f>IF(Master!R784="","",Master!R784)</x:f>
        <x:v>No</x:v>
      </x:c>
      <x:c r="R28" s="77" t="str">
        <x:f>IF(Master!S784="","",Master!S784)</x:f>
        <x:v>No</x:v>
      </x:c>
      <x:c r="S28" s="77" t="str">
        <x:f>IF(Master!T784="","",Master!T784)</x:f>
        <x:v>No</x:v>
      </x:c>
      <x:c r="T28" s="77" t="str">
        <x:f>IF(Master!U784="","",Master!U784)</x:f>
        <x:v>No</x:v>
      </x:c>
      <x:c r="U28" s="77" t="str">
        <x:f>IF(Master!V784="","",Master!V784)</x:f>
        <x:v>No</x:v>
      </x:c>
      <x:c r="V28" s="77" t="str">
        <x:f>IF(Master!W784="","",Master!W784)</x:f>
        <x:v>Yes</x:v>
      </x:c>
      <x:c r="W28" s="77" t="str">
        <x:f>IF(Master!X784="","",Master!X784)</x:f>
        <x:v>No</x:v>
      </x:c>
      <x:c r="X28" s="77" t="str">
        <x:f>IF(Master!Y784="","",Master!Y784)</x:f>
        <x:v>No</x:v>
      </x:c>
      <x:c r="Y28" s="77" t="str">
        <x:f>IF(Master!Z784="","",Master!Z784)</x:f>
        <x:v>No</x:v>
      </x:c>
      <x:c r="Z28" s="77" t="str">
        <x:f>IF(Master!AA784="","",Master!AA784)</x:f>
        <x:v>No</x:v>
      </x:c>
      <x:c r="AA28" s="77" t="str">
        <x:f>IF(Master!AB784="","",Master!AB784)</x:f>
        <x:v>No</x:v>
      </x:c>
      <x:c r="AB28" s="77" t="str">
        <x:f>IF(Master!AC784="","",Master!AC784)</x:f>
        <x:v>No</x:v>
      </x:c>
      <x:c r="AC28" s="77" t="str">
        <x:f>IF(Master!AD784="","",Master!AD784)</x:f>
        <x:v>No</x:v>
      </x:c>
      <x:c r="AD28" s="77" t="str">
        <x:f>IF(Master!AE784="","",Master!AE784)</x:f>
        <x:v>No</x:v>
      </x:c>
      <x:c r="AE28" s="77" t="str">
        <x:f>IF(Master!AF784="","",Master!AF784)</x:f>
        <x:v>No</x:v>
      </x:c>
      <x:c r="AF28" s="77" t="str">
        <x:f>IF(Master!AG784="","",Master!AG784)</x:f>
        <x:v>No</x:v>
      </x:c>
    </x:row>
    <x:row r="29" ht="28" customHeight="1">
      <x:c r="A29" s="73" t="str">
        <x:f>IF(Master!B785="","",Master!B785)</x:f>
        <x:v>Greek / Ellinika / Ελληνικά</x:v>
      </x:c>
      <x:c r="B29" s="77" t="str">
        <x:f>IF(Master!C785="","",Master!C785)</x:f>
        <x:v>Yes</x:v>
      </x:c>
      <x:c r="C29" s="77" t="str">
        <x:f>IF(Master!D785="","",Master!D785)</x:f>
        <x:v>No</x:v>
      </x:c>
      <x:c r="D29" s="77" t="str">
        <x:f>IF(Master!E785="","",Master!E785)</x:f>
        <x:v>No</x:v>
      </x:c>
      <x:c r="E29" s="77" t="str">
        <x:f>IF(Master!F785="","",Master!F785)</x:f>
        <x:v>No</x:v>
      </x:c>
      <x:c r="F29" s="77" t="str">
        <x:f>IF(Master!G785="","",Master!G785)</x:f>
        <x:v>No</x:v>
      </x:c>
      <x:c r="G29" s="77" t="str">
        <x:f>IF(Master!H785="","",Master!H785)</x:f>
        <x:v>Yes</x:v>
      </x:c>
      <x:c r="H29" s="77" t="str">
        <x:f>IF(Master!I785="","",Master!I785)</x:f>
        <x:v>No</x:v>
      </x:c>
      <x:c r="I29" s="77" t="str">
        <x:f>IF(Master!J785="","",Master!J785)</x:f>
        <x:v>No</x:v>
      </x:c>
      <x:c r="J29" s="77" t="str">
        <x:f>IF(Master!K785="","",Master!K785)</x:f>
        <x:v>No</x:v>
      </x:c>
      <x:c r="K29" s="77" t="str">
        <x:f>IF(Master!L785="","",Master!L785)</x:f>
        <x:v>No</x:v>
      </x:c>
      <x:c r="L29" s="77" t="str">
        <x:f>IF(Master!M785="","",Master!M785)</x:f>
        <x:v>No</x:v>
      </x:c>
      <x:c r="M29" s="77" t="str">
        <x:f>IF(Master!N785="","",Master!N785)</x:f>
        <x:v>No</x:v>
      </x:c>
      <x:c r="N29" s="77" t="str">
        <x:f>IF(Master!O785="","",Master!O785)</x:f>
        <x:v>Active translation</x:v>
      </x:c>
      <x:c r="O29" s="77" t="str">
        <x:f>IF(Master!P785="","",Master!P785)</x:f>
        <x:v>No</x:v>
      </x:c>
      <x:c r="P29" s="77" t="str">
        <x:f>IF(Master!Q785="","",Master!Q785)</x:f>
        <x:v>No</x:v>
      </x:c>
      <x:c r="Q29" s="77" t="str">
        <x:f>IF(Master!R785="","",Master!R785)</x:f>
        <x:v>No</x:v>
      </x:c>
      <x:c r="R29" s="77" t="str">
        <x:f>IF(Master!S785="","",Master!S785)</x:f>
        <x:v>No</x:v>
      </x:c>
      <x:c r="S29" s="77" t="str">
        <x:f>IF(Master!T785="","",Master!T785)</x:f>
        <x:v>No</x:v>
      </x:c>
      <x:c r="T29" s="77" t="str">
        <x:f>IF(Master!U785="","",Master!U785)</x:f>
        <x:v>No</x:v>
      </x:c>
      <x:c r="U29" s="77" t="str">
        <x:f>IF(Master!V785="","",Master!V785)</x:f>
        <x:v>No</x:v>
      </x:c>
      <x:c r="V29" s="77" t="str">
        <x:f>IF(Master!W785="","",Master!W785)</x:f>
        <x:v>Yes</x:v>
      </x:c>
      <x:c r="W29" s="77" t="str">
        <x:f>IF(Master!X785="","",Master!X785)</x:f>
        <x:v>No</x:v>
      </x:c>
      <x:c r="X29" s="77" t="str">
        <x:f>IF(Master!Y785="","",Master!Y785)</x:f>
        <x:v>No</x:v>
      </x:c>
      <x:c r="Y29" s="77" t="str">
        <x:f>IF(Master!Z785="","",Master!Z785)</x:f>
        <x:v>No</x:v>
      </x:c>
      <x:c r="Z29" s="77" t="str">
        <x:f>IF(Master!AA785="","",Master!AA785)</x:f>
        <x:v>No</x:v>
      </x:c>
      <x:c r="AA29" s="77" t="str">
        <x:f>IF(Master!AB785="","",Master!AB785)</x:f>
        <x:v>No</x:v>
      </x:c>
      <x:c r="AB29" s="77" t="str">
        <x:f>IF(Master!AC785="","",Master!AC785)</x:f>
        <x:v>No</x:v>
      </x:c>
      <x:c r="AC29" s="77" t="str">
        <x:f>IF(Master!AD785="","",Master!AD785)</x:f>
        <x:v>No</x:v>
      </x:c>
      <x:c r="AD29" s="77" t="str">
        <x:f>IF(Master!AE785="","",Master!AE785)</x:f>
        <x:v>No</x:v>
      </x:c>
      <x:c r="AE29" s="77" t="str">
        <x:f>IF(Master!AF785="","",Master!AF785)</x:f>
        <x:v>No</x:v>
      </x:c>
      <x:c r="AF29" s="77" t="str">
        <x:f>IF(Master!AG785="","",Master!AG785)</x:f>
        <x:v>No</x:v>
      </x:c>
    </x:row>
    <x:row r="30" ht="28" customHeight="1">
      <x:c r="A30" s="73" t="str">
        <x:f>IF(Master!B786="","",Master!B786)</x:f>
        <x:v>Hebrew / Ivrit / עברית</x:v>
      </x:c>
      <x:c r="B30" s="77" t="str">
        <x:f>IF(Master!C786="","",Master!C786)</x:f>
        <x:v>No</x:v>
      </x:c>
      <x:c r="C30" s="77" t="str">
        <x:f>IF(Master!D786="","",Master!D786)</x:f>
        <x:v>No</x:v>
      </x:c>
      <x:c r="D30" s="77" t="str">
        <x:f>IF(Master!E786="","",Master!E786)</x:f>
        <x:v>No</x:v>
      </x:c>
      <x:c r="E30" s="77" t="str">
        <x:f>IF(Master!F786="","",Master!F786)</x:f>
        <x:v>No</x:v>
      </x:c>
      <x:c r="F30" s="77" t="str">
        <x:f>IF(Master!G786="","",Master!G786)</x:f>
        <x:v>No</x:v>
      </x:c>
      <x:c r="G30" s="77" t="str">
        <x:f>IF(Master!H786="","",Master!H786)</x:f>
        <x:v>Yes</x:v>
      </x:c>
      <x:c r="H30" s="77" t="str">
        <x:f>IF(Master!I786="","",Master!I786)</x:f>
        <x:v>No</x:v>
      </x:c>
      <x:c r="I30" s="77" t="str">
        <x:f>IF(Master!J786="","",Master!J786)</x:f>
        <x:v>No</x:v>
      </x:c>
      <x:c r="J30" s="77" t="str">
        <x:f>IF(Master!K786="","",Master!K786)</x:f>
        <x:v>No</x:v>
      </x:c>
      <x:c r="K30" s="77" t="str">
        <x:f>IF(Master!L786="","",Master!L786)</x:f>
        <x:v>No</x:v>
      </x:c>
      <x:c r="L30" s="77" t="str">
        <x:f>IF(Master!M786="","",Master!M786)</x:f>
        <x:v>No</x:v>
      </x:c>
      <x:c r="M30" s="77" t="str">
        <x:f>IF(Master!N786="","",Master!N786)</x:f>
        <x:v>No</x:v>
      </x:c>
      <x:c r="N30" s="77" t="str">
        <x:f>IF(Master!O786="","",Master!O786)</x:f>
        <x:v>Active translation</x:v>
      </x:c>
      <x:c r="O30" s="77" t="str">
        <x:f>IF(Master!P786="","",Master!P786)</x:f>
        <x:v>No</x:v>
      </x:c>
      <x:c r="P30" s="77" t="str">
        <x:f>IF(Master!Q786="","",Master!Q786)</x:f>
        <x:v>No</x:v>
      </x:c>
      <x:c r="Q30" s="77" t="str">
        <x:f>IF(Master!R786="","",Master!R786)</x:f>
        <x:v>No</x:v>
      </x:c>
      <x:c r="R30" s="77" t="str">
        <x:f>IF(Master!S786="","",Master!S786)</x:f>
        <x:v>No</x:v>
      </x:c>
      <x:c r="S30" s="77" t="str">
        <x:f>IF(Master!T786="","",Master!T786)</x:f>
        <x:v>No</x:v>
      </x:c>
      <x:c r="T30" s="77" t="str">
        <x:f>IF(Master!U786="","",Master!U786)</x:f>
        <x:v>No</x:v>
      </x:c>
      <x:c r="U30" s="77" t="str">
        <x:f>IF(Master!V786="","",Master!V786)</x:f>
        <x:v>No</x:v>
      </x:c>
      <x:c r="V30" s="77" t="str">
        <x:f>IF(Master!W786="","",Master!W786)</x:f>
        <x:v>Yes</x:v>
      </x:c>
      <x:c r="W30" s="77" t="str">
        <x:f>IF(Master!X786="","",Master!X786)</x:f>
        <x:v>No</x:v>
      </x:c>
      <x:c r="X30" s="77" t="str">
        <x:f>IF(Master!Y786="","",Master!Y786)</x:f>
        <x:v>No</x:v>
      </x:c>
      <x:c r="Y30" s="77" t="str">
        <x:f>IF(Master!Z786="","",Master!Z786)</x:f>
        <x:v>No</x:v>
      </x:c>
      <x:c r="Z30" s="77" t="str">
        <x:f>IF(Master!AA786="","",Master!AA786)</x:f>
        <x:v>No</x:v>
      </x:c>
      <x:c r="AA30" s="77" t="str">
        <x:f>IF(Master!AB786="","",Master!AB786)</x:f>
        <x:v>No</x:v>
      </x:c>
      <x:c r="AB30" s="77" t="str">
        <x:f>IF(Master!AC786="","",Master!AC786)</x:f>
        <x:v>No</x:v>
      </x:c>
      <x:c r="AC30" s="77" t="str">
        <x:f>IF(Master!AD786="","",Master!AD786)</x:f>
        <x:v>No</x:v>
      </x:c>
      <x:c r="AD30" s="77" t="str">
        <x:f>IF(Master!AE786="","",Master!AE786)</x:f>
        <x:v>No</x:v>
      </x:c>
      <x:c r="AE30" s="77" t="str">
        <x:f>IF(Master!AF786="","",Master!AF786)</x:f>
        <x:v>No</x:v>
      </x:c>
      <x:c r="AF30" s="77" t="str">
        <x:f>IF(Master!AG786="","",Master!AG786)</x:f>
        <x:v>No</x:v>
      </x:c>
    </x:row>
    <x:row r="31" ht="28" customHeight="1">
      <x:c r="A31" s="73" t="str">
        <x:f>IF(Master!B787="","",Master!B787)</x:f>
        <x:v>Danish / Dansk / Dansk</x:v>
      </x:c>
      <x:c r="B31" s="77" t="str">
        <x:f>IF(Master!C787="","",Master!C787)</x:f>
        <x:v>Yes</x:v>
      </x:c>
      <x:c r="C31" s="77" t="str">
        <x:f>IF(Master!D787="","",Master!D787)</x:f>
        <x:v>No</x:v>
      </x:c>
      <x:c r="D31" s="77" t="str">
        <x:f>IF(Master!E787="","",Master!E787)</x:f>
        <x:v>No</x:v>
      </x:c>
      <x:c r="E31" s="77" t="str">
        <x:f>IF(Master!F787="","",Master!F787)</x:f>
        <x:v>No</x:v>
      </x:c>
      <x:c r="F31" s="77" t="str">
        <x:f>IF(Master!G787="","",Master!G787)</x:f>
        <x:v>No</x:v>
      </x:c>
      <x:c r="G31" s="77" t="str">
        <x:f>IF(Master!H787="","",Master!H787)</x:f>
        <x:v>Yes</x:v>
      </x:c>
      <x:c r="H31" s="77" t="str">
        <x:f>IF(Master!I787="","",Master!I787)</x:f>
        <x:v>No</x:v>
      </x:c>
      <x:c r="I31" s="77" t="str">
        <x:f>IF(Master!J787="","",Master!J787)</x:f>
        <x:v>No</x:v>
      </x:c>
      <x:c r="J31" s="77" t="str">
        <x:f>IF(Master!K787="","",Master!K787)</x:f>
        <x:v>No</x:v>
      </x:c>
      <x:c r="K31" s="77" t="str">
        <x:f>IF(Master!L787="","",Master!L787)</x:f>
        <x:v>No</x:v>
      </x:c>
      <x:c r="L31" s="77" t="str">
        <x:f>IF(Master!M787="","",Master!M787)</x:f>
        <x:v>No</x:v>
      </x:c>
      <x:c r="M31" s="77" t="str">
        <x:f>IF(Master!N787="","",Master!N787)</x:f>
        <x:v>No</x:v>
      </x:c>
      <x:c r="N31" s="77" t="str">
        <x:f>IF(Master!O787="","",Master!O787)</x:f>
        <x:v>Active translation</x:v>
      </x:c>
      <x:c r="O31" s="77" t="str">
        <x:f>IF(Master!P787="","",Master!P787)</x:f>
        <x:v>No</x:v>
      </x:c>
      <x:c r="P31" s="77" t="str">
        <x:f>IF(Master!Q787="","",Master!Q787)</x:f>
        <x:v>No</x:v>
      </x:c>
      <x:c r="Q31" s="77" t="str">
        <x:f>IF(Master!R787="","",Master!R787)</x:f>
        <x:v>No</x:v>
      </x:c>
      <x:c r="R31" s="77" t="str">
        <x:f>IF(Master!S787="","",Master!S787)</x:f>
        <x:v>No</x:v>
      </x:c>
      <x:c r="S31" s="77" t="str">
        <x:f>IF(Master!T787="","",Master!T787)</x:f>
        <x:v>No</x:v>
      </x:c>
      <x:c r="T31" s="77" t="str">
        <x:f>IF(Master!U787="","",Master!U787)</x:f>
        <x:v>No</x:v>
      </x:c>
      <x:c r="U31" s="77" t="str">
        <x:f>IF(Master!V787="","",Master!V787)</x:f>
        <x:v>No</x:v>
      </x:c>
      <x:c r="V31" s="77" t="str">
        <x:f>IF(Master!W787="","",Master!W787)</x:f>
        <x:v>Yes</x:v>
      </x:c>
      <x:c r="W31" s="77" t="str">
        <x:f>IF(Master!X787="","",Master!X787)</x:f>
        <x:v>No</x:v>
      </x:c>
      <x:c r="X31" s="77" t="str">
        <x:f>IF(Master!Y787="","",Master!Y787)</x:f>
        <x:v>No</x:v>
      </x:c>
      <x:c r="Y31" s="77" t="str">
        <x:f>IF(Master!Z787="","",Master!Z787)</x:f>
        <x:v>No</x:v>
      </x:c>
      <x:c r="Z31" s="77" t="str">
        <x:f>IF(Master!AA787="","",Master!AA787)</x:f>
        <x:v>No</x:v>
      </x:c>
      <x:c r="AA31" s="77" t="str">
        <x:f>IF(Master!AB787="","",Master!AB787)</x:f>
        <x:v>No</x:v>
      </x:c>
      <x:c r="AB31" s="77" t="str">
        <x:f>IF(Master!AC787="","",Master!AC787)</x:f>
        <x:v>No</x:v>
      </x:c>
      <x:c r="AC31" s="77" t="str">
        <x:f>IF(Master!AD787="","",Master!AD787)</x:f>
        <x:v>No</x:v>
      </x:c>
      <x:c r="AD31" s="77" t="str">
        <x:f>IF(Master!AE787="","",Master!AE787)</x:f>
        <x:v>No</x:v>
      </x:c>
      <x:c r="AE31" s="77" t="str">
        <x:f>IF(Master!AF787="","",Master!AF787)</x:f>
        <x:v>No</x:v>
      </x:c>
      <x:c r="AF31" s="77" t="str">
        <x:f>IF(Master!AG787="","",Master!AG787)</x:f>
        <x:v>No</x:v>
      </x:c>
    </x:row>
    <x:row r="32" ht="28" customHeight="1">
      <x:c r="A32" s="73" t="str">
        <x:f>IF(Master!B788="","",Master!B788)</x:f>
        <x:v>Finnish / Suomi / Suomi</x:v>
      </x:c>
      <x:c r="B32" s="77" t="str">
        <x:f>IF(Master!C788="","",Master!C788)</x:f>
        <x:v>Yes</x:v>
      </x:c>
      <x:c r="C32" s="77" t="str">
        <x:f>IF(Master!D788="","",Master!D788)</x:f>
        <x:v>No</x:v>
      </x:c>
      <x:c r="D32" s="77" t="str">
        <x:f>IF(Master!E788="","",Master!E788)</x:f>
        <x:v>No</x:v>
      </x:c>
      <x:c r="E32" s="77" t="str">
        <x:f>IF(Master!F788="","",Master!F788)</x:f>
        <x:v>No</x:v>
      </x:c>
      <x:c r="F32" s="77" t="str">
        <x:f>IF(Master!G788="","",Master!G788)</x:f>
        <x:v>No</x:v>
      </x:c>
      <x:c r="G32" s="77" t="str">
        <x:f>IF(Master!H788="","",Master!H788)</x:f>
        <x:v>Yes</x:v>
      </x:c>
      <x:c r="H32" s="77" t="str">
        <x:f>IF(Master!I788="","",Master!I788)</x:f>
        <x:v>No</x:v>
      </x:c>
      <x:c r="I32" s="77" t="str">
        <x:f>IF(Master!J788="","",Master!J788)</x:f>
        <x:v>No</x:v>
      </x:c>
      <x:c r="J32" s="77" t="str">
        <x:f>IF(Master!K788="","",Master!K788)</x:f>
        <x:v>No</x:v>
      </x:c>
      <x:c r="K32" s="77" t="str">
        <x:f>IF(Master!L788="","",Master!L788)</x:f>
        <x:v>No</x:v>
      </x:c>
      <x:c r="L32" s="77" t="str">
        <x:f>IF(Master!M788="","",Master!M788)</x:f>
        <x:v>No</x:v>
      </x:c>
      <x:c r="M32" s="77" t="str">
        <x:f>IF(Master!N788="","",Master!N788)</x:f>
        <x:v>No</x:v>
      </x:c>
      <x:c r="N32" s="77" t="str">
        <x:f>IF(Master!O788="","",Master!O788)</x:f>
        <x:v>Active translation</x:v>
      </x:c>
      <x:c r="O32" s="77" t="str">
        <x:f>IF(Master!P788="","",Master!P788)</x:f>
        <x:v>No</x:v>
      </x:c>
      <x:c r="P32" s="77" t="str">
        <x:f>IF(Master!Q788="","",Master!Q788)</x:f>
        <x:v>No</x:v>
      </x:c>
      <x:c r="Q32" s="77" t="str">
        <x:f>IF(Master!R788="","",Master!R788)</x:f>
        <x:v>No</x:v>
      </x:c>
      <x:c r="R32" s="77" t="str">
        <x:f>IF(Master!S788="","",Master!S788)</x:f>
        <x:v>No</x:v>
      </x:c>
      <x:c r="S32" s="77" t="str">
        <x:f>IF(Master!T788="","",Master!T788)</x:f>
        <x:v>No</x:v>
      </x:c>
      <x:c r="T32" s="77" t="str">
        <x:f>IF(Master!U788="","",Master!U788)</x:f>
        <x:v>No</x:v>
      </x:c>
      <x:c r="U32" s="77" t="str">
        <x:f>IF(Master!V788="","",Master!V788)</x:f>
        <x:v>No</x:v>
      </x:c>
      <x:c r="V32" s="77" t="str">
        <x:f>IF(Master!W788="","",Master!W788)</x:f>
        <x:v>Yes</x:v>
      </x:c>
      <x:c r="W32" s="77" t="str">
        <x:f>IF(Master!X788="","",Master!X788)</x:f>
        <x:v>No</x:v>
      </x:c>
      <x:c r="X32" s="77" t="str">
        <x:f>IF(Master!Y788="","",Master!Y788)</x:f>
        <x:v>No</x:v>
      </x:c>
      <x:c r="Y32" s="77" t="str">
        <x:f>IF(Master!Z788="","",Master!Z788)</x:f>
        <x:v>No</x:v>
      </x:c>
      <x:c r="Z32" s="77" t="str">
        <x:f>IF(Master!AA788="","",Master!AA788)</x:f>
        <x:v>No</x:v>
      </x:c>
      <x:c r="AA32" s="77" t="str">
        <x:f>IF(Master!AB788="","",Master!AB788)</x:f>
        <x:v>No</x:v>
      </x:c>
      <x:c r="AB32" s="77" t="str">
        <x:f>IF(Master!AC788="","",Master!AC788)</x:f>
        <x:v>No</x:v>
      </x:c>
      <x:c r="AC32" s="77" t="str">
        <x:f>IF(Master!AD788="","",Master!AD788)</x:f>
        <x:v>No</x:v>
      </x:c>
      <x:c r="AD32" s="77" t="str">
        <x:f>IF(Master!AE788="","",Master!AE788)</x:f>
        <x:v>No</x:v>
      </x:c>
      <x:c r="AE32" s="77" t="str">
        <x:f>IF(Master!AF788="","",Master!AF788)</x:f>
        <x:v>No</x:v>
      </x:c>
      <x:c r="AF32" s="77" t="str">
        <x:f>IF(Master!AG788="","",Master!AG788)</x:f>
        <x:v>No</x:v>
      </x:c>
    </x:row>
    <x:row r="33" ht="28" customHeight="1">
      <x:c r="A33" s="73" t="str">
        <x:f>IF(Master!B789="","",Master!B789)</x:f>
        <x:v>Norwegian / Norsk / Norsk</x:v>
      </x:c>
      <x:c r="B33" s="77" t="str">
        <x:f>IF(Master!C789="","",Master!C789)</x:f>
        <x:v>Yes</x:v>
      </x:c>
      <x:c r="C33" s="77" t="str">
        <x:f>IF(Master!D789="","",Master!D789)</x:f>
        <x:v>No</x:v>
      </x:c>
      <x:c r="D33" s="77" t="str">
        <x:f>IF(Master!E789="","",Master!E789)</x:f>
        <x:v>No</x:v>
      </x:c>
      <x:c r="E33" s="77" t="str">
        <x:f>IF(Master!F789="","",Master!F789)</x:f>
        <x:v>No</x:v>
      </x:c>
      <x:c r="F33" s="77" t="str">
        <x:f>IF(Master!G789="","",Master!G789)</x:f>
        <x:v>No</x:v>
      </x:c>
      <x:c r="G33" s="77" t="str">
        <x:f>IF(Master!H789="","",Master!H789)</x:f>
        <x:v>Yes</x:v>
      </x:c>
      <x:c r="H33" s="77" t="str">
        <x:f>IF(Master!I789="","",Master!I789)</x:f>
        <x:v>No</x:v>
      </x:c>
      <x:c r="I33" s="77" t="str">
        <x:f>IF(Master!J789="","",Master!J789)</x:f>
        <x:v>No</x:v>
      </x:c>
      <x:c r="J33" s="77" t="str">
        <x:f>IF(Master!K789="","",Master!K789)</x:f>
        <x:v>No</x:v>
      </x:c>
      <x:c r="K33" s="77" t="str">
        <x:f>IF(Master!L789="","",Master!L789)</x:f>
        <x:v>No</x:v>
      </x:c>
      <x:c r="L33" s="77" t="str">
        <x:f>IF(Master!M789="","",Master!M789)</x:f>
        <x:v>No</x:v>
      </x:c>
      <x:c r="M33" s="77" t="str">
        <x:f>IF(Master!N789="","",Master!N789)</x:f>
        <x:v>No</x:v>
      </x:c>
      <x:c r="N33" s="77" t="str">
        <x:f>IF(Master!O789="","",Master!O789)</x:f>
        <x:v>Active translation</x:v>
      </x:c>
      <x:c r="O33" s="77" t="str">
        <x:f>IF(Master!P789="","",Master!P789)</x:f>
        <x:v>No</x:v>
      </x:c>
      <x:c r="P33" s="77" t="str">
        <x:f>IF(Master!Q789="","",Master!Q789)</x:f>
        <x:v>No</x:v>
      </x:c>
      <x:c r="Q33" s="77" t="str">
        <x:f>IF(Master!R789="","",Master!R789)</x:f>
        <x:v>No</x:v>
      </x:c>
      <x:c r="R33" s="77" t="str">
        <x:f>IF(Master!S789="","",Master!S789)</x:f>
        <x:v>No</x:v>
      </x:c>
      <x:c r="S33" s="77" t="str">
        <x:f>IF(Master!T789="","",Master!T789)</x:f>
        <x:v>No</x:v>
      </x:c>
      <x:c r="T33" s="77" t="str">
        <x:f>IF(Master!U789="","",Master!U789)</x:f>
        <x:v>No</x:v>
      </x:c>
      <x:c r="U33" s="77" t="str">
        <x:f>IF(Master!V789="","",Master!V789)</x:f>
        <x:v>No</x:v>
      </x:c>
      <x:c r="V33" s="77" t="str">
        <x:f>IF(Master!W789="","",Master!W789)</x:f>
        <x:v>Yes</x:v>
      </x:c>
      <x:c r="W33" s="77" t="str">
        <x:f>IF(Master!X789="","",Master!X789)</x:f>
        <x:v>No</x:v>
      </x:c>
      <x:c r="X33" s="77" t="str">
        <x:f>IF(Master!Y789="","",Master!Y789)</x:f>
        <x:v>No</x:v>
      </x:c>
      <x:c r="Y33" s="77" t="str">
        <x:f>IF(Master!Z789="","",Master!Z789)</x:f>
        <x:v>No</x:v>
      </x:c>
      <x:c r="Z33" s="77" t="str">
        <x:f>IF(Master!AA789="","",Master!AA789)</x:f>
        <x:v>No</x:v>
      </x:c>
      <x:c r="AA33" s="77" t="str">
        <x:f>IF(Master!AB789="","",Master!AB789)</x:f>
        <x:v>No</x:v>
      </x:c>
      <x:c r="AB33" s="77" t="str">
        <x:f>IF(Master!AC789="","",Master!AC789)</x:f>
        <x:v>No</x:v>
      </x:c>
      <x:c r="AC33" s="77" t="str">
        <x:f>IF(Master!AD789="","",Master!AD789)</x:f>
        <x:v>No</x:v>
      </x:c>
      <x:c r="AD33" s="77" t="str">
        <x:f>IF(Master!AE789="","",Master!AE789)</x:f>
        <x:v>No</x:v>
      </x:c>
      <x:c r="AE33" s="77" t="str">
        <x:f>IF(Master!AF789="","",Master!AF789)</x:f>
        <x:v>No</x:v>
      </x:c>
      <x:c r="AF33" s="77" t="str">
        <x:f>IF(Master!AG789="","",Master!AG789)</x:f>
        <x:v>No</x:v>
      </x:c>
    </x:row>
    <x:row r="34" ht="28" customHeight="1">
      <x:c r="A34" s="73" t="str">
        <x:f>IF(Master!B790="","",Master!B790)</x:f>
        <x:v>Bulgarian / Balgarski / Български</x:v>
      </x:c>
      <x:c r="B34" s="77" t="str">
        <x:f>IF(Master!C790="","",Master!C790)</x:f>
        <x:v>Yes</x:v>
      </x:c>
      <x:c r="C34" s="77" t="str">
        <x:f>IF(Master!D790="","",Master!D790)</x:f>
        <x:v>No</x:v>
      </x:c>
      <x:c r="D34" s="77" t="str">
        <x:f>IF(Master!E790="","",Master!E790)</x:f>
        <x:v>No</x:v>
      </x:c>
      <x:c r="E34" s="77" t="str">
        <x:f>IF(Master!F790="","",Master!F790)</x:f>
        <x:v>No</x:v>
      </x:c>
      <x:c r="F34" s="77" t="str">
        <x:f>IF(Master!G790="","",Master!G790)</x:f>
        <x:v>No</x:v>
      </x:c>
      <x:c r="G34" s="77" t="str">
        <x:f>IF(Master!H790="","",Master!H790)</x:f>
        <x:v>Yes</x:v>
      </x:c>
      <x:c r="H34" s="77" t="str">
        <x:f>IF(Master!I790="","",Master!I790)</x:f>
        <x:v>No</x:v>
      </x:c>
      <x:c r="I34" s="77" t="str">
        <x:f>IF(Master!J790="","",Master!J790)</x:f>
        <x:v>No</x:v>
      </x:c>
      <x:c r="J34" s="77" t="str">
        <x:f>IF(Master!K790="","",Master!K790)</x:f>
        <x:v>No</x:v>
      </x:c>
      <x:c r="K34" s="77" t="str">
        <x:f>IF(Master!L790="","",Master!L790)</x:f>
        <x:v>No</x:v>
      </x:c>
      <x:c r="L34" s="77" t="str">
        <x:f>IF(Master!M790="","",Master!M790)</x:f>
        <x:v>No</x:v>
      </x:c>
      <x:c r="M34" s="77" t="str">
        <x:f>IF(Master!N790="","",Master!N790)</x:f>
        <x:v>No</x:v>
      </x:c>
      <x:c r="N34" s="77" t="str">
        <x:f>IF(Master!O790="","",Master!O790)</x:f>
        <x:v>Active translation</x:v>
      </x:c>
      <x:c r="O34" s="77" t="str">
        <x:f>IF(Master!P790="","",Master!P790)</x:f>
        <x:v>Yes</x:v>
      </x:c>
      <x:c r="P34" s="77" t="str">
        <x:f>IF(Master!Q790="","",Master!Q790)</x:f>
        <x:v>No</x:v>
      </x:c>
      <x:c r="Q34" s="77" t="str">
        <x:f>IF(Master!R790="","",Master!R790)</x:f>
        <x:v>No</x:v>
      </x:c>
      <x:c r="R34" s="77" t="str">
        <x:f>IF(Master!S790="","",Master!S790)</x:f>
        <x:v>No</x:v>
      </x:c>
      <x:c r="S34" s="77" t="str">
        <x:f>IF(Master!T790="","",Master!T790)</x:f>
        <x:v>No</x:v>
      </x:c>
      <x:c r="T34" s="77" t="str">
        <x:f>IF(Master!U790="","",Master!U790)</x:f>
        <x:v>No</x:v>
      </x:c>
      <x:c r="U34" s="77" t="str">
        <x:f>IF(Master!V790="","",Master!V790)</x:f>
        <x:v>No</x:v>
      </x:c>
      <x:c r="V34" s="77" t="str">
        <x:f>IF(Master!W790="","",Master!W790)</x:f>
        <x:v>Yes</x:v>
      </x:c>
      <x:c r="W34" s="77" t="str">
        <x:f>IF(Master!X790="","",Master!X790)</x:f>
        <x:v>No</x:v>
      </x:c>
      <x:c r="X34" s="77" t="str">
        <x:f>IF(Master!Y790="","",Master!Y790)</x:f>
        <x:v>No</x:v>
      </x:c>
      <x:c r="Y34" s="77" t="str">
        <x:f>IF(Master!Z790="","",Master!Z790)</x:f>
        <x:v>No</x:v>
      </x:c>
      <x:c r="Z34" s="77" t="str">
        <x:f>IF(Master!AA790="","",Master!AA790)</x:f>
        <x:v>No</x:v>
      </x:c>
      <x:c r="AA34" s="77" t="str">
        <x:f>IF(Master!AB790="","",Master!AB790)</x:f>
        <x:v>No</x:v>
      </x:c>
      <x:c r="AB34" s="77" t="str">
        <x:f>IF(Master!AC790="","",Master!AC790)</x:f>
        <x:v>No</x:v>
      </x:c>
      <x:c r="AC34" s="77" t="str">
        <x:f>IF(Master!AD790="","",Master!AD790)</x:f>
        <x:v>No</x:v>
      </x:c>
      <x:c r="AD34" s="77" t="str">
        <x:f>IF(Master!AE790="","",Master!AE790)</x:f>
        <x:v>No</x:v>
      </x:c>
      <x:c r="AE34" s="77" t="str">
        <x:f>IF(Master!AF790="","",Master!AF790)</x:f>
        <x:v>No</x:v>
      </x:c>
      <x:c r="AF34" s="77" t="str">
        <x:f>IF(Master!AG790="","",Master!AG790)</x:f>
        <x:v>No</x:v>
      </x:c>
    </x:row>
    <x:row r="35" ht="28" customHeight="1">
      <x:c r="A35" s="73" t="str">
        <x:f>IF(Master!B791="","",Master!B791)</x:f>
        <x:v>Croatian / Hrvatski / Hrvatski</x:v>
      </x:c>
      <x:c r="B35" s="77" t="str">
        <x:f>IF(Master!C791="","",Master!C791)</x:f>
        <x:v>Yes</x:v>
      </x:c>
      <x:c r="C35" s="77" t="str">
        <x:f>IF(Master!D791="","",Master!D791)</x:f>
        <x:v>No</x:v>
      </x:c>
      <x:c r="D35" s="77" t="str">
        <x:f>IF(Master!E791="","",Master!E791)</x:f>
        <x:v>No</x:v>
      </x:c>
      <x:c r="E35" s="77" t="str">
        <x:f>IF(Master!F791="","",Master!F791)</x:f>
        <x:v>No</x:v>
      </x:c>
      <x:c r="F35" s="77" t="str">
        <x:f>IF(Master!G791="","",Master!G791)</x:f>
        <x:v>No</x:v>
      </x:c>
      <x:c r="G35" s="77" t="str">
        <x:f>IF(Master!H791="","",Master!H791)</x:f>
        <x:v>Yes</x:v>
      </x:c>
      <x:c r="H35" s="77" t="str">
        <x:f>IF(Master!I791="","",Master!I791)</x:f>
        <x:v>No</x:v>
      </x:c>
      <x:c r="I35" s="77" t="str">
        <x:f>IF(Master!J791="","",Master!J791)</x:f>
        <x:v>No</x:v>
      </x:c>
      <x:c r="J35" s="77" t="str">
        <x:f>IF(Master!K791="","",Master!K791)</x:f>
        <x:v>No</x:v>
      </x:c>
      <x:c r="K35" s="77" t="str">
        <x:f>IF(Master!L791="","",Master!L791)</x:f>
        <x:v>No</x:v>
      </x:c>
      <x:c r="L35" s="77" t="str">
        <x:f>IF(Master!M791="","",Master!M791)</x:f>
        <x:v>No</x:v>
      </x:c>
      <x:c r="M35" s="77" t="str">
        <x:f>IF(Master!N791="","",Master!N791)</x:f>
        <x:v>No</x:v>
      </x:c>
      <x:c r="N35" s="77" t="str">
        <x:f>IF(Master!O791="","",Master!O791)</x:f>
        <x:v>Active translation</x:v>
      </x:c>
      <x:c r="O35" s="77" t="str">
        <x:f>IF(Master!P791="","",Master!P791)</x:f>
        <x:v>No</x:v>
      </x:c>
      <x:c r="P35" s="77" t="str">
        <x:f>IF(Master!Q791="","",Master!Q791)</x:f>
        <x:v>No</x:v>
      </x:c>
      <x:c r="Q35" s="77" t="str">
        <x:f>IF(Master!R791="","",Master!R791)</x:f>
        <x:v>No</x:v>
      </x:c>
      <x:c r="R35" s="77" t="str">
        <x:f>IF(Master!S791="","",Master!S791)</x:f>
        <x:v>No</x:v>
      </x:c>
      <x:c r="S35" s="77" t="str">
        <x:f>IF(Master!T791="","",Master!T791)</x:f>
        <x:v>No</x:v>
      </x:c>
      <x:c r="T35" s="77" t="str">
        <x:f>IF(Master!U791="","",Master!U791)</x:f>
        <x:v>No</x:v>
      </x:c>
      <x:c r="U35" s="77" t="str">
        <x:f>IF(Master!V791="","",Master!V791)</x:f>
        <x:v>No</x:v>
      </x:c>
      <x:c r="V35" s="77" t="str">
        <x:f>IF(Master!W791="","",Master!W791)</x:f>
        <x:v>Yes</x:v>
      </x:c>
      <x:c r="W35" s="77" t="str">
        <x:f>IF(Master!X791="","",Master!X791)</x:f>
        <x:v>No</x:v>
      </x:c>
      <x:c r="X35" s="77" t="str">
        <x:f>IF(Master!Y791="","",Master!Y791)</x:f>
        <x:v>No</x:v>
      </x:c>
      <x:c r="Y35" s="77" t="str">
        <x:f>IF(Master!Z791="","",Master!Z791)</x:f>
        <x:v>No</x:v>
      </x:c>
      <x:c r="Z35" s="77" t="str">
        <x:f>IF(Master!AA791="","",Master!AA791)</x:f>
        <x:v>No</x:v>
      </x:c>
      <x:c r="AA35" s="77" t="str">
        <x:f>IF(Master!AB791="","",Master!AB791)</x:f>
        <x:v>No</x:v>
      </x:c>
      <x:c r="AB35" s="77" t="str">
        <x:f>IF(Master!AC791="","",Master!AC791)</x:f>
        <x:v>No</x:v>
      </x:c>
      <x:c r="AC35" s="77" t="str">
        <x:f>IF(Master!AD791="","",Master!AD791)</x:f>
        <x:v>No</x:v>
      </x:c>
      <x:c r="AD35" s="77" t="str">
        <x:f>IF(Master!AE791="","",Master!AE791)</x:f>
        <x:v>No</x:v>
      </x:c>
      <x:c r="AE35" s="77" t="str">
        <x:f>IF(Master!AF791="","",Master!AF791)</x:f>
        <x:v>No</x:v>
      </x:c>
      <x:c r="AF35" s="77" t="str">
        <x:f>IF(Master!AG791="","",Master!AG791)</x:f>
        <x:v>No</x:v>
      </x:c>
    </x:row>
    <x:row r="36" ht="28" customHeight="1">
      <x:c r="A36" s="73" t="str">
        <x:f>IF(Master!B792="","",Master!B792)</x:f>
        <x:v>Serbian / Srpski / Српски</x:v>
      </x:c>
      <x:c r="B36" s="77" t="str">
        <x:f>IF(Master!C792="","",Master!C792)</x:f>
        <x:v>No</x:v>
      </x:c>
      <x:c r="C36" s="77" t="str">
        <x:f>IF(Master!D792="","",Master!D792)</x:f>
        <x:v>No</x:v>
      </x:c>
      <x:c r="D36" s="77" t="str">
        <x:f>IF(Master!E792="","",Master!E792)</x:f>
        <x:v>No</x:v>
      </x:c>
      <x:c r="E36" s="77" t="str">
        <x:f>IF(Master!F792="","",Master!F792)</x:f>
        <x:v>No</x:v>
      </x:c>
      <x:c r="F36" s="77" t="str">
        <x:f>IF(Master!G792="","",Master!G792)</x:f>
        <x:v>No</x:v>
      </x:c>
      <x:c r="G36" s="77" t="str">
        <x:f>IF(Master!H792="","",Master!H792)</x:f>
        <x:v>No</x:v>
      </x:c>
      <x:c r="H36" s="77" t="str">
        <x:f>IF(Master!I792="","",Master!I792)</x:f>
        <x:v>No</x:v>
      </x:c>
      <x:c r="I36" s="77" t="str">
        <x:f>IF(Master!J792="","",Master!J792)</x:f>
        <x:v>No</x:v>
      </x:c>
      <x:c r="J36" s="77" t="str">
        <x:f>IF(Master!K792="","",Master!K792)</x:f>
        <x:v>No</x:v>
      </x:c>
      <x:c r="K36" s="77" t="str">
        <x:f>IF(Master!L792="","",Master!L792)</x:f>
        <x:v>No</x:v>
      </x:c>
      <x:c r="L36" s="77" t="str">
        <x:f>IF(Master!M792="","",Master!M792)</x:f>
        <x:v>No</x:v>
      </x:c>
      <x:c r="M36" s="77" t="str">
        <x:f>IF(Master!N792="","",Master!N792)</x:f>
        <x:v>No</x:v>
      </x:c>
      <x:c r="N36" s="77" t="str">
        <x:f>IF(Master!O792="","",Master!O792)</x:f>
        <x:v>Active translation</x:v>
      </x:c>
      <x:c r="O36" s="77" t="str">
        <x:f>IF(Master!P792="","",Master!P792)</x:f>
        <x:v>No</x:v>
      </x:c>
      <x:c r="P36" s="77" t="str">
        <x:f>IF(Master!Q792="","",Master!Q792)</x:f>
        <x:v>No</x:v>
      </x:c>
      <x:c r="Q36" s="77" t="str">
        <x:f>IF(Master!R792="","",Master!R792)</x:f>
        <x:v>No</x:v>
      </x:c>
      <x:c r="R36" s="77" t="str">
        <x:f>IF(Master!S792="","",Master!S792)</x:f>
        <x:v>No</x:v>
      </x:c>
      <x:c r="S36" s="77" t="str">
        <x:f>IF(Master!T792="","",Master!T792)</x:f>
        <x:v>No</x:v>
      </x:c>
      <x:c r="T36" s="77" t="str">
        <x:f>IF(Master!U792="","",Master!U792)</x:f>
        <x:v>No</x:v>
      </x:c>
      <x:c r="U36" s="77" t="str">
        <x:f>IF(Master!V792="","",Master!V792)</x:f>
        <x:v>No</x:v>
      </x:c>
      <x:c r="V36" s="77" t="str">
        <x:f>IF(Master!W792="","",Master!W792)</x:f>
        <x:v>Yes</x:v>
      </x:c>
      <x:c r="W36" s="77" t="str">
        <x:f>IF(Master!X792="","",Master!X792)</x:f>
        <x:v>No</x:v>
      </x:c>
      <x:c r="X36" s="77" t="str">
        <x:f>IF(Master!Y792="","",Master!Y792)</x:f>
        <x:v>No</x:v>
      </x:c>
      <x:c r="Y36" s="77" t="str">
        <x:f>IF(Master!Z792="","",Master!Z792)</x:f>
        <x:v>No</x:v>
      </x:c>
      <x:c r="Z36" s="77" t="str">
        <x:f>IF(Master!AA792="","",Master!AA792)</x:f>
        <x:v>No</x:v>
      </x:c>
      <x:c r="AA36" s="77" t="str">
        <x:f>IF(Master!AB792="","",Master!AB792)</x:f>
        <x:v>No</x:v>
      </x:c>
      <x:c r="AB36" s="77" t="str">
        <x:f>IF(Master!AC792="","",Master!AC792)</x:f>
        <x:v>No</x:v>
      </x:c>
      <x:c r="AC36" s="77" t="str">
        <x:f>IF(Master!AD792="","",Master!AD792)</x:f>
        <x:v>No</x:v>
      </x:c>
      <x:c r="AD36" s="77" t="str">
        <x:f>IF(Master!AE792="","",Master!AE792)</x:f>
        <x:v>No</x:v>
      </x:c>
      <x:c r="AE36" s="77" t="str">
        <x:f>IF(Master!AF792="","",Master!AF792)</x:f>
        <x:v>No</x:v>
      </x:c>
      <x:c r="AF36" s="77" t="str">
        <x:f>IF(Master!AG792="","",Master!AG792)</x:f>
        <x:v>No</x:v>
      </x:c>
    </x:row>
    <x:row r="37" ht="28" customHeight="1">
      <x:c r="A37" s="73" t="str">
        <x:f>IF(Master!B793="","",Master!B793)</x:f>
        <x:v>Slovak / Slovenčina / Slovenčina</x:v>
      </x:c>
      <x:c r="B37" s="77" t="str">
        <x:f>IF(Master!C793="","",Master!C793)</x:f>
        <x:v>No</x:v>
      </x:c>
      <x:c r="C37" s="77" t="str">
        <x:f>IF(Master!D793="","",Master!D793)</x:f>
        <x:v>No</x:v>
      </x:c>
      <x:c r="D37" s="77" t="str">
        <x:f>IF(Master!E793="","",Master!E793)</x:f>
        <x:v>No</x:v>
      </x:c>
      <x:c r="E37" s="77" t="str">
        <x:f>IF(Master!F793="","",Master!F793)</x:f>
        <x:v>No</x:v>
      </x:c>
      <x:c r="F37" s="77" t="str">
        <x:f>IF(Master!G793="","",Master!G793)</x:f>
        <x:v>No</x:v>
      </x:c>
      <x:c r="G37" s="77" t="str">
        <x:f>IF(Master!H793="","",Master!H793)</x:f>
        <x:v>No</x:v>
      </x:c>
      <x:c r="H37" s="77" t="str">
        <x:f>IF(Master!I793="","",Master!I793)</x:f>
        <x:v>No</x:v>
      </x:c>
      <x:c r="I37" s="77" t="str">
        <x:f>IF(Master!J793="","",Master!J793)</x:f>
        <x:v>No</x:v>
      </x:c>
      <x:c r="J37" s="77" t="str">
        <x:f>IF(Master!K793="","",Master!K793)</x:f>
        <x:v>No</x:v>
      </x:c>
      <x:c r="K37" s="77" t="str">
        <x:f>IF(Master!L793="","",Master!L793)</x:f>
        <x:v>No</x:v>
      </x:c>
      <x:c r="L37" s="77" t="str">
        <x:f>IF(Master!M793="","",Master!M793)</x:f>
        <x:v>No</x:v>
      </x:c>
      <x:c r="M37" s="77" t="str">
        <x:f>IF(Master!N793="","",Master!N793)</x:f>
        <x:v>No</x:v>
      </x:c>
      <x:c r="N37" s="77" t="str">
        <x:f>IF(Master!O793="","",Master!O793)</x:f>
        <x:v>Active translation</x:v>
      </x:c>
      <x:c r="O37" s="77" t="str">
        <x:f>IF(Master!P793="","",Master!P793)</x:f>
        <x:v>No</x:v>
      </x:c>
      <x:c r="P37" s="77" t="str">
        <x:f>IF(Master!Q793="","",Master!Q793)</x:f>
        <x:v>No</x:v>
      </x:c>
      <x:c r="Q37" s="77" t="str">
        <x:f>IF(Master!R793="","",Master!R793)</x:f>
        <x:v>No</x:v>
      </x:c>
      <x:c r="R37" s="77" t="str">
        <x:f>IF(Master!S793="","",Master!S793)</x:f>
        <x:v>No</x:v>
      </x:c>
      <x:c r="S37" s="77" t="str">
        <x:f>IF(Master!T793="","",Master!T793)</x:f>
        <x:v>No</x:v>
      </x:c>
      <x:c r="T37" s="77" t="str">
        <x:f>IF(Master!U793="","",Master!U793)</x:f>
        <x:v>No</x:v>
      </x:c>
      <x:c r="U37" s="77" t="str">
        <x:f>IF(Master!V793="","",Master!V793)</x:f>
        <x:v>No</x:v>
      </x:c>
      <x:c r="V37" s="77" t="str">
        <x:f>IF(Master!W793="","",Master!W793)</x:f>
        <x:v>Yes</x:v>
      </x:c>
      <x:c r="W37" s="77" t="str">
        <x:f>IF(Master!X793="","",Master!X793)</x:f>
        <x:v>No</x:v>
      </x:c>
      <x:c r="X37" s="77" t="str">
        <x:f>IF(Master!Y793="","",Master!Y793)</x:f>
        <x:v>No</x:v>
      </x:c>
      <x:c r="Y37" s="77" t="str">
        <x:f>IF(Master!Z793="","",Master!Z793)</x:f>
        <x:v>No</x:v>
      </x:c>
      <x:c r="Z37" s="77" t="str">
        <x:f>IF(Master!AA793="","",Master!AA793)</x:f>
        <x:v>No</x:v>
      </x:c>
      <x:c r="AA37" s="77" t="str">
        <x:f>IF(Master!AB793="","",Master!AB793)</x:f>
        <x:v>No</x:v>
      </x:c>
      <x:c r="AB37" s="77" t="str">
        <x:f>IF(Master!AC793="","",Master!AC793)</x:f>
        <x:v>No</x:v>
      </x:c>
      <x:c r="AC37" s="77" t="str">
        <x:f>IF(Master!AD793="","",Master!AD793)</x:f>
        <x:v>No</x:v>
      </x:c>
      <x:c r="AD37" s="77" t="str">
        <x:f>IF(Master!AE793="","",Master!AE793)</x:f>
        <x:v>No</x:v>
      </x:c>
      <x:c r="AE37" s="77" t="str">
        <x:f>IF(Master!AF793="","",Master!AF793)</x:f>
        <x:v>No</x:v>
      </x:c>
      <x:c r="AF37" s="77" t="str">
        <x:f>IF(Master!AG793="","",Master!AG793)</x:f>
        <x:v>No</x:v>
      </x:c>
    </x:row>
    <x:row r="38" ht="28" customHeight="1">
      <x:c r="A38" s="73" t="str">
        <x:f>IF(Master!B794="","",Master!B794)</x:f>
        <x:v>Slovenian / Slovenščina / Slovenščina</x:v>
      </x:c>
      <x:c r="B38" s="77" t="str">
        <x:f>IF(Master!C794="","",Master!C794)</x:f>
        <x:v>No</x:v>
      </x:c>
      <x:c r="C38" s="77" t="str">
        <x:f>IF(Master!D794="","",Master!D794)</x:f>
        <x:v>No</x:v>
      </x:c>
      <x:c r="D38" s="77" t="str">
        <x:f>IF(Master!E794="","",Master!E794)</x:f>
        <x:v>No</x:v>
      </x:c>
      <x:c r="E38" s="77" t="str">
        <x:f>IF(Master!F794="","",Master!F794)</x:f>
        <x:v>No</x:v>
      </x:c>
      <x:c r="F38" s="77" t="str">
        <x:f>IF(Master!G794="","",Master!G794)</x:f>
        <x:v>No</x:v>
      </x:c>
      <x:c r="G38" s="77" t="str">
        <x:f>IF(Master!H794="","",Master!H794)</x:f>
        <x:v>No</x:v>
      </x:c>
      <x:c r="H38" s="77" t="str">
        <x:f>IF(Master!I794="","",Master!I794)</x:f>
        <x:v>No</x:v>
      </x:c>
      <x:c r="I38" s="77" t="str">
        <x:f>IF(Master!J794="","",Master!J794)</x:f>
        <x:v>No</x:v>
      </x:c>
      <x:c r="J38" s="77" t="str">
        <x:f>IF(Master!K794="","",Master!K794)</x:f>
        <x:v>No</x:v>
      </x:c>
      <x:c r="K38" s="77" t="str">
        <x:f>IF(Master!L794="","",Master!L794)</x:f>
        <x:v>No</x:v>
      </x:c>
      <x:c r="L38" s="77" t="str">
        <x:f>IF(Master!M794="","",Master!M794)</x:f>
        <x:v>No</x:v>
      </x:c>
      <x:c r="M38" s="77" t="str">
        <x:f>IF(Master!N794="","",Master!N794)</x:f>
        <x:v>No</x:v>
      </x:c>
      <x:c r="N38" s="77" t="str">
        <x:f>IF(Master!O794="","",Master!O794)</x:f>
        <x:v>Active translation</x:v>
      </x:c>
      <x:c r="O38" s="77" t="str">
        <x:f>IF(Master!P794="","",Master!P794)</x:f>
        <x:v>No</x:v>
      </x:c>
      <x:c r="P38" s="77" t="str">
        <x:f>IF(Master!Q794="","",Master!Q794)</x:f>
        <x:v>No</x:v>
      </x:c>
      <x:c r="Q38" s="77" t="str">
        <x:f>IF(Master!R794="","",Master!R794)</x:f>
        <x:v>No</x:v>
      </x:c>
      <x:c r="R38" s="77" t="str">
        <x:f>IF(Master!S794="","",Master!S794)</x:f>
        <x:v>No</x:v>
      </x:c>
      <x:c r="S38" s="77" t="str">
        <x:f>IF(Master!T794="","",Master!T794)</x:f>
        <x:v>No</x:v>
      </x:c>
      <x:c r="T38" s="77" t="str">
        <x:f>IF(Master!U794="","",Master!U794)</x:f>
        <x:v>No</x:v>
      </x:c>
      <x:c r="U38" s="77" t="str">
        <x:f>IF(Master!V794="","",Master!V794)</x:f>
        <x:v>No</x:v>
      </x:c>
      <x:c r="V38" s="77" t="str">
        <x:f>IF(Master!W794="","",Master!W794)</x:f>
        <x:v>Yes</x:v>
      </x:c>
      <x:c r="W38" s="77" t="str">
        <x:f>IF(Master!X794="","",Master!X794)</x:f>
        <x:v>No</x:v>
      </x:c>
      <x:c r="X38" s="77" t="str">
        <x:f>IF(Master!Y794="","",Master!Y794)</x:f>
        <x:v>No</x:v>
      </x:c>
      <x:c r="Y38" s="77" t="str">
        <x:f>IF(Master!Z794="","",Master!Z794)</x:f>
        <x:v>No</x:v>
      </x:c>
      <x:c r="Z38" s="77" t="str">
        <x:f>IF(Master!AA794="","",Master!AA794)</x:f>
        <x:v>No</x:v>
      </x:c>
      <x:c r="AA38" s="77" t="str">
        <x:f>IF(Master!AB794="","",Master!AB794)</x:f>
        <x:v>No</x:v>
      </x:c>
      <x:c r="AB38" s="77" t="str">
        <x:f>IF(Master!AC794="","",Master!AC794)</x:f>
        <x:v>No</x:v>
      </x:c>
      <x:c r="AC38" s="77" t="str">
        <x:f>IF(Master!AD794="","",Master!AD794)</x:f>
        <x:v>No</x:v>
      </x:c>
      <x:c r="AD38" s="77" t="str">
        <x:f>IF(Master!AE794="","",Master!AE794)</x:f>
        <x:v>No</x:v>
      </x:c>
      <x:c r="AE38" s="77" t="str">
        <x:f>IF(Master!AF794="","",Master!AF794)</x:f>
        <x:v>No</x:v>
      </x:c>
      <x:c r="AF38" s="77" t="str">
        <x:f>IF(Master!AG794="","",Master!AG794)</x:f>
        <x:v>No</x:v>
      </x:c>
    </x:row>
    <x:row r="39" ht="28" customHeight="1">
      <x:c r="A39" s="73" t="str">
        <x:f>IF(Master!B795="","",Master!B795)</x:f>
        <x:v>Lithuanian / Lietuvių / Lietuvių</x:v>
      </x:c>
      <x:c r="B39" s="77" t="str">
        <x:f>IF(Master!C795="","",Master!C795)</x:f>
        <x:v>Yes</x:v>
      </x:c>
      <x:c r="C39" s="77" t="str">
        <x:f>IF(Master!D795="","",Master!D795)</x:f>
        <x:v>No</x:v>
      </x:c>
      <x:c r="D39" s="77" t="str">
        <x:f>IF(Master!E795="","",Master!E795)</x:f>
        <x:v>No</x:v>
      </x:c>
      <x:c r="E39" s="77" t="str">
        <x:f>IF(Master!F795="","",Master!F795)</x:f>
        <x:v>No</x:v>
      </x:c>
      <x:c r="F39" s="77" t="str">
        <x:f>IF(Master!G795="","",Master!G795)</x:f>
        <x:v>No</x:v>
      </x:c>
      <x:c r="G39" s="77" t="str">
        <x:f>IF(Master!H795="","",Master!H795)</x:f>
        <x:v>Yes</x:v>
      </x:c>
      <x:c r="H39" s="77" t="str">
        <x:f>IF(Master!I795="","",Master!I795)</x:f>
        <x:v>No</x:v>
      </x:c>
      <x:c r="I39" s="77" t="str">
        <x:f>IF(Master!J795="","",Master!J795)</x:f>
        <x:v>No</x:v>
      </x:c>
      <x:c r="J39" s="77" t="str">
        <x:f>IF(Master!K795="","",Master!K795)</x:f>
        <x:v>No</x:v>
      </x:c>
      <x:c r="K39" s="77" t="str">
        <x:f>IF(Master!L795="","",Master!L795)</x:f>
        <x:v>No</x:v>
      </x:c>
      <x:c r="L39" s="77" t="str">
        <x:f>IF(Master!M795="","",Master!M795)</x:f>
        <x:v>No</x:v>
      </x:c>
      <x:c r="M39" s="77" t="str">
        <x:f>IF(Master!N795="","",Master!N795)</x:f>
        <x:v>No</x:v>
      </x:c>
      <x:c r="N39" s="77" t="str">
        <x:f>IF(Master!O795="","",Master!O795)</x:f>
        <x:v>Active translation</x:v>
      </x:c>
      <x:c r="O39" s="77" t="str">
        <x:f>IF(Master!P795="","",Master!P795)</x:f>
        <x:v>No</x:v>
      </x:c>
      <x:c r="P39" s="77" t="str">
        <x:f>IF(Master!Q795="","",Master!Q795)</x:f>
        <x:v>No</x:v>
      </x:c>
      <x:c r="Q39" s="77" t="str">
        <x:f>IF(Master!R795="","",Master!R795)</x:f>
        <x:v>No</x:v>
      </x:c>
      <x:c r="R39" s="77" t="str">
        <x:f>IF(Master!S795="","",Master!S795)</x:f>
        <x:v>No</x:v>
      </x:c>
      <x:c r="S39" s="77" t="str">
        <x:f>IF(Master!T795="","",Master!T795)</x:f>
        <x:v>No</x:v>
      </x:c>
      <x:c r="T39" s="77" t="str">
        <x:f>IF(Master!U795="","",Master!U795)</x:f>
        <x:v>No</x:v>
      </x:c>
      <x:c r="U39" s="77" t="str">
        <x:f>IF(Master!V795="","",Master!V795)</x:f>
        <x:v>No</x:v>
      </x:c>
      <x:c r="V39" s="77" t="str">
        <x:f>IF(Master!W795="","",Master!W795)</x:f>
        <x:v>Yes</x:v>
      </x:c>
      <x:c r="W39" s="77" t="str">
        <x:f>IF(Master!X795="","",Master!X795)</x:f>
        <x:v>No</x:v>
      </x:c>
      <x:c r="X39" s="77" t="str">
        <x:f>IF(Master!Y795="","",Master!Y795)</x:f>
        <x:v>No</x:v>
      </x:c>
      <x:c r="Y39" s="77" t="str">
        <x:f>IF(Master!Z795="","",Master!Z795)</x:f>
        <x:v>No</x:v>
      </x:c>
      <x:c r="Z39" s="77" t="str">
        <x:f>IF(Master!AA795="","",Master!AA795)</x:f>
        <x:v>No</x:v>
      </x:c>
      <x:c r="AA39" s="77" t="str">
        <x:f>IF(Master!AB795="","",Master!AB795)</x:f>
        <x:v>No</x:v>
      </x:c>
      <x:c r="AB39" s="77" t="str">
        <x:f>IF(Master!AC795="","",Master!AC795)</x:f>
        <x:v>No</x:v>
      </x:c>
      <x:c r="AC39" s="77" t="str">
        <x:f>IF(Master!AD795="","",Master!AD795)</x:f>
        <x:v>No</x:v>
      </x:c>
      <x:c r="AD39" s="77" t="str">
        <x:f>IF(Master!AE795="","",Master!AE795)</x:f>
        <x:v>No</x:v>
      </x:c>
      <x:c r="AE39" s="77" t="str">
        <x:f>IF(Master!AF795="","",Master!AF795)</x:f>
        <x:v>No</x:v>
      </x:c>
      <x:c r="AF39" s="77" t="str">
        <x:f>IF(Master!AG795="","",Master!AG795)</x:f>
        <x:v>No</x:v>
      </x:c>
    </x:row>
    <x:row r="40" ht="28" customHeight="1">
      <x:c r="A40" s="73" t="str">
        <x:f>IF(Master!B796="","",Master!B796)</x:f>
        <x:v>Malay / Bahasa Melayu / Bahasa Melayu</x:v>
      </x:c>
      <x:c r="B40" s="77" t="str">
        <x:f>IF(Master!C796="","",Master!C796)</x:f>
        <x:v>No</x:v>
      </x:c>
      <x:c r="C40" s="77" t="str">
        <x:f>IF(Master!D796="","",Master!D796)</x:f>
        <x:v>No</x:v>
      </x:c>
      <x:c r="D40" s="77" t="str">
        <x:f>IF(Master!E796="","",Master!E796)</x:f>
        <x:v>No</x:v>
      </x:c>
      <x:c r="E40" s="77" t="str">
        <x:f>IF(Master!F796="","",Master!F796)</x:f>
        <x:v>No</x:v>
      </x:c>
      <x:c r="F40" s="77" t="str">
        <x:f>IF(Master!G796="","",Master!G796)</x:f>
        <x:v>No</x:v>
      </x:c>
      <x:c r="G40" s="77" t="str">
        <x:f>IF(Master!H796="","",Master!H796)</x:f>
        <x:v>No</x:v>
      </x:c>
      <x:c r="H40" s="77" t="str">
        <x:f>IF(Master!I796="","",Master!I796)</x:f>
        <x:v>No</x:v>
      </x:c>
      <x:c r="I40" s="77" t="str">
        <x:f>IF(Master!J796="","",Master!J796)</x:f>
        <x:v>No</x:v>
      </x:c>
      <x:c r="J40" s="77" t="str">
        <x:f>IF(Master!K796="","",Master!K796)</x:f>
        <x:v>No</x:v>
      </x:c>
      <x:c r="K40" s="77" t="str">
        <x:f>IF(Master!L796="","",Master!L796)</x:f>
        <x:v>No</x:v>
      </x:c>
      <x:c r="L40" s="77" t="str">
        <x:f>IF(Master!M796="","",Master!M796)</x:f>
        <x:v>No</x:v>
      </x:c>
      <x:c r="M40" s="77" t="str">
        <x:f>IF(Master!N796="","",Master!N796)</x:f>
        <x:v>No</x:v>
      </x:c>
      <x:c r="N40" s="77" t="str">
        <x:f>IF(Master!O796="","",Master!O796)</x:f>
        <x:v>No</x:v>
      </x:c>
      <x:c r="O40" s="77" t="str">
        <x:f>IF(Master!P796="","",Master!P796)</x:f>
        <x:v>No</x:v>
      </x:c>
      <x:c r="P40" s="77" t="str">
        <x:f>IF(Master!Q796="","",Master!Q796)</x:f>
        <x:v>No</x:v>
      </x:c>
      <x:c r="Q40" s="77" t="str">
        <x:f>IF(Master!R796="","",Master!R796)</x:f>
        <x:v>No</x:v>
      </x:c>
      <x:c r="R40" s="77" t="str">
        <x:f>IF(Master!S796="","",Master!S796)</x:f>
        <x:v>No</x:v>
      </x:c>
      <x:c r="S40" s="77" t="str">
        <x:f>IF(Master!T796="","",Master!T796)</x:f>
        <x:v>No</x:v>
      </x:c>
      <x:c r="T40" s="77" t="str">
        <x:f>IF(Master!U796="","",Master!U796)</x:f>
        <x:v>No</x:v>
      </x:c>
      <x:c r="U40" s="77" t="str">
        <x:f>IF(Master!V796="","",Master!V796)</x:f>
        <x:v>No</x:v>
      </x:c>
      <x:c r="V40" s="77" t="str">
        <x:f>IF(Master!W796="","",Master!W796)</x:f>
        <x:v>Yes</x:v>
      </x:c>
      <x:c r="W40" s="77" t="str">
        <x:f>IF(Master!X796="","",Master!X796)</x:f>
        <x:v>No</x:v>
      </x:c>
      <x:c r="X40" s="77" t="str">
        <x:f>IF(Master!Y796="","",Master!Y796)</x:f>
        <x:v>No</x:v>
      </x:c>
      <x:c r="Y40" s="77" t="str">
        <x:f>IF(Master!Z796="","",Master!Z796)</x:f>
        <x:v>No</x:v>
      </x:c>
      <x:c r="Z40" s="77" t="str">
        <x:f>IF(Master!AA796="","",Master!AA796)</x:f>
        <x:v>No</x:v>
      </x:c>
      <x:c r="AA40" s="77" t="str">
        <x:f>IF(Master!AB796="","",Master!AB796)</x:f>
        <x:v>No</x:v>
      </x:c>
      <x:c r="AB40" s="77" t="str">
        <x:f>IF(Master!AC796="","",Master!AC796)</x:f>
        <x:v>No</x:v>
      </x:c>
      <x:c r="AC40" s="77" t="str">
        <x:f>IF(Master!AD796="","",Master!AD796)</x:f>
        <x:v>No</x:v>
      </x:c>
      <x:c r="AD40" s="77" t="str">
        <x:f>IF(Master!AE796="","",Master!AE796)</x:f>
        <x:v>No</x:v>
      </x:c>
      <x:c r="AE40" s="77" t="str">
        <x:f>IF(Master!AF796="","",Master!AF796)</x:f>
        <x:v>No</x:v>
      </x:c>
      <x:c r="AF40" s="77" t="str">
        <x:f>IF(Master!AG796="","",Master!AG796)</x:f>
        <x:v>No</x:v>
      </x:c>
    </x:row>
    <x:row r="41" ht="28" customHeight="1">
      <x:c r="A41" s="73" t="str">
        <x:f>IF(Master!B797="","",Master!B797)</x:f>
        <x:v>Catalan / Català / Català</x:v>
      </x:c>
      <x:c r="B41" s="77" t="str">
        <x:f>IF(Master!C797="","",Master!C797)</x:f>
        <x:v>No</x:v>
      </x:c>
      <x:c r="C41" s="77" t="str">
        <x:f>IF(Master!D797="","",Master!D797)</x:f>
        <x:v>No</x:v>
      </x:c>
      <x:c r="D41" s="77" t="str">
        <x:f>IF(Master!E797="","",Master!E797)</x:f>
        <x:v>No</x:v>
      </x:c>
      <x:c r="E41" s="77" t="str">
        <x:f>IF(Master!F797="","",Master!F797)</x:f>
        <x:v>No</x:v>
      </x:c>
      <x:c r="F41" s="77" t="str">
        <x:f>IF(Master!G797="","",Master!G797)</x:f>
        <x:v>No</x:v>
      </x:c>
      <x:c r="G41" s="77" t="str">
        <x:f>IF(Master!H797="","",Master!H797)</x:f>
        <x:v>No</x:v>
      </x:c>
      <x:c r="H41" s="77" t="str">
        <x:f>IF(Master!I797="","",Master!I797)</x:f>
        <x:v>No</x:v>
      </x:c>
      <x:c r="I41" s="77" t="str">
        <x:f>IF(Master!J797="","",Master!J797)</x:f>
        <x:v>No</x:v>
      </x:c>
      <x:c r="J41" s="77" t="str">
        <x:f>IF(Master!K797="","",Master!K797)</x:f>
        <x:v>No</x:v>
      </x:c>
      <x:c r="K41" s="77" t="str">
        <x:f>IF(Master!L797="","",Master!L797)</x:f>
        <x:v>No</x:v>
      </x:c>
      <x:c r="L41" s="77" t="str">
        <x:f>IF(Master!M797="","",Master!M797)</x:f>
        <x:v>No</x:v>
      </x:c>
      <x:c r="M41" s="77" t="str">
        <x:f>IF(Master!N797="","",Master!N797)</x:f>
        <x:v>No</x:v>
      </x:c>
      <x:c r="N41" s="77" t="str">
        <x:f>IF(Master!O797="","",Master!O797)</x:f>
        <x:v>Active translation</x:v>
      </x:c>
      <x:c r="O41" s="77" t="str">
        <x:f>IF(Master!P797="","",Master!P797)</x:f>
        <x:v>No</x:v>
      </x:c>
      <x:c r="P41" s="77" t="str">
        <x:f>IF(Master!Q797="","",Master!Q797)</x:f>
        <x:v>No</x:v>
      </x:c>
      <x:c r="Q41" s="77" t="str">
        <x:f>IF(Master!R797="","",Master!R797)</x:f>
        <x:v>No</x:v>
      </x:c>
      <x:c r="R41" s="77" t="str">
        <x:f>IF(Master!S797="","",Master!S797)</x:f>
        <x:v>No</x:v>
      </x:c>
      <x:c r="S41" s="77" t="str">
        <x:f>IF(Master!T797="","",Master!T797)</x:f>
        <x:v>No</x:v>
      </x:c>
      <x:c r="T41" s="77" t="str">
        <x:f>IF(Master!U797="","",Master!U797)</x:f>
        <x:v>No</x:v>
      </x:c>
      <x:c r="U41" s="77" t="str">
        <x:f>IF(Master!V797="","",Master!V797)</x:f>
        <x:v>No</x:v>
      </x:c>
      <x:c r="V41" s="77" t="str">
        <x:f>IF(Master!W797="","",Master!W797)</x:f>
        <x:v>Yes</x:v>
      </x:c>
      <x:c r="W41" s="77" t="str">
        <x:f>IF(Master!X797="","",Master!X797)</x:f>
        <x:v>No</x:v>
      </x:c>
      <x:c r="X41" s="77" t="str">
        <x:f>IF(Master!Y797="","",Master!Y797)</x:f>
        <x:v>No</x:v>
      </x:c>
      <x:c r="Y41" s="77" t="str">
        <x:f>IF(Master!Z797="","",Master!Z797)</x:f>
        <x:v>No</x:v>
      </x:c>
      <x:c r="Z41" s="77" t="str">
        <x:f>IF(Master!AA797="","",Master!AA797)</x:f>
        <x:v>No</x:v>
      </x:c>
      <x:c r="AA41" s="77" t="str">
        <x:f>IF(Master!AB797="","",Master!AB797)</x:f>
        <x:v>No</x:v>
      </x:c>
      <x:c r="AB41" s="77" t="str">
        <x:f>IF(Master!AC797="","",Master!AC797)</x:f>
        <x:v>No</x:v>
      </x:c>
      <x:c r="AC41" s="77" t="str">
        <x:f>IF(Master!AD797="","",Master!AD797)</x:f>
        <x:v>No</x:v>
      </x:c>
      <x:c r="AD41" s="77" t="str">
        <x:f>IF(Master!AE797="","",Master!AE797)</x:f>
        <x:v>No</x:v>
      </x:c>
      <x:c r="AE41" s="77" t="str">
        <x:f>IF(Master!AF797="","",Master!AF797)</x:f>
        <x:v>No</x:v>
      </x:c>
      <x:c r="AF41" s="77" t="str">
        <x:f>IF(Master!AG797="","",Master!AG797)</x:f>
        <x:v>No</x:v>
      </x:c>
    </x:row>
    <x:row r="42" ht="28" customHeight="1">
      <x:c r="A42" s="73" t="str">
        <x:f>IF(Master!B798="","",Master!B798)</x:f>
        <x:v>Estonian / Eesti / Eesti</x:v>
      </x:c>
      <x:c r="B42" s="77" t="str">
        <x:f>IF(Master!C798="","",Master!C798)</x:f>
        <x:v>No</x:v>
      </x:c>
      <x:c r="C42" s="77" t="str">
        <x:f>IF(Master!D798="","",Master!D798)</x:f>
        <x:v>No</x:v>
      </x:c>
      <x:c r="D42" s="77" t="str">
        <x:f>IF(Master!E798="","",Master!E798)</x:f>
        <x:v>No</x:v>
      </x:c>
      <x:c r="E42" s="77" t="str">
        <x:f>IF(Master!F798="","",Master!F798)</x:f>
        <x:v>No</x:v>
      </x:c>
      <x:c r="F42" s="77" t="str">
        <x:f>IF(Master!G798="","",Master!G798)</x:f>
        <x:v>No</x:v>
      </x:c>
      <x:c r="G42" s="77" t="str">
        <x:f>IF(Master!H798="","",Master!H798)</x:f>
        <x:v>No</x:v>
      </x:c>
      <x:c r="H42" s="77" t="str">
        <x:f>IF(Master!I798="","",Master!I798)</x:f>
        <x:v>No</x:v>
      </x:c>
      <x:c r="I42" s="77" t="str">
        <x:f>IF(Master!J798="","",Master!J798)</x:f>
        <x:v>No</x:v>
      </x:c>
      <x:c r="J42" s="77" t="str">
        <x:f>IF(Master!K798="","",Master!K798)</x:f>
        <x:v>No</x:v>
      </x:c>
      <x:c r="K42" s="77" t="str">
        <x:f>IF(Master!L798="","",Master!L798)</x:f>
        <x:v>No</x:v>
      </x:c>
      <x:c r="L42" s="77" t="str">
        <x:f>IF(Master!M798="","",Master!M798)</x:f>
        <x:v>No</x:v>
      </x:c>
      <x:c r="M42" s="77" t="str">
        <x:f>IF(Master!N798="","",Master!N798)</x:f>
        <x:v>No</x:v>
      </x:c>
      <x:c r="N42" s="77" t="str">
        <x:f>IF(Master!O798="","",Master!O798)</x:f>
        <x:v>Active translation</x:v>
      </x:c>
      <x:c r="O42" s="77" t="str">
        <x:f>IF(Master!P798="","",Master!P798)</x:f>
        <x:v>No</x:v>
      </x:c>
      <x:c r="P42" s="77" t="str">
        <x:f>IF(Master!Q798="","",Master!Q798)</x:f>
        <x:v>No</x:v>
      </x:c>
      <x:c r="Q42" s="77" t="str">
        <x:f>IF(Master!R798="","",Master!R798)</x:f>
        <x:v>No</x:v>
      </x:c>
      <x:c r="R42" s="77" t="str">
        <x:f>IF(Master!S798="","",Master!S798)</x:f>
        <x:v>No</x:v>
      </x:c>
      <x:c r="S42" s="77" t="str">
        <x:f>IF(Master!T798="","",Master!T798)</x:f>
        <x:v>No</x:v>
      </x:c>
      <x:c r="T42" s="77" t="str">
        <x:f>IF(Master!U798="","",Master!U798)</x:f>
        <x:v>No</x:v>
      </x:c>
      <x:c r="U42" s="77" t="str">
        <x:f>IF(Master!V798="","",Master!V798)</x:f>
        <x:v>No</x:v>
      </x:c>
      <x:c r="V42" s="77" t="str">
        <x:f>IF(Master!W798="","",Master!W798)</x:f>
        <x:v>Yes</x:v>
      </x:c>
      <x:c r="W42" s="77" t="str">
        <x:f>IF(Master!X798="","",Master!X798)</x:f>
        <x:v>No</x:v>
      </x:c>
      <x:c r="X42" s="77" t="str">
        <x:f>IF(Master!Y798="","",Master!Y798)</x:f>
        <x:v>No</x:v>
      </x:c>
      <x:c r="Y42" s="77" t="str">
        <x:f>IF(Master!Z798="","",Master!Z798)</x:f>
        <x:v>No</x:v>
      </x:c>
      <x:c r="Z42" s="77" t="str">
        <x:f>IF(Master!AA798="","",Master!AA798)</x:f>
        <x:v>No</x:v>
      </x:c>
      <x:c r="AA42" s="77" t="str">
        <x:f>IF(Master!AB798="","",Master!AB798)</x:f>
        <x:v>No</x:v>
      </x:c>
      <x:c r="AB42" s="77" t="str">
        <x:f>IF(Master!AC798="","",Master!AC798)</x:f>
        <x:v>No</x:v>
      </x:c>
      <x:c r="AC42" s="77" t="str">
        <x:f>IF(Master!AD798="","",Master!AD798)</x:f>
        <x:v>No</x:v>
      </x:c>
      <x:c r="AD42" s="77" t="str">
        <x:f>IF(Master!AE798="","",Master!AE798)</x:f>
        <x:v>No</x:v>
      </x:c>
      <x:c r="AE42" s="77" t="str">
        <x:f>IF(Master!AF798="","",Master!AF798)</x:f>
        <x:v>No</x:v>
      </x:c>
      <x:c r="AF42" s="77" t="str">
        <x:f>IF(Master!AG798="","",Master!AG798)</x:f>
        <x:v>No</x:v>
      </x:c>
    </x:row>
    <x:row r="43" ht="28" customHeight="1">
      <x:c r="A43" s="73" t="str">
        <x:f>IF(Master!B799="","",Master!B799)</x:f>
        <x:v>Latvian / Latviešu / Latviešu</x:v>
      </x:c>
      <x:c r="B43" s="77" t="str">
        <x:f>IF(Master!C799="","",Master!C799)</x:f>
        <x:v>No</x:v>
      </x:c>
      <x:c r="C43" s="77" t="str">
        <x:f>IF(Master!D799="","",Master!D799)</x:f>
        <x:v>No</x:v>
      </x:c>
      <x:c r="D43" s="77" t="str">
        <x:f>IF(Master!E799="","",Master!E799)</x:f>
        <x:v>No</x:v>
      </x:c>
      <x:c r="E43" s="77" t="str">
        <x:f>IF(Master!F799="","",Master!F799)</x:f>
        <x:v>No</x:v>
      </x:c>
      <x:c r="F43" s="77" t="str">
        <x:f>IF(Master!G799="","",Master!G799)</x:f>
        <x:v>No</x:v>
      </x:c>
      <x:c r="G43" s="77" t="str">
        <x:f>IF(Master!H799="","",Master!H799)</x:f>
        <x:v>No</x:v>
      </x:c>
      <x:c r="H43" s="77" t="str">
        <x:f>IF(Master!I799="","",Master!I799)</x:f>
        <x:v>No</x:v>
      </x:c>
      <x:c r="I43" s="77" t="str">
        <x:f>IF(Master!J799="","",Master!J799)</x:f>
        <x:v>No</x:v>
      </x:c>
      <x:c r="J43" s="77" t="str">
        <x:f>IF(Master!K799="","",Master!K799)</x:f>
        <x:v>No</x:v>
      </x:c>
      <x:c r="K43" s="77" t="str">
        <x:f>IF(Master!L799="","",Master!L799)</x:f>
        <x:v>No</x:v>
      </x:c>
      <x:c r="L43" s="77" t="str">
        <x:f>IF(Master!M799="","",Master!M799)</x:f>
        <x:v>No</x:v>
      </x:c>
      <x:c r="M43" s="77" t="str">
        <x:f>IF(Master!N799="","",Master!N799)</x:f>
        <x:v>No</x:v>
      </x:c>
      <x:c r="N43" s="77" t="str">
        <x:f>IF(Master!O799="","",Master!O799)</x:f>
        <x:v>Active translation</x:v>
      </x:c>
      <x:c r="O43" s="77" t="str">
        <x:f>IF(Master!P799="","",Master!P799)</x:f>
        <x:v>No</x:v>
      </x:c>
      <x:c r="P43" s="77" t="str">
        <x:f>IF(Master!Q799="","",Master!Q799)</x:f>
        <x:v>No</x:v>
      </x:c>
      <x:c r="Q43" s="77" t="str">
        <x:f>IF(Master!R799="","",Master!R799)</x:f>
        <x:v>No</x:v>
      </x:c>
      <x:c r="R43" s="77" t="str">
        <x:f>IF(Master!S799="","",Master!S799)</x:f>
        <x:v>No</x:v>
      </x:c>
      <x:c r="S43" s="77" t="str">
        <x:f>IF(Master!T799="","",Master!T799)</x:f>
        <x:v>No</x:v>
      </x:c>
      <x:c r="T43" s="77" t="str">
        <x:f>IF(Master!U799="","",Master!U799)</x:f>
        <x:v>No</x:v>
      </x:c>
      <x:c r="U43" s="77" t="str">
        <x:f>IF(Master!V799="","",Master!V799)</x:f>
        <x:v>No</x:v>
      </x:c>
      <x:c r="V43" s="77" t="str">
        <x:f>IF(Master!W799="","",Master!W799)</x:f>
        <x:v>Yes</x:v>
      </x:c>
      <x:c r="W43" s="77" t="str">
        <x:f>IF(Master!X799="","",Master!X799)</x:f>
        <x:v>No</x:v>
      </x:c>
      <x:c r="X43" s="77" t="str">
        <x:f>IF(Master!Y799="","",Master!Y799)</x:f>
        <x:v>No</x:v>
      </x:c>
      <x:c r="Y43" s="77" t="str">
        <x:f>IF(Master!Z799="","",Master!Z799)</x:f>
        <x:v>No</x:v>
      </x:c>
      <x:c r="Z43" s="77" t="str">
        <x:f>IF(Master!AA799="","",Master!AA799)</x:f>
        <x:v>No</x:v>
      </x:c>
      <x:c r="AA43" s="77" t="str">
        <x:f>IF(Master!AB799="","",Master!AB799)</x:f>
        <x:v>No</x:v>
      </x:c>
      <x:c r="AB43" s="77" t="str">
        <x:f>IF(Master!AC799="","",Master!AC799)</x:f>
        <x:v>No</x:v>
      </x:c>
      <x:c r="AC43" s="77" t="str">
        <x:f>IF(Master!AD799="","",Master!AD799)</x:f>
        <x:v>No</x:v>
      </x:c>
      <x:c r="AD43" s="77" t="str">
        <x:f>IF(Master!AE799="","",Master!AE799)</x:f>
        <x:v>No</x:v>
      </x:c>
      <x:c r="AE43" s="77" t="str">
        <x:f>IF(Master!AF799="","",Master!AF799)</x:f>
        <x:v>No</x:v>
      </x:c>
      <x:c r="AF43" s="77" t="str">
        <x:f>IF(Master!AG799="","",Master!AG799)</x:f>
        <x:v>No</x:v>
      </x:c>
    </x:row>
    <x:row r="44" ht="28" customHeight="1">
      <x:c r="A44" s="73" t="str">
        <x:f>IF(Master!B800="","",Master!B800)</x:f>
        <x:v>Tamil / Tamil / தமிழ்</x:v>
      </x:c>
      <x:c r="B44" s="77" t="str">
        <x:f>IF(Master!C800="","",Master!C800)</x:f>
        <x:v>No</x:v>
      </x:c>
      <x:c r="C44" s="77" t="str">
        <x:f>IF(Master!D800="","",Master!D800)</x:f>
        <x:v>No</x:v>
      </x:c>
      <x:c r="D44" s="77" t="str">
        <x:f>IF(Master!E800="","",Master!E800)</x:f>
        <x:v>No</x:v>
      </x:c>
      <x:c r="E44" s="77" t="str">
        <x:f>IF(Master!F800="","",Master!F800)</x:f>
        <x:v>No</x:v>
      </x:c>
      <x:c r="F44" s="77" t="str">
        <x:f>IF(Master!G800="","",Master!G800)</x:f>
        <x:v>No</x:v>
      </x:c>
      <x:c r="G44" s="77" t="str">
        <x:f>IF(Master!H800="","",Master!H800)</x:f>
        <x:v>No</x:v>
      </x:c>
      <x:c r="H44" s="77" t="str">
        <x:f>IF(Master!I800="","",Master!I800)</x:f>
        <x:v>No</x:v>
      </x:c>
      <x:c r="I44" s="77" t="str">
        <x:f>IF(Master!J800="","",Master!J800)</x:f>
        <x:v>No</x:v>
      </x:c>
      <x:c r="J44" s="77" t="str">
        <x:f>IF(Master!K800="","",Master!K800)</x:f>
        <x:v>No</x:v>
      </x:c>
      <x:c r="K44" s="77" t="str">
        <x:f>IF(Master!L800="","",Master!L800)</x:f>
        <x:v>No</x:v>
      </x:c>
      <x:c r="L44" s="77" t="str">
        <x:f>IF(Master!M800="","",Master!M800)</x:f>
        <x:v>No</x:v>
      </x:c>
      <x:c r="M44" s="77" t="str">
        <x:f>IF(Master!N800="","",Master!N800)</x:f>
        <x:v>No</x:v>
      </x:c>
      <x:c r="N44" s="77" t="str">
        <x:f>IF(Master!O800="","",Master!O800)</x:f>
        <x:v>Active translation</x:v>
      </x:c>
      <x:c r="O44" s="77" t="str">
        <x:f>IF(Master!P800="","",Master!P800)</x:f>
        <x:v>No</x:v>
      </x:c>
      <x:c r="P44" s="77" t="str">
        <x:f>IF(Master!Q800="","",Master!Q800)</x:f>
        <x:v>No</x:v>
      </x:c>
      <x:c r="Q44" s="77" t="str">
        <x:f>IF(Master!R800="","",Master!R800)</x:f>
        <x:v>No</x:v>
      </x:c>
      <x:c r="R44" s="77" t="str">
        <x:f>IF(Master!S800="","",Master!S800)</x:f>
        <x:v>No</x:v>
      </x:c>
      <x:c r="S44" s="77" t="str">
        <x:f>IF(Master!T800="","",Master!T800)</x:f>
        <x:v>No</x:v>
      </x:c>
      <x:c r="T44" s="77" t="str">
        <x:f>IF(Master!U800="","",Master!U800)</x:f>
        <x:v>No</x:v>
      </x:c>
      <x:c r="U44" s="77" t="str">
        <x:f>IF(Master!V800="","",Master!V800)</x:f>
        <x:v>No</x:v>
      </x:c>
      <x:c r="V44" s="77" t="str">
        <x:f>IF(Master!W800="","",Master!W800)</x:f>
        <x:v>Yes</x:v>
      </x:c>
      <x:c r="W44" s="77" t="str">
        <x:f>IF(Master!X800="","",Master!X800)</x:f>
        <x:v>No</x:v>
      </x:c>
      <x:c r="X44" s="77" t="str">
        <x:f>IF(Master!Y800="","",Master!Y800)</x:f>
        <x:v>No</x:v>
      </x:c>
      <x:c r="Y44" s="77" t="str">
        <x:f>IF(Master!Z800="","",Master!Z800)</x:f>
        <x:v>No</x:v>
      </x:c>
      <x:c r="Z44" s="77" t="str">
        <x:f>IF(Master!AA800="","",Master!AA800)</x:f>
        <x:v>No</x:v>
      </x:c>
      <x:c r="AA44" s="77" t="str">
        <x:f>IF(Master!AB800="","",Master!AB800)</x:f>
        <x:v>No</x:v>
      </x:c>
      <x:c r="AB44" s="77" t="str">
        <x:f>IF(Master!AC800="","",Master!AC800)</x:f>
        <x:v>No</x:v>
      </x:c>
      <x:c r="AC44" s="77" t="str">
        <x:f>IF(Master!AD800="","",Master!AD800)</x:f>
        <x:v>No</x:v>
      </x:c>
      <x:c r="AD44" s="77" t="str">
        <x:f>IF(Master!AE800="","",Master!AE800)</x:f>
        <x:v>No</x:v>
      </x:c>
      <x:c r="AE44" s="77" t="str">
        <x:f>IF(Master!AF800="","",Master!AF800)</x:f>
        <x:v>No</x:v>
      </x:c>
      <x:c r="AF44" s="77" t="str">
        <x:f>IF(Master!AG800="","",Master!AG800)</x:f>
        <x:v>No</x:v>
      </x:c>
    </x:row>
    <x:row r="45" ht="28" customHeight="1">
      <x:c r="A45" s="73" t="str">
        <x:f>IF(Master!B801="","",Master!B801)</x:f>
        <x:v>Urdu / Urdu / اردو</x:v>
      </x:c>
      <x:c r="B45" s="77" t="str">
        <x:f>IF(Master!C801="","",Master!C801)</x:f>
        <x:v>No</x:v>
      </x:c>
      <x:c r="C45" s="77" t="str">
        <x:f>IF(Master!D801="","",Master!D801)</x:f>
        <x:v>No</x:v>
      </x:c>
      <x:c r="D45" s="77" t="str">
        <x:f>IF(Master!E801="","",Master!E801)</x:f>
        <x:v>No</x:v>
      </x:c>
      <x:c r="E45" s="77" t="str">
        <x:f>IF(Master!F801="","",Master!F801)</x:f>
        <x:v>No</x:v>
      </x:c>
      <x:c r="F45" s="77" t="str">
        <x:f>IF(Master!G801="","",Master!G801)</x:f>
        <x:v>No</x:v>
      </x:c>
      <x:c r="G45" s="77" t="str">
        <x:f>IF(Master!H801="","",Master!H801)</x:f>
        <x:v>No</x:v>
      </x:c>
      <x:c r="H45" s="77" t="str">
        <x:f>IF(Master!I801="","",Master!I801)</x:f>
        <x:v>No</x:v>
      </x:c>
      <x:c r="I45" s="77" t="str">
        <x:f>IF(Master!J801="","",Master!J801)</x:f>
        <x:v>No</x:v>
      </x:c>
      <x:c r="J45" s="77" t="str">
        <x:f>IF(Master!K801="","",Master!K801)</x:f>
        <x:v>No</x:v>
      </x:c>
      <x:c r="K45" s="77" t="str">
        <x:f>IF(Master!L801="","",Master!L801)</x:f>
        <x:v>No</x:v>
      </x:c>
      <x:c r="L45" s="77" t="str">
        <x:f>IF(Master!M801="","",Master!M801)</x:f>
        <x:v>No</x:v>
      </x:c>
      <x:c r="M45" s="77" t="str">
        <x:f>IF(Master!N801="","",Master!N801)</x:f>
        <x:v>No</x:v>
      </x:c>
      <x:c r="N45" s="77" t="str">
        <x:f>IF(Master!O801="","",Master!O801)</x:f>
        <x:v>Active translation</x:v>
      </x:c>
      <x:c r="O45" s="77" t="str">
        <x:f>IF(Master!P801="","",Master!P801)</x:f>
        <x:v>No</x:v>
      </x:c>
      <x:c r="P45" s="77" t="str">
        <x:f>IF(Master!Q801="","",Master!Q801)</x:f>
        <x:v>No</x:v>
      </x:c>
      <x:c r="Q45" s="77" t="str">
        <x:f>IF(Master!R801="","",Master!R801)</x:f>
        <x:v>No</x:v>
      </x:c>
      <x:c r="R45" s="77" t="str">
        <x:f>IF(Master!S801="","",Master!S801)</x:f>
        <x:v>No</x:v>
      </x:c>
      <x:c r="S45" s="77" t="str">
        <x:f>IF(Master!T801="","",Master!T801)</x:f>
        <x:v>No</x:v>
      </x:c>
      <x:c r="T45" s="77" t="str">
        <x:f>IF(Master!U801="","",Master!U801)</x:f>
        <x:v>No</x:v>
      </x:c>
      <x:c r="U45" s="77" t="str">
        <x:f>IF(Master!V801="","",Master!V801)</x:f>
        <x:v>No</x:v>
      </x:c>
      <x:c r="V45" s="77" t="str">
        <x:f>IF(Master!W801="","",Master!W801)</x:f>
        <x:v>No</x:v>
      </x:c>
      <x:c r="W45" s="77" t="str">
        <x:f>IF(Master!X801="","",Master!X801)</x:f>
        <x:v>No</x:v>
      </x:c>
      <x:c r="X45" s="77" t="str">
        <x:f>IF(Master!Y801="","",Master!Y801)</x:f>
        <x:v>No</x:v>
      </x:c>
      <x:c r="Y45" s="77" t="str">
        <x:f>IF(Master!Z801="","",Master!Z801)</x:f>
        <x:v>No</x:v>
      </x:c>
      <x:c r="Z45" s="77" t="str">
        <x:f>IF(Master!AA801="","",Master!AA801)</x:f>
        <x:v>No</x:v>
      </x:c>
      <x:c r="AA45" s="77" t="str">
        <x:f>IF(Master!AB801="","",Master!AB801)</x:f>
        <x:v>No</x:v>
      </x:c>
      <x:c r="AB45" s="77" t="str">
        <x:f>IF(Master!AC801="","",Master!AC801)</x:f>
        <x:v>No</x:v>
      </x:c>
      <x:c r="AC45" s="77" t="str">
        <x:f>IF(Master!AD801="","",Master!AD801)</x:f>
        <x:v>No</x:v>
      </x:c>
      <x:c r="AD45" s="77" t="str">
        <x:f>IF(Master!AE801="","",Master!AE801)</x:f>
        <x:v>No</x:v>
      </x:c>
      <x:c r="AE45" s="77" t="str">
        <x:f>IF(Master!AF801="","",Master!AF801)</x:f>
        <x:v>No</x:v>
      </x:c>
      <x:c r="AF45" s="77" t="str">
        <x:f>IF(Master!AG801="","",Master!AG801)</x:f>
        <x:v>No</x:v>
      </x:c>
    </x:row>
    <x:row r="46" ht="28" customHeight="1">
      <x:c r="A46" s="73" t="str">
        <x:f>IF(Master!B802="","",Master!B802)</x:f>
        <x:v>Filipino / Filipino / Filipino</x:v>
      </x:c>
      <x:c r="B46" s="77" t="str">
        <x:f>IF(Master!C802="","",Master!C802)</x:f>
        <x:v>No</x:v>
      </x:c>
      <x:c r="C46" s="77" t="str">
        <x:f>IF(Master!D802="","",Master!D802)</x:f>
        <x:v>No</x:v>
      </x:c>
      <x:c r="D46" s="77" t="str">
        <x:f>IF(Master!E802="","",Master!E802)</x:f>
        <x:v>No</x:v>
      </x:c>
      <x:c r="E46" s="77" t="str">
        <x:f>IF(Master!F802="","",Master!F802)</x:f>
        <x:v>No</x:v>
      </x:c>
      <x:c r="F46" s="77" t="str">
        <x:f>IF(Master!G802="","",Master!G802)</x:f>
        <x:v>No</x:v>
      </x:c>
      <x:c r="G46" s="77" t="str">
        <x:f>IF(Master!H802="","",Master!H802)</x:f>
        <x:v>No</x:v>
      </x:c>
      <x:c r="H46" s="77" t="str">
        <x:f>IF(Master!I802="","",Master!I802)</x:f>
        <x:v>No</x:v>
      </x:c>
      <x:c r="I46" s="77" t="str">
        <x:f>IF(Master!J802="","",Master!J802)</x:f>
        <x:v>No</x:v>
      </x:c>
      <x:c r="J46" s="77" t="str">
        <x:f>IF(Master!K802="","",Master!K802)</x:f>
        <x:v>No</x:v>
      </x:c>
      <x:c r="K46" s="77" t="str">
        <x:f>IF(Master!L802="","",Master!L802)</x:f>
        <x:v>No</x:v>
      </x:c>
      <x:c r="L46" s="77" t="str">
        <x:f>IF(Master!M802="","",Master!M802)</x:f>
        <x:v>No</x:v>
      </x:c>
      <x:c r="M46" s="77" t="str">
        <x:f>IF(Master!N802="","",Master!N802)</x:f>
        <x:v>No</x:v>
      </x:c>
      <x:c r="N46" s="77" t="str">
        <x:f>IF(Master!O802="","",Master!O802)</x:f>
        <x:v>No</x:v>
      </x:c>
      <x:c r="O46" s="77" t="str">
        <x:f>IF(Master!P802="","",Master!P802)</x:f>
        <x:v>No</x:v>
      </x:c>
      <x:c r="P46" s="77" t="str">
        <x:f>IF(Master!Q802="","",Master!Q802)</x:f>
        <x:v>No</x:v>
      </x:c>
      <x:c r="Q46" s="77" t="str">
        <x:f>IF(Master!R802="","",Master!R802)</x:f>
        <x:v>No</x:v>
      </x:c>
      <x:c r="R46" s="77" t="str">
        <x:f>IF(Master!S802="","",Master!S802)</x:f>
        <x:v>No</x:v>
      </x:c>
      <x:c r="S46" s="77" t="str">
        <x:f>IF(Master!T802="","",Master!T802)</x:f>
        <x:v>No</x:v>
      </x:c>
      <x:c r="T46" s="77" t="str">
        <x:f>IF(Master!U802="","",Master!U802)</x:f>
        <x:v>No</x:v>
      </x:c>
      <x:c r="U46" s="77" t="str">
        <x:f>IF(Master!V802="","",Master!V802)</x:f>
        <x:v>No</x:v>
      </x:c>
      <x:c r="V46" s="77" t="str">
        <x:f>IF(Master!W802="","",Master!W802)</x:f>
        <x:v>No</x:v>
      </x:c>
      <x:c r="W46" s="77" t="str">
        <x:f>IF(Master!X802="","",Master!X802)</x:f>
        <x:v>No</x:v>
      </x:c>
      <x:c r="X46" s="77" t="str">
        <x:f>IF(Master!Y802="","",Master!Y802)</x:f>
        <x:v>No</x:v>
      </x:c>
      <x:c r="Y46" s="77" t="str">
        <x:f>IF(Master!Z802="","",Master!Z802)</x:f>
        <x:v>No</x:v>
      </x:c>
      <x:c r="Z46" s="77" t="str">
        <x:f>IF(Master!AA802="","",Master!AA802)</x:f>
        <x:v>No</x:v>
      </x:c>
      <x:c r="AA46" s="77" t="str">
        <x:f>IF(Master!AB802="","",Master!AB802)</x:f>
        <x:v>No</x:v>
      </x:c>
      <x:c r="AB46" s="77" t="str">
        <x:f>IF(Master!AC802="","",Master!AC802)</x:f>
        <x:v>No</x:v>
      </x:c>
      <x:c r="AC46" s="77" t="str">
        <x:f>IF(Master!AD802="","",Master!AD802)</x:f>
        <x:v>No</x:v>
      </x:c>
      <x:c r="AD46" s="77" t="str">
        <x:f>IF(Master!AE802="","",Master!AE802)</x:f>
        <x:v>No</x:v>
      </x:c>
      <x:c r="AE46" s="77" t="str">
        <x:f>IF(Master!AF802="","",Master!AF802)</x:f>
        <x:v>No</x:v>
      </x:c>
      <x:c r="AF46" s="77" t="str">
        <x:f>IF(Master!AG802="","",Master!AG802)</x:f>
        <x:v>No</x:v>
      </x:c>
    </x:row>
    <x:row r="48" ht="40" customHeight="1">
      <x:c r="A48" s="81" t="str">
        <x:v>Status: Yes = current shipped or explicitly supported product UI locale. Active translation = documented partial or in-progress localization. No = current UI localization was not verified from first-party or project sources. Localized marketing pages alone do not count.</x:v>
      </x:c>
      <x:c r="B48" s="81"/>
      <x:c r="C48" s="81"/>
      <x:c r="D48" s="81"/>
      <x:c r="E48" s="81"/>
      <x:c r="F48" s="81"/>
      <x:c r="G48" s="81"/>
      <x:c r="H48" s="81"/>
      <x:c r="I48" s="81"/>
      <x:c r="J48" s="81"/>
      <x:c r="K48" s="81"/>
      <x:c r="L48" s="81"/>
      <x:c r="M48" s="81"/>
      <x:c r="N48" s="81"/>
      <x:c r="O48" s="81"/>
      <x:c r="P48" s="81"/>
      <x:c r="Q48" s="81"/>
      <x:c r="R48" s="81"/>
      <x:c r="S48" s="81"/>
      <x:c r="T48" s="81"/>
      <x:c r="U48" s="81"/>
      <x:c r="V48" s="81"/>
      <x:c r="W48" s="81"/>
      <x:c r="X48" s="81"/>
      <x:c r="Y48" s="81"/>
      <x:c r="Z48" s="81"/>
      <x:c r="AA48" s="81"/>
      <x:c r="AB48" s="81"/>
      <x:c r="AC48" s="81"/>
      <x:c r="AD48" s="81"/>
      <x:c r="AE48" s="81"/>
      <x:c r="AF48" s="81"/>
    </x:row>
    <x:row r="49" ht="40" customHeight="1">
      <x:c r="A49" s="81" t="str">
        <x:v>Matrix is evaluated using Element Android as a representative Matrix client. Language availability can vary by Matrix client.</x:v>
      </x:c>
      <x:c r="B49" s="81"/>
      <x:c r="C49" s="81"/>
      <x:c r="D49" s="81"/>
      <x:c r="E49" s="81"/>
      <x:c r="F49" s="81"/>
      <x:c r="G49" s="81"/>
      <x:c r="H49" s="81"/>
      <x:c r="I49" s="81"/>
      <x:c r="J49" s="81"/>
      <x:c r="K49" s="81"/>
      <x:c r="L49" s="81"/>
      <x:c r="M49" s="81"/>
      <x:c r="N49" s="81"/>
      <x:c r="O49" s="81"/>
      <x:c r="P49" s="81"/>
      <x:c r="Q49" s="81"/>
      <x:c r="R49" s="81"/>
      <x:c r="S49" s="81"/>
      <x:c r="T49" s="81"/>
      <x:c r="U49" s="81"/>
      <x:c r="V49" s="81"/>
      <x:c r="W49" s="81"/>
      <x:c r="X49" s="81"/>
      <x:c r="Y49" s="81"/>
      <x:c r="Z49" s="81"/>
      <x:c r="AA49" s="81"/>
      <x:c r="AB49" s="81"/>
      <x:c r="AC49" s="81"/>
      <x:c r="AD49" s="81"/>
      <x:c r="AE49" s="81"/>
      <x:c r="AF49" s="81"/>
    </x:row>
  </x:sheetData>
  <x:mergeCells>
    <x:mergeCell ref="A1:AF1"/>
    <x:mergeCell ref="A48:AF48"/>
    <x:mergeCell ref="A49:AF49"/>
  </x:mergeCells>
  <x:conditionalFormatting sqref="B3:AF46">
    <x:cfRule type="expression" dxfId="0" priority="1">
      <x:formula>B3="Yes"</x:formula>
    </x:cfRule>
    <x:cfRule type="expression" dxfId="1" priority="2">
      <x:formula>B3="Active translation"</x:formula>
    </x:cfRule>
    <x:cfRule type="expression" dxfId="2" priority="3">
      <x:formula>B3="No"</x:formula>
    </x:cfRule>
  </x:conditionalFormatting>
  <x:pageMargins left="0.7" right="0.7" top="0.75" bottom="0.75" header="0.3" footer="0.3"/>
</x:worksheet>
</file>